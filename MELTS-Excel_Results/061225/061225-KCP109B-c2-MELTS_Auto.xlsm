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5672305F-8658-400E-AD56-9BC19C18579E}" xr6:coauthVersionLast="47" xr6:coauthVersionMax="47" xr10:uidLastSave="{00000000-0000-0000-0000-000000000000}"/>
  <bookViews>
    <workbookView xWindow="28680" yWindow="4920" windowWidth="29040" windowHeight="15720" activeTab="1" xr2:uid="{ED1FD2C9-CD15-4C24-9B3A-E463CD3240DA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B1" i="17"/>
  <c r="C2" i="13"/>
  <c r="G3" i="13"/>
  <c r="C5" i="13"/>
  <c r="G6" i="13"/>
  <c r="C8" i="13"/>
  <c r="G9" i="13"/>
  <c r="E5" i="13"/>
  <c r="I6" i="13"/>
  <c r="I9" i="13"/>
  <c r="F5" i="13"/>
  <c r="F8" i="13"/>
  <c r="G2" i="13"/>
  <c r="C7" i="13"/>
  <c r="C10" i="13"/>
  <c r="H5" i="13"/>
  <c r="H8" i="13"/>
  <c r="I2" i="13"/>
  <c r="I8" i="13"/>
  <c r="D2" i="13"/>
  <c r="H3" i="13"/>
  <c r="D5" i="13"/>
  <c r="H6" i="13"/>
  <c r="D8" i="13"/>
  <c r="H9" i="13"/>
  <c r="I3" i="13"/>
  <c r="E8" i="13"/>
  <c r="J6" i="13"/>
  <c r="J9" i="13"/>
  <c r="C4" i="13"/>
  <c r="G8" i="13"/>
  <c r="D4" i="13"/>
  <c r="D7" i="13"/>
  <c r="D10" i="13"/>
  <c r="E4" i="13"/>
  <c r="E7" i="13"/>
  <c r="E10" i="13"/>
  <c r="F4" i="13"/>
  <c r="F7" i="13"/>
  <c r="G4" i="13"/>
  <c r="C9" i="13"/>
  <c r="D3" i="13"/>
  <c r="H10" i="13"/>
  <c r="E6" i="13"/>
  <c r="J4" i="13"/>
  <c r="E2" i="13"/>
  <c r="H2" i="13"/>
  <c r="I5" i="13"/>
  <c r="J2" i="13"/>
  <c r="J5" i="13"/>
  <c r="C6" i="13"/>
  <c r="G10" i="13"/>
  <c r="H7" i="13"/>
  <c r="D9" i="13"/>
  <c r="I4" i="13"/>
  <c r="F3" i="13"/>
  <c r="F2" i="13"/>
  <c r="F10" i="13"/>
  <c r="G7" i="13"/>
  <c r="H4" i="13"/>
  <c r="E3" i="13"/>
  <c r="E9" i="13"/>
  <c r="F9" i="13"/>
  <c r="G5" i="13"/>
  <c r="I7" i="13"/>
  <c r="J10" i="13"/>
  <c r="J8" i="13"/>
  <c r="I10" i="13"/>
  <c r="J7" i="13"/>
  <c r="D6" i="13"/>
  <c r="C3" i="13"/>
  <c r="F6" i="13"/>
  <c r="B10" i="13"/>
  <c r="B9" i="13"/>
  <c r="B8" i="13"/>
  <c r="B7" i="13"/>
  <c r="B6" i="13"/>
  <c r="B5" i="13"/>
  <c r="B4" i="13"/>
  <c r="B3" i="13"/>
  <c r="B2" i="13"/>
  <c r="F3" i="17" l="1"/>
  <c r="D3" i="17"/>
  <c r="J4" i="17"/>
  <c r="J2" i="17"/>
  <c r="I4" i="17"/>
  <c r="G4" i="17"/>
  <c r="H4" i="17"/>
  <c r="C3" i="17"/>
  <c r="E3" i="17"/>
  <c r="F4" i="17"/>
  <c r="E4" i="17"/>
  <c r="D4" i="17"/>
  <c r="G2" i="17"/>
  <c r="J3" i="17"/>
  <c r="E2" i="17"/>
  <c r="D2" i="17"/>
  <c r="H3" i="17"/>
  <c r="I2" i="17"/>
  <c r="H2" i="17"/>
  <c r="C4" i="17"/>
  <c r="F2" i="17"/>
  <c r="I3" i="17"/>
  <c r="C2" i="17"/>
  <c r="G3" i="17"/>
  <c r="B4" i="17"/>
  <c r="B3" i="17"/>
  <c r="B2" i="17"/>
  <c r="D6" i="17" l="1"/>
  <c r="D7" i="17"/>
  <c r="F7" i="17"/>
  <c r="F6" i="17"/>
  <c r="C7" i="17"/>
  <c r="C6" i="17"/>
  <c r="J7" i="17"/>
  <c r="J6" i="17"/>
  <c r="H6" i="17"/>
  <c r="H7" i="17"/>
  <c r="I6" i="17"/>
  <c r="I7" i="17"/>
  <c r="E6" i="17"/>
  <c r="E7" i="17"/>
  <c r="G6" i="17"/>
  <c r="G7" i="17"/>
  <c r="B6" i="17"/>
  <c r="B7" i="17"/>
  <c r="L7" i="17" l="1"/>
  <c r="L6" i="17"/>
  <c r="M7" i="17"/>
  <c r="N7" i="17"/>
  <c r="M6" i="17"/>
  <c r="N6" i="17"/>
  <c r="P6" i="17" a="1"/>
  <c r="P7" i="17" a="1"/>
  <c r="R7" i="17" l="1"/>
  <c r="P7" i="17"/>
  <c r="Q7" i="17"/>
  <c r="R6" i="17"/>
  <c r="Q6" i="17"/>
  <c r="B9" i="17" s="1"/>
  <c r="P6" i="17"/>
  <c r="B13" i="17" l="1"/>
  <c r="C9" i="17"/>
  <c r="D9" i="17"/>
  <c r="G9" i="17"/>
  <c r="H9" i="17"/>
  <c r="E9" i="17"/>
  <c r="I9" i="17"/>
  <c r="F9" i="17"/>
  <c r="J9" i="17"/>
  <c r="C14" i="17"/>
  <c r="G10" i="17"/>
  <c r="H10" i="17"/>
  <c r="E10" i="17"/>
  <c r="I10" i="17"/>
  <c r="D10" i="17"/>
  <c r="J10" i="17"/>
  <c r="F10" i="17"/>
  <c r="C10" i="17"/>
  <c r="B14" i="17"/>
  <c r="C13" i="17"/>
  <c r="B10" i="17"/>
</calcChain>
</file>

<file path=xl/sharedStrings.xml><?xml version="1.0" encoding="utf-8"?>
<sst xmlns="http://schemas.openxmlformats.org/spreadsheetml/2006/main" count="638" uniqueCount="150">
  <si>
    <t xml:space="preserve"> </t>
  </si>
  <si>
    <t>061225-KCP109B-c2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</si>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</sst>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757</c:v>
                </c:pt>
                <c:pt idx="4">
                  <c:v>759</c:v>
                </c:pt>
                <c:pt idx="5">
                  <c:v>767</c:v>
                </c:pt>
                <c:pt idx="6">
                  <c:v>775</c:v>
                </c:pt>
                <c:pt idx="7">
                  <c:v>785</c:v>
                </c:pt>
                <c:pt idx="8">
                  <c:v>797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534-A94E-1AA440BF6BBA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744</c:v>
                </c:pt>
                <c:pt idx="3">
                  <c:v>747</c:v>
                </c:pt>
                <c:pt idx="4">
                  <c:v>751</c:v>
                </c:pt>
                <c:pt idx="5">
                  <c:v>755</c:v>
                </c:pt>
                <c:pt idx="6">
                  <c:v>759</c:v>
                </c:pt>
                <c:pt idx="7">
                  <c:v>765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63-4534-A94E-1AA440BF6BBA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738</c:v>
                </c:pt>
                <c:pt idx="1">
                  <c:v>742</c:v>
                </c:pt>
                <c:pt idx="2">
                  <c:v>745</c:v>
                </c:pt>
                <c:pt idx="3">
                  <c:v>749</c:v>
                </c:pt>
                <c:pt idx="4">
                  <c:v>753</c:v>
                </c:pt>
                <c:pt idx="5">
                  <c:v>757</c:v>
                </c:pt>
                <c:pt idx="6">
                  <c:v>762</c:v>
                </c:pt>
                <c:pt idx="7">
                  <c:v>769</c:v>
                </c:pt>
                <c:pt idx="8">
                  <c:v>776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63-4534-A94E-1AA440BF6BBA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744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767</c:v>
                </c:pt>
                <c:pt idx="8">
                  <c:v>774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63-4534-A94E-1AA440BF6BBA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741</c:v>
                </c:pt>
                <c:pt idx="1">
                  <c:v>744</c:v>
                </c:pt>
                <c:pt idx="2">
                  <c:v>747</c:v>
                </c:pt>
                <c:pt idx="3">
                  <c:v>753</c:v>
                </c:pt>
                <c:pt idx="4">
                  <c:v>758</c:v>
                </c:pt>
                <c:pt idx="5">
                  <c:v>766</c:v>
                </c:pt>
                <c:pt idx="6">
                  <c:v>774</c:v>
                </c:pt>
                <c:pt idx="7">
                  <c:v>784</c:v>
                </c:pt>
                <c:pt idx="8">
                  <c:v>796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63-4534-A94E-1AA440BF6BBA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740</c:v>
                </c:pt>
                <c:pt idx="1">
                  <c:v>744</c:v>
                </c:pt>
                <c:pt idx="2">
                  <c:v>747</c:v>
                </c:pt>
                <c:pt idx="3">
                  <c:v>751</c:v>
                </c:pt>
                <c:pt idx="4">
                  <c:v>755</c:v>
                </c:pt>
                <c:pt idx="5">
                  <c:v>759</c:v>
                </c:pt>
                <c:pt idx="6">
                  <c:v>765</c:v>
                </c:pt>
                <c:pt idx="7">
                  <c:v>771</c:v>
                </c:pt>
                <c:pt idx="8">
                  <c:v>779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B63-4534-A94E-1AA440BF6BBA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757</c:v>
                </c:pt>
                <c:pt idx="5">
                  <c:v>762</c:v>
                </c:pt>
                <c:pt idx="6">
                  <c:v>768</c:v>
                </c:pt>
                <c:pt idx="7">
                  <c:v>774</c:v>
                </c:pt>
                <c:pt idx="8">
                  <c:v>783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B63-4534-A94E-1AA440BF6BBA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757</c:v>
                </c:pt>
                <c:pt idx="4">
                  <c:v>759</c:v>
                </c:pt>
                <c:pt idx="5">
                  <c:v>767</c:v>
                </c:pt>
                <c:pt idx="6">
                  <c:v>775</c:v>
                </c:pt>
                <c:pt idx="7">
                  <c:v>785</c:v>
                </c:pt>
                <c:pt idx="8">
                  <c:v>797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B63-4534-A94E-1AA440BF6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622688"/>
        <c:axId val="2074623168"/>
      </c:scatterChart>
      <c:valAx>
        <c:axId val="2074622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2074623168"/>
        <c:crosses val="autoZero"/>
        <c:crossBetween val="midCat"/>
      </c:valAx>
      <c:valAx>
        <c:axId val="2074623168"/>
        <c:scaling>
          <c:orientation val="minMax"/>
          <c:max val="275"/>
          <c:min val="11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2074622688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757</c:v>
                </c:pt>
                <c:pt idx="5">
                  <c:v>762</c:v>
                </c:pt>
                <c:pt idx="6">
                  <c:v>768</c:v>
                </c:pt>
                <c:pt idx="7">
                  <c:v>774</c:v>
                </c:pt>
                <c:pt idx="8">
                  <c:v>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B4-4067-8994-63087D204F65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741</c:v>
                </c:pt>
                <c:pt idx="1">
                  <c:v>744</c:v>
                </c:pt>
                <c:pt idx="2">
                  <c:v>747</c:v>
                </c:pt>
                <c:pt idx="3">
                  <c:v>753</c:v>
                </c:pt>
                <c:pt idx="4">
                  <c:v>758</c:v>
                </c:pt>
                <c:pt idx="5">
                  <c:v>766</c:v>
                </c:pt>
                <c:pt idx="6">
                  <c:v>774</c:v>
                </c:pt>
                <c:pt idx="7">
                  <c:v>784</c:v>
                </c:pt>
                <c:pt idx="8">
                  <c:v>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B4-4067-8994-63087D204F65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740</c:v>
                </c:pt>
                <c:pt idx="1">
                  <c:v>744</c:v>
                </c:pt>
                <c:pt idx="2">
                  <c:v>747</c:v>
                </c:pt>
                <c:pt idx="3">
                  <c:v>751</c:v>
                </c:pt>
                <c:pt idx="4">
                  <c:v>755</c:v>
                </c:pt>
                <c:pt idx="5">
                  <c:v>759</c:v>
                </c:pt>
                <c:pt idx="6">
                  <c:v>765</c:v>
                </c:pt>
                <c:pt idx="7">
                  <c:v>771</c:v>
                </c:pt>
                <c:pt idx="8">
                  <c:v>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B4-4067-8994-63087D204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1459104"/>
        <c:axId val="1199411104"/>
      </c:scatterChart>
      <c:valAx>
        <c:axId val="199145910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199411104"/>
        <c:crosses val="autoZero"/>
        <c:crossBetween val="midCat"/>
      </c:valAx>
      <c:valAx>
        <c:axId val="119941110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145910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757</c:v>
                </c:pt>
                <c:pt idx="5">
                  <c:v>762</c:v>
                </c:pt>
                <c:pt idx="6">
                  <c:v>768</c:v>
                </c:pt>
                <c:pt idx="7">
                  <c:v>774</c:v>
                </c:pt>
                <c:pt idx="8">
                  <c:v>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47-43B3-922F-F5115FEB6568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741</c:v>
                </c:pt>
                <c:pt idx="1">
                  <c:v>744</c:v>
                </c:pt>
                <c:pt idx="2">
                  <c:v>747</c:v>
                </c:pt>
                <c:pt idx="3">
                  <c:v>753</c:v>
                </c:pt>
                <c:pt idx="4">
                  <c:v>758</c:v>
                </c:pt>
                <c:pt idx="5">
                  <c:v>766</c:v>
                </c:pt>
                <c:pt idx="6">
                  <c:v>774</c:v>
                </c:pt>
                <c:pt idx="7">
                  <c:v>784</c:v>
                </c:pt>
                <c:pt idx="8">
                  <c:v>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47-43B3-922F-F5115FEB65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11584"/>
        <c:axId val="1991459104"/>
      </c:scatterChart>
      <c:valAx>
        <c:axId val="119941158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1459104"/>
        <c:crosses val="autoZero"/>
        <c:crossBetween val="midCat"/>
      </c:valAx>
      <c:valAx>
        <c:axId val="199145910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19941158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16</c:v>
                </c:pt>
                <c:pt idx="1">
                  <c:v>12</c:v>
                </c:pt>
                <c:pt idx="2">
                  <c:v>9</c:v>
                </c:pt>
                <c:pt idx="3">
                  <c:v>5</c:v>
                </c:pt>
                <c:pt idx="4">
                  <c:v>3</c:v>
                </c:pt>
                <c:pt idx="5">
                  <c:v>7</c:v>
                </c:pt>
                <c:pt idx="6">
                  <c:v>9</c:v>
                </c:pt>
                <c:pt idx="7">
                  <c:v>13</c:v>
                </c:pt>
                <c:pt idx="8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E9-4536-A54B-1109BD8B9CA6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23.800000000018116</c:v>
                </c:pt>
                <c:pt idx="1">
                  <c:v>15.000000000016001</c:v>
                </c:pt>
                <c:pt idx="2">
                  <c:v>8.7714285714429252</c:v>
                </c:pt>
                <c:pt idx="3">
                  <c:v>5.1142857142988873</c:v>
                </c:pt>
                <c:pt idx="4">
                  <c:v>4.0285714285838736</c:v>
                </c:pt>
                <c:pt idx="5">
                  <c:v>5.5142857142978698</c:v>
                </c:pt>
                <c:pt idx="6">
                  <c:v>9.571428571440876</c:v>
                </c:pt>
                <c:pt idx="7">
                  <c:v>16.200000000012921</c:v>
                </c:pt>
                <c:pt idx="8">
                  <c:v>25.400000000013989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E9-4536-A54B-1109BD8B9CA6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P_Calc!$B$13:$B$13</c:f>
              <c:numCache>
                <c:formatCode>0</c:formatCode>
                <c:ptCount val="1"/>
                <c:pt idx="0">
                  <c:v>196.55555555555125</c:v>
                </c:pt>
              </c:numCache>
            </c:numRef>
          </c:xVal>
          <c:yVal>
            <c:numRef>
              <c:f>P_Calc!$C$13:$C$13</c:f>
              <c:numCache>
                <c:formatCode>0</c:formatCode>
                <c:ptCount val="1"/>
                <c:pt idx="0">
                  <c:v>4.0207936508061266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E9-4536-A54B-1109BD8B9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786208"/>
        <c:axId val="2068789088"/>
      </c:scatterChart>
      <c:valAx>
        <c:axId val="206878620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68789088"/>
        <c:crosses val="autoZero"/>
        <c:crossBetween val="midCat"/>
      </c:valAx>
      <c:valAx>
        <c:axId val="206878908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6878620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15</c:v>
                </c:pt>
                <c:pt idx="1">
                  <c:v>12</c:v>
                </c:pt>
                <c:pt idx="2">
                  <c:v>9</c:v>
                </c:pt>
                <c:pt idx="3">
                  <c:v>3</c:v>
                </c:pt>
                <c:pt idx="4">
                  <c:v>1</c:v>
                </c:pt>
                <c:pt idx="5">
                  <c:v>4</c:v>
                </c:pt>
                <c:pt idx="6">
                  <c:v>6</c:v>
                </c:pt>
                <c:pt idx="7">
                  <c:v>10</c:v>
                </c:pt>
                <c:pt idx="8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A38-A70E-DC8F603DF342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27.600000000020941</c:v>
                </c:pt>
                <c:pt idx="1">
                  <c:v>16.600000000018696</c:v>
                </c:pt>
                <c:pt idx="2">
                  <c:v>8.6000000000169337</c:v>
                </c:pt>
                <c:pt idx="3">
                  <c:v>3.6000000000156263</c:v>
                </c:pt>
                <c:pt idx="4">
                  <c:v>1.600000000014802</c:v>
                </c:pt>
                <c:pt idx="5">
                  <c:v>2.6000000000144041</c:v>
                </c:pt>
                <c:pt idx="6">
                  <c:v>6.6000000000145178</c:v>
                </c:pt>
                <c:pt idx="7">
                  <c:v>13.600000000015115</c:v>
                </c:pt>
                <c:pt idx="8">
                  <c:v>23.600000000016166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B9-4A38-A70E-DC8F603DF342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191.66666666666322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1.5583333333480311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CB9-4A38-A70E-DC8F603DF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884896"/>
        <c:axId val="2071881536"/>
      </c:scatterChart>
      <c:valAx>
        <c:axId val="207188489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71881536"/>
        <c:crosses val="autoZero"/>
        <c:crossBetween val="midCat"/>
      </c:valAx>
      <c:valAx>
        <c:axId val="207188153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7188489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2823C9-68C4-42A2-9232-874C8C4956ED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80ED89-4EEF-C343-4A93-E3179335FD7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8E4B21-D4AF-586E-2C44-0D494963A8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7189DCA-BD6F-40C6-D584-A9EBF2DD11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DF04837-9A77-672B-02A6-77B3492A45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4FF929D-8C47-6422-49C2-8D7C1B7930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9080D-B7B2-4478-94C5-487E48752DA8}">
  <dimension ref="A1:R14"/>
  <sheetViews>
    <sheetView tabSelected="1" workbookViewId="0"/>
  </sheetViews>
  <sheetFormatPr defaultRowHeight="15" x14ac:dyDescent="0.2"/>
  <sheetData>
    <row r="1" spans="1:18" x14ac:dyDescent="0.2">
      <c r="A1" t="s">
        <v>135</v>
      </c>
      <c r="B1">
        <f>Phase_Data!B1</f>
        <v>275</v>
      </c>
      <c r="C1">
        <f>Phase_Data!C1</f>
        <v>255</v>
      </c>
      <c r="D1">
        <f>Phase_Data!D1</f>
        <v>235</v>
      </c>
      <c r="E1">
        <f>Phase_Data!E1</f>
        <v>215</v>
      </c>
      <c r="F1">
        <f>Phase_Data!F1</f>
        <v>195</v>
      </c>
      <c r="G1">
        <f>Phase_Data!G1</f>
        <v>175</v>
      </c>
      <c r="H1">
        <f>Phase_Data!H1</f>
        <v>155</v>
      </c>
      <c r="I1">
        <f>Phase_Data!I1</f>
        <v>135</v>
      </c>
      <c r="J1">
        <f>Phase_Data!J1</f>
        <v>115</v>
      </c>
      <c r="L1" t="s">
        <v>142</v>
      </c>
      <c r="M1" t="s">
        <v>143</v>
      </c>
      <c r="N1" t="s">
        <v>144</v>
      </c>
      <c r="P1" t="s">
        <v>145</v>
      </c>
      <c r="Q1" t="s">
        <v>146</v>
      </c>
      <c r="R1" t="s">
        <v>147</v>
      </c>
    </row>
    <row r="2" spans="1:18" x14ac:dyDescent="0.2">
      <c r="A2" t="s">
        <v>96</v>
      </c>
      <c r="B2">
        <f ca="1">IFERROR(VLOOKUP($A2,Phase_Data!$1:$1048576,COLUMN(),0),"-")</f>
        <v>756</v>
      </c>
      <c r="C2">
        <f ca="1">IFERROR(VLOOKUP($A2,Phase_Data!$1:$1048576,COLUMN(),0),"-")</f>
        <v>756</v>
      </c>
      <c r="D2">
        <f ca="1">IFERROR(VLOOKUP($A2,Phase_Data!$1:$1048576,COLUMN(),0),"-")</f>
        <v>756</v>
      </c>
      <c r="E2">
        <f ca="1">IFERROR(VLOOKUP($A2,Phase_Data!$1:$1048576,COLUMN(),0),"-")</f>
        <v>756</v>
      </c>
      <c r="F2">
        <f ca="1">IFERROR(VLOOKUP($A2,Phase_Data!$1:$1048576,COLUMN(),0),"-")</f>
        <v>757</v>
      </c>
      <c r="G2">
        <f ca="1">IFERROR(VLOOKUP($A2,Phase_Data!$1:$1048576,COLUMN(),0),"-")</f>
        <v>762</v>
      </c>
      <c r="H2">
        <f ca="1">IFERROR(VLOOKUP($A2,Phase_Data!$1:$1048576,COLUMN(),0),"-")</f>
        <v>768</v>
      </c>
      <c r="I2">
        <f ca="1">IFERROR(VLOOKUP($A2,Phase_Data!$1:$1048576,COLUMN(),0),"-")</f>
        <v>774</v>
      </c>
      <c r="J2">
        <f ca="1">IFERROR(VLOOKUP($A2,Phase_Data!$1:$1048576,COLUMN(),0),"-")</f>
        <v>783</v>
      </c>
    </row>
    <row r="3" spans="1:18" x14ac:dyDescent="0.2">
      <c r="A3" t="s">
        <v>133</v>
      </c>
      <c r="B3">
        <f ca="1">IFERROR(VLOOKUP($A3,Phase_Data!$1:$1048576,COLUMN(),0),"-")</f>
        <v>741</v>
      </c>
      <c r="C3">
        <f ca="1">IFERROR(VLOOKUP($A3,Phase_Data!$1:$1048576,COLUMN(),0),"-")</f>
        <v>744</v>
      </c>
      <c r="D3">
        <f ca="1">IFERROR(VLOOKUP($A3,Phase_Data!$1:$1048576,COLUMN(),0),"-")</f>
        <v>747</v>
      </c>
      <c r="E3">
        <f ca="1">IFERROR(VLOOKUP($A3,Phase_Data!$1:$1048576,COLUMN(),0),"-")</f>
        <v>753</v>
      </c>
      <c r="F3">
        <f ca="1">IFERROR(VLOOKUP($A3,Phase_Data!$1:$1048576,COLUMN(),0),"-")</f>
        <v>758</v>
      </c>
      <c r="G3">
        <f ca="1">IFERROR(VLOOKUP($A3,Phase_Data!$1:$1048576,COLUMN(),0),"-")</f>
        <v>766</v>
      </c>
      <c r="H3">
        <f ca="1">IFERROR(VLOOKUP($A3,Phase_Data!$1:$1048576,COLUMN(),0),"-")</f>
        <v>774</v>
      </c>
      <c r="I3">
        <f ca="1">IFERROR(VLOOKUP($A3,Phase_Data!$1:$1048576,COLUMN(),0),"-")</f>
        <v>784</v>
      </c>
      <c r="J3">
        <f ca="1">IFERROR(VLOOKUP($A3,Phase_Data!$1:$1048576,COLUMN(),0),"-")</f>
        <v>796</v>
      </c>
    </row>
    <row r="4" spans="1:18" x14ac:dyDescent="0.2">
      <c r="A4" t="s">
        <v>134</v>
      </c>
      <c r="B4">
        <f ca="1">IFERROR(VLOOKUP($A4,Phase_Data!$1:$1048576,COLUMN(),0),"-")</f>
        <v>740</v>
      </c>
      <c r="C4">
        <f ca="1">IFERROR(VLOOKUP($A4,Phase_Data!$1:$1048576,COLUMN(),0),"-")</f>
        <v>744</v>
      </c>
      <c r="D4">
        <f ca="1">IFERROR(VLOOKUP($A4,Phase_Data!$1:$1048576,COLUMN(),0),"-")</f>
        <v>747</v>
      </c>
      <c r="E4">
        <f ca="1">IFERROR(VLOOKUP($A4,Phase_Data!$1:$1048576,COLUMN(),0),"-")</f>
        <v>751</v>
      </c>
      <c r="F4">
        <f ca="1">IFERROR(VLOOKUP($A4,Phase_Data!$1:$1048576,COLUMN(),0),"-")</f>
        <v>755</v>
      </c>
      <c r="G4">
        <f ca="1">IFERROR(VLOOKUP($A4,Phase_Data!$1:$1048576,COLUMN(),0),"-")</f>
        <v>759</v>
      </c>
      <c r="H4">
        <f ca="1">IFERROR(VLOOKUP($A4,Phase_Data!$1:$1048576,COLUMN(),0),"-")</f>
        <v>765</v>
      </c>
      <c r="I4">
        <f ca="1">IFERROR(VLOOKUP($A4,Phase_Data!$1:$1048576,COLUMN(),0),"-")</f>
        <v>771</v>
      </c>
      <c r="J4">
        <f ca="1">IFERROR(VLOOKUP($A4,Phase_Data!$1:$1048576,COLUMN(),0),"-")</f>
        <v>779</v>
      </c>
    </row>
    <row r="6" spans="1:18" x14ac:dyDescent="0.2">
      <c r="A6" t="s">
        <v>136</v>
      </c>
      <c r="B6">
        <f ca="1">IF(AND(B2&lt;&gt;0,B3&lt;&gt;0,B4&lt;&gt;0),MAX(B2:B4)-MIN(B2:B4),"-")</f>
        <v>16</v>
      </c>
      <c r="C6">
        <f t="shared" ref="C6:J6" ca="1" si="0">IF(AND(C2&lt;&gt;0,C3&lt;&gt;0,C4&lt;&gt;0),MAX(C2:C4)-MIN(C2:C4),"-")</f>
        <v>12</v>
      </c>
      <c r="D6">
        <f t="shared" ca="1" si="0"/>
        <v>9</v>
      </c>
      <c r="E6">
        <f t="shared" ca="1" si="0"/>
        <v>5</v>
      </c>
      <c r="F6">
        <f t="shared" ca="1" si="0"/>
        <v>3</v>
      </c>
      <c r="G6">
        <f t="shared" ca="1" si="0"/>
        <v>7</v>
      </c>
      <c r="H6">
        <f t="shared" ca="1" si="0"/>
        <v>9</v>
      </c>
      <c r="I6">
        <f t="shared" ca="1" si="0"/>
        <v>13</v>
      </c>
      <c r="J6">
        <f t="shared" ca="1" si="0"/>
        <v>17</v>
      </c>
      <c r="L6">
        <f ca="1">MIN(B6:J6)</f>
        <v>3</v>
      </c>
      <c r="M6">
        <f ca="1">IF(L6&lt;=5,INDEX(B$1:J$1,1,MATCH(L6,B6:J6,0)),"-")</f>
        <v>195</v>
      </c>
      <c r="N6">
        <f ca="1">IF(L6&lt;=5,MATCH(L6,B6:J6,0),"-")</f>
        <v>5</v>
      </c>
      <c r="P6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128.20178571431461</v>
      </c>
      <c r="Q6">
        <f ca="1"/>
        <v>-1.2635714285716233</v>
      </c>
      <c r="R6">
        <f ca="1"/>
        <v>3.2142857142862802E-3</v>
      </c>
    </row>
    <row r="7" spans="1:18" x14ac:dyDescent="0.2">
      <c r="A7" t="s">
        <v>137</v>
      </c>
      <c r="B7">
        <f ca="1">IF(AND(MAX(B2:B4)&lt;&gt;0,LARGE(B2:B4,2)&lt;&gt;0),MAX(B2:B4)-LARGE(B2:B4,2),"-")</f>
        <v>15</v>
      </c>
      <c r="C7">
        <f t="shared" ref="C7:J7" ca="1" si="1">IF(AND(MAX(C2:C4)&lt;&gt;0,LARGE(C2:C4,2)&lt;&gt;0),MAX(C2:C4)-LARGE(C2:C4,2),"-")</f>
        <v>12</v>
      </c>
      <c r="D7">
        <f t="shared" ca="1" si="1"/>
        <v>9</v>
      </c>
      <c r="E7">
        <f t="shared" ca="1" si="1"/>
        <v>3</v>
      </c>
      <c r="F7">
        <f t="shared" ca="1" si="1"/>
        <v>1</v>
      </c>
      <c r="G7">
        <f t="shared" ca="1" si="1"/>
        <v>4</v>
      </c>
      <c r="H7">
        <f t="shared" ca="1" si="1"/>
        <v>6</v>
      </c>
      <c r="I7">
        <f t="shared" ca="1" si="1"/>
        <v>10</v>
      </c>
      <c r="J7">
        <f t="shared" ca="1" si="1"/>
        <v>13</v>
      </c>
      <c r="L7">
        <f ca="1">MIN(B7:J7)</f>
        <v>1</v>
      </c>
      <c r="M7">
        <f ca="1">IF(L7&lt;=5,INDEX(B$1:J$1,1,MATCH(L7,B7:J7,0)),"-")</f>
        <v>195</v>
      </c>
      <c r="N7">
        <f ca="1">IF(L7&lt;=5,MATCH(L7,B7:J7,0),"-")</f>
        <v>5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139.31875000003129</v>
      </c>
      <c r="Q7">
        <f ca="1"/>
        <v>-1.437500000000199</v>
      </c>
      <c r="R7">
        <f ca="1"/>
        <v>3.7500000000005862E-3</v>
      </c>
    </row>
    <row r="9" spans="1:18" x14ac:dyDescent="0.2">
      <c r="A9" t="s">
        <v>138</v>
      </c>
      <c r="B9">
        <f ca="1">IFERROR(IF($R6&gt;0,$R6*B$1^2+$Q6*B$1+$P6,"-"),"-")</f>
        <v>23.800000000018116</v>
      </c>
      <c r="C9">
        <f ca="1">IFERROR(IF($R6&gt;0,$R6*C$1^2+$Q6*C$1+$P6,"-"),"-")</f>
        <v>15.000000000016001</v>
      </c>
      <c r="D9">
        <f ca="1">IFERROR(IF($R6&gt;0,$R6*D$1^2+$Q6*D$1+$P6,"-"),"-")</f>
        <v>8.7714285714429252</v>
      </c>
      <c r="E9">
        <f ca="1">IFERROR(IF($R6&gt;0,$R6*E$1^2+$Q6*E$1+$P6,"-"),"-")</f>
        <v>5.1142857142988873</v>
      </c>
      <c r="F9">
        <f ca="1">IFERROR(IF($R6&gt;0,$R6*F$1^2+$Q6*F$1+$P6,"-"),"-")</f>
        <v>4.0285714285838736</v>
      </c>
      <c r="G9">
        <f ca="1">IFERROR(IF($R6&gt;0,$R6*G$1^2+$Q6*G$1+$P6,"-"),"-")</f>
        <v>5.5142857142978698</v>
      </c>
      <c r="H9">
        <f ca="1">IFERROR(IF($R6&gt;0,$R6*H$1^2+$Q6*H$1+$P6,"-"),"-")</f>
        <v>9.571428571440876</v>
      </c>
      <c r="I9">
        <f ca="1">IFERROR(IF($R6&gt;0,$R6*I$1^2+$Q6*I$1+$P6,"-"),"-")</f>
        <v>16.200000000012921</v>
      </c>
      <c r="J9">
        <f ca="1">IFERROR(IF($R6&gt;0,$R6*J$1^2+$Q6*J$1+$P6,"-"),"-")</f>
        <v>25.400000000013989</v>
      </c>
    </row>
    <row r="10" spans="1:18" x14ac:dyDescent="0.2">
      <c r="A10" t="s">
        <v>139</v>
      </c>
      <c r="B10">
        <f ca="1">IFERROR(IF($R7&gt;0,$R7*B$1^2+$Q7*B$1+$P7,"-"),"-")</f>
        <v>27.600000000020941</v>
      </c>
      <c r="C10">
        <f ca="1">IFERROR(IF($R7&gt;0,$R7*C$1^2+$Q7*C$1+$P7,"-"),"-")</f>
        <v>16.600000000018696</v>
      </c>
      <c r="D10">
        <f ca="1">IFERROR(IF($R7&gt;0,$R7*D$1^2+$Q7*D$1+$P7,"-"),"-")</f>
        <v>8.6000000000169337</v>
      </c>
      <c r="E10">
        <f ca="1">IFERROR(IF($R7&gt;0,$R7*E$1^2+$Q7*E$1+$P7,"-"),"-")</f>
        <v>3.6000000000156263</v>
      </c>
      <c r="F10">
        <f ca="1">IFERROR(IF($R7&gt;0,$R7*F$1^2+$Q7*F$1+$P7,"-"),"-")</f>
        <v>1.600000000014802</v>
      </c>
      <c r="G10">
        <f ca="1">IFERROR(IF($R7&gt;0,$R7*G$1^2+$Q7*G$1+$P7,"-"),"-")</f>
        <v>2.6000000000144041</v>
      </c>
      <c r="H10">
        <f ca="1">IFERROR(IF($R7&gt;0,$R7*H$1^2+$Q7*H$1+$P7,"-"),"-")</f>
        <v>6.6000000000145178</v>
      </c>
      <c r="I10">
        <f ca="1">IFERROR(IF($R7&gt;0,$R7*I$1^2+$Q7*I$1+$P7,"-"),"-")</f>
        <v>13.600000000015115</v>
      </c>
      <c r="J10">
        <f ca="1">IFERROR(IF($R7&gt;0,$R7*J$1^2+$Q7*J$1+$P7,"-"),"-")</f>
        <v>23.600000000016166</v>
      </c>
    </row>
    <row r="12" spans="1:18" x14ac:dyDescent="0.2">
      <c r="B12" t="s">
        <v>148</v>
      </c>
      <c r="C12" t="s">
        <v>149</v>
      </c>
    </row>
    <row r="13" spans="1:18" x14ac:dyDescent="0.2">
      <c r="A13" t="s">
        <v>140</v>
      </c>
      <c r="B13" s="2">
        <f ca="1">IFERROR(IF($L6&lt;=5,IF($R6&gt;0,-$Q6/(2*$R6),"-"),"-"),"-")</f>
        <v>196.55555555555125</v>
      </c>
      <c r="C13" s="2">
        <f ca="1">IFERROR(IF($R6&gt;0,$R6*B13^2+$Q6*B13+$P6,"-"),"-")</f>
        <v>4.0207936508061266</v>
      </c>
    </row>
    <row r="14" spans="1:18" x14ac:dyDescent="0.2">
      <c r="A14" t="s">
        <v>141</v>
      </c>
      <c r="B14" s="2">
        <f ca="1">IFERROR(IF($L7&lt;=5,IF($R7&gt;0,-$Q7/(2*$R7),"-"),"-"),"-")</f>
        <v>191.66666666666322</v>
      </c>
      <c r="C14" s="2">
        <f ca="1">IFERROR(IF($R7&gt;0,$R7*B14^2+$Q7*B14+$P7,"-"),"-")</f>
        <v>1.5583333333480311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B932E-9998-41ED-BE5F-865FF6A7CA6B}">
  <sheetPr codeName="Sheet2"/>
  <dimension ref="A1:J10"/>
  <sheetViews>
    <sheetView workbookViewId="0"/>
  </sheetViews>
  <sheetFormatPr defaultRowHeight="15" x14ac:dyDescent="0.2"/>
  <sheetData>
    <row r="1" spans="1:10" x14ac:dyDescent="0.2">
      <c r="A1">
        <v>275</v>
      </c>
      <c r="B1">
        <v>275</v>
      </c>
      <c r="C1">
        <v>255</v>
      </c>
      <c r="D1">
        <v>235</v>
      </c>
      <c r="E1">
        <v>215</v>
      </c>
      <c r="F1">
        <v>195</v>
      </c>
      <c r="G1">
        <v>175</v>
      </c>
      <c r="H1">
        <v>155</v>
      </c>
      <c r="I1">
        <v>135</v>
      </c>
      <c r="J1">
        <v>115</v>
      </c>
    </row>
    <row r="2" spans="1:10" x14ac:dyDescent="0.2">
      <c r="A2" t="s">
        <v>132</v>
      </c>
      <c r="B2">
        <f ca="1">_xlfn.IFNA(INDEX(INDIRECT("'"&amp;$A2&amp;"'!$B:$B"),MATCH(B$1,INDIRECT("'"&amp;$A2&amp;"'!$c:$c"),0)),"")</f>
        <v>757</v>
      </c>
      <c r="C2">
        <f t="shared" ref="C2:J10" ca="1" si="0">_xlfn.IFNA(INDEX(INDIRECT("'"&amp;$A2&amp;"'!$B:$B"),MATCH(C$1,INDIRECT("'"&amp;$A2&amp;"'!$c:$c"),0)),"")</f>
        <v>757</v>
      </c>
      <c r="D2">
        <f t="shared" ca="1" si="0"/>
        <v>757</v>
      </c>
      <c r="E2">
        <f t="shared" ca="1" si="0"/>
        <v>757</v>
      </c>
      <c r="F2">
        <f t="shared" ca="1" si="0"/>
        <v>759</v>
      </c>
      <c r="G2">
        <f t="shared" ca="1" si="0"/>
        <v>767</v>
      </c>
      <c r="H2">
        <f t="shared" ca="1" si="0"/>
        <v>775</v>
      </c>
      <c r="I2">
        <f t="shared" ca="1" si="0"/>
        <v>785</v>
      </c>
      <c r="J2">
        <f t="shared" ca="1" si="0"/>
        <v>797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741</v>
      </c>
      <c r="D3">
        <f t="shared" ca="1" si="0"/>
        <v>744</v>
      </c>
      <c r="E3">
        <f t="shared" ca="1" si="0"/>
        <v>747</v>
      </c>
      <c r="F3">
        <f t="shared" ca="1" si="0"/>
        <v>751</v>
      </c>
      <c r="G3">
        <f t="shared" ca="1" si="0"/>
        <v>755</v>
      </c>
      <c r="H3">
        <f t="shared" ca="1" si="0"/>
        <v>759</v>
      </c>
      <c r="I3">
        <f t="shared" ca="1" si="0"/>
        <v>765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742</v>
      </c>
      <c r="D4">
        <f t="shared" ca="1" si="0"/>
        <v>745</v>
      </c>
      <c r="E4">
        <f t="shared" ca="1" si="0"/>
        <v>749</v>
      </c>
      <c r="F4">
        <f t="shared" ca="1" si="0"/>
        <v>753</v>
      </c>
      <c r="G4">
        <f t="shared" ca="1" si="0"/>
        <v>757</v>
      </c>
      <c r="H4">
        <f t="shared" ca="1" si="0"/>
        <v>762</v>
      </c>
      <c r="I4">
        <f t="shared" ca="1" si="0"/>
        <v>769</v>
      </c>
      <c r="J4">
        <f t="shared" ca="1" si="0"/>
        <v>776</v>
      </c>
    </row>
    <row r="5" spans="1:10" x14ac:dyDescent="0.2">
      <c r="A5" t="s">
        <v>94</v>
      </c>
      <c r="B5">
        <f ca="1">_xlfn.IFNA(INDEX(INDIRECT("'"&amp;$A5&amp;"'!$B:$B"),MATCH(B$1,INDIRECT("'"&amp;$A5&amp;"'!$c:$c"),0)),"")</f>
        <v>738</v>
      </c>
      <c r="C5">
        <f t="shared" ca="1" si="0"/>
        <v>741</v>
      </c>
      <c r="D5">
        <f t="shared" ca="1" si="0"/>
        <v>744</v>
      </c>
      <c r="E5">
        <f t="shared" ca="1" si="0"/>
        <v>748</v>
      </c>
      <c r="F5">
        <f t="shared" ca="1" si="0"/>
        <v>752</v>
      </c>
      <c r="G5">
        <f t="shared" ca="1" si="0"/>
        <v>756</v>
      </c>
      <c r="H5">
        <f t="shared" ca="1" si="0"/>
        <v>761</v>
      </c>
      <c r="I5">
        <f t="shared" ca="1" si="0"/>
        <v>767</v>
      </c>
      <c r="J5">
        <f t="shared" ca="1" si="0"/>
        <v>774</v>
      </c>
    </row>
    <row r="6" spans="1:10" x14ac:dyDescent="0.2">
      <c r="A6" t="s">
        <v>133</v>
      </c>
      <c r="B6">
        <f ca="1">_xlfn.IFNA(INDEX(INDIRECT("'"&amp;$A6&amp;"'!$B:$B"),MATCH(B$1,INDIRECT("'"&amp;$A6&amp;"'!$c:$c"),0)),"")</f>
        <v>741</v>
      </c>
      <c r="C6">
        <f t="shared" ca="1" si="0"/>
        <v>744</v>
      </c>
      <c r="D6">
        <f t="shared" ca="1" si="0"/>
        <v>747</v>
      </c>
      <c r="E6">
        <f t="shared" ca="1" si="0"/>
        <v>753</v>
      </c>
      <c r="F6">
        <f t="shared" ca="1" si="0"/>
        <v>758</v>
      </c>
      <c r="G6">
        <f t="shared" ca="1" si="0"/>
        <v>766</v>
      </c>
      <c r="H6">
        <f t="shared" ca="1" si="0"/>
        <v>774</v>
      </c>
      <c r="I6">
        <f t="shared" ca="1" si="0"/>
        <v>784</v>
      </c>
      <c r="J6">
        <f t="shared" ca="1" si="0"/>
        <v>796</v>
      </c>
    </row>
    <row r="7" spans="1:10" x14ac:dyDescent="0.2">
      <c r="A7" t="s">
        <v>134</v>
      </c>
      <c r="B7">
        <f ca="1">_xlfn.IFNA(INDEX(INDIRECT("'"&amp;$A7&amp;"'!$B:$B"),MATCH(B$1,INDIRECT("'"&amp;$A7&amp;"'!$c:$c"),0)),"")</f>
        <v>740</v>
      </c>
      <c r="C7">
        <f t="shared" ca="1" si="0"/>
        <v>744</v>
      </c>
      <c r="D7">
        <f t="shared" ca="1" si="0"/>
        <v>747</v>
      </c>
      <c r="E7">
        <f t="shared" ca="1" si="0"/>
        <v>751</v>
      </c>
      <c r="F7">
        <f t="shared" ca="1" si="0"/>
        <v>755</v>
      </c>
      <c r="G7">
        <f t="shared" ca="1" si="0"/>
        <v>759</v>
      </c>
      <c r="H7">
        <f t="shared" ca="1" si="0"/>
        <v>765</v>
      </c>
      <c r="I7">
        <f t="shared" ca="1" si="0"/>
        <v>771</v>
      </c>
      <c r="J7">
        <f t="shared" ca="1" si="0"/>
        <v>779</v>
      </c>
    </row>
    <row r="8" spans="1:10" x14ac:dyDescent="0.2">
      <c r="A8" t="s">
        <v>96</v>
      </c>
      <c r="B8">
        <f ca="1">_xlfn.IFNA(INDEX(INDIRECT("'"&amp;$A8&amp;"'!$B:$B"),MATCH(B$1,INDIRECT("'"&amp;$A8&amp;"'!$c:$c"),0)),"")</f>
        <v>756</v>
      </c>
      <c r="C8">
        <f t="shared" ca="1" si="0"/>
        <v>756</v>
      </c>
      <c r="D8">
        <f t="shared" ca="1" si="0"/>
        <v>756</v>
      </c>
      <c r="E8">
        <f t="shared" ca="1" si="0"/>
        <v>756</v>
      </c>
      <c r="F8">
        <f t="shared" ca="1" si="0"/>
        <v>757</v>
      </c>
      <c r="G8">
        <f t="shared" ca="1" si="0"/>
        <v>762</v>
      </c>
      <c r="H8">
        <f t="shared" ca="1" si="0"/>
        <v>768</v>
      </c>
      <c r="I8">
        <f t="shared" ca="1" si="0"/>
        <v>774</v>
      </c>
      <c r="J8">
        <f t="shared" ca="1" si="0"/>
        <v>783</v>
      </c>
    </row>
    <row r="9" spans="1:10" x14ac:dyDescent="0.2">
      <c r="A9" t="s">
        <v>71</v>
      </c>
      <c r="B9">
        <f ca="1">_xlfn.IFNA(INDEX(INDIRECT("'"&amp;$A9&amp;"'!$B:$B"),MATCH(B$1,INDIRECT("'"&amp;$A9&amp;"'!$c:$c"),0)),"")</f>
        <v>757</v>
      </c>
      <c r="C9">
        <f t="shared" ca="1" si="0"/>
        <v>757</v>
      </c>
      <c r="D9">
        <f t="shared" ca="1" si="0"/>
        <v>757</v>
      </c>
      <c r="E9">
        <f t="shared" ca="1" si="0"/>
        <v>757</v>
      </c>
      <c r="F9">
        <f t="shared" ca="1" si="0"/>
        <v>759</v>
      </c>
      <c r="G9">
        <f t="shared" ca="1" si="0"/>
        <v>767</v>
      </c>
      <c r="H9">
        <f t="shared" ca="1" si="0"/>
        <v>775</v>
      </c>
      <c r="I9">
        <f t="shared" ca="1" si="0"/>
        <v>785</v>
      </c>
      <c r="J9">
        <f t="shared" ca="1" si="0"/>
        <v>797</v>
      </c>
    </row>
    <row r="10" spans="1:10" x14ac:dyDescent="0.2">
      <c r="A10" t="s">
        <v>84</v>
      </c>
      <c r="B10">
        <f ca="1">_xlfn.IFNA(INDEX(INDIRECT("'"&amp;$A10&amp;"'!$B:$B"),MATCH(B$1,INDIRECT("'"&amp;$A10&amp;"'!$c:$c"),0)),"")</f>
        <v>741</v>
      </c>
      <c r="C10">
        <f t="shared" ca="1" si="0"/>
        <v>744</v>
      </c>
      <c r="D10">
        <f t="shared" ca="1" si="0"/>
        <v>747</v>
      </c>
      <c r="E10">
        <f t="shared" ca="1" si="0"/>
        <v>753</v>
      </c>
      <c r="F10">
        <f t="shared" ca="1" si="0"/>
        <v>758</v>
      </c>
      <c r="G10">
        <f t="shared" ca="1" si="0"/>
        <v>766</v>
      </c>
      <c r="H10">
        <f t="shared" ca="1" si="0"/>
        <v>774</v>
      </c>
      <c r="I10">
        <f t="shared" ca="1" si="0"/>
        <v>784</v>
      </c>
      <c r="J10">
        <f t="shared" ca="1" si="0"/>
        <v>796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95F0A-54BE-47BB-94FB-25DF1A06EBF5}">
  <sheetPr codeName="Sheet3"/>
  <dimension ref="A1:Q155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757</v>
      </c>
      <c r="C2">
        <v>275</v>
      </c>
      <c r="D2">
        <v>0.30264573120419402</v>
      </c>
      <c r="E2">
        <v>109.681875626703</v>
      </c>
      <c r="F2">
        <v>1.9732582617191201</v>
      </c>
      <c r="G2">
        <v>-1816.740233433336</v>
      </c>
      <c r="H2">
        <v>-1493.972088665786</v>
      </c>
      <c r="I2">
        <v>313.32378334373601</v>
      </c>
      <c r="J2">
        <v>158.806534172471</v>
      </c>
      <c r="K2">
        <v>55.584146157912002</v>
      </c>
      <c r="L2">
        <v>0.86674985485760714</v>
      </c>
      <c r="M2">
        <v>-0.86656392548921601</v>
      </c>
      <c r="N2">
        <v>48.168662176356001</v>
      </c>
      <c r="O2">
        <v>48.1686575700639</v>
      </c>
      <c r="P2">
        <v>48.1686520487481</v>
      </c>
      <c r="Q2" t="s">
        <v>51</v>
      </c>
    </row>
    <row r="3" spans="1:17" x14ac:dyDescent="0.2">
      <c r="A3">
        <v>2</v>
      </c>
      <c r="B3">
        <v>756</v>
      </c>
      <c r="C3">
        <v>275</v>
      </c>
      <c r="D3">
        <v>0.30190011174270298</v>
      </c>
      <c r="E3">
        <v>109.68190316965899</v>
      </c>
      <c r="F3">
        <v>1.9738270539729901</v>
      </c>
      <c r="G3">
        <v>-1816.4274350792073</v>
      </c>
      <c r="H3">
        <v>-1494.1497652079377</v>
      </c>
      <c r="I3">
        <v>313.15165361211598</v>
      </c>
      <c r="J3">
        <v>158.80613109083399</v>
      </c>
      <c r="K3">
        <v>55.568142583154298</v>
      </c>
      <c r="L3">
        <v>0.86587969825925704</v>
      </c>
      <c r="M3">
        <v>-0.86569359668691948</v>
      </c>
      <c r="N3">
        <v>48.106429581279102</v>
      </c>
      <c r="O3">
        <v>48.106424918918897</v>
      </c>
      <c r="P3">
        <v>48.106419394812903</v>
      </c>
      <c r="Q3" t="s">
        <v>51</v>
      </c>
    </row>
    <row r="4" spans="1:17" x14ac:dyDescent="0.2">
      <c r="A4">
        <v>3</v>
      </c>
      <c r="B4">
        <v>755</v>
      </c>
      <c r="C4">
        <v>275</v>
      </c>
      <c r="D4">
        <v>0.30115304187132302</v>
      </c>
      <c r="E4">
        <v>109.68193346352101</v>
      </c>
      <c r="F4">
        <v>1.97440214509947</v>
      </c>
      <c r="G4">
        <v>-1816.1148661990831</v>
      </c>
      <c r="H4">
        <v>-1494.3444310049424</v>
      </c>
      <c r="I4">
        <v>312.96289106909302</v>
      </c>
      <c r="J4">
        <v>158.810849691752</v>
      </c>
      <c r="K4">
        <v>55.5519723961783</v>
      </c>
      <c r="L4">
        <v>0.86412251612593616</v>
      </c>
      <c r="M4">
        <v>-0.86393600399430659</v>
      </c>
      <c r="N4">
        <v>47.994793375331803</v>
      </c>
      <c r="O4">
        <v>47.994788650660098</v>
      </c>
      <c r="P4">
        <v>47.994783116768403</v>
      </c>
      <c r="Q4" t="s">
        <v>51</v>
      </c>
    </row>
    <row r="5" spans="1:17" x14ac:dyDescent="0.2">
      <c r="A5">
        <v>4</v>
      </c>
      <c r="B5">
        <v>754</v>
      </c>
      <c r="C5">
        <v>275</v>
      </c>
      <c r="D5">
        <v>0.30040451735384299</v>
      </c>
      <c r="E5">
        <v>109.681963875119</v>
      </c>
      <c r="F5">
        <v>1.9749786928263899</v>
      </c>
      <c r="G5">
        <v>-1815.8024879471172</v>
      </c>
      <c r="H5">
        <v>-1494.5389302424951</v>
      </c>
      <c r="I5">
        <v>312.77410868561202</v>
      </c>
      <c r="J5">
        <v>158.81550946481099</v>
      </c>
      <c r="K5">
        <v>55.535770726798702</v>
      </c>
      <c r="L5">
        <v>0.86237466238627891</v>
      </c>
      <c r="M5">
        <v>-0.86218774448029223</v>
      </c>
      <c r="N5">
        <v>47.8837051437703</v>
      </c>
      <c r="O5">
        <v>47.883700356538199</v>
      </c>
      <c r="P5">
        <v>47.8836948130458</v>
      </c>
      <c r="Q5" t="s">
        <v>51</v>
      </c>
    </row>
    <row r="6" spans="1:17" x14ac:dyDescent="0.2">
      <c r="A6">
        <v>5</v>
      </c>
      <c r="B6">
        <v>753</v>
      </c>
      <c r="C6">
        <v>275</v>
      </c>
      <c r="D6">
        <v>0.29965453393753799</v>
      </c>
      <c r="E6">
        <v>109.68199440507099</v>
      </c>
      <c r="F6">
        <v>1.9755566850411199</v>
      </c>
      <c r="G6">
        <v>-1815.4903003536331</v>
      </c>
      <c r="H6">
        <v>-1494.7332642876311</v>
      </c>
      <c r="I6">
        <v>312.58530510132499</v>
      </c>
      <c r="J6">
        <v>158.82011018530801</v>
      </c>
      <c r="K6">
        <v>55.519537979133503</v>
      </c>
      <c r="L6">
        <v>0.86063605573115731</v>
      </c>
      <c r="M6">
        <v>-0.86044873681290679</v>
      </c>
      <c r="N6">
        <v>47.7731604307711</v>
      </c>
      <c r="O6">
        <v>47.773155580733402</v>
      </c>
      <c r="P6">
        <v>47.773150027824698</v>
      </c>
      <c r="Q6" t="s">
        <v>51</v>
      </c>
    </row>
    <row r="7" spans="1:17" x14ac:dyDescent="0.2">
      <c r="A7">
        <v>6</v>
      </c>
      <c r="B7">
        <v>752</v>
      </c>
      <c r="C7">
        <v>275</v>
      </c>
      <c r="D7">
        <v>0.29890308735307097</v>
      </c>
      <c r="E7">
        <v>109.68202505381601</v>
      </c>
      <c r="F7">
        <v>1.97613610973545</v>
      </c>
      <c r="G7">
        <v>-1815.1783034473199</v>
      </c>
      <c r="H7">
        <v>-1494.9274344892128</v>
      </c>
      <c r="I7">
        <v>312.39647896670101</v>
      </c>
      <c r="J7">
        <v>158.824651623954</v>
      </c>
      <c r="K7">
        <v>55.503274553542703</v>
      </c>
      <c r="L7">
        <v>0.8589066157702685</v>
      </c>
      <c r="M7">
        <v>-0.85871890057927025</v>
      </c>
      <c r="N7">
        <v>47.663154829024101</v>
      </c>
      <c r="O7">
        <v>47.663149915938902</v>
      </c>
      <c r="P7">
        <v>47.663144353797797</v>
      </c>
      <c r="Q7" t="s">
        <v>51</v>
      </c>
    </row>
    <row r="8" spans="1:17" x14ac:dyDescent="0.2">
      <c r="A8">
        <v>7</v>
      </c>
      <c r="B8">
        <v>751</v>
      </c>
      <c r="C8">
        <v>275</v>
      </c>
      <c r="D8">
        <v>0.29815017331445698</v>
      </c>
      <c r="E8">
        <v>109.682055821978</v>
      </c>
      <c r="F8">
        <v>1.97671695500097</v>
      </c>
      <c r="G8">
        <v>-1814.8664972612692</v>
      </c>
      <c r="H8">
        <v>-1495.1214421836908</v>
      </c>
      <c r="I8">
        <v>312.20762894335502</v>
      </c>
      <c r="J8">
        <v>158.82913354765699</v>
      </c>
      <c r="K8">
        <v>55.486980846949102</v>
      </c>
      <c r="L8">
        <v>0.85718626299921241</v>
      </c>
      <c r="M8">
        <v>-0.85699815625265441</v>
      </c>
      <c r="N8">
        <v>47.553683978199402</v>
      </c>
      <c r="O8">
        <v>47.553679001828598</v>
      </c>
      <c r="P8">
        <v>47.553673430638597</v>
      </c>
      <c r="Q8" t="s">
        <v>51</v>
      </c>
    </row>
    <row r="9" spans="1:17" x14ac:dyDescent="0.2">
      <c r="A9">
        <v>8</v>
      </c>
      <c r="B9">
        <v>750</v>
      </c>
      <c r="C9">
        <v>275</v>
      </c>
      <c r="D9">
        <v>0.29739578751893703</v>
      </c>
      <c r="E9">
        <v>109.682086710173</v>
      </c>
      <c r="F9">
        <v>1.97729920902981</v>
      </c>
      <c r="G9">
        <v>-1814.5548818297632</v>
      </c>
      <c r="H9">
        <v>-1495.3152886922571</v>
      </c>
      <c r="I9">
        <v>312.01875370374199</v>
      </c>
      <c r="J9">
        <v>158.83355571912099</v>
      </c>
      <c r="K9">
        <v>55.470657252723001</v>
      </c>
      <c r="L9">
        <v>0.85547491880341775</v>
      </c>
      <c r="M9">
        <v>-0.85528642519641052</v>
      </c>
      <c r="N9">
        <v>47.444743565085801</v>
      </c>
      <c r="O9">
        <v>47.4447385251949</v>
      </c>
      <c r="P9">
        <v>47.444732945138703</v>
      </c>
      <c r="Q9" t="s">
        <v>51</v>
      </c>
    </row>
    <row r="10" spans="1:17" x14ac:dyDescent="0.2">
      <c r="A10">
        <v>9</v>
      </c>
      <c r="B10">
        <v>749</v>
      </c>
      <c r="C10">
        <v>275</v>
      </c>
      <c r="D10">
        <v>0.29663992564692099</v>
      </c>
      <c r="E10">
        <v>109.68211771885299</v>
      </c>
      <c r="F10">
        <v>1.9778828601096801</v>
      </c>
      <c r="G10">
        <v>-1814.2434571857373</v>
      </c>
      <c r="H10">
        <v>-1495.5089753190257</v>
      </c>
      <c r="I10">
        <v>311.82985193051002</v>
      </c>
      <c r="J10">
        <v>158.837917896927</v>
      </c>
      <c r="K10">
        <v>55.454304160748201</v>
      </c>
      <c r="L10">
        <v>0.85377250543313243</v>
      </c>
      <c r="M10">
        <v>-0.85358362963894918</v>
      </c>
      <c r="N10">
        <v>47.336329322276001</v>
      </c>
      <c r="O10">
        <v>47.336324218634097</v>
      </c>
      <c r="P10">
        <v>47.336318629894102</v>
      </c>
      <c r="Q10" t="s">
        <v>51</v>
      </c>
    </row>
    <row r="11" spans="1:17" x14ac:dyDescent="0.2">
      <c r="A11">
        <v>10</v>
      </c>
      <c r="B11">
        <v>748</v>
      </c>
      <c r="C11">
        <v>275</v>
      </c>
      <c r="D11">
        <v>0.29588258336189799</v>
      </c>
      <c r="E11">
        <v>109.68214884864599</v>
      </c>
      <c r="F11">
        <v>1.9784678966282001</v>
      </c>
      <c r="G11">
        <v>-1813.9322233662967</v>
      </c>
      <c r="H11">
        <v>-1495.7025033559974</v>
      </c>
      <c r="I11">
        <v>311.64092231708503</v>
      </c>
      <c r="J11">
        <v>158.84221983573801</v>
      </c>
      <c r="K11">
        <v>55.437921957476199</v>
      </c>
      <c r="L11">
        <v>0.85207894599761647</v>
      </c>
      <c r="M11">
        <v>-0.85188969266793613</v>
      </c>
      <c r="N11">
        <v>47.228437027909003</v>
      </c>
      <c r="O11">
        <v>47.228431860288701</v>
      </c>
      <c r="P11">
        <v>47.228426263046799</v>
      </c>
      <c r="Q11" t="s">
        <v>51</v>
      </c>
    </row>
    <row r="12" spans="1:17" x14ac:dyDescent="0.2">
      <c r="A12">
        <v>11</v>
      </c>
      <c r="B12">
        <v>747</v>
      </c>
      <c r="C12">
        <v>275</v>
      </c>
      <c r="D12">
        <v>0.29512375631034898</v>
      </c>
      <c r="E12">
        <v>109.68218010016101</v>
      </c>
      <c r="F12">
        <v>1.9790543070667299</v>
      </c>
      <c r="G12">
        <v>-1813.6211804095369</v>
      </c>
      <c r="H12">
        <v>-1495.8958740803191</v>
      </c>
      <c r="I12">
        <v>311.45196356730401</v>
      </c>
      <c r="J12">
        <v>158.84646128626099</v>
      </c>
      <c r="K12">
        <v>55.421511026005</v>
      </c>
      <c r="L12">
        <v>0.85039416445829319</v>
      </c>
      <c r="M12">
        <v>-0.85020453822343356</v>
      </c>
      <c r="N12">
        <v>47.1210625053724</v>
      </c>
      <c r="O12">
        <v>47.121057273550299</v>
      </c>
      <c r="P12">
        <v>47.1210516679878</v>
      </c>
      <c r="Q12" t="s">
        <v>51</v>
      </c>
    </row>
    <row r="13" spans="1:17" x14ac:dyDescent="0.2">
      <c r="A13">
        <v>12</v>
      </c>
      <c r="B13">
        <v>746</v>
      </c>
      <c r="C13">
        <v>275</v>
      </c>
      <c r="D13">
        <v>0.29436344012167098</v>
      </c>
      <c r="E13">
        <v>109.682211473941</v>
      </c>
      <c r="F13">
        <v>1.97964208000231</v>
      </c>
      <c r="G13">
        <v>-1813.3103283537644</v>
      </c>
      <c r="H13">
        <v>-1496.0890887541302</v>
      </c>
      <c r="I13">
        <v>311.26297439484102</v>
      </c>
      <c r="J13">
        <v>158.85064199518999</v>
      </c>
      <c r="K13">
        <v>55.405071746006399</v>
      </c>
      <c r="L13">
        <v>0.8487180856027704</v>
      </c>
      <c r="M13">
        <v>-0.8485280910719194</v>
      </c>
      <c r="N13">
        <v>47.014201621816198</v>
      </c>
      <c r="O13">
        <v>47.014196325572499</v>
      </c>
      <c r="P13">
        <v>47.014190711870199</v>
      </c>
      <c r="Q13" t="s">
        <v>51</v>
      </c>
    </row>
    <row r="14" spans="1:17" x14ac:dyDescent="0.2">
      <c r="A14">
        <v>13</v>
      </c>
      <c r="B14">
        <v>745</v>
      </c>
      <c r="C14">
        <v>275</v>
      </c>
      <c r="D14">
        <v>0.29360163040809401</v>
      </c>
      <c r="E14">
        <v>109.682242970518</v>
      </c>
      <c r="F14">
        <v>1.98023120410429</v>
      </c>
      <c r="G14">
        <v>-1812.9996672383852</v>
      </c>
      <c r="H14">
        <v>-1496.282148625233</v>
      </c>
      <c r="I14">
        <v>311.073953523478</v>
      </c>
      <c r="J14">
        <v>158.854761705323</v>
      </c>
      <c r="K14">
        <v>55.388604493852498</v>
      </c>
      <c r="L14">
        <v>0.84705063504688538</v>
      </c>
      <c r="M14">
        <v>-0.84686027680832587</v>
      </c>
      <c r="N14">
        <v>46.907850288388403</v>
      </c>
      <c r="O14">
        <v>46.907844927507</v>
      </c>
      <c r="P14">
        <v>46.9078393058453</v>
      </c>
      <c r="Q14" t="s">
        <v>51</v>
      </c>
    </row>
    <row r="15" spans="1:17" x14ac:dyDescent="0.2">
      <c r="A15">
        <v>14</v>
      </c>
      <c r="B15">
        <v>744</v>
      </c>
      <c r="C15">
        <v>275</v>
      </c>
      <c r="D15">
        <v>0.29283832276459099</v>
      </c>
      <c r="E15">
        <v>109.682274590513</v>
      </c>
      <c r="F15">
        <v>1.98082166813637</v>
      </c>
      <c r="G15">
        <v>-1812.6891971055636</v>
      </c>
      <c r="H15">
        <v>-1496.4750549289181</v>
      </c>
      <c r="I15">
        <v>310.88489968698298</v>
      </c>
      <c r="J15">
        <v>158.858820155648</v>
      </c>
      <c r="K15">
        <v>55.372109642614298</v>
      </c>
      <c r="L15">
        <v>0.84539173921550026</v>
      </c>
      <c r="M15">
        <v>-0.84520102183683499</v>
      </c>
      <c r="N15">
        <v>46.8020044591836</v>
      </c>
      <c r="O15">
        <v>46.801999033452198</v>
      </c>
      <c r="P15">
        <v>46.801993404010801</v>
      </c>
      <c r="Q15" t="s">
        <v>51</v>
      </c>
    </row>
    <row r="16" spans="1:17" x14ac:dyDescent="0.2">
      <c r="A16">
        <v>15</v>
      </c>
      <c r="B16">
        <v>743</v>
      </c>
      <c r="C16">
        <v>275</v>
      </c>
      <c r="D16">
        <v>0.29207351276878402</v>
      </c>
      <c r="E16">
        <v>109.68230633459601</v>
      </c>
      <c r="F16">
        <v>1.9814134609509999</v>
      </c>
      <c r="G16">
        <v>-1812.3789179994646</v>
      </c>
      <c r="H16">
        <v>-1496.6678088873271</v>
      </c>
      <c r="I16">
        <v>310.69581162905001</v>
      </c>
      <c r="J16">
        <v>158.86281708148701</v>
      </c>
      <c r="K16">
        <v>55.355587562200398</v>
      </c>
      <c r="L16">
        <v>0.84374132533650525</v>
      </c>
      <c r="M16">
        <v>-0.84355025336487188</v>
      </c>
      <c r="N16">
        <v>46.696660131041099</v>
      </c>
      <c r="O16">
        <v>46.696654640250898</v>
      </c>
      <c r="P16">
        <v>46.696649003209302</v>
      </c>
      <c r="Q16" t="s">
        <v>51</v>
      </c>
    </row>
    <row r="17" spans="1:17" x14ac:dyDescent="0.2">
      <c r="A17">
        <v>16</v>
      </c>
      <c r="B17">
        <v>742</v>
      </c>
      <c r="C17">
        <v>275</v>
      </c>
      <c r="D17">
        <v>0.291307195980888</v>
      </c>
      <c r="E17">
        <v>109.682338203217</v>
      </c>
      <c r="F17">
        <v>1.98200657149214</v>
      </c>
      <c r="G17">
        <v>-1812.0688299619578</v>
      </c>
      <c r="H17">
        <v>-1496.8604117061227</v>
      </c>
      <c r="I17">
        <v>310.50668810238801</v>
      </c>
      <c r="J17">
        <v>158.866752214071</v>
      </c>
      <c r="K17">
        <v>55.339038619152397</v>
      </c>
      <c r="L17">
        <v>0.84209932142213761</v>
      </c>
      <c r="M17">
        <v>-0.8419078993844239</v>
      </c>
      <c r="N17">
        <v>46.591813342349703</v>
      </c>
      <c r="O17">
        <v>46.591807786296201</v>
      </c>
      <c r="P17">
        <v>46.591802141833</v>
      </c>
      <c r="Q17" t="s">
        <v>51</v>
      </c>
    </row>
    <row r="18" spans="1:17" x14ac:dyDescent="0.2">
      <c r="A18">
        <v>17</v>
      </c>
      <c r="B18">
        <v>741</v>
      </c>
      <c r="C18">
        <v>275</v>
      </c>
      <c r="D18">
        <v>0.29053936794360102</v>
      </c>
      <c r="E18">
        <v>109.68235742944501</v>
      </c>
      <c r="F18">
        <v>1.97904277588388</v>
      </c>
      <c r="G18">
        <v>-1811.7590236448036</v>
      </c>
      <c r="H18">
        <v>-1497.8253222236831</v>
      </c>
      <c r="I18">
        <v>309.55609473973999</v>
      </c>
      <c r="J18">
        <v>158.865491813896</v>
      </c>
      <c r="K18">
        <v>55.421923551126298</v>
      </c>
      <c r="L18">
        <v>0.7990420141247877</v>
      </c>
      <c r="M18">
        <v>-0.79883744346839636</v>
      </c>
      <c r="N18">
        <v>44.274643084011103</v>
      </c>
      <c r="O18">
        <v>44.2746371314133</v>
      </c>
      <c r="P18">
        <v>44.274631111948999</v>
      </c>
      <c r="Q18" t="s">
        <v>51</v>
      </c>
    </row>
    <row r="19" spans="1:17" x14ac:dyDescent="0.2">
      <c r="A19">
        <v>18</v>
      </c>
      <c r="B19">
        <v>740</v>
      </c>
      <c r="C19">
        <v>275</v>
      </c>
      <c r="D19">
        <v>0.28977002418201098</v>
      </c>
      <c r="E19">
        <v>109.682337025</v>
      </c>
      <c r="F19">
        <v>1.9576823425280301</v>
      </c>
      <c r="G19">
        <v>-1811.4512836891192</v>
      </c>
      <c r="H19">
        <v>-1501.953400968983</v>
      </c>
      <c r="I19">
        <v>305.48426919738102</v>
      </c>
      <c r="J19">
        <v>159.09052942456199</v>
      </c>
      <c r="K19">
        <v>56.026626303102503</v>
      </c>
      <c r="L19">
        <v>0.59297731488081151</v>
      </c>
      <c r="M19">
        <v>-0.59270284823065844</v>
      </c>
      <c r="N19">
        <v>33.20920729745</v>
      </c>
      <c r="O19">
        <v>33.209199479044301</v>
      </c>
      <c r="P19">
        <v>33.209191413812199</v>
      </c>
      <c r="Q19" t="s">
        <v>51</v>
      </c>
    </row>
    <row r="20" spans="1:17" x14ac:dyDescent="0.2">
      <c r="A20">
        <v>19</v>
      </c>
      <c r="B20">
        <v>739</v>
      </c>
      <c r="C20">
        <v>275</v>
      </c>
      <c r="D20">
        <v>0.28899916020352701</v>
      </c>
      <c r="E20">
        <v>109.68231366562</v>
      </c>
      <c r="F20">
        <v>1.9448253444641601</v>
      </c>
      <c r="G20">
        <v>-1811.1468079117926</v>
      </c>
      <c r="H20">
        <v>-1504.5883664971702</v>
      </c>
      <c r="I20">
        <v>302.88248219199801</v>
      </c>
      <c r="J20">
        <v>159.25699167309199</v>
      </c>
      <c r="K20">
        <v>56.396999338693597</v>
      </c>
      <c r="L20">
        <v>0.4667721590489029</v>
      </c>
      <c r="M20">
        <v>-0.46645488031337357</v>
      </c>
      <c r="N20">
        <v>26.309049570264801</v>
      </c>
      <c r="O20">
        <v>26.309040550012899</v>
      </c>
      <c r="P20">
        <v>26.309031212417999</v>
      </c>
      <c r="Q20" t="s">
        <v>51</v>
      </c>
    </row>
    <row r="21" spans="1:17" x14ac:dyDescent="0.2">
      <c r="A21">
        <v>20</v>
      </c>
      <c r="B21">
        <v>738</v>
      </c>
      <c r="C21">
        <v>275</v>
      </c>
      <c r="D21">
        <v>0.28822677149780002</v>
      </c>
      <c r="E21">
        <v>109.689806704929</v>
      </c>
      <c r="F21">
        <v>1.91216778096433</v>
      </c>
      <c r="G21">
        <v>-1810.9695411441005</v>
      </c>
      <c r="H21">
        <v>-1511.1154431350108</v>
      </c>
      <c r="I21">
        <v>296.55298916609701</v>
      </c>
      <c r="J21">
        <v>159.59101377681699</v>
      </c>
      <c r="K21">
        <v>57.364111976414499</v>
      </c>
      <c r="L21">
        <v>0.16222164705038761</v>
      </c>
      <c r="M21">
        <v>-0.16179994022257327</v>
      </c>
      <c r="N21">
        <v>9.2847276649652795</v>
      </c>
      <c r="O21">
        <v>9.2847157199404506</v>
      </c>
      <c r="P21">
        <v>9.2847031957502999</v>
      </c>
      <c r="Q21" t="s">
        <v>51</v>
      </c>
    </row>
    <row r="22" spans="1:17" x14ac:dyDescent="0.2">
      <c r="A22">
        <v>21</v>
      </c>
      <c r="B22">
        <v>737</v>
      </c>
      <c r="C22">
        <v>275</v>
      </c>
      <c r="D22">
        <v>0.28745285353660599</v>
      </c>
      <c r="E22">
        <v>109.690338155897</v>
      </c>
      <c r="F22">
        <v>1.90502463392518</v>
      </c>
      <c r="G22">
        <v>-1810.6826123038768</v>
      </c>
      <c r="H22">
        <v>-1512.8101149883485</v>
      </c>
      <c r="I22">
        <v>294.88520893504199</v>
      </c>
      <c r="J22">
        <v>159.70706199633199</v>
      </c>
      <c r="K22">
        <v>57.579485431580601</v>
      </c>
      <c r="L22">
        <v>8.9676281988650158E-2</v>
      </c>
      <c r="M22">
        <v>-8.9229881916680381E-2</v>
      </c>
      <c r="N22">
        <v>5.1412203525428897</v>
      </c>
      <c r="O22">
        <v>5.1412076261226503</v>
      </c>
      <c r="P22">
        <v>5.1411943405233496</v>
      </c>
      <c r="Q22" t="s">
        <v>51</v>
      </c>
    </row>
    <row r="23" spans="1:17" x14ac:dyDescent="0.2">
      <c r="A23">
        <v>22</v>
      </c>
      <c r="B23">
        <v>736</v>
      </c>
      <c r="C23">
        <v>275</v>
      </c>
      <c r="D23">
        <v>0.28667740177377199</v>
      </c>
      <c r="E23">
        <v>109.69052455430401</v>
      </c>
      <c r="F23">
        <v>1.90301785353196</v>
      </c>
      <c r="G23">
        <v>-1810.391135361953</v>
      </c>
      <c r="H23">
        <v>-1513.5163138945341</v>
      </c>
      <c r="I23">
        <v>294.18890990730802</v>
      </c>
      <c r="J23">
        <v>159.779319115927</v>
      </c>
      <c r="K23">
        <v>57.640302402166597</v>
      </c>
      <c r="L23">
        <v>6.4079724534634258E-2</v>
      </c>
      <c r="M23">
        <v>-6.3624792948449582E-2</v>
      </c>
      <c r="N23">
        <v>3.6708228451641198</v>
      </c>
      <c r="O23">
        <v>3.6708097840705198</v>
      </c>
      <c r="P23">
        <v>3.6707962405216099</v>
      </c>
      <c r="Q23" t="s">
        <v>51</v>
      </c>
    </row>
    <row r="24" spans="1:17" x14ac:dyDescent="0.2">
      <c r="A24">
        <v>23</v>
      </c>
      <c r="B24">
        <v>757</v>
      </c>
      <c r="C24">
        <v>255</v>
      </c>
      <c r="D24">
        <v>0.32400184439159502</v>
      </c>
      <c r="E24">
        <v>109.682029342066</v>
      </c>
      <c r="F24">
        <v>1.9464508800359299</v>
      </c>
      <c r="G24">
        <v>-1817.8618937005892</v>
      </c>
      <c r="H24">
        <v>-1494.7526523244458</v>
      </c>
      <c r="I24">
        <v>313.65507953836101</v>
      </c>
      <c r="J24">
        <v>159.46589440002401</v>
      </c>
      <c r="K24">
        <v>56.349754554320398</v>
      </c>
      <c r="L24">
        <v>0.8520426150457947</v>
      </c>
      <c r="M24">
        <v>-0.85182099739221573</v>
      </c>
      <c r="N24">
        <v>48.001757372301903</v>
      </c>
      <c r="O24">
        <v>48.001752416872002</v>
      </c>
      <c r="P24">
        <v>48.001745051820201</v>
      </c>
      <c r="Q24" t="s">
        <v>51</v>
      </c>
    </row>
    <row r="25" spans="1:17" x14ac:dyDescent="0.2">
      <c r="A25">
        <v>24</v>
      </c>
      <c r="B25">
        <v>756</v>
      </c>
      <c r="C25">
        <v>255</v>
      </c>
      <c r="D25">
        <v>0.32327697614536499</v>
      </c>
      <c r="E25">
        <v>109.68205646176899</v>
      </c>
      <c r="F25">
        <v>1.9470497949569801</v>
      </c>
      <c r="G25">
        <v>-1817.5487556988867</v>
      </c>
      <c r="H25">
        <v>-1494.9261372538228</v>
      </c>
      <c r="I25">
        <v>313.48701374031498</v>
      </c>
      <c r="J25">
        <v>159.46575099758201</v>
      </c>
      <c r="K25">
        <v>56.332435228854997</v>
      </c>
      <c r="L25">
        <v>0.85144251824518846</v>
      </c>
      <c r="M25">
        <v>-0.85122079491050284</v>
      </c>
      <c r="N25">
        <v>47.9531900784242</v>
      </c>
      <c r="O25">
        <v>47.953185051078997</v>
      </c>
      <c r="P25">
        <v>47.953177684742798</v>
      </c>
      <c r="Q25" t="s">
        <v>51</v>
      </c>
    </row>
    <row r="26" spans="1:17" x14ac:dyDescent="0.2">
      <c r="A26">
        <v>25</v>
      </c>
      <c r="B26">
        <v>755</v>
      </c>
      <c r="C26">
        <v>255</v>
      </c>
      <c r="D26">
        <v>0.322550697855369</v>
      </c>
      <c r="E26">
        <v>109.682086987237</v>
      </c>
      <c r="F26">
        <v>1.9476520176233501</v>
      </c>
      <c r="G26">
        <v>-1817.2358551385571</v>
      </c>
      <c r="H26">
        <v>-1495.1201357668704</v>
      </c>
      <c r="I26">
        <v>313.29890349569598</v>
      </c>
      <c r="J26">
        <v>159.471708202006</v>
      </c>
      <c r="K26">
        <v>56.3150326622916</v>
      </c>
      <c r="L26">
        <v>0.84976802193285006</v>
      </c>
      <c r="M26">
        <v>-0.84954588126486308</v>
      </c>
      <c r="N26">
        <v>47.8440530174868</v>
      </c>
      <c r="O26">
        <v>47.844047910794302</v>
      </c>
      <c r="P26">
        <v>47.844040532913297</v>
      </c>
      <c r="Q26" t="s">
        <v>51</v>
      </c>
    </row>
    <row r="27" spans="1:17" x14ac:dyDescent="0.2">
      <c r="A27">
        <v>26</v>
      </c>
      <c r="B27">
        <v>754</v>
      </c>
      <c r="C27">
        <v>255</v>
      </c>
      <c r="D27">
        <v>0.321823005403299</v>
      </c>
      <c r="E27">
        <v>109.682117631306</v>
      </c>
      <c r="F27">
        <v>1.9482557680449999</v>
      </c>
      <c r="G27">
        <v>-1816.9231445739088</v>
      </c>
      <c r="H27">
        <v>-1495.3139772634377</v>
      </c>
      <c r="I27">
        <v>313.110764778521</v>
      </c>
      <c r="J27">
        <v>159.477615889996</v>
      </c>
      <c r="K27">
        <v>56.297596768502203</v>
      </c>
      <c r="L27">
        <v>0.84810230654125196</v>
      </c>
      <c r="M27">
        <v>-0.84787975358866519</v>
      </c>
      <c r="N27">
        <v>47.735440569331303</v>
      </c>
      <c r="O27">
        <v>47.735435382917402</v>
      </c>
      <c r="P27">
        <v>47.735427993714197</v>
      </c>
      <c r="Q27" t="s">
        <v>51</v>
      </c>
    </row>
    <row r="28" spans="1:17" x14ac:dyDescent="0.2">
      <c r="A28">
        <v>27</v>
      </c>
      <c r="B28">
        <v>753</v>
      </c>
      <c r="C28">
        <v>255</v>
      </c>
      <c r="D28">
        <v>0.321093894654779</v>
      </c>
      <c r="E28">
        <v>109.682148394536</v>
      </c>
      <c r="F28">
        <v>1.9488610328900799</v>
      </c>
      <c r="G28">
        <v>-1816.6106240428717</v>
      </c>
      <c r="H28">
        <v>-1495.5076630187846</v>
      </c>
      <c r="I28">
        <v>312.92259630003099</v>
      </c>
      <c r="J28">
        <v>159.48347374356101</v>
      </c>
      <c r="K28">
        <v>56.280128004756897</v>
      </c>
      <c r="L28">
        <v>0.84644529610170083</v>
      </c>
      <c r="M28">
        <v>-0.84622233589245954</v>
      </c>
      <c r="N28">
        <v>47.627348551766197</v>
      </c>
      <c r="O28">
        <v>47.627343285261396</v>
      </c>
      <c r="P28">
        <v>47.627335884958399</v>
      </c>
      <c r="Q28" t="s">
        <v>51</v>
      </c>
    </row>
    <row r="29" spans="1:17" x14ac:dyDescent="0.2">
      <c r="A29">
        <v>28</v>
      </c>
      <c r="B29">
        <v>752</v>
      </c>
      <c r="C29">
        <v>255</v>
      </c>
      <c r="D29">
        <v>0.3203633614593</v>
      </c>
      <c r="E29">
        <v>109.682179277524</v>
      </c>
      <c r="F29">
        <v>1.9494677989156</v>
      </c>
      <c r="G29">
        <v>-1816.2982935852651</v>
      </c>
      <c r="H29">
        <v>-1495.7011942945996</v>
      </c>
      <c r="I29">
        <v>312.73439678151999</v>
      </c>
      <c r="J29">
        <v>159.48928144120001</v>
      </c>
      <c r="K29">
        <v>56.262626824887803</v>
      </c>
      <c r="L29">
        <v>0.84479691546400992</v>
      </c>
      <c r="M29">
        <v>-0.84457355300551806</v>
      </c>
      <c r="N29">
        <v>47.519772826304099</v>
      </c>
      <c r="O29">
        <v>47.5197674793434</v>
      </c>
      <c r="P29">
        <v>47.519760068162803</v>
      </c>
      <c r="Q29" t="s">
        <v>51</v>
      </c>
    </row>
    <row r="30" spans="1:17" x14ac:dyDescent="0.2">
      <c r="A30">
        <v>29</v>
      </c>
      <c r="B30">
        <v>751</v>
      </c>
      <c r="C30">
        <v>255</v>
      </c>
      <c r="D30">
        <v>0.31963140165015202</v>
      </c>
      <c r="E30">
        <v>109.682210280794</v>
      </c>
      <c r="F30">
        <v>1.95007605296732</v>
      </c>
      <c r="G30">
        <v>-1815.9861532410241</v>
      </c>
      <c r="H30">
        <v>-1495.8945723374609</v>
      </c>
      <c r="I30">
        <v>312.54616495415303</v>
      </c>
      <c r="J30">
        <v>159.49503865768901</v>
      </c>
      <c r="K30">
        <v>56.245093679242302</v>
      </c>
      <c r="L30">
        <v>0.84315709029641728</v>
      </c>
      <c r="M30">
        <v>-0.84293333057575126</v>
      </c>
      <c r="N30">
        <v>47.412709298136903</v>
      </c>
      <c r="O30">
        <v>47.412703870360303</v>
      </c>
      <c r="P30">
        <v>47.412696448523697</v>
      </c>
      <c r="Q30" t="s">
        <v>51</v>
      </c>
    </row>
    <row r="31" spans="1:17" x14ac:dyDescent="0.2">
      <c r="A31">
        <v>30</v>
      </c>
      <c r="B31">
        <v>750</v>
      </c>
      <c r="C31">
        <v>255</v>
      </c>
      <c r="D31">
        <v>0.31889801104432502</v>
      </c>
      <c r="E31">
        <v>109.682241404943</v>
      </c>
      <c r="F31">
        <v>1.9506857819788299</v>
      </c>
      <c r="G31">
        <v>-1815.6742030525197</v>
      </c>
      <c r="H31">
        <v>-1496.0877983808014</v>
      </c>
      <c r="I31">
        <v>312.35789955935797</v>
      </c>
      <c r="J31">
        <v>159.50074506422899</v>
      </c>
      <c r="K31">
        <v>56.227529014784899</v>
      </c>
      <c r="L31">
        <v>0.84152574708692507</v>
      </c>
      <c r="M31">
        <v>-0.84130159507104585</v>
      </c>
      <c r="N31">
        <v>47.306153916317797</v>
      </c>
      <c r="O31">
        <v>47.306148407369797</v>
      </c>
      <c r="P31">
        <v>47.3061409750987</v>
      </c>
      <c r="Q31" t="s">
        <v>51</v>
      </c>
    </row>
    <row r="32" spans="1:17" x14ac:dyDescent="0.2">
      <c r="A32">
        <v>31</v>
      </c>
      <c r="B32">
        <v>749</v>
      </c>
      <c r="C32">
        <v>255</v>
      </c>
      <c r="D32">
        <v>0.31816318544244998</v>
      </c>
      <c r="E32">
        <v>109.682272650488</v>
      </c>
      <c r="F32">
        <v>1.95129697297094</v>
      </c>
      <c r="G32">
        <v>-1815.3624430620532</v>
      </c>
      <c r="H32">
        <v>-1496.2808736433403</v>
      </c>
      <c r="I32">
        <v>312.16959934796103</v>
      </c>
      <c r="J32">
        <v>159.50640032839101</v>
      </c>
      <c r="K32">
        <v>56.209933275041998</v>
      </c>
      <c r="L32">
        <v>0.83990281311085391</v>
      </c>
      <c r="M32">
        <v>-0.83967827374681059</v>
      </c>
      <c r="N32">
        <v>47.200102671907402</v>
      </c>
      <c r="O32">
        <v>47.200097081437299</v>
      </c>
      <c r="P32">
        <v>47.200089638952697</v>
      </c>
      <c r="Q32" t="s">
        <v>51</v>
      </c>
    </row>
    <row r="33" spans="1:17" x14ac:dyDescent="0.2">
      <c r="A33">
        <v>32</v>
      </c>
      <c r="B33">
        <v>748</v>
      </c>
      <c r="C33">
        <v>255</v>
      </c>
      <c r="D33">
        <v>0.31742692062870498</v>
      </c>
      <c r="E33">
        <v>109.682304018051</v>
      </c>
      <c r="F33">
        <v>1.9519096130488001</v>
      </c>
      <c r="G33">
        <v>-1815.0508733149047</v>
      </c>
      <c r="H33">
        <v>-1496.4737993316792</v>
      </c>
      <c r="I33">
        <v>311.981263080676</v>
      </c>
      <c r="J33">
        <v>159.51200411442599</v>
      </c>
      <c r="K33">
        <v>56.192306900282802</v>
      </c>
      <c r="L33">
        <v>0.83828821643047646</v>
      </c>
      <c r="M33">
        <v>-0.83806329464560536</v>
      </c>
      <c r="N33">
        <v>47.094551598123502</v>
      </c>
      <c r="O33">
        <v>47.094545925785397</v>
      </c>
      <c r="P33">
        <v>47.094538473308198</v>
      </c>
      <c r="Q33" t="s">
        <v>51</v>
      </c>
    </row>
    <row r="34" spans="1:17" x14ac:dyDescent="0.2">
      <c r="A34">
        <v>33</v>
      </c>
      <c r="B34">
        <v>747</v>
      </c>
      <c r="C34">
        <v>255</v>
      </c>
      <c r="D34">
        <v>0.316689212370732</v>
      </c>
      <c r="E34">
        <v>109.68233550817</v>
      </c>
      <c r="F34">
        <v>1.9525236894009601</v>
      </c>
      <c r="G34">
        <v>-1814.7394938562172</v>
      </c>
      <c r="H34">
        <v>-1496.6665766375024</v>
      </c>
      <c r="I34">
        <v>311.79288952784702</v>
      </c>
      <c r="J34">
        <v>159.51755608295201</v>
      </c>
      <c r="K34">
        <v>56.174650327454501</v>
      </c>
      <c r="L34">
        <v>0.83668188589941739</v>
      </c>
      <c r="M34">
        <v>-0.83645658660154054</v>
      </c>
      <c r="N34">
        <v>46.9894967705509</v>
      </c>
      <c r="O34">
        <v>46.989491016003903</v>
      </c>
      <c r="P34">
        <v>46.989483553754503</v>
      </c>
      <c r="Q34" t="s">
        <v>51</v>
      </c>
    </row>
    <row r="35" spans="1:17" x14ac:dyDescent="0.2">
      <c r="A35">
        <v>34</v>
      </c>
      <c r="B35">
        <v>746</v>
      </c>
      <c r="C35">
        <v>255</v>
      </c>
      <c r="D35">
        <v>0.31595005641956603</v>
      </c>
      <c r="E35">
        <v>109.682367121466</v>
      </c>
      <c r="F35">
        <v>1.9531391892994701</v>
      </c>
      <c r="G35">
        <v>-1814.4283047336855</v>
      </c>
      <c r="H35">
        <v>-1496.8592067408531</v>
      </c>
      <c r="I35">
        <v>311.60447746890901</v>
      </c>
      <c r="J35">
        <v>159.52305589141</v>
      </c>
      <c r="K35">
        <v>56.156963990265503</v>
      </c>
      <c r="L35">
        <v>0.83508375111253341</v>
      </c>
      <c r="M35">
        <v>-0.83485807919014332</v>
      </c>
      <c r="N35">
        <v>46.884934304410301</v>
      </c>
      <c r="O35">
        <v>46.884928467318197</v>
      </c>
      <c r="P35">
        <v>46.8849209955169</v>
      </c>
      <c r="Q35" t="s">
        <v>51</v>
      </c>
    </row>
    <row r="36" spans="1:17" x14ac:dyDescent="0.2">
      <c r="A36">
        <v>35</v>
      </c>
      <c r="B36">
        <v>745</v>
      </c>
      <c r="C36">
        <v>255</v>
      </c>
      <c r="D36">
        <v>0.31520944850955201</v>
      </c>
      <c r="E36">
        <v>109.682398858459</v>
      </c>
      <c r="F36">
        <v>1.95375610009708</v>
      </c>
      <c r="G36">
        <v>-1814.1173059945811</v>
      </c>
      <c r="H36">
        <v>-1497.0516908067511</v>
      </c>
      <c r="I36">
        <v>311.41602569284299</v>
      </c>
      <c r="J36">
        <v>159.528503193642</v>
      </c>
      <c r="K36">
        <v>56.139248319178002</v>
      </c>
      <c r="L36">
        <v>0.83349374244580443</v>
      </c>
      <c r="M36">
        <v>-0.83326770276825801</v>
      </c>
      <c r="N36">
        <v>46.780860356809299</v>
      </c>
      <c r="O36">
        <v>46.780854436841103</v>
      </c>
      <c r="P36">
        <v>46.780846955707602</v>
      </c>
      <c r="Q36" t="s">
        <v>51</v>
      </c>
    </row>
    <row r="37" spans="1:17" x14ac:dyDescent="0.2">
      <c r="A37">
        <v>36</v>
      </c>
      <c r="B37">
        <v>744</v>
      </c>
      <c r="C37">
        <v>255</v>
      </c>
      <c r="D37">
        <v>0.31446738435825899</v>
      </c>
      <c r="E37">
        <v>109.682409789697</v>
      </c>
      <c r="F37">
        <v>1.94371435263751</v>
      </c>
      <c r="G37">
        <v>-1813.8065155459451</v>
      </c>
      <c r="H37">
        <v>-1499.1497483437984</v>
      </c>
      <c r="I37">
        <v>309.35436644092198</v>
      </c>
      <c r="J37">
        <v>159.57976169688399</v>
      </c>
      <c r="K37">
        <v>56.429284293170298</v>
      </c>
      <c r="L37">
        <v>0.73241969292112907</v>
      </c>
      <c r="M37">
        <v>-0.73215766160638074</v>
      </c>
      <c r="N37">
        <v>41.317263115354301</v>
      </c>
      <c r="O37">
        <v>41.317256276952698</v>
      </c>
      <c r="P37">
        <v>41.317247616250199</v>
      </c>
      <c r="Q37" t="s">
        <v>51</v>
      </c>
    </row>
    <row r="38" spans="1:17" x14ac:dyDescent="0.2">
      <c r="A38">
        <v>37</v>
      </c>
      <c r="B38">
        <v>743</v>
      </c>
      <c r="C38">
        <v>255</v>
      </c>
      <c r="D38">
        <v>0.31372385966638899</v>
      </c>
      <c r="E38">
        <v>109.682385522896</v>
      </c>
      <c r="F38">
        <v>1.92457434854583</v>
      </c>
      <c r="G38">
        <v>-1813.4987620969493</v>
      </c>
      <c r="H38">
        <v>-1502.8916314407238</v>
      </c>
      <c r="I38">
        <v>305.67428989806001</v>
      </c>
      <c r="J38">
        <v>159.69764273087901</v>
      </c>
      <c r="K38">
        <v>56.990464206160397</v>
      </c>
      <c r="L38">
        <v>0.54870531562522462</v>
      </c>
      <c r="M38">
        <v>-0.54837732539321071</v>
      </c>
      <c r="N38">
        <v>31.254954751184901</v>
      </c>
      <c r="O38">
        <v>31.254946247284799</v>
      </c>
      <c r="P38">
        <v>31.254935389254001</v>
      </c>
      <c r="Q38" t="s">
        <v>51</v>
      </c>
    </row>
    <row r="39" spans="1:17" x14ac:dyDescent="0.2">
      <c r="A39">
        <v>38</v>
      </c>
      <c r="B39">
        <v>742</v>
      </c>
      <c r="C39">
        <v>255</v>
      </c>
      <c r="D39">
        <v>0.31297887011771702</v>
      </c>
      <c r="E39">
        <v>109.687092515495</v>
      </c>
      <c r="F39">
        <v>1.90162298395347</v>
      </c>
      <c r="G39">
        <v>-1813.2712358550507</v>
      </c>
      <c r="H39">
        <v>-1507.5040479140073</v>
      </c>
      <c r="I39">
        <v>301.20861375644301</v>
      </c>
      <c r="J39">
        <v>159.82243098422799</v>
      </c>
      <c r="K39">
        <v>57.680777652074703</v>
      </c>
      <c r="L39">
        <v>0.33195654874566699</v>
      </c>
      <c r="M39">
        <v>-0.33155040981730771</v>
      </c>
      <c r="N39">
        <v>19.127422097233602</v>
      </c>
      <c r="O39">
        <v>19.127411558575901</v>
      </c>
      <c r="P39">
        <v>19.127398037781202</v>
      </c>
      <c r="Q39" t="s">
        <v>51</v>
      </c>
    </row>
    <row r="40" spans="1:17" x14ac:dyDescent="0.2">
      <c r="A40">
        <v>39</v>
      </c>
      <c r="B40">
        <v>741</v>
      </c>
      <c r="C40">
        <v>255</v>
      </c>
      <c r="D40">
        <v>0.31223241137898899</v>
      </c>
      <c r="E40">
        <v>109.69045575912401</v>
      </c>
      <c r="F40">
        <v>1.88114293341256</v>
      </c>
      <c r="G40">
        <v>-1813.0269831846306</v>
      </c>
      <c r="H40">
        <v>-1511.7812241182316</v>
      </c>
      <c r="I40">
        <v>297.04812773912101</v>
      </c>
      <c r="J40">
        <v>159.92478876272401</v>
      </c>
      <c r="K40">
        <v>58.310537604995297</v>
      </c>
      <c r="L40">
        <v>0.13740873911326182</v>
      </c>
      <c r="M40">
        <v>-0.13693236790689878</v>
      </c>
      <c r="N40">
        <v>7.9885400342213897</v>
      </c>
      <c r="O40">
        <v>7.9885275839222203</v>
      </c>
      <c r="P40">
        <v>7.9885116174856696</v>
      </c>
      <c r="Q40" t="s">
        <v>51</v>
      </c>
    </row>
    <row r="41" spans="1:17" x14ac:dyDescent="0.2">
      <c r="A41">
        <v>40</v>
      </c>
      <c r="B41">
        <v>740</v>
      </c>
      <c r="C41">
        <v>255</v>
      </c>
      <c r="D41">
        <v>0.31148447909983901</v>
      </c>
      <c r="E41">
        <v>109.690779260952</v>
      </c>
      <c r="F41">
        <v>1.8759845970685001</v>
      </c>
      <c r="G41">
        <v>-1812.7359565619192</v>
      </c>
      <c r="H41">
        <v>-1513.1204330138419</v>
      </c>
      <c r="I41">
        <v>295.73248903420898</v>
      </c>
      <c r="J41">
        <v>159.98325824132601</v>
      </c>
      <c r="K41">
        <v>58.4710447155908</v>
      </c>
      <c r="L41">
        <v>8.2255497159336319E-2</v>
      </c>
      <c r="M41">
        <v>-8.1759439869389064E-2</v>
      </c>
      <c r="N41">
        <v>4.7846633470534696</v>
      </c>
      <c r="O41">
        <v>4.7846502535776896</v>
      </c>
      <c r="P41">
        <v>4.78463359963163</v>
      </c>
      <c r="Q41" t="s">
        <v>51</v>
      </c>
    </row>
    <row r="42" spans="1:17" x14ac:dyDescent="0.2">
      <c r="A42">
        <v>41</v>
      </c>
      <c r="B42">
        <v>757</v>
      </c>
      <c r="C42">
        <v>235</v>
      </c>
      <c r="D42">
        <v>0.34535795757899301</v>
      </c>
      <c r="E42">
        <v>109.68218437821</v>
      </c>
      <c r="F42">
        <v>1.91663679315626</v>
      </c>
      <c r="G42">
        <v>-1818.9999404864293</v>
      </c>
      <c r="H42">
        <v>-1495.5158766062987</v>
      </c>
      <c r="I42">
        <v>314.01911133530803</v>
      </c>
      <c r="J42">
        <v>160.13580063415401</v>
      </c>
      <c r="K42">
        <v>57.226379442288099</v>
      </c>
      <c r="L42">
        <v>0.836110693355271</v>
      </c>
      <c r="M42">
        <v>-0.83584560900304838</v>
      </c>
      <c r="N42">
        <v>47.834822352144698</v>
      </c>
      <c r="O42">
        <v>47.834817496292999</v>
      </c>
      <c r="P42">
        <v>47.834807570112197</v>
      </c>
      <c r="Q42" t="s">
        <v>51</v>
      </c>
    </row>
    <row r="43" spans="1:17" x14ac:dyDescent="0.2">
      <c r="A43">
        <v>42</v>
      </c>
      <c r="B43">
        <v>756</v>
      </c>
      <c r="C43">
        <v>235</v>
      </c>
      <c r="D43">
        <v>0.344653840548026</v>
      </c>
      <c r="E43">
        <v>109.682211824579</v>
      </c>
      <c r="F43">
        <v>1.9172761051816001</v>
      </c>
      <c r="G43">
        <v>-1818.686444450532</v>
      </c>
      <c r="H43">
        <v>-1495.6900425351623</v>
      </c>
      <c r="I43">
        <v>313.850389609231</v>
      </c>
      <c r="J43">
        <v>160.137711639515</v>
      </c>
      <c r="K43">
        <v>57.207311731551897</v>
      </c>
      <c r="L43">
        <v>0.83553226361244759</v>
      </c>
      <c r="M43">
        <v>-0.83526706831243835</v>
      </c>
      <c r="N43">
        <v>47.785783084568898</v>
      </c>
      <c r="O43">
        <v>47.785778133097097</v>
      </c>
      <c r="P43">
        <v>47.785768204252001</v>
      </c>
      <c r="Q43" t="s">
        <v>51</v>
      </c>
    </row>
    <row r="44" spans="1:17" x14ac:dyDescent="0.2">
      <c r="A44">
        <v>43</v>
      </c>
      <c r="B44">
        <v>755</v>
      </c>
      <c r="C44">
        <v>235</v>
      </c>
      <c r="D44">
        <v>0.34394835383941902</v>
      </c>
      <c r="E44">
        <v>109.682242567637</v>
      </c>
      <c r="F44">
        <v>1.9179133105245001</v>
      </c>
      <c r="G44">
        <v>-1818.3731839467698</v>
      </c>
      <c r="H44">
        <v>-1495.8833238250122</v>
      </c>
      <c r="I44">
        <v>313.662979942503</v>
      </c>
      <c r="J44">
        <v>160.14522147931501</v>
      </c>
      <c r="K44">
        <v>57.188321268619802</v>
      </c>
      <c r="L44">
        <v>0.83394972378761356</v>
      </c>
      <c r="M44">
        <v>-0.83368410135188253</v>
      </c>
      <c r="N44">
        <v>47.679391812566401</v>
      </c>
      <c r="O44">
        <v>47.6793867590019</v>
      </c>
      <c r="P44">
        <v>47.679376815737797</v>
      </c>
      <c r="Q44" t="s">
        <v>51</v>
      </c>
    </row>
    <row r="45" spans="1:17" x14ac:dyDescent="0.2">
      <c r="A45">
        <v>44</v>
      </c>
      <c r="B45">
        <v>754</v>
      </c>
      <c r="C45">
        <v>235</v>
      </c>
      <c r="D45">
        <v>0.34324149345275801</v>
      </c>
      <c r="E45">
        <v>109.682273430069</v>
      </c>
      <c r="F45">
        <v>1.91855215935546</v>
      </c>
      <c r="G45">
        <v>-1818.0601127569473</v>
      </c>
      <c r="H45">
        <v>-1496.0764588201889</v>
      </c>
      <c r="I45">
        <v>313.47553206920702</v>
      </c>
      <c r="J45">
        <v>160.15269197001999</v>
      </c>
      <c r="K45">
        <v>57.169294509520498</v>
      </c>
      <c r="L45">
        <v>0.83237539029078178</v>
      </c>
      <c r="M45">
        <v>-0.83210934612869925</v>
      </c>
      <c r="N45">
        <v>47.573499857465997</v>
      </c>
      <c r="O45">
        <v>47.573494701224298</v>
      </c>
      <c r="P45">
        <v>47.573484743811797</v>
      </c>
      <c r="Q45" t="s">
        <v>51</v>
      </c>
    </row>
    <row r="46" spans="1:17" x14ac:dyDescent="0.2">
      <c r="A46">
        <v>45</v>
      </c>
      <c r="B46">
        <v>753</v>
      </c>
      <c r="C46">
        <v>235</v>
      </c>
      <c r="D46">
        <v>0.342533255372025</v>
      </c>
      <c r="E46">
        <v>109.68230441249599</v>
      </c>
      <c r="F46">
        <v>1.91919263726261</v>
      </c>
      <c r="G46">
        <v>-1817.7472309297514</v>
      </c>
      <c r="H46">
        <v>-1496.2694487064014</v>
      </c>
      <c r="I46">
        <v>313.28804476985698</v>
      </c>
      <c r="J46">
        <v>160.160122660513</v>
      </c>
      <c r="K46">
        <v>57.150231968865299</v>
      </c>
      <c r="L46">
        <v>0.83080919264547759</v>
      </c>
      <c r="M46">
        <v>-0.83054273214966479</v>
      </c>
      <c r="N46">
        <v>47.468103321322701</v>
      </c>
      <c r="O46">
        <v>47.468098061825003</v>
      </c>
      <c r="P46">
        <v>47.468088090534899</v>
      </c>
      <c r="Q46" t="s">
        <v>51</v>
      </c>
    </row>
    <row r="47" spans="1:17" x14ac:dyDescent="0.2">
      <c r="A47">
        <v>46</v>
      </c>
      <c r="B47">
        <v>752</v>
      </c>
      <c r="C47">
        <v>235</v>
      </c>
      <c r="D47">
        <v>0.34182363556552797</v>
      </c>
      <c r="E47">
        <v>109.682335515465</v>
      </c>
      <c r="F47">
        <v>1.9198347299104199</v>
      </c>
      <c r="G47">
        <v>-1817.4345385138045</v>
      </c>
      <c r="H47">
        <v>-1496.4622946547668</v>
      </c>
      <c r="I47">
        <v>313.100516834377</v>
      </c>
      <c r="J47">
        <v>160.16751309556901</v>
      </c>
      <c r="K47">
        <v>57.131134157877803</v>
      </c>
      <c r="L47">
        <v>0.82925106114265057</v>
      </c>
      <c r="M47">
        <v>-0.82898418968916499</v>
      </c>
      <c r="N47">
        <v>47.3631983476225</v>
      </c>
      <c r="O47">
        <v>47.3631929842958</v>
      </c>
      <c r="P47">
        <v>47.3631829993991</v>
      </c>
      <c r="Q47" t="s">
        <v>51</v>
      </c>
    </row>
    <row r="48" spans="1:17" x14ac:dyDescent="0.2">
      <c r="A48">
        <v>47</v>
      </c>
      <c r="B48">
        <v>751</v>
      </c>
      <c r="C48">
        <v>235</v>
      </c>
      <c r="D48">
        <v>0.34111262998584302</v>
      </c>
      <c r="E48">
        <v>109.68236673954</v>
      </c>
      <c r="F48">
        <v>1.9204784230404199</v>
      </c>
      <c r="G48">
        <v>-1817.1220355592575</v>
      </c>
      <c r="H48">
        <v>-1496.6549978239432</v>
      </c>
      <c r="I48">
        <v>312.91294706162398</v>
      </c>
      <c r="J48">
        <v>160.17486281610999</v>
      </c>
      <c r="K48">
        <v>57.112001584425997</v>
      </c>
      <c r="L48">
        <v>0.82770092680200358</v>
      </c>
      <c r="M48">
        <v>-0.82743364975051092</v>
      </c>
      <c r="N48">
        <v>47.258781119119803</v>
      </c>
      <c r="O48">
        <v>47.258775651397201</v>
      </c>
      <c r="P48">
        <v>47.2587656531649</v>
      </c>
      <c r="Q48" t="s">
        <v>51</v>
      </c>
    </row>
    <row r="49" spans="1:17" x14ac:dyDescent="0.2">
      <c r="A49">
        <v>48</v>
      </c>
      <c r="B49">
        <v>750</v>
      </c>
      <c r="C49">
        <v>235</v>
      </c>
      <c r="D49">
        <v>0.34040023456971302</v>
      </c>
      <c r="E49">
        <v>109.68239808531899</v>
      </c>
      <c r="F49">
        <v>1.9211237024683101</v>
      </c>
      <c r="G49">
        <v>-1816.8097221180021</v>
      </c>
      <c r="H49">
        <v>-1496.8475593598173</v>
      </c>
      <c r="I49">
        <v>312.72533425993601</v>
      </c>
      <c r="J49">
        <v>160.18217135916601</v>
      </c>
      <c r="K49">
        <v>57.092834753116598</v>
      </c>
      <c r="L49">
        <v>0.82615872139502256</v>
      </c>
      <c r="M49">
        <v>-0.82589104408897163</v>
      </c>
      <c r="N49">
        <v>47.154847859251703</v>
      </c>
      <c r="O49">
        <v>47.154842286571998</v>
      </c>
      <c r="P49">
        <v>47.154832275275297</v>
      </c>
      <c r="Q49" t="s">
        <v>51</v>
      </c>
    </row>
    <row r="50" spans="1:17" x14ac:dyDescent="0.2">
      <c r="A50">
        <v>49</v>
      </c>
      <c r="B50">
        <v>749</v>
      </c>
      <c r="C50">
        <v>235</v>
      </c>
      <c r="D50">
        <v>0.33968644523797997</v>
      </c>
      <c r="E50">
        <v>109.682429553288</v>
      </c>
      <c r="F50">
        <v>1.9217705540816901</v>
      </c>
      <c r="G50">
        <v>-1816.4975982412902</v>
      </c>
      <c r="H50">
        <v>-1497.0399803944731</v>
      </c>
      <c r="I50">
        <v>312.53767724586697</v>
      </c>
      <c r="J50">
        <v>160.18943825804701</v>
      </c>
      <c r="K50">
        <v>57.073634165291402</v>
      </c>
      <c r="L50">
        <v>0.824624377388951</v>
      </c>
      <c r="M50">
        <v>-0.82435630515572778</v>
      </c>
      <c r="N50">
        <v>47.051394828953498</v>
      </c>
      <c r="O50">
        <v>47.0513891507618</v>
      </c>
      <c r="P50">
        <v>47.051379126672003</v>
      </c>
      <c r="Q50" t="s">
        <v>51</v>
      </c>
    </row>
    <row r="51" spans="1:17" x14ac:dyDescent="0.2">
      <c r="A51">
        <v>50</v>
      </c>
      <c r="B51">
        <v>748</v>
      </c>
      <c r="C51">
        <v>235</v>
      </c>
      <c r="D51">
        <v>0.33897125789551102</v>
      </c>
      <c r="E51">
        <v>109.68246114407</v>
      </c>
      <c r="F51">
        <v>1.92241896384387</v>
      </c>
      <c r="G51">
        <v>-1816.1856639837954</v>
      </c>
      <c r="H51">
        <v>-1497.2322620489449</v>
      </c>
      <c r="I51">
        <v>312.34997484549899</v>
      </c>
      <c r="J51">
        <v>160.19666304222699</v>
      </c>
      <c r="K51">
        <v>57.054400319044298</v>
      </c>
      <c r="L51">
        <v>0.82309782799029507</v>
      </c>
      <c r="M51">
        <v>-0.8228293661413949</v>
      </c>
      <c r="N51">
        <v>46.948418329176697</v>
      </c>
      <c r="O51">
        <v>46.948412544924103</v>
      </c>
      <c r="P51">
        <v>46.948402508312697</v>
      </c>
      <c r="Q51" t="s">
        <v>51</v>
      </c>
    </row>
    <row r="52" spans="1:17" x14ac:dyDescent="0.2">
      <c r="A52">
        <v>51</v>
      </c>
      <c r="B52">
        <v>747</v>
      </c>
      <c r="C52">
        <v>235</v>
      </c>
      <c r="D52">
        <v>0.33825466843111501</v>
      </c>
      <c r="E52">
        <v>109.68245201347899</v>
      </c>
      <c r="F52">
        <v>1.90186135197006</v>
      </c>
      <c r="G52">
        <v>-1815.8748670991583</v>
      </c>
      <c r="H52">
        <v>-1501.0240783813508</v>
      </c>
      <c r="I52">
        <v>308.63531998312698</v>
      </c>
      <c r="J52">
        <v>160.241130147593</v>
      </c>
      <c r="K52">
        <v>57.671108306535203</v>
      </c>
      <c r="L52">
        <v>0.6366257079975981</v>
      </c>
      <c r="M52">
        <v>-0.63628481309531237</v>
      </c>
      <c r="N52">
        <v>36.6982868509903</v>
      </c>
      <c r="O52">
        <v>36.698279551113799</v>
      </c>
      <c r="P52">
        <v>36.698266784675297</v>
      </c>
      <c r="Q52" t="s">
        <v>51</v>
      </c>
    </row>
    <row r="53" spans="1:17" x14ac:dyDescent="0.2">
      <c r="A53">
        <v>52</v>
      </c>
      <c r="B53">
        <v>746</v>
      </c>
      <c r="C53">
        <v>235</v>
      </c>
      <c r="D53">
        <v>0.33753667271746202</v>
      </c>
      <c r="E53">
        <v>109.682426503486</v>
      </c>
      <c r="F53">
        <v>1.88662944972365</v>
      </c>
      <c r="G53">
        <v>-1815.56740659056</v>
      </c>
      <c r="H53">
        <v>-1504.0431602617871</v>
      </c>
      <c r="I53">
        <v>305.67469900212802</v>
      </c>
      <c r="J53">
        <v>160.26809178214199</v>
      </c>
      <c r="K53">
        <v>58.136708572821398</v>
      </c>
      <c r="L53">
        <v>0.49219483034623096</v>
      </c>
      <c r="M53">
        <v>-0.49179866659514776</v>
      </c>
      <c r="N53">
        <v>28.595096388090301</v>
      </c>
      <c r="O53">
        <v>28.595087847961199</v>
      </c>
      <c r="P53">
        <v>28.595072962860399</v>
      </c>
      <c r="Q53" t="s">
        <v>51</v>
      </c>
    </row>
    <row r="54" spans="1:17" x14ac:dyDescent="0.2">
      <c r="A54">
        <v>53</v>
      </c>
      <c r="B54">
        <v>745</v>
      </c>
      <c r="C54">
        <v>235</v>
      </c>
      <c r="D54">
        <v>0.33681726661101002</v>
      </c>
      <c r="E54">
        <v>109.689856379326</v>
      </c>
      <c r="F54">
        <v>1.8599871641130401</v>
      </c>
      <c r="G54">
        <v>-1815.3850095167625</v>
      </c>
      <c r="H54">
        <v>-1509.3696852544808</v>
      </c>
      <c r="I54">
        <v>300.56521800060602</v>
      </c>
      <c r="J54">
        <v>160.25364167015999</v>
      </c>
      <c r="K54">
        <v>58.973448040773398</v>
      </c>
      <c r="L54">
        <v>0.24737360057827484</v>
      </c>
      <c r="M54">
        <v>-0.24688326207262423</v>
      </c>
      <c r="N54">
        <v>14.5639796205312</v>
      </c>
      <c r="O54">
        <v>14.563968958457201</v>
      </c>
      <c r="P54">
        <v>14.563950375377701</v>
      </c>
      <c r="Q54" t="s">
        <v>51</v>
      </c>
    </row>
    <row r="55" spans="1:17" x14ac:dyDescent="0.2">
      <c r="A55">
        <v>54</v>
      </c>
      <c r="B55">
        <v>744</v>
      </c>
      <c r="C55">
        <v>235</v>
      </c>
      <c r="D55">
        <v>0.336096445951927</v>
      </c>
      <c r="E55">
        <v>109.69101267816301</v>
      </c>
      <c r="F55">
        <v>1.8458741487308301</v>
      </c>
      <c r="G55">
        <v>-1815.1049980948624</v>
      </c>
      <c r="H55">
        <v>-1512.4204756417435</v>
      </c>
      <c r="I55">
        <v>297.58664408762399</v>
      </c>
      <c r="J55">
        <v>160.24389120329499</v>
      </c>
      <c r="K55">
        <v>59.424968248016</v>
      </c>
      <c r="L55">
        <v>0.11227396335880083</v>
      </c>
      <c r="M55">
        <v>-0.11173183656750023</v>
      </c>
      <c r="N55">
        <v>6.6445709085723896</v>
      </c>
      <c r="O55">
        <v>6.6445589526822397</v>
      </c>
      <c r="P55">
        <v>6.6445382970457398</v>
      </c>
      <c r="Q55" t="s">
        <v>51</v>
      </c>
    </row>
    <row r="56" spans="1:17" x14ac:dyDescent="0.2">
      <c r="A56">
        <v>55</v>
      </c>
      <c r="B56">
        <v>743</v>
      </c>
      <c r="C56">
        <v>235</v>
      </c>
      <c r="D56">
        <v>0.33537420656399403</v>
      </c>
      <c r="E56">
        <v>109.691186668911</v>
      </c>
      <c r="F56">
        <v>1.84250130561266</v>
      </c>
      <c r="G56">
        <v>-1814.8107935746968</v>
      </c>
      <c r="H56">
        <v>-1513.4199097385153</v>
      </c>
      <c r="I56">
        <v>296.60658793726799</v>
      </c>
      <c r="J56">
        <v>160.27059007511201</v>
      </c>
      <c r="K56">
        <v>59.533844743972601</v>
      </c>
      <c r="L56">
        <v>7.3499085867981082E-2</v>
      </c>
      <c r="M56">
        <v>-7.2942332368911844E-2</v>
      </c>
      <c r="N56">
        <v>4.3475766860096199</v>
      </c>
      <c r="O56">
        <v>4.3475642265178402</v>
      </c>
      <c r="P56">
        <v>4.3475429862931003</v>
      </c>
      <c r="Q56" t="s">
        <v>51</v>
      </c>
    </row>
    <row r="57" spans="1:17" x14ac:dyDescent="0.2">
      <c r="A57">
        <v>56</v>
      </c>
      <c r="B57">
        <v>757</v>
      </c>
      <c r="C57">
        <v>215</v>
      </c>
      <c r="D57">
        <v>0.36671407076639501</v>
      </c>
      <c r="E57">
        <v>109.682340979999</v>
      </c>
      <c r="F57">
        <v>1.88272403017515</v>
      </c>
      <c r="G57">
        <v>-1820.1570016765927</v>
      </c>
      <c r="H57">
        <v>-1496.2542379253327</v>
      </c>
      <c r="I57">
        <v>314.42573489197702</v>
      </c>
      <c r="J57">
        <v>160.813586581007</v>
      </c>
      <c r="K57">
        <v>58.257258749597497</v>
      </c>
      <c r="L57">
        <v>0.81843158021135021</v>
      </c>
      <c r="M57">
        <v>-0.81811247705730372</v>
      </c>
      <c r="N57">
        <v>47.664164340748201</v>
      </c>
      <c r="O57">
        <v>47.664160542990999</v>
      </c>
      <c r="P57">
        <v>47.664146990670297</v>
      </c>
      <c r="Q57" t="s">
        <v>51</v>
      </c>
    </row>
    <row r="58" spans="1:17" x14ac:dyDescent="0.2">
      <c r="A58">
        <v>57</v>
      </c>
      <c r="B58">
        <v>756</v>
      </c>
      <c r="C58">
        <v>215</v>
      </c>
      <c r="D58">
        <v>0.36603070495068801</v>
      </c>
      <c r="E58">
        <v>109.682369881087</v>
      </c>
      <c r="F58">
        <v>1.88341047586212</v>
      </c>
      <c r="G58">
        <v>-1819.8431268085315</v>
      </c>
      <c r="H58">
        <v>-1496.4356321760115</v>
      </c>
      <c r="I58">
        <v>314.250017562545</v>
      </c>
      <c r="J58">
        <v>160.81993074367799</v>
      </c>
      <c r="K58">
        <v>58.236041100323597</v>
      </c>
      <c r="L58">
        <v>0.81753665310496082</v>
      </c>
      <c r="M58">
        <v>-0.81721730433260187</v>
      </c>
      <c r="N58">
        <v>47.594669035067298</v>
      </c>
      <c r="O58">
        <v>47.594665109108398</v>
      </c>
      <c r="P58">
        <v>47.594651545814997</v>
      </c>
      <c r="Q58" t="s">
        <v>51</v>
      </c>
    </row>
    <row r="59" spans="1:17" x14ac:dyDescent="0.2">
      <c r="A59">
        <v>58</v>
      </c>
      <c r="B59">
        <v>755</v>
      </c>
      <c r="C59">
        <v>215</v>
      </c>
      <c r="D59">
        <v>0.36534600982346799</v>
      </c>
      <c r="E59">
        <v>109.682400826584</v>
      </c>
      <c r="F59">
        <v>1.8840921995445401</v>
      </c>
      <c r="G59">
        <v>-1819.5294698309926</v>
      </c>
      <c r="H59">
        <v>-1496.6281202249381</v>
      </c>
      <c r="I59">
        <v>314.06338208888099</v>
      </c>
      <c r="J59">
        <v>160.829470071071</v>
      </c>
      <c r="K59">
        <v>58.214985897770198</v>
      </c>
      <c r="L59">
        <v>0.81605764220224775</v>
      </c>
      <c r="M59">
        <v>-0.81573784764153223</v>
      </c>
      <c r="N59">
        <v>47.491332256163702</v>
      </c>
      <c r="O59">
        <v>47.491328198592001</v>
      </c>
      <c r="P59">
        <v>47.491314615877101</v>
      </c>
      <c r="Q59" t="s">
        <v>51</v>
      </c>
    </row>
    <row r="60" spans="1:17" x14ac:dyDescent="0.2">
      <c r="A60">
        <v>59</v>
      </c>
      <c r="B60">
        <v>754</v>
      </c>
      <c r="C60">
        <v>215</v>
      </c>
      <c r="D60">
        <v>0.36465998150221401</v>
      </c>
      <c r="E60">
        <v>109.682431892284</v>
      </c>
      <c r="F60">
        <v>1.8847757370324201</v>
      </c>
      <c r="G60">
        <v>-1819.2160014136209</v>
      </c>
      <c r="H60">
        <v>-1496.8204740068122</v>
      </c>
      <c r="I60">
        <v>313.87669747633601</v>
      </c>
      <c r="J60">
        <v>160.83898310762601</v>
      </c>
      <c r="K60">
        <v>58.193889987664399</v>
      </c>
      <c r="L60">
        <v>0.8145862328599851</v>
      </c>
      <c r="M60">
        <v>-0.81426599837916969</v>
      </c>
      <c r="N60">
        <v>47.388467262692998</v>
      </c>
      <c r="O60">
        <v>47.388463072561798</v>
      </c>
      <c r="P60">
        <v>47.388449470750899</v>
      </c>
      <c r="Q60" t="s">
        <v>51</v>
      </c>
    </row>
    <row r="61" spans="1:17" x14ac:dyDescent="0.2">
      <c r="A61">
        <v>60</v>
      </c>
      <c r="B61">
        <v>753</v>
      </c>
      <c r="C61">
        <v>215</v>
      </c>
      <c r="D61">
        <v>0.36397261608926701</v>
      </c>
      <c r="E61">
        <v>109.682463226094</v>
      </c>
      <c r="F61">
        <v>1.88497462987036</v>
      </c>
      <c r="G61">
        <v>-1818.9027293940155</v>
      </c>
      <c r="H61">
        <v>-1497.0769866860546</v>
      </c>
      <c r="I61">
        <v>313.62733017016001</v>
      </c>
      <c r="J61">
        <v>160.85123859653999</v>
      </c>
      <c r="K61">
        <v>58.187766290328398</v>
      </c>
      <c r="L61">
        <v>0.80995096692026913</v>
      </c>
      <c r="M61">
        <v>-0.80962878943736893</v>
      </c>
      <c r="N61">
        <v>47.1136637829064</v>
      </c>
      <c r="O61">
        <v>47.1136594422697</v>
      </c>
      <c r="P61">
        <v>47.113645756336702</v>
      </c>
      <c r="Q61" t="s">
        <v>51</v>
      </c>
    </row>
    <row r="62" spans="1:17" x14ac:dyDescent="0.2">
      <c r="A62">
        <v>61</v>
      </c>
      <c r="B62">
        <v>752</v>
      </c>
      <c r="C62">
        <v>215</v>
      </c>
      <c r="D62">
        <v>0.363283909671757</v>
      </c>
      <c r="E62">
        <v>109.68249496293301</v>
      </c>
      <c r="F62">
        <v>1.8827273732776699</v>
      </c>
      <c r="G62">
        <v>-1818.5898955018995</v>
      </c>
      <c r="H62">
        <v>-1497.6596547102113</v>
      </c>
      <c r="I62">
        <v>313.05981950127199</v>
      </c>
      <c r="J62">
        <v>160.87914514752299</v>
      </c>
      <c r="K62">
        <v>58.257237091095497</v>
      </c>
      <c r="L62">
        <v>0.78916947035473761</v>
      </c>
      <c r="M62">
        <v>-0.78883771495672328</v>
      </c>
      <c r="N62">
        <v>45.958768058253099</v>
      </c>
      <c r="O62">
        <v>45.958763476442698</v>
      </c>
      <c r="P62">
        <v>45.958749375321801</v>
      </c>
      <c r="Q62" t="s">
        <v>51</v>
      </c>
    </row>
    <row r="63" spans="1:17" x14ac:dyDescent="0.2">
      <c r="A63">
        <v>62</v>
      </c>
      <c r="B63">
        <v>751</v>
      </c>
      <c r="C63">
        <v>215</v>
      </c>
      <c r="D63">
        <v>0.36259385832153801</v>
      </c>
      <c r="E63">
        <v>109.68250748916201</v>
      </c>
      <c r="F63">
        <v>1.87211684789012</v>
      </c>
      <c r="G63">
        <v>-1818.277562468211</v>
      </c>
      <c r="H63">
        <v>-1499.6632693215513</v>
      </c>
      <c r="I63">
        <v>311.10452262197998</v>
      </c>
      <c r="J63">
        <v>160.866573151674</v>
      </c>
      <c r="K63">
        <v>58.587426106855403</v>
      </c>
      <c r="L63">
        <v>0.6951367153645639</v>
      </c>
      <c r="M63">
        <v>-0.69476539379834579</v>
      </c>
      <c r="N63">
        <v>40.708171924342302</v>
      </c>
      <c r="O63">
        <v>40.708166716072903</v>
      </c>
      <c r="P63">
        <v>40.708150901984901</v>
      </c>
      <c r="Q63" t="s">
        <v>51</v>
      </c>
    </row>
    <row r="64" spans="1:17" x14ac:dyDescent="0.2">
      <c r="A64">
        <v>63</v>
      </c>
      <c r="B64">
        <v>750</v>
      </c>
      <c r="C64">
        <v>215</v>
      </c>
      <c r="D64">
        <v>0.36190245809509802</v>
      </c>
      <c r="E64">
        <v>109.682481615163</v>
      </c>
      <c r="F64">
        <v>1.8534454367533799</v>
      </c>
      <c r="G64">
        <v>-1817.9678705843162</v>
      </c>
      <c r="H64">
        <v>-1503.1421669325953</v>
      </c>
      <c r="I64">
        <v>307.70636124105403</v>
      </c>
      <c r="J64">
        <v>160.80124682994699</v>
      </c>
      <c r="K64">
        <v>59.177615612624002</v>
      </c>
      <c r="L64">
        <v>0.52757310497954635</v>
      </c>
      <c r="M64">
        <v>-0.52713263317915848</v>
      </c>
      <c r="N64">
        <v>31.198809704690699</v>
      </c>
      <c r="O64">
        <v>31.1988034427436</v>
      </c>
      <c r="P64">
        <v>31.198784591841299</v>
      </c>
      <c r="Q64" t="s">
        <v>51</v>
      </c>
    </row>
    <row r="65" spans="1:17" x14ac:dyDescent="0.2">
      <c r="A65">
        <v>64</v>
      </c>
      <c r="B65">
        <v>749</v>
      </c>
      <c r="C65">
        <v>215</v>
      </c>
      <c r="D65">
        <v>0.36120970503350902</v>
      </c>
      <c r="E65">
        <v>109.687180751379</v>
      </c>
      <c r="F65">
        <v>1.83069186841466</v>
      </c>
      <c r="G65">
        <v>-1817.7381551982639</v>
      </c>
      <c r="H65">
        <v>-1507.5338069397571</v>
      </c>
      <c r="I65">
        <v>303.48698390525198</v>
      </c>
      <c r="J65">
        <v>160.68322393243699</v>
      </c>
      <c r="K65">
        <v>59.915697799196401</v>
      </c>
      <c r="L65">
        <v>0.32536387203423212</v>
      </c>
      <c r="M65">
        <v>-0.32483980488030617</v>
      </c>
      <c r="N65">
        <v>19.468227353889201</v>
      </c>
      <c r="O65">
        <v>19.468219765814599</v>
      </c>
      <c r="P65">
        <v>19.468197156704999</v>
      </c>
      <c r="Q65" t="s">
        <v>51</v>
      </c>
    </row>
    <row r="66" spans="1:17" x14ac:dyDescent="0.2">
      <c r="A66">
        <v>65</v>
      </c>
      <c r="B66">
        <v>748</v>
      </c>
      <c r="C66">
        <v>215</v>
      </c>
      <c r="D66">
        <v>0.36051559516231801</v>
      </c>
      <c r="E66">
        <v>109.69126676885701</v>
      </c>
      <c r="F66">
        <v>1.8117795806568799</v>
      </c>
      <c r="G66">
        <v>-1817.5031333775116</v>
      </c>
      <c r="H66">
        <v>-1511.3792044880729</v>
      </c>
      <c r="I66">
        <v>299.78896561846398</v>
      </c>
      <c r="J66">
        <v>160.562474802395</v>
      </c>
      <c r="K66">
        <v>60.5433839413774</v>
      </c>
      <c r="L66">
        <v>0.15499279632267873</v>
      </c>
      <c r="M66">
        <v>-0.15439836012869604</v>
      </c>
      <c r="N66">
        <v>9.3537634020135894</v>
      </c>
      <c r="O66">
        <v>9.3537545904595696</v>
      </c>
      <c r="P66">
        <v>9.3537287450569302</v>
      </c>
      <c r="Q66" t="s">
        <v>51</v>
      </c>
    </row>
    <row r="67" spans="1:17" x14ac:dyDescent="0.2">
      <c r="A67">
        <v>66</v>
      </c>
      <c r="B67">
        <v>747</v>
      </c>
      <c r="C67">
        <v>215</v>
      </c>
      <c r="D67">
        <v>0.35982012449149797</v>
      </c>
      <c r="E67">
        <v>109.691481441497</v>
      </c>
      <c r="F67">
        <v>1.8050133283894301</v>
      </c>
      <c r="G67">
        <v>-1817.2077733729589</v>
      </c>
      <c r="H67">
        <v>-1513.0077466910434</v>
      </c>
      <c r="I67">
        <v>298.19720676264097</v>
      </c>
      <c r="J67">
        <v>160.52989824514901</v>
      </c>
      <c r="K67">
        <v>60.770455107593101</v>
      </c>
      <c r="L67">
        <v>8.7559338255596739E-2</v>
      </c>
      <c r="M67">
        <v>-8.6937302725550572E-2</v>
      </c>
      <c r="N67">
        <v>5.2894665860917804</v>
      </c>
      <c r="O67">
        <v>5.2894571306744602</v>
      </c>
      <c r="P67">
        <v>5.2894300023421401</v>
      </c>
      <c r="Q67" t="s">
        <v>51</v>
      </c>
    </row>
    <row r="68" spans="1:17" x14ac:dyDescent="0.2">
      <c r="A68">
        <v>67</v>
      </c>
      <c r="B68">
        <v>746</v>
      </c>
      <c r="C68">
        <v>215</v>
      </c>
      <c r="D68">
        <v>0.35912328901535701</v>
      </c>
      <c r="E68">
        <v>109.691560169387</v>
      </c>
      <c r="F68">
        <v>1.8031943985749801</v>
      </c>
      <c r="G68">
        <v>-1816.9112305580279</v>
      </c>
      <c r="H68">
        <v>-1513.7067162414762</v>
      </c>
      <c r="I68">
        <v>297.513094728483</v>
      </c>
      <c r="J68">
        <v>160.54593100265001</v>
      </c>
      <c r="K68">
        <v>60.8317995309176</v>
      </c>
      <c r="L68">
        <v>6.3059264931097286E-2</v>
      </c>
      <c r="M68">
        <v>-6.2427386215812473E-2</v>
      </c>
      <c r="N68">
        <v>3.8039072988039599</v>
      </c>
      <c r="O68">
        <v>3.8038974529329699</v>
      </c>
      <c r="P68">
        <v>3.8038698683183201</v>
      </c>
      <c r="Q68" t="s">
        <v>51</v>
      </c>
    </row>
    <row r="69" spans="1:17" x14ac:dyDescent="0.2">
      <c r="A69">
        <v>68</v>
      </c>
      <c r="B69">
        <v>759</v>
      </c>
      <c r="C69">
        <v>195</v>
      </c>
      <c r="D69">
        <v>0.38939156130407598</v>
      </c>
      <c r="E69">
        <v>109.682448419439</v>
      </c>
      <c r="F69">
        <v>1.8416144913421899</v>
      </c>
      <c r="G69">
        <v>-1821.9660436486251</v>
      </c>
      <c r="H69">
        <v>-1496.6340069165135</v>
      </c>
      <c r="I69">
        <v>315.20140181116898</v>
      </c>
      <c r="J69">
        <v>161.47855486674499</v>
      </c>
      <c r="K69">
        <v>59.557767890662603</v>
      </c>
      <c r="L69">
        <v>0.79787547440237538</v>
      </c>
      <c r="M69">
        <v>-0.79748772291886527</v>
      </c>
      <c r="N69">
        <v>47.500899765221</v>
      </c>
      <c r="O69">
        <v>47.500899259227197</v>
      </c>
      <c r="P69">
        <v>47.500880476207698</v>
      </c>
      <c r="Q69" t="s">
        <v>51</v>
      </c>
    </row>
    <row r="70" spans="1:17" x14ac:dyDescent="0.2">
      <c r="A70">
        <v>69</v>
      </c>
      <c r="B70">
        <v>758</v>
      </c>
      <c r="C70">
        <v>195</v>
      </c>
      <c r="D70">
        <v>0.38873151335887302</v>
      </c>
      <c r="E70">
        <v>109.682470012065</v>
      </c>
      <c r="F70">
        <v>1.84179125998822</v>
      </c>
      <c r="G70">
        <v>-1821.6512848795169</v>
      </c>
      <c r="H70">
        <v>-1496.8510924542795</v>
      </c>
      <c r="I70">
        <v>314.99131592890598</v>
      </c>
      <c r="J70">
        <v>161.47644095103499</v>
      </c>
      <c r="K70">
        <v>59.552063469323997</v>
      </c>
      <c r="L70">
        <v>0.79548492666612891</v>
      </c>
      <c r="M70">
        <v>-0.79509579088148585</v>
      </c>
      <c r="N70">
        <v>47.3539109686022</v>
      </c>
      <c r="O70">
        <v>47.353910302223603</v>
      </c>
      <c r="P70">
        <v>47.353891444346601</v>
      </c>
      <c r="Q70" t="s">
        <v>51</v>
      </c>
    </row>
    <row r="71" spans="1:17" x14ac:dyDescent="0.2">
      <c r="A71">
        <v>70</v>
      </c>
      <c r="B71">
        <v>757</v>
      </c>
      <c r="C71">
        <v>195</v>
      </c>
      <c r="D71">
        <v>0.388070183953793</v>
      </c>
      <c r="E71">
        <v>109.68250103550101</v>
      </c>
      <c r="F71">
        <v>1.8396499914309401</v>
      </c>
      <c r="G71">
        <v>-1821.3370584920376</v>
      </c>
      <c r="H71">
        <v>-1497.4063485901117</v>
      </c>
      <c r="I71">
        <v>314.45313177735198</v>
      </c>
      <c r="J71">
        <v>161.49113927640201</v>
      </c>
      <c r="K71">
        <v>59.621396214715098</v>
      </c>
      <c r="L71">
        <v>0.77636673718430116</v>
      </c>
      <c r="M71">
        <v>-0.77596797309108956</v>
      </c>
      <c r="N71">
        <v>46.268710096292899</v>
      </c>
      <c r="O71">
        <v>46.268709263780302</v>
      </c>
      <c r="P71">
        <v>46.2686899183986</v>
      </c>
      <c r="Q71" t="s">
        <v>51</v>
      </c>
    </row>
    <row r="72" spans="1:17" x14ac:dyDescent="0.2">
      <c r="A72">
        <v>71</v>
      </c>
      <c r="B72">
        <v>756</v>
      </c>
      <c r="C72">
        <v>195</v>
      </c>
      <c r="D72">
        <v>0.38740756935335302</v>
      </c>
      <c r="E72">
        <v>109.682531695449</v>
      </c>
      <c r="F72">
        <v>1.8372601312986201</v>
      </c>
      <c r="G72">
        <v>-1821.023385269184</v>
      </c>
      <c r="H72">
        <v>-1497.999760337696</v>
      </c>
      <c r="I72">
        <v>313.87737196419101</v>
      </c>
      <c r="J72">
        <v>161.508804814852</v>
      </c>
      <c r="K72">
        <v>59.6989668620974</v>
      </c>
      <c r="L72">
        <v>0.75527041306090725</v>
      </c>
      <c r="M72">
        <v>-0.75486110639110549</v>
      </c>
      <c r="N72">
        <v>45.068954720309399</v>
      </c>
      <c r="O72">
        <v>45.068953712596603</v>
      </c>
      <c r="P72">
        <v>45.068933832577301</v>
      </c>
      <c r="Q72" t="s">
        <v>51</v>
      </c>
    </row>
    <row r="73" spans="1:17" x14ac:dyDescent="0.2">
      <c r="A73">
        <v>72</v>
      </c>
      <c r="B73">
        <v>755</v>
      </c>
      <c r="C73">
        <v>195</v>
      </c>
      <c r="D73">
        <v>0.38674366580751801</v>
      </c>
      <c r="E73">
        <v>109.68254478765</v>
      </c>
      <c r="F73">
        <v>1.82735157202693</v>
      </c>
      <c r="G73">
        <v>-1820.7101995953706</v>
      </c>
      <c r="H73">
        <v>-1499.7954663949706</v>
      </c>
      <c r="I73">
        <v>312.131810176062</v>
      </c>
      <c r="J73">
        <v>161.45571793588701</v>
      </c>
      <c r="K73">
        <v>60.022683355884297</v>
      </c>
      <c r="L73">
        <v>0.6727189579091879</v>
      </c>
      <c r="M73">
        <v>-0.67227177544171601</v>
      </c>
      <c r="N73">
        <v>40.356508675812201</v>
      </c>
      <c r="O73">
        <v>40.356507441401803</v>
      </c>
      <c r="P73">
        <v>40.356485652323101</v>
      </c>
      <c r="Q73" t="s">
        <v>51</v>
      </c>
    </row>
    <row r="74" spans="1:17" x14ac:dyDescent="0.2">
      <c r="A74">
        <v>73</v>
      </c>
      <c r="B74">
        <v>754</v>
      </c>
      <c r="C74">
        <v>195</v>
      </c>
      <c r="D74">
        <v>0.38607846955167302</v>
      </c>
      <c r="E74">
        <v>109.682519269954</v>
      </c>
      <c r="F74">
        <v>1.8087124385611499</v>
      </c>
      <c r="G74">
        <v>-1820.3993732356116</v>
      </c>
      <c r="H74">
        <v>-1503.0890147913326</v>
      </c>
      <c r="I74">
        <v>308.92716567895002</v>
      </c>
      <c r="J74">
        <v>161.301228585834</v>
      </c>
      <c r="K74">
        <v>60.641214673797499</v>
      </c>
      <c r="L74">
        <v>0.51603248380368327</v>
      </c>
      <c r="M74">
        <v>-0.51551498022408138</v>
      </c>
      <c r="N74">
        <v>31.2672176290788</v>
      </c>
      <c r="O74">
        <v>31.267216069301401</v>
      </c>
      <c r="P74">
        <v>31.267190688194201</v>
      </c>
      <c r="Q74" t="s">
        <v>51</v>
      </c>
    </row>
    <row r="75" spans="1:17" x14ac:dyDescent="0.2">
      <c r="A75">
        <v>74</v>
      </c>
      <c r="B75">
        <v>753</v>
      </c>
      <c r="C75">
        <v>195</v>
      </c>
      <c r="D75">
        <v>0.38541197680651201</v>
      </c>
      <c r="E75">
        <v>109.686719502175</v>
      </c>
      <c r="F75">
        <v>1.7867535760615401</v>
      </c>
      <c r="G75">
        <v>-1820.1602155773653</v>
      </c>
      <c r="H75">
        <v>-1507.1257572731483</v>
      </c>
      <c r="I75">
        <v>305.06197854885301</v>
      </c>
      <c r="J75">
        <v>161.07761981168599</v>
      </c>
      <c r="K75">
        <v>61.3888344602911</v>
      </c>
      <c r="L75">
        <v>0.33249422058383421</v>
      </c>
      <c r="M75">
        <v>-0.33189428015839662</v>
      </c>
      <c r="N75">
        <v>20.3813363156812</v>
      </c>
      <c r="O75">
        <v>20.3813343379306</v>
      </c>
      <c r="P75">
        <v>20.381304645181199</v>
      </c>
      <c r="Q75" t="s">
        <v>51</v>
      </c>
    </row>
    <row r="76" spans="1:17" x14ac:dyDescent="0.2">
      <c r="A76">
        <v>75</v>
      </c>
      <c r="B76">
        <v>752</v>
      </c>
      <c r="C76">
        <v>195</v>
      </c>
      <c r="D76">
        <v>0.38474418377798603</v>
      </c>
      <c r="E76">
        <v>109.69156002521299</v>
      </c>
      <c r="F76">
        <v>1.76736096589951</v>
      </c>
      <c r="G76">
        <v>-1819.9358947923458</v>
      </c>
      <c r="H76">
        <v>-1510.8871819646893</v>
      </c>
      <c r="I76">
        <v>301.47222816855202</v>
      </c>
      <c r="J76">
        <v>160.849642158774</v>
      </c>
      <c r="K76">
        <v>62.0651706932914</v>
      </c>
      <c r="L76">
        <v>0.16840743119050883</v>
      </c>
      <c r="M76">
        <v>-0.16773388064885617</v>
      </c>
      <c r="N76">
        <v>10.4180457954691</v>
      </c>
      <c r="O76">
        <v>10.4180433491141</v>
      </c>
      <c r="P76">
        <v>10.418009713051701</v>
      </c>
      <c r="Q76" t="s">
        <v>51</v>
      </c>
    </row>
    <row r="77" spans="1:17" x14ac:dyDescent="0.2">
      <c r="A77">
        <v>76</v>
      </c>
      <c r="B77">
        <v>751</v>
      </c>
      <c r="C77">
        <v>195</v>
      </c>
      <c r="D77">
        <v>0.38407508665723</v>
      </c>
      <c r="E77">
        <v>109.691814090162</v>
      </c>
      <c r="F77">
        <v>1.75925635383906</v>
      </c>
      <c r="G77">
        <v>-1819.6395686161243</v>
      </c>
      <c r="H77">
        <v>-1512.6941700651498</v>
      </c>
      <c r="I77">
        <v>299.713167546634</v>
      </c>
      <c r="J77">
        <v>160.75472176992699</v>
      </c>
      <c r="K77">
        <v>62.3512394033947</v>
      </c>
      <c r="L77">
        <v>9.3680218383331501E-2</v>
      </c>
      <c r="M77">
        <v>-9.2973340737742396E-2</v>
      </c>
      <c r="N77">
        <v>5.8050075204399203</v>
      </c>
      <c r="O77">
        <v>5.8050046750883997</v>
      </c>
      <c r="P77">
        <v>5.8049692264113704</v>
      </c>
      <c r="Q77" t="s">
        <v>51</v>
      </c>
    </row>
    <row r="78" spans="1:17" x14ac:dyDescent="0.2">
      <c r="A78">
        <v>77</v>
      </c>
      <c r="B78">
        <v>750</v>
      </c>
      <c r="C78">
        <v>195</v>
      </c>
      <c r="D78">
        <v>0.38340468162048602</v>
      </c>
      <c r="E78">
        <v>109.691866517292</v>
      </c>
      <c r="F78">
        <v>1.7569262033409301</v>
      </c>
      <c r="G78">
        <v>-1819.3411299796048</v>
      </c>
      <c r="H78">
        <v>-1513.4766617594478</v>
      </c>
      <c r="I78">
        <v>298.949736413023</v>
      </c>
      <c r="J78">
        <v>160.74651612937001</v>
      </c>
      <c r="K78">
        <v>62.433963537401297</v>
      </c>
      <c r="L78">
        <v>6.5761743407398945E-2</v>
      </c>
      <c r="M78">
        <v>-6.5042565662608812E-2</v>
      </c>
      <c r="N78">
        <v>4.0689995935193002</v>
      </c>
      <c r="O78">
        <v>4.0689963998723098</v>
      </c>
      <c r="P78">
        <v>4.06896027736859</v>
      </c>
      <c r="Q78" t="s">
        <v>51</v>
      </c>
    </row>
    <row r="79" spans="1:17" x14ac:dyDescent="0.2">
      <c r="A79">
        <v>78</v>
      </c>
      <c r="B79">
        <v>767</v>
      </c>
      <c r="C79">
        <v>175</v>
      </c>
      <c r="D79">
        <v>0.41577705138682203</v>
      </c>
      <c r="E79">
        <v>109.682407150736</v>
      </c>
      <c r="F79">
        <v>1.78710997538218</v>
      </c>
      <c r="G79">
        <v>-1825.7026287495203</v>
      </c>
      <c r="H79">
        <v>-1495.9887010546531</v>
      </c>
      <c r="I79">
        <v>316.990052227018</v>
      </c>
      <c r="J79">
        <v>162.04197888346599</v>
      </c>
      <c r="K79">
        <v>61.374178792370898</v>
      </c>
      <c r="L79">
        <v>0.77212975807440409</v>
      </c>
      <c r="M79">
        <v>-0.77165354132380193</v>
      </c>
      <c r="N79">
        <v>47.365725562735904</v>
      </c>
      <c r="O79">
        <v>47.365733243945101</v>
      </c>
      <c r="P79">
        <v>47.365706865349203</v>
      </c>
      <c r="Q79" t="s">
        <v>51</v>
      </c>
    </row>
    <row r="80" spans="1:17" x14ac:dyDescent="0.2">
      <c r="A80">
        <v>79</v>
      </c>
      <c r="B80">
        <v>766</v>
      </c>
      <c r="C80">
        <v>175</v>
      </c>
      <c r="D80">
        <v>0.41514747630275201</v>
      </c>
      <c r="E80">
        <v>109.68243100184201</v>
      </c>
      <c r="F80">
        <v>1.7878133343448901</v>
      </c>
      <c r="G80">
        <v>-1825.386102790625</v>
      </c>
      <c r="H80">
        <v>-1496.1644917335111</v>
      </c>
      <c r="I80">
        <v>316.82133400108</v>
      </c>
      <c r="J80">
        <v>162.047534826065</v>
      </c>
      <c r="K80">
        <v>61.350046391746197</v>
      </c>
      <c r="L80">
        <v>0.77176948809849111</v>
      </c>
      <c r="M80">
        <v>-0.77129293391942222</v>
      </c>
      <c r="N80">
        <v>47.324968682679902</v>
      </c>
      <c r="O80">
        <v>47.324976184476597</v>
      </c>
      <c r="P80">
        <v>47.324949774486299</v>
      </c>
      <c r="Q80" t="s">
        <v>51</v>
      </c>
    </row>
    <row r="81" spans="1:17" x14ac:dyDescent="0.2">
      <c r="A81">
        <v>80</v>
      </c>
      <c r="B81">
        <v>765</v>
      </c>
      <c r="C81">
        <v>175</v>
      </c>
      <c r="D81">
        <v>0.41451668833983701</v>
      </c>
      <c r="E81">
        <v>109.682449721079</v>
      </c>
      <c r="F81">
        <v>1.78771310553303</v>
      </c>
      <c r="G81">
        <v>-1825.0697021329561</v>
      </c>
      <c r="H81">
        <v>-1496.4124458902106</v>
      </c>
      <c r="I81">
        <v>316.58291449288703</v>
      </c>
      <c r="J81">
        <v>162.04065468963</v>
      </c>
      <c r="K81">
        <v>61.353496476368797</v>
      </c>
      <c r="L81">
        <v>0.76808885512874026</v>
      </c>
      <c r="M81">
        <v>-0.76760989123680246</v>
      </c>
      <c r="N81">
        <v>47.101678923627297</v>
      </c>
      <c r="O81">
        <v>47.101686281873299</v>
      </c>
      <c r="P81">
        <v>47.101659717931</v>
      </c>
      <c r="Q81" t="s">
        <v>51</v>
      </c>
    </row>
    <row r="82" spans="1:17" x14ac:dyDescent="0.2">
      <c r="A82">
        <v>81</v>
      </c>
      <c r="B82">
        <v>764</v>
      </c>
      <c r="C82">
        <v>175</v>
      </c>
      <c r="D82">
        <v>0.41388468398978101</v>
      </c>
      <c r="E82">
        <v>109.68246840074499</v>
      </c>
      <c r="F82">
        <v>1.7876171119050099</v>
      </c>
      <c r="G82">
        <v>-1824.7535393619789</v>
      </c>
      <c r="H82">
        <v>-1496.6604569028607</v>
      </c>
      <c r="I82">
        <v>316.34420980791498</v>
      </c>
      <c r="J82">
        <v>162.03454515393199</v>
      </c>
      <c r="K82">
        <v>61.356801560184103</v>
      </c>
      <c r="L82">
        <v>0.76439648080855094</v>
      </c>
      <c r="M82">
        <v>-0.76391510697165199</v>
      </c>
      <c r="N82">
        <v>46.877532404483901</v>
      </c>
      <c r="O82">
        <v>46.877539615622901</v>
      </c>
      <c r="P82">
        <v>46.877512897506101</v>
      </c>
      <c r="Q82" t="s">
        <v>51</v>
      </c>
    </row>
    <row r="83" spans="1:17" x14ac:dyDescent="0.2">
      <c r="A83">
        <v>82</v>
      </c>
      <c r="B83">
        <v>763</v>
      </c>
      <c r="C83">
        <v>175</v>
      </c>
      <c r="D83">
        <v>0.41325145973073701</v>
      </c>
      <c r="E83">
        <v>109.682487041474</v>
      </c>
      <c r="F83">
        <v>1.7875258806263501</v>
      </c>
      <c r="G83">
        <v>-1824.4376147550383</v>
      </c>
      <c r="H83">
        <v>-1496.9084861152935</v>
      </c>
      <c r="I83">
        <v>316.10525668596199</v>
      </c>
      <c r="J83">
        <v>162.02920831217099</v>
      </c>
      <c r="K83">
        <v>61.359943500813401</v>
      </c>
      <c r="L83">
        <v>0.76069404486044634</v>
      </c>
      <c r="M83">
        <v>-0.76021026227320021</v>
      </c>
      <c r="N83">
        <v>46.652619959642998</v>
      </c>
      <c r="O83">
        <v>46.652627020066099</v>
      </c>
      <c r="P83">
        <v>46.6526001476403</v>
      </c>
      <c r="Q83" t="s">
        <v>51</v>
      </c>
    </row>
    <row r="84" spans="1:17" x14ac:dyDescent="0.2">
      <c r="A84">
        <v>83</v>
      </c>
      <c r="B84">
        <v>762</v>
      </c>
      <c r="C84">
        <v>175</v>
      </c>
      <c r="D84">
        <v>0.41261701202724399</v>
      </c>
      <c r="E84">
        <v>109.682512862362</v>
      </c>
      <c r="F84">
        <v>1.7860915978855401</v>
      </c>
      <c r="G84">
        <v>-1824.1221019078253</v>
      </c>
      <c r="H84">
        <v>-1497.3474026946076</v>
      </c>
      <c r="I84">
        <v>315.68186906476302</v>
      </c>
      <c r="J84">
        <v>162.02940670346101</v>
      </c>
      <c r="K84">
        <v>61.409231750605002</v>
      </c>
      <c r="L84">
        <v>0.74758542927780902</v>
      </c>
      <c r="M84">
        <v>-0.74709425173600619</v>
      </c>
      <c r="N84">
        <v>45.884728747380798</v>
      </c>
      <c r="O84">
        <v>45.884735734178598</v>
      </c>
      <c r="P84">
        <v>45.884708416101198</v>
      </c>
      <c r="Q84" t="s">
        <v>51</v>
      </c>
    </row>
    <row r="85" spans="1:17" x14ac:dyDescent="0.2">
      <c r="A85">
        <v>84</v>
      </c>
      <c r="B85">
        <v>761</v>
      </c>
      <c r="C85">
        <v>175</v>
      </c>
      <c r="D85">
        <v>0.411981337330175</v>
      </c>
      <c r="E85">
        <v>109.68254271485699</v>
      </c>
      <c r="F85">
        <v>1.78363055304701</v>
      </c>
      <c r="G85">
        <v>-1823.807182105593</v>
      </c>
      <c r="H85">
        <v>-1497.9323454932701</v>
      </c>
      <c r="I85">
        <v>315.11705887528302</v>
      </c>
      <c r="J85">
        <v>162.03345605426699</v>
      </c>
      <c r="K85">
        <v>61.493980649459601</v>
      </c>
      <c r="L85">
        <v>0.7272228518656727</v>
      </c>
      <c r="M85">
        <v>-0.72672047170706144</v>
      </c>
      <c r="N85">
        <v>44.6953138099909</v>
      </c>
      <c r="O85">
        <v>44.695320776251201</v>
      </c>
      <c r="P85">
        <v>44.695292788260197</v>
      </c>
      <c r="Q85" t="s">
        <v>51</v>
      </c>
    </row>
    <row r="86" spans="1:17" x14ac:dyDescent="0.2">
      <c r="A86">
        <v>85</v>
      </c>
      <c r="B86">
        <v>760</v>
      </c>
      <c r="C86">
        <v>175</v>
      </c>
      <c r="D86">
        <v>0.41134443207665999</v>
      </c>
      <c r="E86">
        <v>109.68257138845701</v>
      </c>
      <c r="F86">
        <v>1.7807940680637999</v>
      </c>
      <c r="G86">
        <v>-1823.4928306707716</v>
      </c>
      <c r="H86">
        <v>-1498.5705815549322</v>
      </c>
      <c r="I86">
        <v>314.50013212533003</v>
      </c>
      <c r="J86">
        <v>162.03666780790701</v>
      </c>
      <c r="K86">
        <v>61.591945613179</v>
      </c>
      <c r="L86">
        <v>0.70408950410976234</v>
      </c>
      <c r="M86">
        <v>-0.70357454764852401</v>
      </c>
      <c r="N86">
        <v>43.341057106387296</v>
      </c>
      <c r="O86">
        <v>43.341064063331203</v>
      </c>
      <c r="P86">
        <v>43.341035322279701</v>
      </c>
      <c r="Q86" t="s">
        <v>51</v>
      </c>
    </row>
    <row r="87" spans="1:17" x14ac:dyDescent="0.2">
      <c r="A87">
        <v>86</v>
      </c>
      <c r="B87">
        <v>759</v>
      </c>
      <c r="C87">
        <v>175</v>
      </c>
      <c r="D87">
        <v>0.41070629269001901</v>
      </c>
      <c r="E87">
        <v>109.682556250131</v>
      </c>
      <c r="F87">
        <v>1.7617608506492599</v>
      </c>
      <c r="G87">
        <v>-1823.1794348699395</v>
      </c>
      <c r="H87">
        <v>-1501.6435491598411</v>
      </c>
      <c r="I87">
        <v>311.52446397323303</v>
      </c>
      <c r="J87">
        <v>161.79469731395</v>
      </c>
      <c r="K87">
        <v>62.257346795797801</v>
      </c>
      <c r="L87">
        <v>0.55903313178517766</v>
      </c>
      <c r="M87">
        <v>-0.55844648656009743</v>
      </c>
      <c r="N87">
        <v>34.7748838479299</v>
      </c>
      <c r="O87">
        <v>34.774891669421898</v>
      </c>
      <c r="P87">
        <v>34.774858666495</v>
      </c>
      <c r="Q87" t="s">
        <v>51</v>
      </c>
    </row>
    <row r="88" spans="1:17" x14ac:dyDescent="0.2">
      <c r="A88">
        <v>87</v>
      </c>
      <c r="B88">
        <v>758</v>
      </c>
      <c r="C88">
        <v>175</v>
      </c>
      <c r="D88">
        <v>0.41006691557969399</v>
      </c>
      <c r="E88">
        <v>109.68253166902301</v>
      </c>
      <c r="F88">
        <v>1.7474362531665399</v>
      </c>
      <c r="G88">
        <v>-1822.8687781923668</v>
      </c>
      <c r="H88">
        <v>-1504.1129747946086</v>
      </c>
      <c r="I88">
        <v>309.130881635913</v>
      </c>
      <c r="J88">
        <v>161.60511224047599</v>
      </c>
      <c r="K88">
        <v>62.7676869300766</v>
      </c>
      <c r="L88">
        <v>0.44640573740903722</v>
      </c>
      <c r="M88">
        <v>-0.44576371610387566</v>
      </c>
      <c r="N88">
        <v>27.987788093535599</v>
      </c>
      <c r="O88">
        <v>27.987796494101499</v>
      </c>
      <c r="P88">
        <v>27.987760131385599</v>
      </c>
      <c r="Q88" t="s">
        <v>51</v>
      </c>
    </row>
    <row r="89" spans="1:17" x14ac:dyDescent="0.2">
      <c r="A89">
        <v>88</v>
      </c>
      <c r="B89">
        <v>757</v>
      </c>
      <c r="C89">
        <v>175</v>
      </c>
      <c r="D89">
        <v>0.40942629714119499</v>
      </c>
      <c r="E89">
        <v>109.689907644697</v>
      </c>
      <c r="F89">
        <v>1.7200827809569901</v>
      </c>
      <c r="G89">
        <v>-1822.6819740989229</v>
      </c>
      <c r="H89">
        <v>-1508.8577927462836</v>
      </c>
      <c r="I89">
        <v>304.64444544357599</v>
      </c>
      <c r="J89">
        <v>161.15186949480801</v>
      </c>
      <c r="K89">
        <v>63.770132960502202</v>
      </c>
      <c r="L89">
        <v>0.23815539684345241</v>
      </c>
      <c r="M89">
        <v>-0.23741082089437129</v>
      </c>
      <c r="N89">
        <v>15.149375347369199</v>
      </c>
      <c r="O89">
        <v>15.1493849957679</v>
      </c>
      <c r="P89">
        <v>15.149342257056</v>
      </c>
      <c r="Q89" t="s">
        <v>51</v>
      </c>
    </row>
    <row r="90" spans="1:17" x14ac:dyDescent="0.2">
      <c r="A90">
        <v>89</v>
      </c>
      <c r="B90">
        <v>756</v>
      </c>
      <c r="C90">
        <v>175</v>
      </c>
      <c r="D90">
        <v>0.40878443375601398</v>
      </c>
      <c r="E90">
        <v>109.69209691717801</v>
      </c>
      <c r="F90">
        <v>1.706721582293</v>
      </c>
      <c r="G90">
        <v>-1822.4142584110828</v>
      </c>
      <c r="H90">
        <v>-1511.4274869035162</v>
      </c>
      <c r="I90">
        <v>302.18382248258501</v>
      </c>
      <c r="J90">
        <v>160.91518506875201</v>
      </c>
      <c r="K90">
        <v>64.270644992844097</v>
      </c>
      <c r="L90">
        <v>0.13080972432803747</v>
      </c>
      <c r="M90">
        <v>-0.13001243443785451</v>
      </c>
      <c r="N90">
        <v>8.36637079443922</v>
      </c>
      <c r="O90">
        <v>8.3663808989654207</v>
      </c>
      <c r="P90">
        <v>8.3663347988225496</v>
      </c>
      <c r="Q90" t="s">
        <v>51</v>
      </c>
    </row>
    <row r="91" spans="1:17" x14ac:dyDescent="0.2">
      <c r="A91">
        <v>90</v>
      </c>
      <c r="B91">
        <v>755</v>
      </c>
      <c r="C91">
        <v>175</v>
      </c>
      <c r="D91">
        <v>0.40814132179156798</v>
      </c>
      <c r="E91">
        <v>109.69215844092</v>
      </c>
      <c r="F91">
        <v>1.70131815727335</v>
      </c>
      <c r="G91">
        <v>-1822.1137630330654</v>
      </c>
      <c r="H91">
        <v>-1512.6964120302912</v>
      </c>
      <c r="I91">
        <v>300.951468240873</v>
      </c>
      <c r="J91">
        <v>160.82428995230899</v>
      </c>
      <c r="K91">
        <v>64.474806180121405</v>
      </c>
      <c r="L91">
        <v>8.1651669161702717E-2</v>
      </c>
      <c r="M91">
        <v>-8.083032047776198E-2</v>
      </c>
      <c r="N91">
        <v>5.22222614500033</v>
      </c>
      <c r="O91">
        <v>5.2222362507121103</v>
      </c>
      <c r="P91">
        <v>5.2221885939783297</v>
      </c>
      <c r="Q91" t="s">
        <v>51</v>
      </c>
    </row>
    <row r="92" spans="1:17" x14ac:dyDescent="0.2">
      <c r="A92">
        <v>91</v>
      </c>
      <c r="B92">
        <v>754</v>
      </c>
      <c r="C92">
        <v>175</v>
      </c>
      <c r="D92">
        <v>0.40749695760112897</v>
      </c>
      <c r="E92">
        <v>109.69217315604099</v>
      </c>
      <c r="F92">
        <v>1.6996129179750099</v>
      </c>
      <c r="G92">
        <v>-1821.8133963449932</v>
      </c>
      <c r="H92">
        <v>-1513.3497369559639</v>
      </c>
      <c r="I92">
        <v>300.31606387528001</v>
      </c>
      <c r="J92">
        <v>160.810898929118</v>
      </c>
      <c r="K92">
        <v>64.539503080932604</v>
      </c>
      <c r="L92">
        <v>6.0026745958970944E-2</v>
      </c>
      <c r="M92">
        <v>-5.9194850386606178E-2</v>
      </c>
      <c r="N92">
        <v>3.83123507261746</v>
      </c>
      <c r="O92">
        <v>3.8312449672683599</v>
      </c>
      <c r="P92">
        <v>3.83119661892409</v>
      </c>
      <c r="Q92" t="s">
        <v>51</v>
      </c>
    </row>
    <row r="93" spans="1:17" x14ac:dyDescent="0.2">
      <c r="A93">
        <v>92</v>
      </c>
      <c r="B93">
        <v>775</v>
      </c>
      <c r="C93">
        <v>155</v>
      </c>
      <c r="D93">
        <v>0.44175976720889598</v>
      </c>
      <c r="E93">
        <v>109.68237194164401</v>
      </c>
      <c r="F93">
        <v>1.7197454164170201</v>
      </c>
      <c r="G93">
        <v>-1829.4957655456333</v>
      </c>
      <c r="H93">
        <v>-1495.2720224429308</v>
      </c>
      <c r="I93">
        <v>318.87345488228198</v>
      </c>
      <c r="J93">
        <v>162.42961257034599</v>
      </c>
      <c r="K93">
        <v>63.778260953392198</v>
      </c>
      <c r="L93">
        <v>0.74054230809673871</v>
      </c>
      <c r="M93">
        <v>-0.73995290743125541</v>
      </c>
      <c r="N93">
        <v>47.201879845051202</v>
      </c>
      <c r="O93">
        <v>47.201902155243701</v>
      </c>
      <c r="P93">
        <v>47.201864572434999</v>
      </c>
      <c r="Q93" t="s">
        <v>51</v>
      </c>
    </row>
    <row r="94" spans="1:17" x14ac:dyDescent="0.2">
      <c r="A94">
        <v>93</v>
      </c>
      <c r="B94">
        <v>774</v>
      </c>
      <c r="C94">
        <v>155</v>
      </c>
      <c r="D94">
        <v>0.44115981473524002</v>
      </c>
      <c r="E94">
        <v>109.682392136891</v>
      </c>
      <c r="F94">
        <v>1.7200578779906599</v>
      </c>
      <c r="G94">
        <v>-1829.1773126283297</v>
      </c>
      <c r="H94">
        <v>-1495.4887060301819</v>
      </c>
      <c r="I94">
        <v>318.66693962481497</v>
      </c>
      <c r="J94">
        <v>162.428183683801</v>
      </c>
      <c r="K94">
        <v>63.766686889059997</v>
      </c>
      <c r="L94">
        <v>0.73844196410042173</v>
      </c>
      <c r="M94">
        <v>-0.7378508410598783</v>
      </c>
      <c r="N94">
        <v>47.059278292112197</v>
      </c>
      <c r="O94">
        <v>47.059300492457901</v>
      </c>
      <c r="P94">
        <v>47.059262773047898</v>
      </c>
      <c r="Q94" t="s">
        <v>51</v>
      </c>
    </row>
    <row r="95" spans="1:17" x14ac:dyDescent="0.2">
      <c r="A95">
        <v>94</v>
      </c>
      <c r="B95">
        <v>773</v>
      </c>
      <c r="C95">
        <v>155</v>
      </c>
      <c r="D95">
        <v>0.440558715289395</v>
      </c>
      <c r="E95">
        <v>109.68241027476</v>
      </c>
      <c r="F95">
        <v>1.7200487288017201</v>
      </c>
      <c r="G95">
        <v>-1828.8590547636923</v>
      </c>
      <c r="H95">
        <v>-1495.7331774059642</v>
      </c>
      <c r="I95">
        <v>318.43365928099001</v>
      </c>
      <c r="J95">
        <v>162.42032481497</v>
      </c>
      <c r="K95">
        <v>63.767036618300601</v>
      </c>
      <c r="L95">
        <v>0.7350939772300833</v>
      </c>
      <c r="M95">
        <v>-0.73450028826331393</v>
      </c>
      <c r="N95">
        <v>46.8459000272616</v>
      </c>
      <c r="O95">
        <v>46.845922150050598</v>
      </c>
      <c r="P95">
        <v>46.845884234525599</v>
      </c>
      <c r="Q95" t="s">
        <v>51</v>
      </c>
    </row>
    <row r="96" spans="1:17" x14ac:dyDescent="0.2">
      <c r="A96">
        <v>95</v>
      </c>
      <c r="B96">
        <v>772</v>
      </c>
      <c r="C96">
        <v>155</v>
      </c>
      <c r="D96">
        <v>0.43995646557910401</v>
      </c>
      <c r="E96">
        <v>109.682428385279</v>
      </c>
      <c r="F96">
        <v>1.7200444938578101</v>
      </c>
      <c r="G96">
        <v>-1828.541029802306</v>
      </c>
      <c r="H96">
        <v>-1495.9776228955977</v>
      </c>
      <c r="I96">
        <v>318.20018016280397</v>
      </c>
      <c r="J96">
        <v>162.41318877495399</v>
      </c>
      <c r="K96">
        <v>63.767204149049199</v>
      </c>
      <c r="L96">
        <v>0.73173838216425813</v>
      </c>
      <c r="M96">
        <v>-0.73114212685420343</v>
      </c>
      <c r="N96">
        <v>46.631900822687399</v>
      </c>
      <c r="O96">
        <v>46.6319228639789</v>
      </c>
      <c r="P96">
        <v>46.631884751864497</v>
      </c>
      <c r="Q96" t="s">
        <v>51</v>
      </c>
    </row>
    <row r="97" spans="1:17" x14ac:dyDescent="0.2">
      <c r="A97">
        <v>96</v>
      </c>
      <c r="B97">
        <v>771</v>
      </c>
      <c r="C97">
        <v>155</v>
      </c>
      <c r="D97">
        <v>0.43935306229947801</v>
      </c>
      <c r="E97">
        <v>109.68244646961</v>
      </c>
      <c r="F97">
        <v>1.72004565493094</v>
      </c>
      <c r="G97">
        <v>-1828.223237945944</v>
      </c>
      <c r="H97">
        <v>-1496.2220084539256</v>
      </c>
      <c r="I97">
        <v>317.96653449019402</v>
      </c>
      <c r="J97">
        <v>162.40677957496999</v>
      </c>
      <c r="K97">
        <v>63.767171618484802</v>
      </c>
      <c r="L97">
        <v>0.72837666261427036</v>
      </c>
      <c r="M97">
        <v>-0.72777784186548522</v>
      </c>
      <c r="N97">
        <v>46.417364184106702</v>
      </c>
      <c r="O97">
        <v>46.4173861398517</v>
      </c>
      <c r="P97">
        <v>46.417347830765799</v>
      </c>
      <c r="Q97" t="s">
        <v>51</v>
      </c>
    </row>
    <row r="98" spans="1:17" x14ac:dyDescent="0.2">
      <c r="A98">
        <v>97</v>
      </c>
      <c r="B98">
        <v>770</v>
      </c>
      <c r="C98">
        <v>155</v>
      </c>
      <c r="D98">
        <v>0.43874850213296301</v>
      </c>
      <c r="E98">
        <v>109.682464528875</v>
      </c>
      <c r="F98">
        <v>1.7200526786224299</v>
      </c>
      <c r="G98">
        <v>-1827.9056793638729</v>
      </c>
      <c r="H98">
        <v>-1496.4663009508636</v>
      </c>
      <c r="I98">
        <v>317.73275369841599</v>
      </c>
      <c r="J98">
        <v>162.40110080420499</v>
      </c>
      <c r="K98">
        <v>63.766921729814896</v>
      </c>
      <c r="L98">
        <v>0.72501025776573613</v>
      </c>
      <c r="M98">
        <v>-0.72440887377680363</v>
      </c>
      <c r="N98">
        <v>46.2023714347498</v>
      </c>
      <c r="O98">
        <v>46.202393300794498</v>
      </c>
      <c r="P98">
        <v>46.202354794445398</v>
      </c>
      <c r="Q98" t="s">
        <v>51</v>
      </c>
    </row>
    <row r="99" spans="1:17" x14ac:dyDescent="0.2">
      <c r="A99">
        <v>98</v>
      </c>
      <c r="B99">
        <v>769</v>
      </c>
      <c r="C99">
        <v>155</v>
      </c>
      <c r="D99">
        <v>0.43814278174927401</v>
      </c>
      <c r="E99">
        <v>109.68248256422</v>
      </c>
      <c r="F99">
        <v>1.7200660148042</v>
      </c>
      <c r="G99">
        <v>-1827.5883541948438</v>
      </c>
      <c r="H99">
        <v>-1496.7104683189816</v>
      </c>
      <c r="I99">
        <v>317.498868294619</v>
      </c>
      <c r="J99">
        <v>162.39615564934999</v>
      </c>
      <c r="K99">
        <v>63.7664378112284</v>
      </c>
      <c r="L99">
        <v>0.72164055528265747</v>
      </c>
      <c r="M99">
        <v>-0.72103661151384002</v>
      </c>
      <c r="N99">
        <v>45.987001299957903</v>
      </c>
      <c r="O99">
        <v>45.987023072045503</v>
      </c>
      <c r="P99">
        <v>45.986984368230502</v>
      </c>
      <c r="Q99" t="s">
        <v>51</v>
      </c>
    </row>
    <row r="100" spans="1:17" x14ac:dyDescent="0.2">
      <c r="A100">
        <v>99</v>
      </c>
      <c r="B100">
        <v>768</v>
      </c>
      <c r="C100">
        <v>155</v>
      </c>
      <c r="D100">
        <v>0.43753589780531399</v>
      </c>
      <c r="E100">
        <v>109.682502081679</v>
      </c>
      <c r="F100">
        <v>1.71976707854769</v>
      </c>
      <c r="G100">
        <v>-1827.2712896274838</v>
      </c>
      <c r="H100">
        <v>-1496.9950491491502</v>
      </c>
      <c r="I100">
        <v>317.225974729244</v>
      </c>
      <c r="J100">
        <v>162.390868275033</v>
      </c>
      <c r="K100">
        <v>63.777533277532001</v>
      </c>
      <c r="L100">
        <v>0.71630220832136848</v>
      </c>
      <c r="M100">
        <v>-0.71569456073975335</v>
      </c>
      <c r="N100">
        <v>45.654334665507498</v>
      </c>
      <c r="O100">
        <v>45.654356384585903</v>
      </c>
      <c r="P100">
        <v>45.654317403851799</v>
      </c>
      <c r="Q100" t="s">
        <v>51</v>
      </c>
    </row>
    <row r="101" spans="1:17" x14ac:dyDescent="0.2">
      <c r="A101">
        <v>100</v>
      </c>
      <c r="B101">
        <v>767</v>
      </c>
      <c r="C101">
        <v>155</v>
      </c>
      <c r="D101">
        <v>0.43692784694515202</v>
      </c>
      <c r="E101">
        <v>109.682531171478</v>
      </c>
      <c r="F101">
        <v>1.7172443536390001</v>
      </c>
      <c r="G101">
        <v>-1826.9548048531688</v>
      </c>
      <c r="H101">
        <v>-1497.5635697426364</v>
      </c>
      <c r="I101">
        <v>316.68018339393399</v>
      </c>
      <c r="J101">
        <v>162.37831681093999</v>
      </c>
      <c r="K101">
        <v>63.871242865961499</v>
      </c>
      <c r="L101">
        <v>0.69715648700702104</v>
      </c>
      <c r="M101">
        <v>-0.69653710249209455</v>
      </c>
      <c r="N101">
        <v>44.497957571385697</v>
      </c>
      <c r="O101">
        <v>44.497979547393903</v>
      </c>
      <c r="P101">
        <v>44.497939732766199</v>
      </c>
      <c r="Q101" t="s">
        <v>51</v>
      </c>
    </row>
    <row r="102" spans="1:17" x14ac:dyDescent="0.2">
      <c r="A102">
        <v>101</v>
      </c>
      <c r="B102">
        <v>766</v>
      </c>
      <c r="C102">
        <v>155</v>
      </c>
      <c r="D102">
        <v>0.43631862579993802</v>
      </c>
      <c r="E102">
        <v>109.682559259277</v>
      </c>
      <c r="F102">
        <v>1.71440716163674</v>
      </c>
      <c r="G102">
        <v>-1826.6388675264261</v>
      </c>
      <c r="H102">
        <v>-1498.173551221116</v>
      </c>
      <c r="I102">
        <v>316.09397689918302</v>
      </c>
      <c r="J102">
        <v>162.363157700572</v>
      </c>
      <c r="K102">
        <v>63.976960499023399</v>
      </c>
      <c r="L102">
        <v>0.67589243497204665</v>
      </c>
      <c r="M102">
        <v>-0.67526015944235296</v>
      </c>
      <c r="N102">
        <v>43.210544150900397</v>
      </c>
      <c r="O102">
        <v>43.210566419722603</v>
      </c>
      <c r="P102">
        <v>43.210525687408499</v>
      </c>
      <c r="Q102" t="s">
        <v>51</v>
      </c>
    </row>
    <row r="103" spans="1:17" x14ac:dyDescent="0.2">
      <c r="A103">
        <v>102</v>
      </c>
      <c r="B103">
        <v>765</v>
      </c>
      <c r="C103">
        <v>155</v>
      </c>
      <c r="D103">
        <v>0.43570823098781702</v>
      </c>
      <c r="E103">
        <v>109.682579188939</v>
      </c>
      <c r="F103">
        <v>1.7080834990598399</v>
      </c>
      <c r="G103">
        <v>-1826.3234446835199</v>
      </c>
      <c r="H103">
        <v>-1499.2490523568481</v>
      </c>
      <c r="I103">
        <v>315.058801054414</v>
      </c>
      <c r="J103">
        <v>162.283220276565</v>
      </c>
      <c r="K103">
        <v>64.213827514468903</v>
      </c>
      <c r="L103">
        <v>0.63139856089928337</v>
      </c>
      <c r="M103">
        <v>-0.63074093984453639</v>
      </c>
      <c r="N103">
        <v>40.512128378310102</v>
      </c>
      <c r="O103">
        <v>40.512151410629897</v>
      </c>
      <c r="P103">
        <v>40.512108887193001</v>
      </c>
      <c r="Q103" t="s">
        <v>51</v>
      </c>
    </row>
    <row r="104" spans="1:17" x14ac:dyDescent="0.2">
      <c r="A104">
        <v>103</v>
      </c>
      <c r="B104">
        <v>764</v>
      </c>
      <c r="C104">
        <v>155</v>
      </c>
      <c r="D104">
        <v>0.43509665911391998</v>
      </c>
      <c r="E104">
        <v>109.682556487171</v>
      </c>
      <c r="F104">
        <v>1.68843364679596</v>
      </c>
      <c r="G104">
        <v>-1826.0095198642573</v>
      </c>
      <c r="H104">
        <v>-1502.1917430023695</v>
      </c>
      <c r="I104">
        <v>312.22306872332399</v>
      </c>
      <c r="J104">
        <v>161.91996547390099</v>
      </c>
      <c r="K104">
        <v>64.961129325578597</v>
      </c>
      <c r="L104">
        <v>0.49616481267673823</v>
      </c>
      <c r="M104">
        <v>-0.49543371075291864</v>
      </c>
      <c r="N104">
        <v>32.194954463041597</v>
      </c>
      <c r="O104">
        <v>32.194980113335497</v>
      </c>
      <c r="P104">
        <v>32.194932365561797</v>
      </c>
      <c r="Q104" t="s">
        <v>51</v>
      </c>
    </row>
    <row r="105" spans="1:17" x14ac:dyDescent="0.2">
      <c r="A105">
        <v>104</v>
      </c>
      <c r="B105">
        <v>763</v>
      </c>
      <c r="C105">
        <v>155</v>
      </c>
      <c r="D105">
        <v>0.43448390677026</v>
      </c>
      <c r="E105">
        <v>109.68253316434</v>
      </c>
      <c r="F105">
        <v>1.6757583208706901</v>
      </c>
      <c r="G105">
        <v>-1825.6979643567252</v>
      </c>
      <c r="H105">
        <v>-1504.2593773796875</v>
      </c>
      <c r="I105">
        <v>310.22852981752902</v>
      </c>
      <c r="J105">
        <v>161.681388599607</v>
      </c>
      <c r="K105">
        <v>65.452477125312001</v>
      </c>
      <c r="L105">
        <v>0.40553633577279646</v>
      </c>
      <c r="M105">
        <v>-0.4047560086045478</v>
      </c>
      <c r="N105">
        <v>26.504097436126202</v>
      </c>
      <c r="O105">
        <v>26.504124751275999</v>
      </c>
      <c r="P105">
        <v>26.5040734265663</v>
      </c>
      <c r="Q105" t="s">
        <v>51</v>
      </c>
    </row>
    <row r="106" spans="1:17" x14ac:dyDescent="0.2">
      <c r="A106">
        <v>105</v>
      </c>
      <c r="B106">
        <v>762</v>
      </c>
      <c r="C106">
        <v>155</v>
      </c>
      <c r="D106">
        <v>0.433869970535674</v>
      </c>
      <c r="E106">
        <v>109.690687037117</v>
      </c>
      <c r="F106">
        <v>1.64701324645505</v>
      </c>
      <c r="G106">
        <v>-1825.5231752395732</v>
      </c>
      <c r="H106">
        <v>-1508.8893486985544</v>
      </c>
      <c r="I106">
        <v>305.88731610509598</v>
      </c>
      <c r="J106">
        <v>161.030272795157</v>
      </c>
      <c r="K106">
        <v>66.599760064595898</v>
      </c>
      <c r="L106">
        <v>0.20912526815737717</v>
      </c>
      <c r="M106">
        <v>-0.20823832249752056</v>
      </c>
      <c r="N106">
        <v>13.882231367732199</v>
      </c>
      <c r="O106">
        <v>13.8822626421916</v>
      </c>
      <c r="P106">
        <v>13.882203378641201</v>
      </c>
      <c r="Q106" t="s">
        <v>51</v>
      </c>
    </row>
    <row r="107" spans="1:17" x14ac:dyDescent="0.2">
      <c r="A107">
        <v>106</v>
      </c>
      <c r="B107">
        <v>761</v>
      </c>
      <c r="C107">
        <v>155</v>
      </c>
      <c r="D107">
        <v>0.43325484697577799</v>
      </c>
      <c r="E107">
        <v>109.69245613824501</v>
      </c>
      <c r="F107">
        <v>1.6351824587988999</v>
      </c>
      <c r="G107">
        <v>-1825.2471697252963</v>
      </c>
      <c r="H107">
        <v>-1511.0543296303777</v>
      </c>
      <c r="I107">
        <v>303.823038843902</v>
      </c>
      <c r="J107">
        <v>160.74675621962299</v>
      </c>
      <c r="K107">
        <v>67.082701106528205</v>
      </c>
      <c r="L107">
        <v>0.1223560815525446</v>
      </c>
      <c r="M107">
        <v>-0.12142203524256756</v>
      </c>
      <c r="N107">
        <v>8.1597120347193801</v>
      </c>
      <c r="O107">
        <v>8.1597448767251599</v>
      </c>
      <c r="P107">
        <v>8.1596820095282201</v>
      </c>
      <c r="Q107" t="s">
        <v>51</v>
      </c>
    </row>
    <row r="108" spans="1:17" x14ac:dyDescent="0.2">
      <c r="A108">
        <v>107</v>
      </c>
      <c r="B108">
        <v>760</v>
      </c>
      <c r="C108">
        <v>155</v>
      </c>
      <c r="D108">
        <v>0.43263853264288998</v>
      </c>
      <c r="E108">
        <v>109.692458827742</v>
      </c>
      <c r="F108">
        <v>1.6301728743230299</v>
      </c>
      <c r="G108">
        <v>-1824.9440032448292</v>
      </c>
      <c r="H108">
        <v>-1512.1850373079756</v>
      </c>
      <c r="I108">
        <v>302.729400978228</v>
      </c>
      <c r="J108">
        <v>160.62926398023899</v>
      </c>
      <c r="K108">
        <v>67.288850498935602</v>
      </c>
      <c r="L108">
        <v>8.0445269876927725E-2</v>
      </c>
      <c r="M108">
        <v>-7.9488371424414492E-2</v>
      </c>
      <c r="N108">
        <v>5.3634349784515898</v>
      </c>
      <c r="O108">
        <v>5.3634683848656701</v>
      </c>
      <c r="P108">
        <v>5.3634037421066303</v>
      </c>
      <c r="Q108" t="s">
        <v>51</v>
      </c>
    </row>
    <row r="109" spans="1:17" x14ac:dyDescent="0.2">
      <c r="A109">
        <v>108</v>
      </c>
      <c r="B109">
        <v>759</v>
      </c>
      <c r="C109">
        <v>155</v>
      </c>
      <c r="D109">
        <v>0.43202102407596099</v>
      </c>
      <c r="E109">
        <v>109.69245521467801</v>
      </c>
      <c r="F109">
        <v>1.62823559704364</v>
      </c>
      <c r="G109">
        <v>-1824.6415743246944</v>
      </c>
      <c r="H109">
        <v>-1512.8521822809987</v>
      </c>
      <c r="I109">
        <v>302.083407234476</v>
      </c>
      <c r="J109">
        <v>160.59256238664199</v>
      </c>
      <c r="K109">
        <v>67.368908660297294</v>
      </c>
      <c r="L109">
        <v>5.8855746149930381E-2</v>
      </c>
      <c r="M109">
        <v>-5.7886984095271078E-2</v>
      </c>
      <c r="N109">
        <v>3.9147015681006998</v>
      </c>
      <c r="O109">
        <v>3.9147350784257902</v>
      </c>
      <c r="P109">
        <v>3.91466950136126</v>
      </c>
      <c r="Q109" t="s">
        <v>51</v>
      </c>
    </row>
    <row r="110" spans="1:17" x14ac:dyDescent="0.2">
      <c r="A110">
        <v>109</v>
      </c>
      <c r="B110">
        <v>785</v>
      </c>
      <c r="C110">
        <v>135</v>
      </c>
      <c r="D110">
        <v>0.46848792704248099</v>
      </c>
      <c r="E110">
        <v>109.682296479627</v>
      </c>
      <c r="F110">
        <v>1.63242044802193</v>
      </c>
      <c r="G110">
        <v>-1834.0024438260114</v>
      </c>
      <c r="H110">
        <v>-1494.1424931123527</v>
      </c>
      <c r="I110">
        <v>321.18662320468098</v>
      </c>
      <c r="J110">
        <v>162.510332728094</v>
      </c>
      <c r="K110">
        <v>67.189979525516094</v>
      </c>
      <c r="L110">
        <v>0.70021077244898988</v>
      </c>
      <c r="M110">
        <v>-0.69947693489525786</v>
      </c>
      <c r="N110">
        <v>47.011518532364803</v>
      </c>
      <c r="O110">
        <v>47.011565005122002</v>
      </c>
      <c r="P110">
        <v>47.011510179028498</v>
      </c>
      <c r="Q110" t="s">
        <v>51</v>
      </c>
    </row>
    <row r="111" spans="1:17" x14ac:dyDescent="0.2">
      <c r="A111">
        <v>110</v>
      </c>
      <c r="B111">
        <v>784</v>
      </c>
      <c r="C111">
        <v>135</v>
      </c>
      <c r="D111">
        <v>0.467918932980182</v>
      </c>
      <c r="E111">
        <v>109.68231681029501</v>
      </c>
      <c r="F111">
        <v>1.63295813016949</v>
      </c>
      <c r="G111">
        <v>-1833.6816725185934</v>
      </c>
      <c r="H111">
        <v>-1494.3453819978333</v>
      </c>
      <c r="I111">
        <v>320.99510212796201</v>
      </c>
      <c r="J111">
        <v>162.51219550214699</v>
      </c>
      <c r="K111">
        <v>67.167868412468394</v>
      </c>
      <c r="L111">
        <v>0.69885176674072691</v>
      </c>
      <c r="M111">
        <v>-0.69811636265497357</v>
      </c>
      <c r="N111">
        <v>46.904661925065298</v>
      </c>
      <c r="O111">
        <v>46.904708376910698</v>
      </c>
      <c r="P111">
        <v>46.904653409420703</v>
      </c>
      <c r="Q111" t="s">
        <v>51</v>
      </c>
    </row>
    <row r="112" spans="1:17" x14ac:dyDescent="0.2">
      <c r="A112">
        <v>111</v>
      </c>
      <c r="B112">
        <v>783</v>
      </c>
      <c r="C112">
        <v>135</v>
      </c>
      <c r="D112">
        <v>0.46734886143066801</v>
      </c>
      <c r="E112">
        <v>109.68233426822</v>
      </c>
      <c r="F112">
        <v>1.6330324606278199</v>
      </c>
      <c r="G112">
        <v>-1833.3610730838868</v>
      </c>
      <c r="H112">
        <v>-1494.5862660046048</v>
      </c>
      <c r="I112">
        <v>320.76741249921503</v>
      </c>
      <c r="J112">
        <v>162.50156646401399</v>
      </c>
      <c r="K112">
        <v>67.164821834621094</v>
      </c>
      <c r="L112">
        <v>0.69585892573219399</v>
      </c>
      <c r="M112">
        <v>-0.69512075510914295</v>
      </c>
      <c r="N112">
        <v>46.701357388652298</v>
      </c>
      <c r="O112">
        <v>46.701403904410697</v>
      </c>
      <c r="P112">
        <v>46.701348692348397</v>
      </c>
      <c r="Q112" t="s">
        <v>51</v>
      </c>
    </row>
    <row r="113" spans="1:17" x14ac:dyDescent="0.2">
      <c r="A113">
        <v>112</v>
      </c>
      <c r="B113">
        <v>782</v>
      </c>
      <c r="C113">
        <v>135</v>
      </c>
      <c r="D113">
        <v>0.466777709330429</v>
      </c>
      <c r="E113">
        <v>109.682351708849</v>
      </c>
      <c r="F113">
        <v>1.63311200627271</v>
      </c>
      <c r="G113">
        <v>-1833.0407010947624</v>
      </c>
      <c r="H113">
        <v>-1494.8270667096087</v>
      </c>
      <c r="I113">
        <v>320.53958581151801</v>
      </c>
      <c r="J113">
        <v>162.49162156513799</v>
      </c>
      <c r="K113">
        <v>67.161561048822605</v>
      </c>
      <c r="L113">
        <v>0.69286123778901465</v>
      </c>
      <c r="M113">
        <v>-0.6921202980816753</v>
      </c>
      <c r="N113">
        <v>46.497596903515898</v>
      </c>
      <c r="O113">
        <v>46.497643480063402</v>
      </c>
      <c r="P113">
        <v>46.497588022601697</v>
      </c>
      <c r="Q113" t="s">
        <v>51</v>
      </c>
    </row>
    <row r="114" spans="1:17" x14ac:dyDescent="0.2">
      <c r="A114">
        <v>113</v>
      </c>
      <c r="B114">
        <v>781</v>
      </c>
      <c r="C114">
        <v>135</v>
      </c>
      <c r="D114">
        <v>0.46620547360432502</v>
      </c>
      <c r="E114">
        <v>109.682369133625</v>
      </c>
      <c r="F114">
        <v>1.63319721249707</v>
      </c>
      <c r="G114">
        <v>-1832.7205566978976</v>
      </c>
      <c r="H114">
        <v>-1495.0677542073765</v>
      </c>
      <c r="I114">
        <v>320.31165017700403</v>
      </c>
      <c r="J114">
        <v>162.48236736846599</v>
      </c>
      <c r="K114">
        <v>67.158067803658895</v>
      </c>
      <c r="L114">
        <v>0.68985999430421785</v>
      </c>
      <c r="M114">
        <v>-0.68911628414953729</v>
      </c>
      <c r="N114">
        <v>46.293456649040202</v>
      </c>
      <c r="O114">
        <v>46.293503283102503</v>
      </c>
      <c r="P114">
        <v>46.293447579508303</v>
      </c>
      <c r="Q114" t="s">
        <v>51</v>
      </c>
    </row>
    <row r="115" spans="1:17" x14ac:dyDescent="0.2">
      <c r="A115">
        <v>114</v>
      </c>
      <c r="B115">
        <v>780</v>
      </c>
      <c r="C115">
        <v>135</v>
      </c>
      <c r="D115">
        <v>0.46563215116555001</v>
      </c>
      <c r="E115">
        <v>109.682386544038</v>
      </c>
      <c r="F115">
        <v>1.63328851101129</v>
      </c>
      <c r="G115">
        <v>-1832.4006400129706</v>
      </c>
      <c r="H115">
        <v>-1495.3082994056472</v>
      </c>
      <c r="I115">
        <v>320.08363301690798</v>
      </c>
      <c r="J115">
        <v>162.473810062165</v>
      </c>
      <c r="K115">
        <v>67.154324422526699</v>
      </c>
      <c r="L115">
        <v>0.68685645150441432</v>
      </c>
      <c r="M115">
        <v>-0.68610997069964186</v>
      </c>
      <c r="N115">
        <v>46.089011043168199</v>
      </c>
      <c r="O115">
        <v>46.0890577313222</v>
      </c>
      <c r="P115">
        <v>46.089001780954398</v>
      </c>
      <c r="Q115" t="s">
        <v>51</v>
      </c>
    </row>
    <row r="116" spans="1:17" x14ac:dyDescent="0.2">
      <c r="A116">
        <v>115</v>
      </c>
      <c r="B116">
        <v>779</v>
      </c>
      <c r="C116">
        <v>135</v>
      </c>
      <c r="D116">
        <v>0.46505773891555402</v>
      </c>
      <c r="E116">
        <v>109.68240394159299</v>
      </c>
      <c r="F116">
        <v>1.63338631851904</v>
      </c>
      <c r="G116">
        <v>-1832.0809511328948</v>
      </c>
      <c r="H116">
        <v>-1495.5486741368636</v>
      </c>
      <c r="I116">
        <v>319.85556095254998</v>
      </c>
      <c r="J116">
        <v>162.4659554671</v>
      </c>
      <c r="K116">
        <v>67.150313859026198</v>
      </c>
      <c r="L116">
        <v>0.6838518253217355</v>
      </c>
      <c r="M116">
        <v>-0.68310257479686343</v>
      </c>
      <c r="N116">
        <v>45.884332425178101</v>
      </c>
      <c r="O116">
        <v>45.884379163853602</v>
      </c>
      <c r="P116">
        <v>45.884322966161299</v>
      </c>
      <c r="Q116" t="s">
        <v>51</v>
      </c>
    </row>
    <row r="117" spans="1:17" x14ac:dyDescent="0.2">
      <c r="A117">
        <v>116</v>
      </c>
      <c r="B117">
        <v>778</v>
      </c>
      <c r="C117">
        <v>135</v>
      </c>
      <c r="D117">
        <v>0.464482233743996</v>
      </c>
      <c r="E117">
        <v>109.68242132773101</v>
      </c>
      <c r="F117">
        <v>1.6334910356341601</v>
      </c>
      <c r="G117">
        <v>-1831.7614901233339</v>
      </c>
      <c r="H117">
        <v>-1495.7888512534983</v>
      </c>
      <c r="I117">
        <v>319.62745971040698</v>
      </c>
      <c r="J117">
        <v>162.45880904806199</v>
      </c>
      <c r="K117">
        <v>67.146019742403595</v>
      </c>
      <c r="L117">
        <v>0.68084728700229102</v>
      </c>
      <c r="M117">
        <v>-0.68009526878914839</v>
      </c>
      <c r="N117">
        <v>45.679490779984903</v>
      </c>
      <c r="O117">
        <v>45.679537565467001</v>
      </c>
      <c r="P117">
        <v>45.679481119986903</v>
      </c>
      <c r="Q117" t="s">
        <v>51</v>
      </c>
    </row>
    <row r="118" spans="1:17" x14ac:dyDescent="0.2">
      <c r="A118">
        <v>117</v>
      </c>
      <c r="B118">
        <v>777</v>
      </c>
      <c r="C118">
        <v>135</v>
      </c>
      <c r="D118">
        <v>0.46390563252868899</v>
      </c>
      <c r="E118">
        <v>109.682438703945</v>
      </c>
      <c r="F118">
        <v>1.6336030459981099</v>
      </c>
      <c r="G118">
        <v>-1831.4422570256029</v>
      </c>
      <c r="H118">
        <v>-1496.028804711297</v>
      </c>
      <c r="I118">
        <v>319.39935404136099</v>
      </c>
      <c r="J118">
        <v>162.45237592945699</v>
      </c>
      <c r="K118">
        <v>67.141426414842499</v>
      </c>
      <c r="L118">
        <v>0.67784395941412001</v>
      </c>
      <c r="M118">
        <v>-0.67708917661262025</v>
      </c>
      <c r="N118">
        <v>45.474553502962898</v>
      </c>
      <c r="O118">
        <v>45.474600331393702</v>
      </c>
      <c r="P118">
        <v>45.4745436377479</v>
      </c>
      <c r="Q118" t="s">
        <v>51</v>
      </c>
    </row>
    <row r="119" spans="1:17" x14ac:dyDescent="0.2">
      <c r="A119">
        <v>118</v>
      </c>
      <c r="B119">
        <v>776</v>
      </c>
      <c r="C119">
        <v>135</v>
      </c>
      <c r="D119">
        <v>0.46332793213554102</v>
      </c>
      <c r="E119">
        <v>109.682456071649</v>
      </c>
      <c r="F119">
        <v>1.63372271564538</v>
      </c>
      <c r="G119">
        <v>-1831.1232518554846</v>
      </c>
      <c r="H119">
        <v>-1496.2685096306275</v>
      </c>
      <c r="I119">
        <v>319.17126765645401</v>
      </c>
      <c r="J119">
        <v>162.44666091552699</v>
      </c>
      <c r="K119">
        <v>67.136518958372207</v>
      </c>
      <c r="L119">
        <v>0.67484291423066423</v>
      </c>
      <c r="M119">
        <v>-0.67408537097283927</v>
      </c>
      <c r="N119">
        <v>45.269585215835299</v>
      </c>
      <c r="O119">
        <v>45.269632083216898</v>
      </c>
      <c r="P119">
        <v>45.269575141109897</v>
      </c>
      <c r="Q119" t="s">
        <v>51</v>
      </c>
    </row>
    <row r="120" spans="1:17" x14ac:dyDescent="0.2">
      <c r="A120">
        <v>119</v>
      </c>
      <c r="B120">
        <v>775</v>
      </c>
      <c r="C120">
        <v>135</v>
      </c>
      <c r="D120">
        <v>0.46274912941850099</v>
      </c>
      <c r="E120">
        <v>109.682473432243</v>
      </c>
      <c r="F120">
        <v>1.63385039257817</v>
      </c>
      <c r="G120">
        <v>-1830.8044746053788</v>
      </c>
      <c r="H120">
        <v>-1496.5079423459333</v>
      </c>
      <c r="I120">
        <v>318.94322317681701</v>
      </c>
      <c r="J120">
        <v>162.44166851414599</v>
      </c>
      <c r="K120">
        <v>67.131283213249006</v>
      </c>
      <c r="L120">
        <v>0.67184516984585174</v>
      </c>
      <c r="M120">
        <v>-0.6710848712582046</v>
      </c>
      <c r="N120">
        <v>45.0646476254772</v>
      </c>
      <c r="O120">
        <v>45.0646945276739</v>
      </c>
      <c r="P120">
        <v>45.064637336889902</v>
      </c>
      <c r="Q120" t="s">
        <v>51</v>
      </c>
    </row>
    <row r="121" spans="1:17" x14ac:dyDescent="0.2">
      <c r="A121">
        <v>120</v>
      </c>
      <c r="B121">
        <v>774</v>
      </c>
      <c r="C121">
        <v>135</v>
      </c>
      <c r="D121">
        <v>0.46216922121950399</v>
      </c>
      <c r="E121">
        <v>109.682500516971</v>
      </c>
      <c r="F121">
        <v>1.6314300653037199</v>
      </c>
      <c r="G121">
        <v>-1830.4862091627565</v>
      </c>
      <c r="H121">
        <v>-1497.0383430855391</v>
      </c>
      <c r="I121">
        <v>318.43741244788998</v>
      </c>
      <c r="J121">
        <v>162.40965014634</v>
      </c>
      <c r="K121">
        <v>67.230893220391494</v>
      </c>
      <c r="L121">
        <v>0.65505740407553092</v>
      </c>
      <c r="M121">
        <v>-0.65428552685226282</v>
      </c>
      <c r="N121">
        <v>44.0022586751764</v>
      </c>
      <c r="O121">
        <v>44.002306221292301</v>
      </c>
      <c r="P121">
        <v>44.0022480389243</v>
      </c>
      <c r="Q121" t="s">
        <v>51</v>
      </c>
    </row>
    <row r="122" spans="1:17" x14ac:dyDescent="0.2">
      <c r="A122">
        <v>121</v>
      </c>
      <c r="B122">
        <v>773</v>
      </c>
      <c r="C122">
        <v>135</v>
      </c>
      <c r="D122">
        <v>0.46158820436839998</v>
      </c>
      <c r="E122">
        <v>109.68252758688099</v>
      </c>
      <c r="F122">
        <v>1.62847187446797</v>
      </c>
      <c r="G122">
        <v>-1830.168489433978</v>
      </c>
      <c r="H122">
        <v>-1497.6320630864559</v>
      </c>
      <c r="I122">
        <v>317.87064074734701</v>
      </c>
      <c r="J122">
        <v>162.37016856002501</v>
      </c>
      <c r="K122">
        <v>67.353037719926604</v>
      </c>
      <c r="L122">
        <v>0.63518681430533019</v>
      </c>
      <c r="M122">
        <v>-0.63440145750860066</v>
      </c>
      <c r="N122">
        <v>42.743161217394899</v>
      </c>
      <c r="O122">
        <v>42.743209534384398</v>
      </c>
      <c r="P122">
        <v>42.743150195527299</v>
      </c>
      <c r="Q122" t="s">
        <v>51</v>
      </c>
    </row>
    <row r="123" spans="1:17" x14ac:dyDescent="0.2">
      <c r="A123">
        <v>122</v>
      </c>
      <c r="B123">
        <v>772</v>
      </c>
      <c r="C123">
        <v>135</v>
      </c>
      <c r="D123">
        <v>0.46100607568291702</v>
      </c>
      <c r="E123">
        <v>109.682552795193</v>
      </c>
      <c r="F123">
        <v>1.6248779492925201</v>
      </c>
      <c r="G123">
        <v>-1829.8513372929185</v>
      </c>
      <c r="H123">
        <v>-1498.3010845922456</v>
      </c>
      <c r="I123">
        <v>317.23129128712202</v>
      </c>
      <c r="J123">
        <v>162.31811023179799</v>
      </c>
      <c r="K123">
        <v>67.502025517024094</v>
      </c>
      <c r="L123">
        <v>0.61157666085154849</v>
      </c>
      <c r="M123">
        <v>-0.6107755949273761</v>
      </c>
      <c r="N123">
        <v>41.243168673341799</v>
      </c>
      <c r="O123">
        <v>41.243217910973101</v>
      </c>
      <c r="P123">
        <v>41.243157220746703</v>
      </c>
      <c r="Q123" t="s">
        <v>51</v>
      </c>
    </row>
    <row r="124" spans="1:17" x14ac:dyDescent="0.2">
      <c r="A124">
        <v>123</v>
      </c>
      <c r="B124">
        <v>771</v>
      </c>
      <c r="C124">
        <v>135</v>
      </c>
      <c r="D124">
        <v>0.46042283196858502</v>
      </c>
      <c r="E124">
        <v>109.682551039651</v>
      </c>
      <c r="F124">
        <v>1.61059885013876</v>
      </c>
      <c r="G124">
        <v>-1829.5347896919707</v>
      </c>
      <c r="H124">
        <v>-1500.2869102686138</v>
      </c>
      <c r="I124">
        <v>315.33037271975098</v>
      </c>
      <c r="J124">
        <v>161.98831473689901</v>
      </c>
      <c r="K124">
        <v>68.100477676487699</v>
      </c>
      <c r="L124">
        <v>0.52487729182885046</v>
      </c>
      <c r="M124">
        <v>-0.52402352740474134</v>
      </c>
      <c r="N124">
        <v>35.701878884183699</v>
      </c>
      <c r="O124">
        <v>35.701931621588102</v>
      </c>
      <c r="P124">
        <v>35.701866399821199</v>
      </c>
      <c r="Q124" t="s">
        <v>51</v>
      </c>
    </row>
    <row r="125" spans="1:17" x14ac:dyDescent="0.2">
      <c r="A125">
        <v>124</v>
      </c>
      <c r="B125">
        <v>770</v>
      </c>
      <c r="C125">
        <v>135</v>
      </c>
      <c r="D125">
        <v>0.45983847001869499</v>
      </c>
      <c r="E125">
        <v>109.682530061834</v>
      </c>
      <c r="F125">
        <v>1.59480474175027</v>
      </c>
      <c r="G125">
        <v>-1829.2202486691199</v>
      </c>
      <c r="H125">
        <v>-1502.5397788098435</v>
      </c>
      <c r="I125">
        <v>313.17177436462299</v>
      </c>
      <c r="J125">
        <v>161.59472746759101</v>
      </c>
      <c r="K125">
        <v>68.774895879390897</v>
      </c>
      <c r="L125">
        <v>0.42735207569338057</v>
      </c>
      <c r="M125">
        <v>-0.42643968870156618</v>
      </c>
      <c r="N125">
        <v>29.345156931188299</v>
      </c>
      <c r="O125">
        <v>29.345213623836099</v>
      </c>
      <c r="P125">
        <v>29.3451432687745</v>
      </c>
      <c r="Q125" t="s">
        <v>51</v>
      </c>
    </row>
    <row r="126" spans="1:17" x14ac:dyDescent="0.2">
      <c r="A126">
        <v>125</v>
      </c>
      <c r="B126">
        <v>769</v>
      </c>
      <c r="C126">
        <v>135</v>
      </c>
      <c r="D126">
        <v>0.45925298661421299</v>
      </c>
      <c r="E126">
        <v>109.686266050173</v>
      </c>
      <c r="F126">
        <v>1.57382330652195</v>
      </c>
      <c r="G126">
        <v>-1828.9690767853428</v>
      </c>
      <c r="H126">
        <v>-1505.6169743616683</v>
      </c>
      <c r="I126">
        <v>310.27896378372299</v>
      </c>
      <c r="J126">
        <v>161.01890161874201</v>
      </c>
      <c r="K126">
        <v>69.694142662414393</v>
      </c>
      <c r="L126">
        <v>0.2994520801730981</v>
      </c>
      <c r="M126">
        <v>-0.29846290305228612</v>
      </c>
      <c r="N126">
        <v>20.819525910643499</v>
      </c>
      <c r="O126">
        <v>20.819587940796598</v>
      </c>
      <c r="P126">
        <v>20.819510697475799</v>
      </c>
      <c r="Q126" t="s">
        <v>51</v>
      </c>
    </row>
    <row r="127" spans="1:17" x14ac:dyDescent="0.2">
      <c r="A127">
        <v>126</v>
      </c>
      <c r="B127">
        <v>768</v>
      </c>
      <c r="C127">
        <v>135</v>
      </c>
      <c r="D127">
        <v>0.45866637852374798</v>
      </c>
      <c r="E127">
        <v>109.691479989702</v>
      </c>
      <c r="F127">
        <v>1.55413648288858</v>
      </c>
      <c r="G127">
        <v>-1828.7454123458165</v>
      </c>
      <c r="H127">
        <v>-1508.6762174717164</v>
      </c>
      <c r="I127">
        <v>307.424247665645</v>
      </c>
      <c r="J127">
        <v>160.434913983337</v>
      </c>
      <c r="K127">
        <v>70.580339112704806</v>
      </c>
      <c r="L127">
        <v>0.17800034359432146</v>
      </c>
      <c r="M127">
        <v>-0.17693829308947648</v>
      </c>
      <c r="N127">
        <v>12.508320682092901</v>
      </c>
      <c r="O127">
        <v>12.5083878606701</v>
      </c>
      <c r="P127">
        <v>12.508303902914699</v>
      </c>
      <c r="Q127" t="s">
        <v>51</v>
      </c>
    </row>
    <row r="128" spans="1:17" x14ac:dyDescent="0.2">
      <c r="A128">
        <v>127</v>
      </c>
      <c r="B128">
        <v>767</v>
      </c>
      <c r="C128">
        <v>135</v>
      </c>
      <c r="D128">
        <v>0.45807864250348701</v>
      </c>
      <c r="E128">
        <v>109.69279612912401</v>
      </c>
      <c r="F128">
        <v>1.5439121588145699</v>
      </c>
      <c r="G128">
        <v>-1828.4603071244553</v>
      </c>
      <c r="H128">
        <v>-1510.4623457524099</v>
      </c>
      <c r="I128">
        <v>305.72876114806201</v>
      </c>
      <c r="J128">
        <v>160.11396035116601</v>
      </c>
      <c r="K128">
        <v>71.048599172473004</v>
      </c>
      <c r="L128">
        <v>0.11052152520401129</v>
      </c>
      <c r="M128">
        <v>-0.1094187535907085</v>
      </c>
      <c r="N128">
        <v>7.7948533025874198</v>
      </c>
      <c r="O128">
        <v>7.7949232641831498</v>
      </c>
      <c r="P128">
        <v>7.7948354818148902</v>
      </c>
      <c r="Q128" t="s">
        <v>51</v>
      </c>
    </row>
    <row r="129" spans="1:17" x14ac:dyDescent="0.2">
      <c r="A129">
        <v>128</v>
      </c>
      <c r="B129">
        <v>766</v>
      </c>
      <c r="C129">
        <v>135</v>
      </c>
      <c r="D129">
        <v>0.45748977529712298</v>
      </c>
      <c r="E129">
        <v>109.69277255508101</v>
      </c>
      <c r="F129">
        <v>1.5392476022623001</v>
      </c>
      <c r="G129">
        <v>-1828.1547325400577</v>
      </c>
      <c r="H129">
        <v>-1511.4736116976435</v>
      </c>
      <c r="I129">
        <v>304.755869170663</v>
      </c>
      <c r="J129">
        <v>159.965521159871</v>
      </c>
      <c r="K129">
        <v>71.263890483805795</v>
      </c>
      <c r="L129">
        <v>7.5270169883751931E-2</v>
      </c>
      <c r="M129">
        <v>-7.4145812579453768E-2</v>
      </c>
      <c r="N129">
        <v>5.3051440183818404</v>
      </c>
      <c r="O129">
        <v>5.3052153148703098</v>
      </c>
      <c r="P129">
        <v>5.3051254842424598</v>
      </c>
      <c r="Q129" t="s">
        <v>51</v>
      </c>
    </row>
    <row r="130" spans="1:17" x14ac:dyDescent="0.2">
      <c r="A130">
        <v>129</v>
      </c>
      <c r="B130">
        <v>765</v>
      </c>
      <c r="C130">
        <v>135</v>
      </c>
      <c r="D130">
        <v>0.45689977363579698</v>
      </c>
      <c r="E130">
        <v>109.692720831744</v>
      </c>
      <c r="F130">
        <v>1.5374221884972601</v>
      </c>
      <c r="G130">
        <v>-1827.8494480437014</v>
      </c>
      <c r="H130">
        <v>-1512.0891081124919</v>
      </c>
      <c r="I130">
        <v>304.16254882814002</v>
      </c>
      <c r="J130">
        <v>159.91147280488801</v>
      </c>
      <c r="K130">
        <v>71.348469959941298</v>
      </c>
      <c r="L130">
        <v>5.6606147996309621E-2</v>
      </c>
      <c r="M130">
        <v>-5.5470051770630469E-2</v>
      </c>
      <c r="N130">
        <v>3.9791264195485101</v>
      </c>
      <c r="O130">
        <v>3.9791982947700002</v>
      </c>
      <c r="P130">
        <v>3.9791073436451301</v>
      </c>
      <c r="Q130" t="s">
        <v>51</v>
      </c>
    </row>
    <row r="131" spans="1:17" x14ac:dyDescent="0.2">
      <c r="A131">
        <v>130</v>
      </c>
      <c r="B131">
        <v>797</v>
      </c>
      <c r="C131">
        <v>115</v>
      </c>
      <c r="D131">
        <v>0.49579077699387802</v>
      </c>
      <c r="E131">
        <v>109.68218607246899</v>
      </c>
      <c r="F131">
        <v>1.5179998146429401</v>
      </c>
      <c r="G131">
        <v>-1839.2624269498274</v>
      </c>
      <c r="H131">
        <v>-1492.5860704600175</v>
      </c>
      <c r="I131">
        <v>323.95482391022102</v>
      </c>
      <c r="J131">
        <v>162.17349184989601</v>
      </c>
      <c r="K131">
        <v>72.254413350022801</v>
      </c>
      <c r="L131">
        <v>0.64803776222694998</v>
      </c>
      <c r="M131">
        <v>-0.6471198973802923</v>
      </c>
      <c r="N131">
        <v>46.779080490273202</v>
      </c>
      <c r="O131">
        <v>46.779164403779497</v>
      </c>
      <c r="P131">
        <v>46.779080712279701</v>
      </c>
      <c r="Q131" t="s">
        <v>51</v>
      </c>
    </row>
    <row r="132" spans="1:17" x14ac:dyDescent="0.2">
      <c r="A132">
        <v>131</v>
      </c>
      <c r="B132">
        <v>796</v>
      </c>
      <c r="C132">
        <v>115</v>
      </c>
      <c r="D132">
        <v>0.49525370621521903</v>
      </c>
      <c r="E132">
        <v>109.682207082662</v>
      </c>
      <c r="F132">
        <v>1.51886130673572</v>
      </c>
      <c r="G132">
        <v>-1838.9388904425693</v>
      </c>
      <c r="H132">
        <v>-1492.7665032945654</v>
      </c>
      <c r="I132">
        <v>323.78645472702698</v>
      </c>
      <c r="J132">
        <v>162.18212127965</v>
      </c>
      <c r="K132">
        <v>72.213444766979293</v>
      </c>
      <c r="L132">
        <v>0.64771166470764929</v>
      </c>
      <c r="M132">
        <v>-0.64679264591786767</v>
      </c>
      <c r="N132">
        <v>46.728912395362897</v>
      </c>
      <c r="O132">
        <v>46.728996377319</v>
      </c>
      <c r="P132">
        <v>46.728912590690598</v>
      </c>
      <c r="Q132" t="s">
        <v>51</v>
      </c>
    </row>
    <row r="133" spans="1:17" x14ac:dyDescent="0.2">
      <c r="A133">
        <v>132</v>
      </c>
      <c r="B133">
        <v>795</v>
      </c>
      <c r="C133">
        <v>115</v>
      </c>
      <c r="D133">
        <v>0.49471562982727202</v>
      </c>
      <c r="E133">
        <v>109.682223697379</v>
      </c>
      <c r="F133">
        <v>1.5190047022814399</v>
      </c>
      <c r="G133">
        <v>-1838.6154834481297</v>
      </c>
      <c r="H133">
        <v>-1493.0038164507546</v>
      </c>
      <c r="I133">
        <v>323.56464899548803</v>
      </c>
      <c r="J133">
        <v>162.16598282396799</v>
      </c>
      <c r="K133">
        <v>72.206638684293793</v>
      </c>
      <c r="L133">
        <v>0.64509178438780457</v>
      </c>
      <c r="M133">
        <v>-0.64416980267366653</v>
      </c>
      <c r="N133">
        <v>46.535150935606303</v>
      </c>
      <c r="O133">
        <v>46.535235186177502</v>
      </c>
      <c r="P133">
        <v>46.535151103959699</v>
      </c>
      <c r="Q133" t="s">
        <v>51</v>
      </c>
    </row>
    <row r="134" spans="1:17" x14ac:dyDescent="0.2">
      <c r="A134">
        <v>133</v>
      </c>
      <c r="B134">
        <v>794</v>
      </c>
      <c r="C134">
        <v>115</v>
      </c>
      <c r="D134">
        <v>0.49417654500304597</v>
      </c>
      <c r="E134">
        <v>109.68224030299299</v>
      </c>
      <c r="F134">
        <v>1.519153423711</v>
      </c>
      <c r="G134">
        <v>-1838.2922981188472</v>
      </c>
      <c r="H134">
        <v>-1493.2409886691541</v>
      </c>
      <c r="I134">
        <v>323.34276735922799</v>
      </c>
      <c r="J134">
        <v>162.15047183009801</v>
      </c>
      <c r="K134">
        <v>72.1995807606189</v>
      </c>
      <c r="L134">
        <v>0.64246945195268612</v>
      </c>
      <c r="M134">
        <v>-0.641544502094203</v>
      </c>
      <c r="N134">
        <v>46.341085905070599</v>
      </c>
      <c r="O134">
        <v>46.341170423261303</v>
      </c>
      <c r="P134">
        <v>46.341086044447998</v>
      </c>
      <c r="Q134" t="s">
        <v>51</v>
      </c>
    </row>
    <row r="135" spans="1:17" x14ac:dyDescent="0.2">
      <c r="A135">
        <v>134</v>
      </c>
      <c r="B135">
        <v>793</v>
      </c>
      <c r="C135">
        <v>115</v>
      </c>
      <c r="D135">
        <v>0.49363644890494002</v>
      </c>
      <c r="E135">
        <v>109.68225690115599</v>
      </c>
      <c r="F135">
        <v>1.5193078751661799</v>
      </c>
      <c r="G135">
        <v>-1837.9693345455496</v>
      </c>
      <c r="H135">
        <v>-1493.4779939090613</v>
      </c>
      <c r="I135">
        <v>323.120834109996</v>
      </c>
      <c r="J135">
        <v>162.13559709187399</v>
      </c>
      <c r="K135">
        <v>72.192251941798801</v>
      </c>
      <c r="L135">
        <v>0.63984575632730023</v>
      </c>
      <c r="M135">
        <v>-0.63891783410259884</v>
      </c>
      <c r="N135">
        <v>46.146785818786697</v>
      </c>
      <c r="O135">
        <v>46.146870603445002</v>
      </c>
      <c r="P135">
        <v>46.146785927129699</v>
      </c>
      <c r="Q135" t="s">
        <v>51</v>
      </c>
    </row>
    <row r="136" spans="1:17" x14ac:dyDescent="0.2">
      <c r="A136">
        <v>135</v>
      </c>
      <c r="B136">
        <v>792</v>
      </c>
      <c r="C136">
        <v>115</v>
      </c>
      <c r="D136">
        <v>0.49309533868469302</v>
      </c>
      <c r="E136">
        <v>109.682273493552</v>
      </c>
      <c r="F136">
        <v>1.51946844861702</v>
      </c>
      <c r="G136">
        <v>-1837.6465927956503</v>
      </c>
      <c r="H136">
        <v>-1493.7148068803558</v>
      </c>
      <c r="I136">
        <v>322.89887290421501</v>
      </c>
      <c r="J136">
        <v>162.12136707209001</v>
      </c>
      <c r="K136">
        <v>72.184633773331996</v>
      </c>
      <c r="L136">
        <v>0.63722175762110733</v>
      </c>
      <c r="M136">
        <v>-0.63629085978524547</v>
      </c>
      <c r="N136">
        <v>45.952317663553202</v>
      </c>
      <c r="O136">
        <v>45.952402713372599</v>
      </c>
      <c r="P136">
        <v>45.952317738745897</v>
      </c>
      <c r="Q136" t="s">
        <v>51</v>
      </c>
    </row>
    <row r="137" spans="1:17" x14ac:dyDescent="0.2">
      <c r="A137">
        <v>136</v>
      </c>
      <c r="B137">
        <v>791</v>
      </c>
      <c r="C137">
        <v>115</v>
      </c>
      <c r="D137">
        <v>0.49255321148334702</v>
      </c>
      <c r="E137">
        <v>109.682290081879</v>
      </c>
      <c r="F137">
        <v>1.5196355228026499</v>
      </c>
      <c r="G137">
        <v>-1837.3240729134293</v>
      </c>
      <c r="H137">
        <v>-1493.9514031274111</v>
      </c>
      <c r="I137">
        <v>322.67690668142598</v>
      </c>
      <c r="J137">
        <v>162.107789899214</v>
      </c>
      <c r="K137">
        <v>72.176708451505903</v>
      </c>
      <c r="L137">
        <v>0.63459848345911107</v>
      </c>
      <c r="M137">
        <v>-0.63366460771985356</v>
      </c>
      <c r="N137">
        <v>45.757746655762404</v>
      </c>
      <c r="O137">
        <v>45.757831969283302</v>
      </c>
      <c r="P137">
        <v>45.757746695630502</v>
      </c>
      <c r="Q137" t="s">
        <v>51</v>
      </c>
    </row>
    <row r="138" spans="1:17" x14ac:dyDescent="0.2">
      <c r="A138">
        <v>137</v>
      </c>
      <c r="B138">
        <v>790</v>
      </c>
      <c r="C138">
        <v>115</v>
      </c>
      <c r="D138">
        <v>0.49201006443117301</v>
      </c>
      <c r="E138">
        <v>109.682306667831</v>
      </c>
      <c r="F138">
        <v>1.5198094623421801</v>
      </c>
      <c r="G138">
        <v>-1837.0017749206306</v>
      </c>
      <c r="H138">
        <v>-1494.1877591016666</v>
      </c>
      <c r="I138">
        <v>322.45495759322102</v>
      </c>
      <c r="J138">
        <v>162.094873368159</v>
      </c>
      <c r="K138">
        <v>72.168458866415904</v>
      </c>
      <c r="L138">
        <v>0.63197692581355147</v>
      </c>
      <c r="M138">
        <v>-0.63104007080450431</v>
      </c>
      <c r="N138">
        <v>45.563136029368103</v>
      </c>
      <c r="O138">
        <v>45.563221604979802</v>
      </c>
      <c r="P138">
        <v>45.563136031677502</v>
      </c>
      <c r="Q138" t="s">
        <v>51</v>
      </c>
    </row>
    <row r="139" spans="1:17" x14ac:dyDescent="0.2">
      <c r="A139">
        <v>138</v>
      </c>
      <c r="B139">
        <v>789</v>
      </c>
      <c r="C139">
        <v>115</v>
      </c>
      <c r="D139">
        <v>0.49146589464765</v>
      </c>
      <c r="E139">
        <v>109.682323253086</v>
      </c>
      <c r="F139">
        <v>1.5199906170052999</v>
      </c>
      <c r="G139">
        <v>-1836.6796988169649</v>
      </c>
      <c r="H139">
        <v>-1494.4238522224846</v>
      </c>
      <c r="I139">
        <v>322.23304694273202</v>
      </c>
      <c r="J139">
        <v>162.08262494506999</v>
      </c>
      <c r="K139">
        <v>72.1598686373367</v>
      </c>
      <c r="L139">
        <v>0.62935803833892678</v>
      </c>
      <c r="M139">
        <v>-0.62841820359041844</v>
      </c>
      <c r="N139">
        <v>45.368546854672701</v>
      </c>
      <c r="O139">
        <v>45.3686326906152</v>
      </c>
      <c r="P139">
        <v>45.368546817128603</v>
      </c>
      <c r="Q139" t="s">
        <v>51</v>
      </c>
    </row>
    <row r="140" spans="1:17" x14ac:dyDescent="0.2">
      <c r="A140">
        <v>139</v>
      </c>
      <c r="B140">
        <v>788</v>
      </c>
      <c r="C140">
        <v>115</v>
      </c>
      <c r="D140">
        <v>0.49092069924139198</v>
      </c>
      <c r="E140">
        <v>109.682339839333</v>
      </c>
      <c r="F140">
        <v>1.5201793211788499</v>
      </c>
      <c r="G140">
        <v>-1836.3578445814742</v>
      </c>
      <c r="H140">
        <v>-1494.6596609254862</v>
      </c>
      <c r="I140">
        <v>322.01119513637298</v>
      </c>
      <c r="J140">
        <v>162.07105177642001</v>
      </c>
      <c r="K140">
        <v>72.150922138763704</v>
      </c>
      <c r="L140">
        <v>0.62674273429529237</v>
      </c>
      <c r="M140">
        <v>-0.62579992020347708</v>
      </c>
      <c r="N140">
        <v>45.174037893192697</v>
      </c>
      <c r="O140">
        <v>45.174123987559497</v>
      </c>
      <c r="P140">
        <v>45.174037813438702</v>
      </c>
      <c r="Q140" t="s">
        <v>51</v>
      </c>
    </row>
    <row r="141" spans="1:17" x14ac:dyDescent="0.2">
      <c r="A141">
        <v>140</v>
      </c>
      <c r="B141">
        <v>787</v>
      </c>
      <c r="C141">
        <v>115</v>
      </c>
      <c r="D141">
        <v>0.49037447531009798</v>
      </c>
      <c r="E141">
        <v>109.68235642823301</v>
      </c>
      <c r="F141">
        <v>1.52037589347028</v>
      </c>
      <c r="G141">
        <v>-1836.0362121728242</v>
      </c>
      <c r="H141">
        <v>-1494.8951646996318</v>
      </c>
      <c r="I141">
        <v>321.78942164491798</v>
      </c>
      <c r="J141">
        <v>162.06016070144199</v>
      </c>
      <c r="K141">
        <v>72.141604519841593</v>
      </c>
      <c r="L141">
        <v>0.62413188493555505</v>
      </c>
      <c r="M141">
        <v>-0.62318609273008307</v>
      </c>
      <c r="N141">
        <v>44.979665481523099</v>
      </c>
      <c r="O141">
        <v>44.979751832263602</v>
      </c>
      <c r="P141">
        <v>44.97966535714</v>
      </c>
      <c r="Q141" t="s">
        <v>51</v>
      </c>
    </row>
    <row r="142" spans="1:17" x14ac:dyDescent="0.2">
      <c r="A142">
        <v>141</v>
      </c>
      <c r="B142">
        <v>786</v>
      </c>
      <c r="C142">
        <v>115</v>
      </c>
      <c r="D142">
        <v>0.48982721994052197</v>
      </c>
      <c r="E142">
        <v>109.682373021421</v>
      </c>
      <c r="F142">
        <v>1.52058063649061</v>
      </c>
      <c r="G142">
        <v>-1835.7148015302669</v>
      </c>
      <c r="H142">
        <v>-1495.1303441119494</v>
      </c>
      <c r="I142">
        <v>321.56774497664998</v>
      </c>
      <c r="J142">
        <v>162.04995826879701</v>
      </c>
      <c r="K142">
        <v>72.131901715229006</v>
      </c>
      <c r="L142">
        <v>0.62152631847656881</v>
      </c>
      <c r="M142">
        <v>-0.62057755018727867</v>
      </c>
      <c r="N142">
        <v>44.785483451792203</v>
      </c>
      <c r="O142">
        <v>44.7855700567141</v>
      </c>
      <c r="P142">
        <v>44.785483280297001</v>
      </c>
      <c r="Q142" t="s">
        <v>51</v>
      </c>
    </row>
    <row r="143" spans="1:17" x14ac:dyDescent="0.2">
      <c r="A143">
        <v>142</v>
      </c>
      <c r="B143">
        <v>785</v>
      </c>
      <c r="C143">
        <v>115</v>
      </c>
      <c r="D143">
        <v>0.48927893020838498</v>
      </c>
      <c r="E143">
        <v>109.68238962048</v>
      </c>
      <c r="F143">
        <v>1.5207938367735201</v>
      </c>
      <c r="G143">
        <v>-1835.3936125741993</v>
      </c>
      <c r="H143">
        <v>-1495.3651808216857</v>
      </c>
      <c r="I143">
        <v>321.34618265997199</v>
      </c>
      <c r="J143">
        <v>162.04045075649299</v>
      </c>
      <c r="K143">
        <v>72.121800449415304</v>
      </c>
      <c r="L143">
        <v>0.61892681954610174</v>
      </c>
      <c r="M143">
        <v>-0.61797507796908735</v>
      </c>
      <c r="N143">
        <v>44.591543082336301</v>
      </c>
      <c r="O143">
        <v>44.591629939108799</v>
      </c>
      <c r="P143">
        <v>44.591542861181402</v>
      </c>
      <c r="Q143" t="s">
        <v>51</v>
      </c>
    </row>
    <row r="144" spans="1:17" x14ac:dyDescent="0.2">
      <c r="A144">
        <v>143</v>
      </c>
      <c r="B144">
        <v>784</v>
      </c>
      <c r="C144">
        <v>115</v>
      </c>
      <c r="D144">
        <v>0.48872960317835601</v>
      </c>
      <c r="E144">
        <v>109.682406226997</v>
      </c>
      <c r="F144">
        <v>1.52101576485168</v>
      </c>
      <c r="G144">
        <v>-1835.0726452080351</v>
      </c>
      <c r="H144">
        <v>-1495.5996575835575</v>
      </c>
      <c r="I144">
        <v>321.12475123746901</v>
      </c>
      <c r="J144">
        <v>162.03164419598701</v>
      </c>
      <c r="K144">
        <v>72.1112882335526</v>
      </c>
      <c r="L144">
        <v>0.6163341291882739</v>
      </c>
      <c r="M144">
        <v>-0.61537941785174111</v>
      </c>
      <c r="N144">
        <v>44.3978930841173</v>
      </c>
      <c r="O144">
        <v>44.397980190273501</v>
      </c>
      <c r="P144">
        <v>44.397892810688802</v>
      </c>
      <c r="Q144" t="s">
        <v>51</v>
      </c>
    </row>
    <row r="145" spans="1:17" x14ac:dyDescent="0.2">
      <c r="A145">
        <v>144</v>
      </c>
      <c r="B145">
        <v>783</v>
      </c>
      <c r="C145">
        <v>115</v>
      </c>
      <c r="D145">
        <v>0.48817923590399198</v>
      </c>
      <c r="E145">
        <v>109.68242802341901</v>
      </c>
      <c r="F145">
        <v>1.51972381222507</v>
      </c>
      <c r="G145">
        <v>-1834.7520213835187</v>
      </c>
      <c r="H145">
        <v>-1495.9906767243704</v>
      </c>
      <c r="I145">
        <v>320.75502934406899</v>
      </c>
      <c r="J145">
        <v>161.99536061881199</v>
      </c>
      <c r="K145">
        <v>72.172606062433502</v>
      </c>
      <c r="L145">
        <v>0.60663728601690037</v>
      </c>
      <c r="M145">
        <v>-0.60567463852732717</v>
      </c>
      <c r="N145">
        <v>43.735365316604501</v>
      </c>
      <c r="O145">
        <v>43.735453205574601</v>
      </c>
      <c r="P145">
        <v>43.735364988825701</v>
      </c>
      <c r="Q145" t="s">
        <v>51</v>
      </c>
    </row>
    <row r="146" spans="1:17" x14ac:dyDescent="0.2">
      <c r="A146">
        <v>145</v>
      </c>
      <c r="B146">
        <v>782</v>
      </c>
      <c r="C146">
        <v>115</v>
      </c>
      <c r="D146">
        <v>0.48762782542766497</v>
      </c>
      <c r="E146">
        <v>109.682454182611</v>
      </c>
      <c r="F146">
        <v>1.5167538995276799</v>
      </c>
      <c r="G146">
        <v>-1834.4319551984977</v>
      </c>
      <c r="H146">
        <v>-1496.5564824070741</v>
      </c>
      <c r="I146">
        <v>320.21951046623201</v>
      </c>
      <c r="J146">
        <v>161.92679898538401</v>
      </c>
      <c r="K146">
        <v>72.313942437705904</v>
      </c>
      <c r="L146">
        <v>0.58896835645408463</v>
      </c>
      <c r="M146">
        <v>-0.58799224551554896</v>
      </c>
      <c r="N146">
        <v>42.5425936840331</v>
      </c>
      <c r="O146">
        <v>42.542682952851202</v>
      </c>
      <c r="P146">
        <v>42.5425932989193</v>
      </c>
      <c r="Q146" t="s">
        <v>51</v>
      </c>
    </row>
    <row r="147" spans="1:17" x14ac:dyDescent="0.2">
      <c r="A147">
        <v>146</v>
      </c>
      <c r="B147">
        <v>781</v>
      </c>
      <c r="C147">
        <v>115</v>
      </c>
      <c r="D147">
        <v>0.48707536878053398</v>
      </c>
      <c r="E147">
        <v>109.682478960444</v>
      </c>
      <c r="F147">
        <v>1.5133193014700499</v>
      </c>
      <c r="G147">
        <v>-1834.1124236229857</v>
      </c>
      <c r="H147">
        <v>-1497.1731951385266</v>
      </c>
      <c r="I147">
        <v>319.63519835497499</v>
      </c>
      <c r="J147">
        <v>161.845571426801</v>
      </c>
      <c r="K147">
        <v>72.478081032798599</v>
      </c>
      <c r="L147">
        <v>0.56888841084845332</v>
      </c>
      <c r="M147">
        <v>-0.56789726114760064</v>
      </c>
      <c r="N147">
        <v>41.183010798717298</v>
      </c>
      <c r="O147">
        <v>41.1831016206473</v>
      </c>
      <c r="P147">
        <v>41.183010352066802</v>
      </c>
      <c r="Q147" t="s">
        <v>51</v>
      </c>
    </row>
    <row r="148" spans="1:17" x14ac:dyDescent="0.2">
      <c r="A148">
        <v>147</v>
      </c>
      <c r="B148">
        <v>780</v>
      </c>
      <c r="C148">
        <v>115</v>
      </c>
      <c r="D148">
        <v>0.48652186298248101</v>
      </c>
      <c r="E148">
        <v>109.682500730347</v>
      </c>
      <c r="F148">
        <v>1.5088300458550901</v>
      </c>
      <c r="G148">
        <v>-1833.7934730969312</v>
      </c>
      <c r="H148">
        <v>-1497.9042675595126</v>
      </c>
      <c r="I148">
        <v>318.94175711939903</v>
      </c>
      <c r="J148">
        <v>161.73352131148201</v>
      </c>
      <c r="K148">
        <v>72.693741108653199</v>
      </c>
      <c r="L148">
        <v>0.54340986654175616</v>
      </c>
      <c r="M148">
        <v>-0.54240017546749775</v>
      </c>
      <c r="N148">
        <v>39.452451903991197</v>
      </c>
      <c r="O148">
        <v>39.452544664864497</v>
      </c>
      <c r="P148">
        <v>39.452451390737998</v>
      </c>
      <c r="Q148" t="s">
        <v>51</v>
      </c>
    </row>
    <row r="149" spans="1:17" x14ac:dyDescent="0.2">
      <c r="A149">
        <v>148</v>
      </c>
      <c r="B149">
        <v>779</v>
      </c>
      <c r="C149">
        <v>115</v>
      </c>
      <c r="D149">
        <v>0.48596730504205599</v>
      </c>
      <c r="E149">
        <v>109.682496071213</v>
      </c>
      <c r="F149">
        <v>1.4944394443628799</v>
      </c>
      <c r="G149">
        <v>-1833.4751788189164</v>
      </c>
      <c r="H149">
        <v>-1499.7591619973828</v>
      </c>
      <c r="I149">
        <v>317.17966078793398</v>
      </c>
      <c r="J149">
        <v>161.29261883662201</v>
      </c>
      <c r="K149">
        <v>73.393737354124596</v>
      </c>
      <c r="L149">
        <v>0.46683732345486906</v>
      </c>
      <c r="M149">
        <v>-0.46577642571243499</v>
      </c>
      <c r="N149">
        <v>34.209780888126097</v>
      </c>
      <c r="O149">
        <v>34.209879198758799</v>
      </c>
      <c r="P149">
        <v>34.209780292250798</v>
      </c>
      <c r="Q149" t="s">
        <v>51</v>
      </c>
    </row>
    <row r="150" spans="1:17" x14ac:dyDescent="0.2">
      <c r="A150">
        <v>149</v>
      </c>
      <c r="B150">
        <v>778</v>
      </c>
      <c r="C150">
        <v>115</v>
      </c>
      <c r="D150">
        <v>0.48541169195642903</v>
      </c>
      <c r="E150">
        <v>109.682477397376</v>
      </c>
      <c r="F150">
        <v>1.4799109360948799</v>
      </c>
      <c r="G150">
        <v>-1833.1586533405966</v>
      </c>
      <c r="H150">
        <v>-1501.6994109145537</v>
      </c>
      <c r="I150">
        <v>315.334702812275</v>
      </c>
      <c r="J150">
        <v>160.82101616839699</v>
      </c>
      <c r="K150">
        <v>74.114242095406794</v>
      </c>
      <c r="L150">
        <v>0.38810641125932355</v>
      </c>
      <c r="M150">
        <v>-0.38699326808623069</v>
      </c>
      <c r="N150">
        <v>28.707823331015302</v>
      </c>
      <c r="O150">
        <v>28.707927400257699</v>
      </c>
      <c r="P150">
        <v>28.7078226401247</v>
      </c>
      <c r="Q150" t="s">
        <v>51</v>
      </c>
    </row>
    <row r="151" spans="1:17" x14ac:dyDescent="0.2">
      <c r="A151">
        <v>150</v>
      </c>
      <c r="B151">
        <v>777</v>
      </c>
      <c r="C151">
        <v>115</v>
      </c>
      <c r="D151">
        <v>0.48485502071132902</v>
      </c>
      <c r="E151">
        <v>109.682457479687</v>
      </c>
      <c r="F151">
        <v>1.4694920024772999</v>
      </c>
      <c r="G151">
        <v>-1832.8437386039272</v>
      </c>
      <c r="H151">
        <v>-1503.2120380999675</v>
      </c>
      <c r="I151">
        <v>313.89490358864498</v>
      </c>
      <c r="J151">
        <v>160.472243591178</v>
      </c>
      <c r="K151">
        <v>74.639710386161596</v>
      </c>
      <c r="L151">
        <v>0.32950040452403057</v>
      </c>
      <c r="M151">
        <v>-0.32834811937295139</v>
      </c>
      <c r="N151">
        <v>24.534963095729999</v>
      </c>
      <c r="O151">
        <v>24.535071513153</v>
      </c>
      <c r="P151">
        <v>24.534962304042701</v>
      </c>
      <c r="Q151" t="s">
        <v>51</v>
      </c>
    </row>
    <row r="152" spans="1:17" x14ac:dyDescent="0.2">
      <c r="A152">
        <v>151</v>
      </c>
      <c r="B152">
        <v>776</v>
      </c>
      <c r="C152">
        <v>115</v>
      </c>
      <c r="D152">
        <v>0.484297288280991</v>
      </c>
      <c r="E152">
        <v>109.690687113739</v>
      </c>
      <c r="F152">
        <v>1.4411540991382601</v>
      </c>
      <c r="G152">
        <v>-1832.666634255613</v>
      </c>
      <c r="H152">
        <v>-1507.1348293665776</v>
      </c>
      <c r="I152">
        <v>310.28677110861503</v>
      </c>
      <c r="J152">
        <v>159.417041770738</v>
      </c>
      <c r="K152">
        <v>76.113086851245797</v>
      </c>
      <c r="L152">
        <v>0.18046381427843003</v>
      </c>
      <c r="M152">
        <v>-0.1792133377646053</v>
      </c>
      <c r="N152">
        <v>13.670439467284099</v>
      </c>
      <c r="O152">
        <v>13.670559282031</v>
      </c>
      <c r="P152">
        <v>13.6704385289831</v>
      </c>
      <c r="Q152" t="s">
        <v>51</v>
      </c>
    </row>
    <row r="153" spans="1:17" x14ac:dyDescent="0.2">
      <c r="A153">
        <v>152</v>
      </c>
      <c r="B153">
        <v>775</v>
      </c>
      <c r="C153">
        <v>115</v>
      </c>
      <c r="D153">
        <v>0.483738491628109</v>
      </c>
      <c r="E153">
        <v>109.69315685385401</v>
      </c>
      <c r="F153">
        <v>1.4314747092040601</v>
      </c>
      <c r="G153">
        <v>-1832.3974563310551</v>
      </c>
      <c r="H153">
        <v>-1508.7329655151052</v>
      </c>
      <c r="I153">
        <v>308.80146365762602</v>
      </c>
      <c r="J153">
        <v>159.03696893548999</v>
      </c>
      <c r="K153">
        <v>76.629475986233899</v>
      </c>
      <c r="L153">
        <v>0.12466115889464949</v>
      </c>
      <c r="M153">
        <v>-0.123373308181302</v>
      </c>
      <c r="N153">
        <v>9.48502409188462</v>
      </c>
      <c r="O153">
        <v>9.4851482506630003</v>
      </c>
      <c r="P153">
        <v>9.4850230263526392</v>
      </c>
      <c r="Q153" t="s">
        <v>51</v>
      </c>
    </row>
    <row r="154" spans="1:17" x14ac:dyDescent="0.2">
      <c r="A154">
        <v>153</v>
      </c>
      <c r="B154">
        <v>774</v>
      </c>
      <c r="C154">
        <v>115</v>
      </c>
      <c r="D154">
        <v>0.48317862770377201</v>
      </c>
      <c r="E154">
        <v>109.693106869313</v>
      </c>
      <c r="F154">
        <v>1.42418412967668</v>
      </c>
      <c r="G154">
        <v>-1832.0885535968127</v>
      </c>
      <c r="H154">
        <v>-1510.0222799441563</v>
      </c>
      <c r="I154">
        <v>307.57026089223598</v>
      </c>
      <c r="J154">
        <v>158.730075974009</v>
      </c>
      <c r="K154">
        <v>77.021716913960404</v>
      </c>
      <c r="L154">
        <v>8.0477351658721427E-2</v>
      </c>
      <c r="M154">
        <v>-7.9159629476506885E-2</v>
      </c>
      <c r="N154">
        <v>6.1288127848452296</v>
      </c>
      <c r="O154">
        <v>6.1289404070917302</v>
      </c>
      <c r="P154">
        <v>6.1288115870004498</v>
      </c>
      <c r="Q154" t="s">
        <v>51</v>
      </c>
    </row>
    <row r="155" spans="1:17" x14ac:dyDescent="0.2">
      <c r="A155">
        <v>154</v>
      </c>
      <c r="B155">
        <v>773</v>
      </c>
      <c r="C155">
        <v>115</v>
      </c>
      <c r="D155">
        <v>0.48261769344740202</v>
      </c>
      <c r="E155">
        <v>109.69301967774101</v>
      </c>
      <c r="F155">
        <v>1.4215430579785799</v>
      </c>
      <c r="G155">
        <v>-1831.7799146497766</v>
      </c>
      <c r="H155">
        <v>-1510.7088624389291</v>
      </c>
      <c r="I155">
        <v>306.91301676998</v>
      </c>
      <c r="J155">
        <v>158.614648718658</v>
      </c>
      <c r="K155">
        <v>77.164753513498198</v>
      </c>
      <c r="L155">
        <v>6.004026751140408E-2</v>
      </c>
      <c r="M155">
        <v>-5.8708080437963009E-2</v>
      </c>
      <c r="N155">
        <v>4.56233843616796</v>
      </c>
      <c r="O155">
        <v>4.5624676504146002</v>
      </c>
      <c r="P155">
        <v>4.5623371103545898</v>
      </c>
      <c r="Q155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EC840-647D-47A4-8BA9-8D4C3BDED729}">
  <sheetPr codeName="Sheet4"/>
  <dimension ref="A1:AI155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757</v>
      </c>
      <c r="C2">
        <v>275</v>
      </c>
      <c r="D2">
        <v>0.30264573120419402</v>
      </c>
      <c r="E2">
        <v>105.574235357132</v>
      </c>
      <c r="F2">
        <v>2.1917620970085299</v>
      </c>
      <c r="G2">
        <v>-1727.7299909758733</v>
      </c>
      <c r="H2">
        <v>-1441.6820265361025</v>
      </c>
      <c r="I2">
        <v>277.67603207277602</v>
      </c>
      <c r="J2">
        <v>142.94784124129899</v>
      </c>
      <c r="K2">
        <v>48.168656398076898</v>
      </c>
      <c r="L2">
        <v>1.5958041261937816E-4</v>
      </c>
      <c r="M2">
        <v>1.7797278464086665E-5</v>
      </c>
      <c r="N2" s="1">
        <v>3.8239844694333298E-6</v>
      </c>
      <c r="O2" s="1">
        <v>1.0507877433302999E-7</v>
      </c>
      <c r="P2" s="1">
        <v>-5.3423213251463296E-7</v>
      </c>
      <c r="Q2">
        <v>72.328252950841701</v>
      </c>
      <c r="R2">
        <v>6.5356855076041401E-2</v>
      </c>
      <c r="S2">
        <v>11.9820900972747</v>
      </c>
      <c r="T2">
        <v>0.14791595653813699</v>
      </c>
      <c r="V2">
        <v>0.35944800860603399</v>
      </c>
      <c r="W2">
        <v>2.2732819156883698E-2</v>
      </c>
      <c r="X2">
        <v>4.73600399101754E-2</v>
      </c>
      <c r="AA2">
        <v>0.51148843102988795</v>
      </c>
      <c r="AB2">
        <v>3.7603871688678598</v>
      </c>
      <c r="AC2">
        <v>4.3665956797180696</v>
      </c>
      <c r="AD2">
        <v>5.6832047892208396E-3</v>
      </c>
      <c r="AE2">
        <v>6.4026887881911803</v>
      </c>
    </row>
    <row r="3" spans="1:35" x14ac:dyDescent="0.2">
      <c r="A3">
        <v>2</v>
      </c>
      <c r="B3">
        <v>756</v>
      </c>
      <c r="C3">
        <v>275</v>
      </c>
      <c r="D3">
        <v>0.30190011174270298</v>
      </c>
      <c r="E3">
        <v>105.457860864395</v>
      </c>
      <c r="F3">
        <v>2.1921783546912099</v>
      </c>
      <c r="G3">
        <v>-1725.5193912129525</v>
      </c>
      <c r="H3">
        <v>-1440.1919616112032</v>
      </c>
      <c r="I3">
        <v>277.24571695258101</v>
      </c>
      <c r="J3">
        <v>142.787865935122</v>
      </c>
      <c r="K3">
        <v>48.106423749107101</v>
      </c>
      <c r="L3">
        <v>1.5957115419993367E-4</v>
      </c>
      <c r="M3">
        <v>1.7788955075320625E-5</v>
      </c>
      <c r="N3" s="1">
        <v>3.8247049866094496E-6</v>
      </c>
      <c r="O3" s="1">
        <v>1.04889165572112E-7</v>
      </c>
      <c r="P3" s="1">
        <v>-5.33744850621297E-7</v>
      </c>
      <c r="Q3">
        <v>72.303986665930495</v>
      </c>
      <c r="R3">
        <v>6.5428977446000805E-2</v>
      </c>
      <c r="S3">
        <v>11.9953125317678</v>
      </c>
      <c r="T3">
        <v>0.148339866341057</v>
      </c>
      <c r="V3">
        <v>0.35961010080149802</v>
      </c>
      <c r="W3">
        <v>2.27579051986085E-2</v>
      </c>
      <c r="X3">
        <v>4.7412302497103098E-2</v>
      </c>
      <c r="AA3">
        <v>0.5120528669687</v>
      </c>
      <c r="AB3">
        <v>3.7645368182698502</v>
      </c>
      <c r="AC3">
        <v>4.3714142902326998</v>
      </c>
      <c r="AD3">
        <v>5.6894762996519297E-3</v>
      </c>
      <c r="AE3">
        <v>6.4034581982463603</v>
      </c>
    </row>
    <row r="4" spans="1:35" x14ac:dyDescent="0.2">
      <c r="A4">
        <v>3</v>
      </c>
      <c r="B4">
        <v>755</v>
      </c>
      <c r="C4">
        <v>275</v>
      </c>
      <c r="D4">
        <v>0.30115304187132302</v>
      </c>
      <c r="E4">
        <v>105.235049889023</v>
      </c>
      <c r="F4">
        <v>2.19263497998584</v>
      </c>
      <c r="G4">
        <v>-1721.5461359467433</v>
      </c>
      <c r="H4">
        <v>-1437.2067001860323</v>
      </c>
      <c r="I4">
        <v>276.554428595741</v>
      </c>
      <c r="J4">
        <v>142.49545907422501</v>
      </c>
      <c r="K4">
        <v>47.994787481545302</v>
      </c>
      <c r="L4">
        <v>1.5961606809842453E-4</v>
      </c>
      <c r="M4">
        <v>1.778153742542118E-5</v>
      </c>
      <c r="N4" s="1">
        <v>3.8224289544719302E-6</v>
      </c>
      <c r="O4" s="1">
        <v>1.0461661043518E-7</v>
      </c>
      <c r="P4" s="1">
        <v>-5.3299653303466201E-7</v>
      </c>
      <c r="Q4">
        <v>72.256634266707806</v>
      </c>
      <c r="R4">
        <v>6.5567508233013203E-2</v>
      </c>
      <c r="S4">
        <v>12.020709842720899</v>
      </c>
      <c r="T4">
        <v>0.148941267054088</v>
      </c>
      <c r="V4">
        <v>0.36011295395155302</v>
      </c>
      <c r="W4">
        <v>2.2806089820177702E-2</v>
      </c>
      <c r="X4">
        <v>4.7512687125373598E-2</v>
      </c>
      <c r="AA4">
        <v>0.51313702095401204</v>
      </c>
      <c r="AB4">
        <v>3.7725073577544399</v>
      </c>
      <c r="AC4">
        <v>4.3806697529590997</v>
      </c>
      <c r="AD4">
        <v>5.7015224550441002E-3</v>
      </c>
      <c r="AE4">
        <v>6.4056997302644003</v>
      </c>
    </row>
    <row r="5" spans="1:35" x14ac:dyDescent="0.2">
      <c r="A5">
        <v>4</v>
      </c>
      <c r="B5">
        <v>754</v>
      </c>
      <c r="C5">
        <v>275</v>
      </c>
      <c r="D5">
        <v>0.30040451735384299</v>
      </c>
      <c r="E5">
        <v>105.01333680238901</v>
      </c>
      <c r="F5">
        <v>2.1930915652469398</v>
      </c>
      <c r="G5">
        <v>-1717.5923747890088</v>
      </c>
      <c r="H5">
        <v>-1434.2362505645474</v>
      </c>
      <c r="I5">
        <v>275.86635274737</v>
      </c>
      <c r="J5">
        <v>142.204496270936</v>
      </c>
      <c r="K5">
        <v>47.883699188166403</v>
      </c>
      <c r="L5">
        <v>1.596610314033585E-4</v>
      </c>
      <c r="M5">
        <v>1.7774117359587627E-5</v>
      </c>
      <c r="N5" s="1">
        <v>3.8201784504777298E-6</v>
      </c>
      <c r="O5" s="1">
        <v>1.04345482500961E-7</v>
      </c>
      <c r="P5" s="1">
        <v>-5.3225304011588404E-7</v>
      </c>
      <c r="Q5">
        <v>72.209302056190793</v>
      </c>
      <c r="R5">
        <v>6.5705939932032401E-2</v>
      </c>
      <c r="S5">
        <v>12.046088987541699</v>
      </c>
      <c r="T5">
        <v>0.14954477542994499</v>
      </c>
      <c r="V5">
        <v>0.360613163853305</v>
      </c>
      <c r="W5">
        <v>2.28542399763581E-2</v>
      </c>
      <c r="X5">
        <v>4.7612999950750599E-2</v>
      </c>
      <c r="AA5">
        <v>0.51422039946807496</v>
      </c>
      <c r="AB5">
        <v>3.78047219608928</v>
      </c>
      <c r="AC5">
        <v>4.3899185954587203</v>
      </c>
      <c r="AD5">
        <v>5.7135599940890697E-3</v>
      </c>
      <c r="AE5">
        <v>6.40795308611475</v>
      </c>
    </row>
    <row r="6" spans="1:35" x14ac:dyDescent="0.2">
      <c r="A6">
        <v>5</v>
      </c>
      <c r="B6">
        <v>753</v>
      </c>
      <c r="C6">
        <v>275</v>
      </c>
      <c r="D6">
        <v>0.29965453393753799</v>
      </c>
      <c r="E6">
        <v>104.792712617384</v>
      </c>
      <c r="F6">
        <v>2.1935481109562098</v>
      </c>
      <c r="G6">
        <v>-1713.6579495925007</v>
      </c>
      <c r="H6">
        <v>-1431.2804910275554</v>
      </c>
      <c r="I6">
        <v>275.18146329965901</v>
      </c>
      <c r="J6">
        <v>141.91496582708999</v>
      </c>
      <c r="K6">
        <v>47.773154413149904</v>
      </c>
      <c r="L6">
        <v>1.5970604460899447E-4</v>
      </c>
      <c r="M6">
        <v>1.7766694869046199E-5</v>
      </c>
      <c r="N6" s="1">
        <v>3.8179533119857196E-6</v>
      </c>
      <c r="O6" s="1">
        <v>1.04075770595414E-7</v>
      </c>
      <c r="P6" s="1">
        <v>-5.3151433703371396E-7</v>
      </c>
      <c r="Q6">
        <v>72.161989778329001</v>
      </c>
      <c r="R6">
        <v>6.5844273210039397E-2</v>
      </c>
      <c r="S6">
        <v>12.0714500885116</v>
      </c>
      <c r="T6">
        <v>0.15015040406123301</v>
      </c>
      <c r="V6">
        <v>0.361110724202167</v>
      </c>
      <c r="W6">
        <v>2.2902355899142302E-2</v>
      </c>
      <c r="X6">
        <v>4.77132414565547E-2</v>
      </c>
      <c r="AA6">
        <v>0.51530300773073401</v>
      </c>
      <c r="AB6">
        <v>3.7884313716498799</v>
      </c>
      <c r="AC6">
        <v>4.3991608622934697</v>
      </c>
      <c r="AD6">
        <v>5.7255889747847401E-3</v>
      </c>
      <c r="AE6">
        <v>6.4102183036812397</v>
      </c>
    </row>
    <row r="7" spans="1:35" x14ac:dyDescent="0.2">
      <c r="A7">
        <v>6</v>
      </c>
      <c r="B7">
        <v>752</v>
      </c>
      <c r="C7">
        <v>275</v>
      </c>
      <c r="D7">
        <v>0.29890308735307097</v>
      </c>
      <c r="E7">
        <v>104.57316844416199</v>
      </c>
      <c r="F7">
        <v>2.1940046175808301</v>
      </c>
      <c r="G7">
        <v>-1709.7427039241011</v>
      </c>
      <c r="H7">
        <v>-1428.3393011724436</v>
      </c>
      <c r="I7">
        <v>274.499734430724</v>
      </c>
      <c r="J7">
        <v>141.62685617244</v>
      </c>
      <c r="K7">
        <v>47.6631487491887</v>
      </c>
      <c r="L7">
        <v>1.5975110821861335E-4</v>
      </c>
      <c r="M7">
        <v>1.7759269945600111E-5</v>
      </c>
      <c r="N7" s="1">
        <v>3.8157533786667598E-6</v>
      </c>
      <c r="O7" s="1">
        <v>1.03807463673422E-7</v>
      </c>
      <c r="P7" s="1">
        <v>-5.30780389398009E-7</v>
      </c>
      <c r="Q7">
        <v>72.114697177035197</v>
      </c>
      <c r="R7">
        <v>6.5982508732003703E-2</v>
      </c>
      <c r="S7">
        <v>12.0967932675391</v>
      </c>
      <c r="T7">
        <v>0.15075816560448699</v>
      </c>
      <c r="V7">
        <v>0.36160562862129397</v>
      </c>
      <c r="W7">
        <v>2.2950437819825299E-2</v>
      </c>
      <c r="X7">
        <v>4.7813412124645398E-2</v>
      </c>
      <c r="AA7">
        <v>0.51638485094610498</v>
      </c>
      <c r="AB7">
        <v>3.7963849226962001</v>
      </c>
      <c r="AC7">
        <v>4.4083965978913202</v>
      </c>
      <c r="AD7">
        <v>5.7376094549553402E-3</v>
      </c>
      <c r="AE7">
        <v>6.4124954215348202</v>
      </c>
    </row>
    <row r="8" spans="1:35" x14ac:dyDescent="0.2">
      <c r="A8">
        <v>7</v>
      </c>
      <c r="B8">
        <v>751</v>
      </c>
      <c r="C8">
        <v>275</v>
      </c>
      <c r="D8">
        <v>0.29815017331445698</v>
      </c>
      <c r="E8">
        <v>104.354695487141</v>
      </c>
      <c r="F8">
        <v>2.1944610855784599</v>
      </c>
      <c r="G8">
        <v>-1705.8464830128764</v>
      </c>
      <c r="H8">
        <v>-1425.4125618719172</v>
      </c>
      <c r="I8">
        <v>273.821140595575</v>
      </c>
      <c r="J8">
        <v>141.34015586062301</v>
      </c>
      <c r="K8">
        <v>47.5536778359563</v>
      </c>
      <c r="L8">
        <v>1.5979622274276938E-4</v>
      </c>
      <c r="M8">
        <v>1.775184258144348E-5</v>
      </c>
      <c r="N8" s="1">
        <v>3.81357849233871E-6</v>
      </c>
      <c r="O8" s="1">
        <v>1.03540550813437E-7</v>
      </c>
      <c r="P8" s="1">
        <v>-5.3005116323506297E-7</v>
      </c>
      <c r="Q8">
        <v>72.067423995952694</v>
      </c>
      <c r="R8">
        <v>6.6120647161971496E-2</v>
      </c>
      <c r="S8">
        <v>12.122118646367101</v>
      </c>
      <c r="T8">
        <v>0.15136807278314399</v>
      </c>
      <c r="V8">
        <v>0.36209787066625798</v>
      </c>
      <c r="W8">
        <v>2.29984859693791E-2</v>
      </c>
      <c r="X8">
        <v>4.7913512436216901E-2</v>
      </c>
      <c r="AA8">
        <v>0.51746593431107002</v>
      </c>
      <c r="AB8">
        <v>3.80433288743491</v>
      </c>
      <c r="AC8">
        <v>4.4176258466180904</v>
      </c>
      <c r="AD8">
        <v>5.7496214923436397E-3</v>
      </c>
      <c r="AE8">
        <v>6.4147844788066601</v>
      </c>
    </row>
    <row r="9" spans="1:35" x14ac:dyDescent="0.2">
      <c r="A9">
        <v>8</v>
      </c>
      <c r="B9">
        <v>750</v>
      </c>
      <c r="C9">
        <v>275</v>
      </c>
      <c r="D9">
        <v>0.29739578751893703</v>
      </c>
      <c r="E9">
        <v>104.13728504526</v>
      </c>
      <c r="F9">
        <v>2.1949175153938101</v>
      </c>
      <c r="G9">
        <v>-1701.9691337535457</v>
      </c>
      <c r="H9">
        <v>-1422.500155278103</v>
      </c>
      <c r="I9">
        <v>273.14565652684598</v>
      </c>
      <c r="J9">
        <v>141.054853569535</v>
      </c>
      <c r="K9">
        <v>47.444737360244503</v>
      </c>
      <c r="L9">
        <v>1.5984138870027875E-4</v>
      </c>
      <c r="M9">
        <v>1.7744412769279607E-5</v>
      </c>
      <c r="N9" s="1">
        <v>3.8114284970448101E-6</v>
      </c>
      <c r="O9" s="1">
        <v>1.0327502121856E-7</v>
      </c>
      <c r="P9" s="1">
        <v>-5.2932662499593305E-7</v>
      </c>
      <c r="Q9">
        <v>72.020169978685402</v>
      </c>
      <c r="R9">
        <v>6.6258689162113901E-2</v>
      </c>
      <c r="S9">
        <v>12.147426346394999</v>
      </c>
      <c r="T9">
        <v>0.15198013838537</v>
      </c>
      <c r="V9">
        <v>0.36258744382028502</v>
      </c>
      <c r="W9">
        <v>2.3046500578123501E-2</v>
      </c>
      <c r="X9">
        <v>4.8013542871104403E-2</v>
      </c>
      <c r="AA9">
        <v>0.51854626300783202</v>
      </c>
      <c r="AB9">
        <v>3.8122753039647499</v>
      </c>
      <c r="AC9">
        <v>4.4268486527143702</v>
      </c>
      <c r="AD9">
        <v>5.7616251445294104E-3</v>
      </c>
      <c r="AE9">
        <v>6.41708551527101</v>
      </c>
    </row>
    <row r="10" spans="1:35" x14ac:dyDescent="0.2">
      <c r="A10">
        <v>9</v>
      </c>
      <c r="B10">
        <v>749</v>
      </c>
      <c r="C10">
        <v>275</v>
      </c>
      <c r="D10">
        <v>0.29663992564692099</v>
      </c>
      <c r="E10">
        <v>103.92092850936299</v>
      </c>
      <c r="F10">
        <v>2.1953739074618799</v>
      </c>
      <c r="G10">
        <v>-1698.1105046613245</v>
      </c>
      <c r="H10">
        <v>-1419.6019647866081</v>
      </c>
      <c r="I10">
        <v>272.47325722713498</v>
      </c>
      <c r="J10">
        <v>140.770938097868</v>
      </c>
      <c r="K10">
        <v>47.336323054649398</v>
      </c>
      <c r="L10">
        <v>1.5988660661727527E-4</v>
      </c>
      <c r="M10">
        <v>1.7736980502205924E-5</v>
      </c>
      <c r="N10" s="1">
        <v>3.8093032389332501E-6</v>
      </c>
      <c r="O10" s="1">
        <v>1.03010864212395E-7</v>
      </c>
      <c r="P10" s="1">
        <v>-5.2860674153845504E-7</v>
      </c>
      <c r="Q10">
        <v>71.972934868591096</v>
      </c>
      <c r="R10">
        <v>6.6396635393597705E-2</v>
      </c>
      <c r="S10">
        <v>12.1727164888341</v>
      </c>
      <c r="T10">
        <v>0.15259437526681099</v>
      </c>
      <c r="V10">
        <v>0.363074341498688</v>
      </c>
      <c r="W10">
        <v>2.30944818760308E-2</v>
      </c>
      <c r="X10">
        <v>4.8113503908411903E-2</v>
      </c>
      <c r="AA10">
        <v>0.51962584221074803</v>
      </c>
      <c r="AB10">
        <v>3.82021221032692</v>
      </c>
      <c r="AC10">
        <v>4.4360650603540401</v>
      </c>
      <c r="AD10">
        <v>5.77362046900615E-3</v>
      </c>
      <c r="AE10">
        <v>6.4193985712704498</v>
      </c>
    </row>
    <row r="11" spans="1:35" x14ac:dyDescent="0.2">
      <c r="A11">
        <v>10</v>
      </c>
      <c r="B11">
        <v>748</v>
      </c>
      <c r="C11">
        <v>275</v>
      </c>
      <c r="D11">
        <v>0.29588258336189799</v>
      </c>
      <c r="E11">
        <v>103.705617361553</v>
      </c>
      <c r="F11">
        <v>2.1958302622037702</v>
      </c>
      <c r="G11">
        <v>-1694.2704458606734</v>
      </c>
      <c r="H11">
        <v>-1416.7178750278338</v>
      </c>
      <c r="I11">
        <v>271.80391796781998</v>
      </c>
      <c r="J11">
        <v>140.48839836442201</v>
      </c>
      <c r="K11">
        <v>47.228430697313101</v>
      </c>
      <c r="L11">
        <v>1.5993187702942408E-4</v>
      </c>
      <c r="M11">
        <v>1.7729545773895464E-5</v>
      </c>
      <c r="N11" s="1">
        <v>3.8072025663346199E-6</v>
      </c>
      <c r="O11" s="1">
        <v>1.02748069240068E-7</v>
      </c>
      <c r="P11" s="1">
        <v>-5.2789148013741804E-7</v>
      </c>
      <c r="Q11">
        <v>71.925718408751393</v>
      </c>
      <c r="R11">
        <v>6.6534486516237196E-2</v>
      </c>
      <c r="S11">
        <v>12.197989194651599</v>
      </c>
      <c r="T11">
        <v>0.15321079634962101</v>
      </c>
      <c r="V11">
        <v>0.36355855704635198</v>
      </c>
      <c r="W11">
        <v>2.3142430092600901E-2</v>
      </c>
      <c r="X11">
        <v>4.8213396026266897E-2</v>
      </c>
      <c r="AA11">
        <v>0.52070467708357904</v>
      </c>
      <c r="AB11">
        <v>3.82814364448457</v>
      </c>
      <c r="AC11">
        <v>4.4452751136202204</v>
      </c>
      <c r="AD11">
        <v>5.7856075231486302E-3</v>
      </c>
      <c r="AE11">
        <v>6.4217236878542696</v>
      </c>
    </row>
    <row r="12" spans="1:35" x14ac:dyDescent="0.2">
      <c r="A12">
        <v>11</v>
      </c>
      <c r="B12">
        <v>747</v>
      </c>
      <c r="C12">
        <v>275</v>
      </c>
      <c r="D12">
        <v>0.29512375631034898</v>
      </c>
      <c r="E12">
        <v>103.491343174802</v>
      </c>
      <c r="F12">
        <v>2.1962865800299198</v>
      </c>
      <c r="G12">
        <v>-1690.4488090768857</v>
      </c>
      <c r="H12">
        <v>-1413.8477718623492</v>
      </c>
      <c r="I12">
        <v>271.13761428665998</v>
      </c>
      <c r="J12">
        <v>140.20722340736199</v>
      </c>
      <c r="K12">
        <v>47.121056111626501</v>
      </c>
      <c r="L12">
        <v>1.5997720047932108E-4</v>
      </c>
      <c r="M12">
        <v>1.7722108578424118E-5</v>
      </c>
      <c r="N12" s="1">
        <v>3.8051263296862901E-6</v>
      </c>
      <c r="O12" s="1">
        <v>1.0248662586537901E-7</v>
      </c>
      <c r="P12" s="1">
        <v>-5.2718080846921195E-7</v>
      </c>
      <c r="Q12">
        <v>71.8785203422797</v>
      </c>
      <c r="R12">
        <v>6.6672243187973101E-2</v>
      </c>
      <c r="S12">
        <v>12.223244584471001</v>
      </c>
      <c r="T12">
        <v>0.15382941462152999</v>
      </c>
      <c r="V12">
        <v>0.36404008373508101</v>
      </c>
      <c r="W12">
        <v>2.3190345456682498E-2</v>
      </c>
      <c r="X12">
        <v>4.8313219701438898E-2</v>
      </c>
      <c r="AA12">
        <v>0.52178277277542195</v>
      </c>
      <c r="AB12">
        <v>3.8360696442930902</v>
      </c>
      <c r="AC12">
        <v>4.4544788564708702</v>
      </c>
      <c r="AD12">
        <v>5.79758636416883E-3</v>
      </c>
      <c r="AE12">
        <v>6.4240609066429499</v>
      </c>
    </row>
    <row r="13" spans="1:35" x14ac:dyDescent="0.2">
      <c r="A13">
        <v>12</v>
      </c>
      <c r="B13">
        <v>746</v>
      </c>
      <c r="C13">
        <v>275</v>
      </c>
      <c r="D13">
        <v>0.29436344012167098</v>
      </c>
      <c r="E13">
        <v>103.278097609695</v>
      </c>
      <c r="F13">
        <v>2.1967428613378899</v>
      </c>
      <c r="G13">
        <v>-1686.6454475815265</v>
      </c>
      <c r="H13">
        <v>-1410.9915423355956</v>
      </c>
      <c r="I13">
        <v>270.47432198001201</v>
      </c>
      <c r="J13">
        <v>139.92740238024999</v>
      </c>
      <c r="K13">
        <v>47.014195164743001</v>
      </c>
      <c r="L13">
        <v>1.6002257751947824E-4</v>
      </c>
      <c r="M13">
        <v>1.7714668910428675E-5</v>
      </c>
      <c r="N13" s="1">
        <v>3.80307438151515E-6</v>
      </c>
      <c r="O13" s="1">
        <v>1.02226523769283E-7</v>
      </c>
      <c r="P13" s="1">
        <v>-5.2647469461228905E-7</v>
      </c>
      <c r="Q13">
        <v>71.831340411746396</v>
      </c>
      <c r="R13">
        <v>6.6809906066208194E-2</v>
      </c>
      <c r="S13">
        <v>12.248482778815299</v>
      </c>
      <c r="T13">
        <v>0.154450243139684</v>
      </c>
      <c r="V13">
        <v>0.364518914770323</v>
      </c>
      <c r="W13">
        <v>2.3238228196937799E-2</v>
      </c>
      <c r="X13">
        <v>4.8412975410306203E-2</v>
      </c>
      <c r="AA13">
        <v>0.52286013443117296</v>
      </c>
      <c r="AB13">
        <v>3.843990247577</v>
      </c>
      <c r="AC13">
        <v>4.4636763328281903</v>
      </c>
      <c r="AD13">
        <v>5.8095570492324401E-3</v>
      </c>
      <c r="AE13">
        <v>6.4264102699691499</v>
      </c>
    </row>
    <row r="14" spans="1:35" x14ac:dyDescent="0.2">
      <c r="A14">
        <v>13</v>
      </c>
      <c r="B14">
        <v>745</v>
      </c>
      <c r="C14">
        <v>275</v>
      </c>
      <c r="D14">
        <v>0.29360163040809401</v>
      </c>
      <c r="E14">
        <v>103.06587241511799</v>
      </c>
      <c r="F14">
        <v>2.1971991065135499</v>
      </c>
      <c r="G14">
        <v>-1682.8602162021152</v>
      </c>
      <c r="H14">
        <v>-1408.1490746882102</v>
      </c>
      <c r="I14">
        <v>269.814017103477</v>
      </c>
      <c r="J14">
        <v>139.648924552719</v>
      </c>
      <c r="K14">
        <v>46.907843767813901</v>
      </c>
      <c r="L14">
        <v>1.6006800871019942E-4</v>
      </c>
      <c r="M14">
        <v>1.7707226765001645E-5</v>
      </c>
      <c r="N14" s="1">
        <v>3.8010465764267001E-6</v>
      </c>
      <c r="O14" s="1">
        <v>1.01967752748782E-7</v>
      </c>
      <c r="P14" s="1">
        <v>-5.2577310704016998E-7</v>
      </c>
      <c r="Q14">
        <v>71.784178359652302</v>
      </c>
      <c r="R14">
        <v>6.6947475806631407E-2</v>
      </c>
      <c r="S14">
        <v>12.2737038978931</v>
      </c>
      <c r="T14">
        <v>0.155073295027751</v>
      </c>
      <c r="V14">
        <v>0.364995043284779</v>
      </c>
      <c r="W14">
        <v>2.3286078541432699E-2</v>
      </c>
      <c r="X14">
        <v>4.8512663628004299E-2</v>
      </c>
      <c r="AA14">
        <v>0.52393676718230997</v>
      </c>
      <c r="AB14">
        <v>3.8519054920621998</v>
      </c>
      <c r="AC14">
        <v>4.4728675864999197</v>
      </c>
      <c r="AD14">
        <v>5.82151963535612E-3</v>
      </c>
      <c r="AE14">
        <v>6.4287718207861602</v>
      </c>
    </row>
    <row r="15" spans="1:35" x14ac:dyDescent="0.2">
      <c r="A15">
        <v>14</v>
      </c>
      <c r="B15">
        <v>744</v>
      </c>
      <c r="C15">
        <v>275</v>
      </c>
      <c r="D15">
        <v>0.29283832276459099</v>
      </c>
      <c r="E15">
        <v>102.854659425951</v>
      </c>
      <c r="F15">
        <v>2.1976553159289498</v>
      </c>
      <c r="G15">
        <v>-1679.0929712833511</v>
      </c>
      <c r="H15">
        <v>-1405.3202583241628</v>
      </c>
      <c r="I15">
        <v>269.15667596636501</v>
      </c>
      <c r="J15">
        <v>139.37177930767001</v>
      </c>
      <c r="K15">
        <v>46.801997874937101</v>
      </c>
      <c r="L15">
        <v>1.6011349462185476E-4</v>
      </c>
      <c r="M15">
        <v>1.769978213782357E-5</v>
      </c>
      <c r="N15" s="1">
        <v>3.79904277110631E-6</v>
      </c>
      <c r="O15" s="1">
        <v>1.01710302715944E-7</v>
      </c>
      <c r="P15" s="1">
        <v>-5.2507601462291796E-7</v>
      </c>
      <c r="Q15">
        <v>71.737033928067206</v>
      </c>
      <c r="R15">
        <v>6.7084953063969194E-2</v>
      </c>
      <c r="S15">
        <v>12.2989080617387</v>
      </c>
      <c r="T15">
        <v>0.15569858347808599</v>
      </c>
      <c r="V15">
        <v>0.36546846234189501</v>
      </c>
      <c r="W15">
        <v>2.3333896717897901E-2</v>
      </c>
      <c r="X15">
        <v>4.8612284828974103E-2</v>
      </c>
      <c r="AA15">
        <v>0.52501267615278002</v>
      </c>
      <c r="AB15">
        <v>3.8598154154191602</v>
      </c>
      <c r="AC15">
        <v>4.4820526612292699</v>
      </c>
      <c r="AD15">
        <v>5.8334741794723701E-3</v>
      </c>
      <c r="AE15">
        <v>6.43114560278247</v>
      </c>
    </row>
    <row r="16" spans="1:35" x14ac:dyDescent="0.2">
      <c r="A16">
        <v>15</v>
      </c>
      <c r="B16">
        <v>743</v>
      </c>
      <c r="C16">
        <v>275</v>
      </c>
      <c r="D16">
        <v>0.29207351276878402</v>
      </c>
      <c r="E16">
        <v>102.64445056289701</v>
      </c>
      <c r="F16">
        <v>2.1981114899457102</v>
      </c>
      <c r="G16">
        <v>-1675.343570682197</v>
      </c>
      <c r="H16">
        <v>-1402.5049838090467</v>
      </c>
      <c r="I16">
        <v>268.50227512980302</v>
      </c>
      <c r="J16">
        <v>139.095956140791</v>
      </c>
      <c r="K16">
        <v>46.696653482955099</v>
      </c>
      <c r="L16">
        <v>1.6015903583206862E-4</v>
      </c>
      <c r="M16">
        <v>1.7692335024979102E-5</v>
      </c>
      <c r="N16" s="1">
        <v>3.7970628242443299E-6</v>
      </c>
      <c r="O16" s="1">
        <v>1.0145416369515801E-7</v>
      </c>
      <c r="P16" s="1">
        <v>-5.2438338661173396E-7</v>
      </c>
      <c r="Q16">
        <v>71.689906858975107</v>
      </c>
      <c r="R16">
        <v>6.7222338491378E-2</v>
      </c>
      <c r="S16">
        <v>12.3240953900994</v>
      </c>
      <c r="T16">
        <v>0.15632612175046301</v>
      </c>
      <c r="V16">
        <v>0.36593916493251799</v>
      </c>
      <c r="W16">
        <v>2.3381682953517401E-2</v>
      </c>
      <c r="X16">
        <v>4.8711839486519103E-2</v>
      </c>
      <c r="AA16">
        <v>0.526087866454235</v>
      </c>
      <c r="AB16">
        <v>3.8677200552279301</v>
      </c>
      <c r="AC16">
        <v>4.4912316006544399</v>
      </c>
      <c r="AD16">
        <v>5.8454207383767899E-3</v>
      </c>
      <c r="AE16">
        <v>6.43353166023602</v>
      </c>
    </row>
    <row r="17" spans="1:31" x14ac:dyDescent="0.2">
      <c r="A17">
        <v>16</v>
      </c>
      <c r="B17">
        <v>742</v>
      </c>
      <c r="C17">
        <v>275</v>
      </c>
      <c r="D17">
        <v>0.291307195980888</v>
      </c>
      <c r="E17">
        <v>102.435237829771</v>
      </c>
      <c r="F17">
        <v>2.1985676289109901</v>
      </c>
      <c r="G17">
        <v>-1671.6118737228073</v>
      </c>
      <c r="H17">
        <v>-1399.7031428323651</v>
      </c>
      <c r="I17">
        <v>267.85079140072099</v>
      </c>
      <c r="J17">
        <v>138.821444657347</v>
      </c>
      <c r="K17">
        <v>46.5918066302605</v>
      </c>
      <c r="L17">
        <v>1.6020463292947299E-4</v>
      </c>
      <c r="M17">
        <v>1.7684885423185605E-5</v>
      </c>
      <c r="N17" s="1">
        <v>3.7951065965679302E-6</v>
      </c>
      <c r="O17" s="1">
        <v>1.0119932582292299E-7</v>
      </c>
      <c r="P17" s="1">
        <v>-5.2369519264639603E-7</v>
      </c>
      <c r="Q17">
        <v>71.642796893743807</v>
      </c>
      <c r="R17">
        <v>6.7359632741490594E-2</v>
      </c>
      <c r="S17">
        <v>12.3492660026215</v>
      </c>
      <c r="T17">
        <v>0.156955923175289</v>
      </c>
      <c r="V17">
        <v>0.36640714398049401</v>
      </c>
      <c r="W17">
        <v>2.3429437475295099E-2</v>
      </c>
      <c r="X17">
        <v>4.8811328073558702E-2</v>
      </c>
      <c r="AA17">
        <v>0.52716234319424404</v>
      </c>
      <c r="AB17">
        <v>3.8756194490386902</v>
      </c>
      <c r="AC17">
        <v>4.5004044483792001</v>
      </c>
      <c r="AD17">
        <v>5.8573593688209299E-3</v>
      </c>
      <c r="AE17">
        <v>6.4359300382074904</v>
      </c>
    </row>
    <row r="18" spans="1:31" x14ac:dyDescent="0.2">
      <c r="A18">
        <v>17</v>
      </c>
      <c r="B18">
        <v>741</v>
      </c>
      <c r="C18">
        <v>275</v>
      </c>
      <c r="D18">
        <v>0.29053936794360102</v>
      </c>
      <c r="E18">
        <v>97.344160863451094</v>
      </c>
      <c r="F18">
        <v>2.1986439612966802</v>
      </c>
      <c r="G18">
        <v>-1588.5681514283551</v>
      </c>
      <c r="H18">
        <v>-1330.2242368443992</v>
      </c>
      <c r="I18">
        <v>254.73935274264699</v>
      </c>
      <c r="J18">
        <v>132.021090996331</v>
      </c>
      <c r="K18">
        <v>44.274635901503999</v>
      </c>
      <c r="L18">
        <v>1.6090874076358545E-4</v>
      </c>
      <c r="M18">
        <v>1.7730029934511946E-5</v>
      </c>
      <c r="N18" s="1">
        <v>3.6324128360692201E-6</v>
      </c>
      <c r="O18" s="1">
        <v>9.6626191130113498E-8</v>
      </c>
      <c r="P18" s="1">
        <v>-5.00582489280207E-7</v>
      </c>
      <c r="Q18">
        <v>71.531408500744604</v>
      </c>
      <c r="R18">
        <v>7.0882525862847698E-2</v>
      </c>
      <c r="S18">
        <v>12.394413522923101</v>
      </c>
      <c r="T18">
        <v>0.165361815463725</v>
      </c>
      <c r="V18">
        <v>0.385392769003369</v>
      </c>
      <c r="W18">
        <v>2.46547916044614E-2</v>
      </c>
      <c r="X18">
        <v>5.1364149175994703E-2</v>
      </c>
      <c r="AA18">
        <v>0.54660349862729296</v>
      </c>
      <c r="AB18">
        <v>3.9315941162222701</v>
      </c>
      <c r="AC18">
        <v>4.4174230608413998</v>
      </c>
      <c r="AD18">
        <v>6.1636979011122899E-3</v>
      </c>
      <c r="AE18">
        <v>6.4747375516297403</v>
      </c>
    </row>
    <row r="19" spans="1:31" x14ac:dyDescent="0.2">
      <c r="A19">
        <v>18</v>
      </c>
      <c r="B19">
        <v>740</v>
      </c>
      <c r="C19">
        <v>275</v>
      </c>
      <c r="D19">
        <v>0.28977002418201098</v>
      </c>
      <c r="E19">
        <v>73.100138502630003</v>
      </c>
      <c r="F19">
        <v>2.20120157271039</v>
      </c>
      <c r="G19">
        <v>-1191.455290166969</v>
      </c>
      <c r="H19">
        <v>-997.65250982316149</v>
      </c>
      <c r="I19">
        <v>191.28735166935499</v>
      </c>
      <c r="J19">
        <v>99.170966332811702</v>
      </c>
      <c r="K19">
        <v>33.209197834898802</v>
      </c>
      <c r="L19">
        <v>1.6141566691870945E-4</v>
      </c>
      <c r="M19">
        <v>1.7746237985493463E-5</v>
      </c>
      <c r="N19" s="1">
        <v>2.7366700854144399E-6</v>
      </c>
      <c r="O19" s="1">
        <v>7.2642727007692594E-8</v>
      </c>
      <c r="P19" s="1">
        <v>-3.7675978684548802E-7</v>
      </c>
      <c r="Q19">
        <v>71.338561231997105</v>
      </c>
      <c r="R19">
        <v>9.4391066027230297E-2</v>
      </c>
      <c r="S19">
        <v>12.388992862196799</v>
      </c>
      <c r="T19">
        <v>0.21992626900345999</v>
      </c>
      <c r="V19">
        <v>0.51346088280736601</v>
      </c>
      <c r="W19">
        <v>3.2831675139888598E-2</v>
      </c>
      <c r="X19">
        <v>6.83993232081819E-2</v>
      </c>
      <c r="AA19">
        <v>0.53472100646765897</v>
      </c>
      <c r="AB19">
        <v>3.9421505590739701</v>
      </c>
      <c r="AC19">
        <v>4.3698939324845503</v>
      </c>
      <c r="AD19">
        <v>8.2079187849648308E-3</v>
      </c>
      <c r="AE19">
        <v>6.4884632728087501</v>
      </c>
    </row>
    <row r="20" spans="1:31" x14ac:dyDescent="0.2">
      <c r="A20">
        <v>19</v>
      </c>
      <c r="B20">
        <v>739</v>
      </c>
      <c r="C20">
        <v>275</v>
      </c>
      <c r="D20">
        <v>0.28899916020352701</v>
      </c>
      <c r="E20">
        <v>57.986222917267298</v>
      </c>
      <c r="F20">
        <v>2.2040418765026502</v>
      </c>
      <c r="G20">
        <v>-943.85335141710448</v>
      </c>
      <c r="H20">
        <v>-790.30824113846654</v>
      </c>
      <c r="I20">
        <v>151.70193180717999</v>
      </c>
      <c r="J20">
        <v>78.685790667811403</v>
      </c>
      <c r="K20">
        <v>26.3090386509712</v>
      </c>
      <c r="L20">
        <v>1.6184996554881144E-4</v>
      </c>
      <c r="M20">
        <v>1.7755916905148082E-5</v>
      </c>
      <c r="N20" s="1">
        <v>2.1762430355438002E-6</v>
      </c>
      <c r="O20" s="1">
        <v>5.76460276155218E-8</v>
      </c>
      <c r="P20" s="1">
        <v>-2.9929569115279302E-7</v>
      </c>
      <c r="Q20">
        <v>71.141369007273994</v>
      </c>
      <c r="R20">
        <v>0.118993782537732</v>
      </c>
      <c r="S20">
        <v>12.3821222848274</v>
      </c>
      <c r="T20">
        <v>0.27684723043663301</v>
      </c>
      <c r="V20">
        <v>0.64765455152677598</v>
      </c>
      <c r="W20">
        <v>4.1389141752225501E-2</v>
      </c>
      <c r="X20">
        <v>8.6227378650599998E-2</v>
      </c>
      <c r="AA20">
        <v>0.52635086934842601</v>
      </c>
      <c r="AB20">
        <v>3.9413615584859598</v>
      </c>
      <c r="AC20">
        <v>4.3302079859941296</v>
      </c>
      <c r="AD20">
        <v>1.03472854380469E-2</v>
      </c>
      <c r="AE20">
        <v>6.4971289237279297</v>
      </c>
    </row>
    <row r="21" spans="1:31" x14ac:dyDescent="0.2">
      <c r="A21">
        <v>20</v>
      </c>
      <c r="B21">
        <v>738</v>
      </c>
      <c r="C21">
        <v>275</v>
      </c>
      <c r="D21">
        <v>0.28822677149780002</v>
      </c>
      <c r="E21">
        <v>20.482175220531801</v>
      </c>
      <c r="F21">
        <v>2.20601054940889</v>
      </c>
      <c r="G21">
        <v>-333.4350341139575</v>
      </c>
      <c r="H21">
        <v>-279.28976698950868</v>
      </c>
      <c r="I21">
        <v>53.548204642682798</v>
      </c>
      <c r="J21">
        <v>27.819578659423001</v>
      </c>
      <c r="K21">
        <v>9.2847131787379809</v>
      </c>
      <c r="L21">
        <v>1.619858097818994E-4</v>
      </c>
      <c r="M21">
        <v>1.7768962490127021E-5</v>
      </c>
      <c r="N21" s="1">
        <v>7.6996058761874699E-7</v>
      </c>
      <c r="O21" s="1">
        <v>2.03525855603703E-8</v>
      </c>
      <c r="P21" s="1">
        <v>-1.05529868324766E-7</v>
      </c>
      <c r="Q21">
        <v>70.908747648659002</v>
      </c>
      <c r="R21">
        <v>0.12997972693677101</v>
      </c>
      <c r="S21">
        <v>12.618270632167</v>
      </c>
      <c r="T21">
        <v>0.26068093466688902</v>
      </c>
      <c r="V21">
        <v>0.61304548613900101</v>
      </c>
      <c r="W21">
        <v>0.116564283812725</v>
      </c>
      <c r="X21">
        <v>0.13959108671686499</v>
      </c>
      <c r="AA21">
        <v>0.50905325038649296</v>
      </c>
      <c r="AB21">
        <v>3.8530316830528002</v>
      </c>
      <c r="AC21">
        <v>4.3214444034483002</v>
      </c>
      <c r="AD21">
        <v>2.9293763652466401E-2</v>
      </c>
      <c r="AE21">
        <v>6.5002971003615899</v>
      </c>
    </row>
    <row r="22" spans="1:31" x14ac:dyDescent="0.2">
      <c r="A22">
        <v>21</v>
      </c>
      <c r="B22">
        <v>737</v>
      </c>
      <c r="C22">
        <v>275</v>
      </c>
      <c r="D22">
        <v>0.28745285353660599</v>
      </c>
      <c r="E22">
        <v>11.3550197742536</v>
      </c>
      <c r="F22">
        <v>2.2086300611743299</v>
      </c>
      <c r="G22">
        <v>-184.80564546484868</v>
      </c>
      <c r="H22">
        <v>-154.85039547959005</v>
      </c>
      <c r="I22">
        <v>29.654259253832201</v>
      </c>
      <c r="J22">
        <v>15.432035512436901</v>
      </c>
      <c r="K22">
        <v>5.1412049368811399</v>
      </c>
      <c r="L22">
        <v>1.6207694012808498E-4</v>
      </c>
      <c r="M22">
        <v>1.7785522665586575E-5</v>
      </c>
      <c r="N22" s="1">
        <v>4.2735866259711699E-7</v>
      </c>
      <c r="O22" s="1">
        <v>1.1273271097488E-8</v>
      </c>
      <c r="P22" s="1">
        <v>-5.8341334393720601E-8</v>
      </c>
      <c r="Q22">
        <v>70.612809050475704</v>
      </c>
      <c r="R22">
        <v>0.12928390438349999</v>
      </c>
      <c r="S22">
        <v>12.9286712353507</v>
      </c>
      <c r="T22">
        <v>0.25696762826117198</v>
      </c>
      <c r="V22">
        <v>0.60897145007007902</v>
      </c>
      <c r="W22">
        <v>0.20822103616827201</v>
      </c>
      <c r="X22">
        <v>0.139040653051276</v>
      </c>
      <c r="AA22">
        <v>0.51132172413700805</v>
      </c>
      <c r="AB22">
        <v>3.71786841031461</v>
      </c>
      <c r="AC22">
        <v>4.3334885122233002</v>
      </c>
      <c r="AD22">
        <v>5.2840066501600197E-2</v>
      </c>
      <c r="AE22">
        <v>6.50051632906262</v>
      </c>
    </row>
    <row r="23" spans="1:31" x14ac:dyDescent="0.2">
      <c r="A23">
        <v>22</v>
      </c>
      <c r="B23">
        <v>736</v>
      </c>
      <c r="C23">
        <v>275</v>
      </c>
      <c r="D23">
        <v>0.28667740177377199</v>
      </c>
      <c r="E23">
        <v>8.1162477753545303</v>
      </c>
      <c r="F23">
        <v>2.2110254411481298</v>
      </c>
      <c r="G23">
        <v>-132.06283468504574</v>
      </c>
      <c r="H23">
        <v>-110.69527358205526</v>
      </c>
      <c r="I23">
        <v>21.173820644096899</v>
      </c>
      <c r="J23">
        <v>11.036375283101099</v>
      </c>
      <c r="K23">
        <v>3.6708070492123901</v>
      </c>
      <c r="L23">
        <v>1.6215345626659284E-4</v>
      </c>
      <c r="M23">
        <v>1.7799142334040364E-5</v>
      </c>
      <c r="N23" s="1">
        <v>3.0582056717372298E-7</v>
      </c>
      <c r="O23" s="1">
        <v>8.0506991596805605E-9</v>
      </c>
      <c r="P23" s="1">
        <v>-4.1596400496234298E-8</v>
      </c>
      <c r="Q23">
        <v>70.345867994591799</v>
      </c>
      <c r="R23">
        <v>0.12875656341585501</v>
      </c>
      <c r="S23">
        <v>13.207277498044901</v>
      </c>
      <c r="T23">
        <v>0.25347156561671802</v>
      </c>
      <c r="V23">
        <v>0.60463304404625895</v>
      </c>
      <c r="W23">
        <v>0.28907000646986403</v>
      </c>
      <c r="X23">
        <v>0.13848392171819501</v>
      </c>
      <c r="AA23">
        <v>0.51693864085235097</v>
      </c>
      <c r="AB23">
        <v>3.5963792099877301</v>
      </c>
      <c r="AC23">
        <v>4.3445328500139304</v>
      </c>
      <c r="AD23">
        <v>7.3925786472473304E-2</v>
      </c>
      <c r="AE23">
        <v>6.5006629187698497</v>
      </c>
    </row>
    <row r="24" spans="1:31" x14ac:dyDescent="0.2">
      <c r="A24">
        <v>23</v>
      </c>
      <c r="B24">
        <v>757</v>
      </c>
      <c r="C24">
        <v>255</v>
      </c>
      <c r="D24">
        <v>0.32400184439159502</v>
      </c>
      <c r="E24">
        <v>105.245577278006</v>
      </c>
      <c r="F24">
        <v>2.1925362227909502</v>
      </c>
      <c r="G24">
        <v>-1721.5630113706793</v>
      </c>
      <c r="H24">
        <v>-1438.3215957176687</v>
      </c>
      <c r="I24">
        <v>274.95162418386599</v>
      </c>
      <c r="J24">
        <v>142.20498845504699</v>
      </c>
      <c r="K24">
        <v>48.001750750569599</v>
      </c>
      <c r="L24">
        <v>1.5617418077940262E-4</v>
      </c>
      <c r="M24">
        <v>1.7769495725444318E-5</v>
      </c>
      <c r="N24" s="1">
        <v>3.6605323569357601E-6</v>
      </c>
      <c r="O24" s="1">
        <v>1.0195864677486299E-7</v>
      </c>
      <c r="P24" s="1">
        <v>-5.2058996987238398E-7</v>
      </c>
      <c r="Q24">
        <v>72.554117688301204</v>
      </c>
      <c r="R24">
        <v>6.556094971833E-2</v>
      </c>
      <c r="S24">
        <v>12.0195074483608</v>
      </c>
      <c r="T24">
        <v>0.14983564944207201</v>
      </c>
      <c r="V24">
        <v>0.35925875234310201</v>
      </c>
      <c r="W24">
        <v>2.28038085976798E-2</v>
      </c>
      <c r="X24">
        <v>4.7507934578500298E-2</v>
      </c>
      <c r="AA24">
        <v>0.51308569344779897</v>
      </c>
      <c r="AB24">
        <v>3.7721300055328801</v>
      </c>
      <c r="AC24">
        <v>4.3802315681376598</v>
      </c>
      <c r="AD24">
        <v>5.7009521494198901E-3</v>
      </c>
      <c r="AE24">
        <v>6.1102595493903697</v>
      </c>
    </row>
    <row r="25" spans="1:31" x14ac:dyDescent="0.2">
      <c r="A25">
        <v>24</v>
      </c>
      <c r="B25">
        <v>756</v>
      </c>
      <c r="C25">
        <v>255</v>
      </c>
      <c r="D25">
        <v>0.32327697614536499</v>
      </c>
      <c r="E25">
        <v>105.15846578671599</v>
      </c>
      <c r="F25">
        <v>2.1929402462116401</v>
      </c>
      <c r="G25">
        <v>-1719.8395073695851</v>
      </c>
      <c r="H25">
        <v>-1437.2408707295476</v>
      </c>
      <c r="I25">
        <v>274.59421526505997</v>
      </c>
      <c r="J25">
        <v>142.08158870598299</v>
      </c>
      <c r="K25">
        <v>47.953183388549</v>
      </c>
      <c r="L25">
        <v>1.5614958787013293E-4</v>
      </c>
      <c r="M25">
        <v>1.7760871516718248E-5</v>
      </c>
      <c r="N25" s="1">
        <v>3.6618721723532101E-6</v>
      </c>
      <c r="O25" s="1">
        <v>1.01795625172287E-7</v>
      </c>
      <c r="P25" s="1">
        <v>-5.2017300294258601E-7</v>
      </c>
      <c r="Q25">
        <v>72.536234181835198</v>
      </c>
      <c r="R25">
        <v>6.5615259298235501E-2</v>
      </c>
      <c r="S25">
        <v>12.029464204677501</v>
      </c>
      <c r="T25">
        <v>0.150217177698386</v>
      </c>
      <c r="V25">
        <v>0.35932473860452802</v>
      </c>
      <c r="W25">
        <v>2.2822698886342401E-2</v>
      </c>
      <c r="X25">
        <v>4.7547289346548401E-2</v>
      </c>
      <c r="AA25">
        <v>0.51351072494271</v>
      </c>
      <c r="AB25">
        <v>3.7752547741158198</v>
      </c>
      <c r="AC25">
        <v>4.3838600777515699</v>
      </c>
      <c r="AD25">
        <v>5.7056747215854103E-3</v>
      </c>
      <c r="AE25">
        <v>6.1104431981214997</v>
      </c>
    </row>
    <row r="26" spans="1:31" x14ac:dyDescent="0.2">
      <c r="A26">
        <v>25</v>
      </c>
      <c r="B26">
        <v>755</v>
      </c>
      <c r="C26">
        <v>255</v>
      </c>
      <c r="D26">
        <v>0.322550697855369</v>
      </c>
      <c r="E26">
        <v>104.941062004701</v>
      </c>
      <c r="F26">
        <v>2.1933985569898802</v>
      </c>
      <c r="G26">
        <v>-1715.9578503738919</v>
      </c>
      <c r="H26">
        <v>-1434.3284656011574</v>
      </c>
      <c r="I26">
        <v>273.91857683483403</v>
      </c>
      <c r="J26">
        <v>141.79625100714799</v>
      </c>
      <c r="K26">
        <v>47.844046249723903</v>
      </c>
      <c r="L26">
        <v>1.5618982779496261E-4</v>
      </c>
      <c r="M26">
        <v>1.77532379780751E-5</v>
      </c>
      <c r="N26" s="1">
        <v>3.6596397516698099E-6</v>
      </c>
      <c r="O26" s="1">
        <v>1.01532266289219E-7</v>
      </c>
      <c r="P26" s="1">
        <v>-5.1943924802340704E-7</v>
      </c>
      <c r="Q26">
        <v>72.4901521071844</v>
      </c>
      <c r="R26">
        <v>6.5751192795160701E-2</v>
      </c>
      <c r="S26">
        <v>12.054385345780901</v>
      </c>
      <c r="T26">
        <v>0.15081871196209201</v>
      </c>
      <c r="V26">
        <v>0.35980789780387501</v>
      </c>
      <c r="W26">
        <v>2.2869980102664E-2</v>
      </c>
      <c r="X26">
        <v>4.76457918805527E-2</v>
      </c>
      <c r="AA26">
        <v>0.51457455230994997</v>
      </c>
      <c r="AB26">
        <v>3.7830758753157001</v>
      </c>
      <c r="AC26">
        <v>4.39294201138667</v>
      </c>
      <c r="AD26">
        <v>5.7174950256656896E-3</v>
      </c>
      <c r="AE26">
        <v>6.1122590384522599</v>
      </c>
    </row>
    <row r="27" spans="1:31" x14ac:dyDescent="0.2">
      <c r="A27">
        <v>26</v>
      </c>
      <c r="B27">
        <v>754</v>
      </c>
      <c r="C27">
        <v>255</v>
      </c>
      <c r="D27">
        <v>0.321823005403299</v>
      </c>
      <c r="E27">
        <v>104.724710577705</v>
      </c>
      <c r="F27">
        <v>2.1938568985169802</v>
      </c>
      <c r="G27">
        <v>-1712.0948851244209</v>
      </c>
      <c r="H27">
        <v>-1431.4302636166983</v>
      </c>
      <c r="I27">
        <v>273.24599280311799</v>
      </c>
      <c r="J27">
        <v>141.51229188673699</v>
      </c>
      <c r="K27">
        <v>47.735433723365297</v>
      </c>
      <c r="L27">
        <v>1.5623006943219885E-4</v>
      </c>
      <c r="M27">
        <v>1.7745599180664612E-5</v>
      </c>
      <c r="N27" s="1">
        <v>3.6574294357557102E-6</v>
      </c>
      <c r="O27" s="1">
        <v>1.01270223988613E-7</v>
      </c>
      <c r="P27" s="1">
        <v>-5.1870984774819896E-7</v>
      </c>
      <c r="Q27">
        <v>72.444093321825605</v>
      </c>
      <c r="R27">
        <v>6.5887028590833799E-2</v>
      </c>
      <c r="S27">
        <v>12.0792885749881</v>
      </c>
      <c r="T27">
        <v>0.151422352598551</v>
      </c>
      <c r="V27">
        <v>0.36028842536654898</v>
      </c>
      <c r="W27">
        <v>2.2917227335941402E-2</v>
      </c>
      <c r="X27">
        <v>4.77442236165481E-2</v>
      </c>
      <c r="AA27">
        <v>0.51563761505869499</v>
      </c>
      <c r="AB27">
        <v>3.79089135515368</v>
      </c>
      <c r="AC27">
        <v>4.4020174174453697</v>
      </c>
      <c r="AD27">
        <v>5.7293068339849601E-3</v>
      </c>
      <c r="AE27">
        <v>6.1140831511860601</v>
      </c>
    </row>
    <row r="28" spans="1:31" x14ac:dyDescent="0.2">
      <c r="A28">
        <v>27</v>
      </c>
      <c r="B28">
        <v>753</v>
      </c>
      <c r="C28">
        <v>255</v>
      </c>
      <c r="D28">
        <v>0.321093894654779</v>
      </c>
      <c r="E28">
        <v>104.50940309124</v>
      </c>
      <c r="F28">
        <v>2.1943152718682701</v>
      </c>
      <c r="G28">
        <v>-1708.2504633465323</v>
      </c>
      <c r="H28">
        <v>-1428.5461508157821</v>
      </c>
      <c r="I28">
        <v>272.576438659796</v>
      </c>
      <c r="J28">
        <v>141.22970038281801</v>
      </c>
      <c r="K28">
        <v>47.627341627285901</v>
      </c>
      <c r="L28">
        <v>1.5627031275353671E-4</v>
      </c>
      <c r="M28">
        <v>1.7737955085956262E-5</v>
      </c>
      <c r="N28" s="1">
        <v>3.65524106404284E-6</v>
      </c>
      <c r="O28" s="1">
        <v>1.0100948777787E-7</v>
      </c>
      <c r="P28" s="1">
        <v>-5.1798476829648299E-7</v>
      </c>
      <c r="Q28">
        <v>72.398057624197094</v>
      </c>
      <c r="R28">
        <v>6.6022767290863899E-2</v>
      </c>
      <c r="S28">
        <v>12.104174003327101</v>
      </c>
      <c r="T28">
        <v>0.15202811203184199</v>
      </c>
      <c r="V28">
        <v>0.36076631467723802</v>
      </c>
      <c r="W28">
        <v>2.2964440796821299E-2</v>
      </c>
      <c r="X28">
        <v>4.7842584993381697E-2</v>
      </c>
      <c r="AA28">
        <v>0.51669991792849501</v>
      </c>
      <c r="AB28">
        <v>3.7987012484742402</v>
      </c>
      <c r="AC28">
        <v>4.4110863363893804</v>
      </c>
      <c r="AD28">
        <v>5.7411101992048998E-3</v>
      </c>
      <c r="AE28">
        <v>6.1159155396941802</v>
      </c>
    </row>
    <row r="29" spans="1:31" x14ac:dyDescent="0.2">
      <c r="A29">
        <v>28</v>
      </c>
      <c r="B29">
        <v>752</v>
      </c>
      <c r="C29">
        <v>255</v>
      </c>
      <c r="D29">
        <v>0.3203633614593</v>
      </c>
      <c r="E29">
        <v>104.29513121864601</v>
      </c>
      <c r="F29">
        <v>2.1947736781177798</v>
      </c>
      <c r="G29">
        <v>-1704.4244383143296</v>
      </c>
      <c r="H29">
        <v>-1425.6760144267712</v>
      </c>
      <c r="I29">
        <v>271.90989015027799</v>
      </c>
      <c r="J29">
        <v>140.94846564831201</v>
      </c>
      <c r="K29">
        <v>47.519765823002103</v>
      </c>
      <c r="L29">
        <v>1.563105577311307E-4</v>
      </c>
      <c r="M29">
        <v>1.7730305655421032E-5</v>
      </c>
      <c r="N29" s="1">
        <v>3.6530744776776101E-6</v>
      </c>
      <c r="O29" s="1">
        <v>1.0075004727444401E-7</v>
      </c>
      <c r="P29" s="1">
        <v>-5.1726397620495199E-7</v>
      </c>
      <c r="Q29">
        <v>72.3520448129768</v>
      </c>
      <c r="R29">
        <v>6.6158409499814899E-2</v>
      </c>
      <c r="S29">
        <v>12.129041741635699</v>
      </c>
      <c r="T29">
        <v>0.152636002751005</v>
      </c>
      <c r="V29">
        <v>0.36124155905422201</v>
      </c>
      <c r="W29">
        <v>2.3011620695586599E-2</v>
      </c>
      <c r="X29">
        <v>4.7940876449144201E-2</v>
      </c>
      <c r="AA29">
        <v>0.51776146565071901</v>
      </c>
      <c r="AB29">
        <v>3.8065055900616702</v>
      </c>
      <c r="AC29">
        <v>4.4201488086105103</v>
      </c>
      <c r="AD29">
        <v>5.7529051738960304E-3</v>
      </c>
      <c r="AE29">
        <v>6.11775620744082</v>
      </c>
    </row>
    <row r="30" spans="1:31" x14ac:dyDescent="0.2">
      <c r="A30">
        <v>29</v>
      </c>
      <c r="B30">
        <v>751</v>
      </c>
      <c r="C30">
        <v>255</v>
      </c>
      <c r="D30">
        <v>0.31963140165015202</v>
      </c>
      <c r="E30">
        <v>104.08188672103999</v>
      </c>
      <c r="F30">
        <v>2.19523211833625</v>
      </c>
      <c r="G30">
        <v>-1700.6166648489959</v>
      </c>
      <c r="H30">
        <v>-1422.8197428666642</v>
      </c>
      <c r="I30">
        <v>271.24632327523398</v>
      </c>
      <c r="J30">
        <v>140.66857695092801</v>
      </c>
      <c r="K30">
        <v>47.412702215710397</v>
      </c>
      <c r="L30">
        <v>1.5635080433801341E-4</v>
      </c>
      <c r="M30">
        <v>1.7722650850597742E-5</v>
      </c>
      <c r="N30" s="1">
        <v>3.6509295195621098E-6</v>
      </c>
      <c r="O30" s="1">
        <v>1.0049189220611E-7</v>
      </c>
      <c r="P30" s="1">
        <v>-5.1654743837101999E-7</v>
      </c>
      <c r="Q30">
        <v>72.306054687268897</v>
      </c>
      <c r="R30">
        <v>6.6293955820511799E-2</v>
      </c>
      <c r="S30">
        <v>12.1538919004307</v>
      </c>
      <c r="T30">
        <v>0.15324603730848699</v>
      </c>
      <c r="V30">
        <v>0.36171415174578597</v>
      </c>
      <c r="W30">
        <v>2.30587672419157E-2</v>
      </c>
      <c r="X30">
        <v>4.8039098420664297E-2</v>
      </c>
      <c r="AA30">
        <v>0.51882226294312805</v>
      </c>
      <c r="AB30">
        <v>3.81430441460029</v>
      </c>
      <c r="AC30">
        <v>4.42920487438455</v>
      </c>
      <c r="AD30">
        <v>5.7646918104781401E-3</v>
      </c>
      <c r="AE30">
        <v>6.1196051580244104</v>
      </c>
    </row>
    <row r="31" spans="1:31" x14ac:dyDescent="0.2">
      <c r="A31">
        <v>30</v>
      </c>
      <c r="B31">
        <v>750</v>
      </c>
      <c r="C31">
        <v>255</v>
      </c>
      <c r="D31">
        <v>0.31889801104432502</v>
      </c>
      <c r="E31">
        <v>103.86966144779601</v>
      </c>
      <c r="F31">
        <v>2.19569059359047</v>
      </c>
      <c r="G31">
        <v>-1696.8269993254173</v>
      </c>
      <c r="H31">
        <v>-1419.9772257483803</v>
      </c>
      <c r="I31">
        <v>270.58571429119502</v>
      </c>
      <c r="J31">
        <v>140.390023673689</v>
      </c>
      <c r="K31">
        <v>47.306146754468003</v>
      </c>
      <c r="L31">
        <v>1.5639105254724661E-4</v>
      </c>
      <c r="M31">
        <v>1.7714990633078362E-5</v>
      </c>
      <c r="N31" s="1">
        <v>3.6488060343755602E-6</v>
      </c>
      <c r="O31" s="1">
        <v>1.00235012410736E-7</v>
      </c>
      <c r="P31" s="1">
        <v>-5.1583512205192305E-7</v>
      </c>
      <c r="Q31">
        <v>72.260087046958304</v>
      </c>
      <c r="R31">
        <v>6.6429406853011505E-2</v>
      </c>
      <c r="S31">
        <v>12.1787245897234</v>
      </c>
      <c r="T31">
        <v>0.15385822831750201</v>
      </c>
      <c r="V31">
        <v>0.36218408592451901</v>
      </c>
      <c r="W31">
        <v>2.3105880644523898E-2</v>
      </c>
      <c r="X31">
        <v>4.8137251342766599E-2</v>
      </c>
      <c r="AA31">
        <v>0.51988231450181899</v>
      </c>
      <c r="AB31">
        <v>3.8220977566150802</v>
      </c>
      <c r="AC31">
        <v>4.4382545738021699</v>
      </c>
      <c r="AD31">
        <v>5.7764701611299598E-3</v>
      </c>
      <c r="AE31">
        <v>6.1214623951556204</v>
      </c>
    </row>
    <row r="32" spans="1:31" x14ac:dyDescent="0.2">
      <c r="A32">
        <v>31</v>
      </c>
      <c r="B32">
        <v>749</v>
      </c>
      <c r="C32">
        <v>255</v>
      </c>
      <c r="D32">
        <v>0.31816318544244998</v>
      </c>
      <c r="E32">
        <v>103.65844733257801</v>
      </c>
      <c r="F32">
        <v>2.1961491049432902</v>
      </c>
      <c r="G32">
        <v>-1693.0552996055605</v>
      </c>
      <c r="H32">
        <v>-1417.1483538255486</v>
      </c>
      <c r="I32">
        <v>269.92803970064199</v>
      </c>
      <c r="J32">
        <v>140.112795309982</v>
      </c>
      <c r="K32">
        <v>47.2000954303398</v>
      </c>
      <c r="L32">
        <v>1.5643130233408516E-4</v>
      </c>
      <c r="M32">
        <v>1.7707324964585543E-5</v>
      </c>
      <c r="N32" s="1">
        <v>3.6467038684993702E-6</v>
      </c>
      <c r="O32" s="1">
        <v>9.9979397833328903E-8</v>
      </c>
      <c r="P32" s="1">
        <v>-5.1512699485737398E-7</v>
      </c>
      <c r="Q32">
        <v>72.214141692048401</v>
      </c>
      <c r="R32">
        <v>6.6564763196406002E-2</v>
      </c>
      <c r="S32">
        <v>12.203539919346101</v>
      </c>
      <c r="T32">
        <v>0.154472588457232</v>
      </c>
      <c r="V32">
        <v>0.36265135469656401</v>
      </c>
      <c r="W32">
        <v>2.3152961111791399E-2</v>
      </c>
      <c r="X32">
        <v>4.82353356495746E-2</v>
      </c>
      <c r="AA32">
        <v>0.52094162501534103</v>
      </c>
      <c r="AB32">
        <v>3.8298856505755898</v>
      </c>
      <c r="AC32">
        <v>4.4472979468897904</v>
      </c>
      <c r="AD32">
        <v>5.7882402779467499E-3</v>
      </c>
      <c r="AE32">
        <v>6.1233279227351298</v>
      </c>
    </row>
    <row r="33" spans="1:31" x14ac:dyDescent="0.2">
      <c r="A33">
        <v>32</v>
      </c>
      <c r="B33">
        <v>748</v>
      </c>
      <c r="C33">
        <v>255</v>
      </c>
      <c r="D33">
        <v>0.31742692062870498</v>
      </c>
      <c r="E33">
        <v>103.44823639384001</v>
      </c>
      <c r="F33">
        <v>2.1966076534550001</v>
      </c>
      <c r="G33">
        <v>-1689.3014250451276</v>
      </c>
      <c r="H33">
        <v>-1414.3330190001898</v>
      </c>
      <c r="I33">
        <v>269.273276252203</v>
      </c>
      <c r="J33">
        <v>139.83688146401499</v>
      </c>
      <c r="K33">
        <v>47.0945442765479</v>
      </c>
      <c r="L33">
        <v>1.5647155367391418E-4</v>
      </c>
      <c r="M33">
        <v>1.769965380686364E-5</v>
      </c>
      <c r="N33" s="1">
        <v>3.6446228699975999E-6</v>
      </c>
      <c r="O33" s="1">
        <v>9.9725038524778899E-8</v>
      </c>
      <c r="P33" s="1">
        <v>-5.1442302474187601E-7</v>
      </c>
      <c r="Q33">
        <v>72.1682184230784</v>
      </c>
      <c r="R33">
        <v>6.6700025447810299E-2</v>
      </c>
      <c r="S33">
        <v>12.228337998771099</v>
      </c>
      <c r="T33">
        <v>0.15508913047025</v>
      </c>
      <c r="V33">
        <v>0.363115951095898</v>
      </c>
      <c r="W33">
        <v>2.3200008851409899E-2</v>
      </c>
      <c r="X33">
        <v>4.8333351773781501E-2</v>
      </c>
      <c r="AA33">
        <v>0.52200019915676399</v>
      </c>
      <c r="AB33">
        <v>3.8376681308374998</v>
      </c>
      <c r="AC33">
        <v>4.4563350335415004</v>
      </c>
      <c r="AD33">
        <v>5.80000221285121E-3</v>
      </c>
      <c r="AE33">
        <v>6.1252017447626397</v>
      </c>
    </row>
    <row r="34" spans="1:31" x14ac:dyDescent="0.2">
      <c r="A34">
        <v>33</v>
      </c>
      <c r="B34">
        <v>747</v>
      </c>
      <c r="C34">
        <v>255</v>
      </c>
      <c r="D34">
        <v>0.316689212370732</v>
      </c>
      <c r="E34">
        <v>103.23902073529899</v>
      </c>
      <c r="F34">
        <v>2.19706624018152</v>
      </c>
      <c r="G34">
        <v>-1685.5652365004721</v>
      </c>
      <c r="H34">
        <v>-1411.5311143299427</v>
      </c>
      <c r="I34">
        <v>268.62140094155598</v>
      </c>
      <c r="J34">
        <v>139.56227185138201</v>
      </c>
      <c r="K34">
        <v>46.989489368681497</v>
      </c>
      <c r="L34">
        <v>1.5651180654211157E-4</v>
      </c>
      <c r="M34">
        <v>1.7691977121718533E-5</v>
      </c>
      <c r="N34" s="1">
        <v>3.6425628886621101E-6</v>
      </c>
      <c r="O34" s="1">
        <v>9.9471924642282897E-8</v>
      </c>
      <c r="P34" s="1">
        <v>-5.1372318000790797E-7</v>
      </c>
      <c r="Q34">
        <v>72.1223170414398</v>
      </c>
      <c r="R34">
        <v>6.68351942013439E-2</v>
      </c>
      <c r="S34">
        <v>12.253118936919501</v>
      </c>
      <c r="T34">
        <v>0.15570786716009799</v>
      </c>
      <c r="V34">
        <v>0.36357786807924902</v>
      </c>
      <c r="W34">
        <v>2.3247024070030001E-2</v>
      </c>
      <c r="X34">
        <v>4.8431300145907699E-2</v>
      </c>
      <c r="AA34">
        <v>0.523058041575721</v>
      </c>
      <c r="AB34">
        <v>3.84544523158426</v>
      </c>
      <c r="AC34">
        <v>4.4653658734514403</v>
      </c>
      <c r="AD34">
        <v>5.8117560175061202E-3</v>
      </c>
      <c r="AE34">
        <v>6.1270838653550799</v>
      </c>
    </row>
    <row r="35" spans="1:31" x14ac:dyDescent="0.2">
      <c r="A35">
        <v>34</v>
      </c>
      <c r="B35">
        <v>746</v>
      </c>
      <c r="C35">
        <v>255</v>
      </c>
      <c r="D35">
        <v>0.31595005641956603</v>
      </c>
      <c r="E35">
        <v>103.030792540112</v>
      </c>
      <c r="F35">
        <v>2.1975248661759998</v>
      </c>
      <c r="G35">
        <v>-1681.8465962311357</v>
      </c>
      <c r="H35">
        <v>-1408.742533946682</v>
      </c>
      <c r="I35">
        <v>267.97239099686402</v>
      </c>
      <c r="J35">
        <v>139.28895629179701</v>
      </c>
      <c r="K35">
        <v>46.884926821965799</v>
      </c>
      <c r="L35">
        <v>1.5655206091681935E-4</v>
      </c>
      <c r="M35">
        <v>1.7684294871078776E-5</v>
      </c>
      <c r="N35" s="1">
        <v>3.6405237758720201E-6</v>
      </c>
      <c r="O35" s="1">
        <v>9.9220046444633898E-8</v>
      </c>
      <c r="P35" s="1">
        <v>-5.1302742929187302E-7</v>
      </c>
      <c r="Q35">
        <v>72.076437348294704</v>
      </c>
      <c r="R35">
        <v>6.6970270051198794E-2</v>
      </c>
      <c r="S35">
        <v>12.277882842727401</v>
      </c>
      <c r="T35">
        <v>0.156328811399744</v>
      </c>
      <c r="V35">
        <v>0.36403709854125199</v>
      </c>
      <c r="W35">
        <v>2.3294006974326899E-2</v>
      </c>
      <c r="X35">
        <v>4.8529181196528499E-2</v>
      </c>
      <c r="AA35">
        <v>0.52411515692240895</v>
      </c>
      <c r="AB35">
        <v>3.8532169870033899</v>
      </c>
      <c r="AC35">
        <v>4.4743905063184197</v>
      </c>
      <c r="AD35">
        <v>5.8235017435800699E-3</v>
      </c>
      <c r="AE35">
        <v>6.1289742888268499</v>
      </c>
    </row>
    <row r="36" spans="1:31" x14ac:dyDescent="0.2">
      <c r="A36">
        <v>35</v>
      </c>
      <c r="B36">
        <v>745</v>
      </c>
      <c r="C36">
        <v>255</v>
      </c>
      <c r="D36">
        <v>0.31520944850955201</v>
      </c>
      <c r="E36">
        <v>102.82354407582</v>
      </c>
      <c r="F36">
        <v>2.1979835324865902</v>
      </c>
      <c r="G36">
        <v>-1678.145367980426</v>
      </c>
      <c r="H36">
        <v>-1405.9671731266408</v>
      </c>
      <c r="I36">
        <v>267.32622389017803</v>
      </c>
      <c r="J36">
        <v>139.01692471512601</v>
      </c>
      <c r="K36">
        <v>46.7808527935127</v>
      </c>
      <c r="L36">
        <v>1.5659231677554424E-4</v>
      </c>
      <c r="M36">
        <v>1.7676607016926034E-5</v>
      </c>
      <c r="N36" s="1">
        <v>3.6385053847284899E-6</v>
      </c>
      <c r="O36" s="1">
        <v>9.89693942952205E-8</v>
      </c>
      <c r="P36" s="1">
        <v>-5.1233574157260603E-7</v>
      </c>
      <c r="Q36">
        <v>72.030579145935803</v>
      </c>
      <c r="R36">
        <v>6.7105253587761898E-2</v>
      </c>
      <c r="S36">
        <v>12.3026298244313</v>
      </c>
      <c r="T36">
        <v>0.15695197612141501</v>
      </c>
      <c r="V36">
        <v>0.36449363529476497</v>
      </c>
      <c r="W36">
        <v>2.3340957769653E-2</v>
      </c>
      <c r="X36">
        <v>4.86269953534589E-2</v>
      </c>
      <c r="AA36">
        <v>0.52517154981725001</v>
      </c>
      <c r="AB36">
        <v>3.8609834310635902</v>
      </c>
      <c r="AC36">
        <v>4.4834089715872896</v>
      </c>
      <c r="AD36">
        <v>5.8352394424114398E-3</v>
      </c>
      <c r="AE36">
        <v>6.1308730195952004</v>
      </c>
    </row>
    <row r="37" spans="1:31" x14ac:dyDescent="0.2">
      <c r="A37">
        <v>36</v>
      </c>
      <c r="B37">
        <v>744</v>
      </c>
      <c r="C37">
        <v>255</v>
      </c>
      <c r="D37">
        <v>0.31446738435825899</v>
      </c>
      <c r="E37">
        <v>90.865377830419504</v>
      </c>
      <c r="F37">
        <v>2.1992114237946798</v>
      </c>
      <c r="G37">
        <v>-1482.1738586695924</v>
      </c>
      <c r="H37">
        <v>-1241.9327672654365</v>
      </c>
      <c r="I37">
        <v>236.19042560502899</v>
      </c>
      <c r="J37">
        <v>122.875100185739</v>
      </c>
      <c r="K37">
        <v>41.317254379132699</v>
      </c>
      <c r="L37">
        <v>1.5683990281469787E-4</v>
      </c>
      <c r="M37">
        <v>1.7681413085295857E-5</v>
      </c>
      <c r="N37" s="1">
        <v>3.2233854271888402E-6</v>
      </c>
      <c r="O37" s="1">
        <v>8.7497115659296697E-8</v>
      </c>
      <c r="P37" s="1">
        <v>-4.53436224058032E-7</v>
      </c>
      <c r="Q37">
        <v>71.926274163373094</v>
      </c>
      <c r="R37">
        <v>7.5936513606738407E-2</v>
      </c>
      <c r="S37">
        <v>12.319438630751099</v>
      </c>
      <c r="T37">
        <v>0.177727411747307</v>
      </c>
      <c r="V37">
        <v>0.41235409288087699</v>
      </c>
      <c r="W37">
        <v>2.6412700384941801E-2</v>
      </c>
      <c r="X37">
        <v>5.5026459135344603E-2</v>
      </c>
      <c r="AA37">
        <v>0.52664733026524202</v>
      </c>
      <c r="AB37">
        <v>3.87166526332053</v>
      </c>
      <c r="AC37">
        <v>4.46277984429409</v>
      </c>
      <c r="AD37">
        <v>6.6031750962302904E-3</v>
      </c>
      <c r="AE37">
        <v>6.13913441514444</v>
      </c>
    </row>
    <row r="38" spans="1:31" x14ac:dyDescent="0.2">
      <c r="A38">
        <v>37</v>
      </c>
      <c r="B38">
        <v>743</v>
      </c>
      <c r="C38">
        <v>255</v>
      </c>
      <c r="D38">
        <v>0.31372385966638899</v>
      </c>
      <c r="E38">
        <v>68.827598153128207</v>
      </c>
      <c r="F38">
        <v>2.2021347544649901</v>
      </c>
      <c r="G38">
        <v>-1121.1942859886644</v>
      </c>
      <c r="H38">
        <v>-939.46153136248483</v>
      </c>
      <c r="I38">
        <v>178.844417286994</v>
      </c>
      <c r="J38">
        <v>93.091777610323305</v>
      </c>
      <c r="K38">
        <v>31.254943873700199</v>
      </c>
      <c r="L38">
        <v>1.5719897903596593E-4</v>
      </c>
      <c r="M38">
        <v>1.7686318845838441E-5</v>
      </c>
      <c r="N38" s="1">
        <v>2.4462602926490798E-6</v>
      </c>
      <c r="O38" s="1">
        <v>6.62674474427122E-8</v>
      </c>
      <c r="P38" s="1">
        <v>-3.4373993029995802E-7</v>
      </c>
      <c r="Q38">
        <v>71.734665756809093</v>
      </c>
      <c r="R38">
        <v>0.100250483601799</v>
      </c>
      <c r="S38">
        <v>12.312374234607899</v>
      </c>
      <c r="T38">
        <v>0.23428170671985299</v>
      </c>
      <c r="V38">
        <v>0.54470163142356798</v>
      </c>
      <c r="W38">
        <v>3.4869733426693798E-2</v>
      </c>
      <c r="X38">
        <v>7.2645277972366695E-2</v>
      </c>
      <c r="AA38">
        <v>0.52189581714408895</v>
      </c>
      <c r="AB38">
        <v>3.8640710285858901</v>
      </c>
      <c r="AC38">
        <v>4.42774999484541</v>
      </c>
      <c r="AD38">
        <v>8.7174333566654195E-3</v>
      </c>
      <c r="AE38">
        <v>6.1437769015065902</v>
      </c>
    </row>
    <row r="39" spans="1:31" x14ac:dyDescent="0.2">
      <c r="A39">
        <v>38</v>
      </c>
      <c r="B39">
        <v>742</v>
      </c>
      <c r="C39">
        <v>255</v>
      </c>
      <c r="D39">
        <v>0.31297887011771702</v>
      </c>
      <c r="E39">
        <v>42.1713154131726</v>
      </c>
      <c r="F39">
        <v>2.20475843188437</v>
      </c>
      <c r="G39">
        <v>-686.39135015588602</v>
      </c>
      <c r="H39">
        <v>-575.21104621966913</v>
      </c>
      <c r="I39">
        <v>109.52105987904901</v>
      </c>
      <c r="J39">
        <v>57.062469477113098</v>
      </c>
      <c r="K39">
        <v>19.127408610080401</v>
      </c>
      <c r="L39">
        <v>1.5740833068872805E-4</v>
      </c>
      <c r="M39">
        <v>1.7684959207696912E-5</v>
      </c>
      <c r="N39" s="1">
        <v>1.5004668919941E-6</v>
      </c>
      <c r="O39" s="1">
        <v>4.0565268194358399E-8</v>
      </c>
      <c r="P39" s="1">
        <v>-2.1048537511790199E-7</v>
      </c>
      <c r="Q39">
        <v>71.554054024929698</v>
      </c>
      <c r="R39">
        <v>0.125564966329097</v>
      </c>
      <c r="S39">
        <v>12.353640914746499</v>
      </c>
      <c r="T39">
        <v>0.26533765649010499</v>
      </c>
      <c r="V39">
        <v>0.61831918202470504</v>
      </c>
      <c r="W39">
        <v>5.6910721813745901E-2</v>
      </c>
      <c r="X39">
        <v>0.11494184771046601</v>
      </c>
      <c r="AA39">
        <v>0.51543112857277995</v>
      </c>
      <c r="AB39">
        <v>3.8350284003754398</v>
      </c>
      <c r="AC39">
        <v>4.4031650365856603</v>
      </c>
      <c r="AD39">
        <v>1.4227680453419499E-2</v>
      </c>
      <c r="AE39">
        <v>6.1433784399682896</v>
      </c>
    </row>
    <row r="40" spans="1:31" x14ac:dyDescent="0.2">
      <c r="A40">
        <v>39</v>
      </c>
      <c r="B40">
        <v>741</v>
      </c>
      <c r="C40">
        <v>255</v>
      </c>
      <c r="D40">
        <v>0.31223241137898899</v>
      </c>
      <c r="E40">
        <v>17.6332252931964</v>
      </c>
      <c r="F40">
        <v>2.2073195309921299</v>
      </c>
      <c r="G40">
        <v>-286.96701772665722</v>
      </c>
      <c r="H40">
        <v>-240.57627181056722</v>
      </c>
      <c r="I40">
        <v>45.7434757344475</v>
      </c>
      <c r="J40">
        <v>23.875741674576901</v>
      </c>
      <c r="K40">
        <v>7.9885241106305802</v>
      </c>
      <c r="L40">
        <v>1.5737993728854948E-4</v>
      </c>
      <c r="M40">
        <v>1.7686717265281501E-5</v>
      </c>
      <c r="N40" s="1">
        <v>6.2740300908062497E-7</v>
      </c>
      <c r="O40" s="1">
        <v>1.69285710456896E-8</v>
      </c>
      <c r="P40" s="1">
        <v>-8.7685119271775394E-8</v>
      </c>
      <c r="Q40">
        <v>71.3033325727273</v>
      </c>
      <c r="R40">
        <v>0.138685907290274</v>
      </c>
      <c r="S40">
        <v>12.6061554832549</v>
      </c>
      <c r="T40">
        <v>0.25580085892450599</v>
      </c>
      <c r="V40">
        <v>0.59979445430619305</v>
      </c>
      <c r="W40">
        <v>0.135326211421991</v>
      </c>
      <c r="X40">
        <v>0.147651381678197</v>
      </c>
      <c r="AA40">
        <v>0.51369360943436704</v>
      </c>
      <c r="AB40">
        <v>3.7152882495386601</v>
      </c>
      <c r="AC40">
        <v>4.4138112062454402</v>
      </c>
      <c r="AD40">
        <v>3.4026673511052402E-2</v>
      </c>
      <c r="AE40">
        <v>6.1364333916670102</v>
      </c>
    </row>
    <row r="41" spans="1:31" x14ac:dyDescent="0.2">
      <c r="A41">
        <v>40</v>
      </c>
      <c r="B41">
        <v>740</v>
      </c>
      <c r="C41">
        <v>255</v>
      </c>
      <c r="D41">
        <v>0.31148447909983901</v>
      </c>
      <c r="E41">
        <v>10.5737349449075</v>
      </c>
      <c r="F41">
        <v>2.2099301664528199</v>
      </c>
      <c r="G41">
        <v>-172.03494318143834</v>
      </c>
      <c r="H41">
        <v>-144.27621881628747</v>
      </c>
      <c r="I41">
        <v>27.3984349456159</v>
      </c>
      <c r="J41">
        <v>14.3249845880728</v>
      </c>
      <c r="K41">
        <v>4.7846466397078498</v>
      </c>
      <c r="L41">
        <v>1.5741659593800607E-4</v>
      </c>
      <c r="M41">
        <v>1.7699135994389226E-5</v>
      </c>
      <c r="N41" s="1">
        <v>3.7651689650016999E-7</v>
      </c>
      <c r="O41" s="1">
        <v>1.0138764849877199E-8</v>
      </c>
      <c r="P41" s="1">
        <v>-5.2411857273061403E-8</v>
      </c>
      <c r="Q41">
        <v>71.018058439587605</v>
      </c>
      <c r="R41">
        <v>0.13804591778269301</v>
      </c>
      <c r="S41">
        <v>12.9071254139616</v>
      </c>
      <c r="T41">
        <v>0.25206993864962601</v>
      </c>
      <c r="V41">
        <v>0.59546989111656901</v>
      </c>
      <c r="W41">
        <v>0.22355390817630699</v>
      </c>
      <c r="X41">
        <v>0.14711040211044801</v>
      </c>
      <c r="AA41">
        <v>0.51829887662673102</v>
      </c>
      <c r="AB41">
        <v>3.58022598306894</v>
      </c>
      <c r="AC41">
        <v>4.4290537163380801</v>
      </c>
      <c r="AD41">
        <v>5.67443768095683E-2</v>
      </c>
      <c r="AE41">
        <v>6.1342431357716798</v>
      </c>
    </row>
    <row r="42" spans="1:31" x14ac:dyDescent="0.2">
      <c r="A42">
        <v>41</v>
      </c>
      <c r="B42">
        <v>757</v>
      </c>
      <c r="C42">
        <v>235</v>
      </c>
      <c r="D42">
        <v>0.34535795757899301</v>
      </c>
      <c r="E42">
        <v>104.92271273705499</v>
      </c>
      <c r="F42">
        <v>2.1934382427246399</v>
      </c>
      <c r="G42">
        <v>-1715.5061684406164</v>
      </c>
      <c r="H42">
        <v>-1435.0414232358573</v>
      </c>
      <c r="I42">
        <v>272.25622016673202</v>
      </c>
      <c r="J42">
        <v>141.46945222961901</v>
      </c>
      <c r="K42">
        <v>47.834815083155497</v>
      </c>
      <c r="L42">
        <v>1.5266725049612533E-4</v>
      </c>
      <c r="M42">
        <v>1.7717377478832734E-5</v>
      </c>
      <c r="N42" s="1">
        <v>3.4980905017649298E-6</v>
      </c>
      <c r="O42" s="1">
        <v>9.8752918169959905E-8</v>
      </c>
      <c r="P42" s="1">
        <v>-5.05834849432585E-7</v>
      </c>
      <c r="Q42">
        <v>72.777378708635695</v>
      </c>
      <c r="R42">
        <v>6.5762691604171405E-2</v>
      </c>
      <c r="S42">
        <v>12.0564934607652</v>
      </c>
      <c r="T42">
        <v>0.151771553557526</v>
      </c>
      <c r="V42">
        <v>0.35903717813535801</v>
      </c>
      <c r="W42">
        <v>2.2873979688407198E-2</v>
      </c>
      <c r="X42">
        <v>4.76541243508493E-2</v>
      </c>
      <c r="AA42">
        <v>0.51466454298916597</v>
      </c>
      <c r="AB42">
        <v>3.7837374734573701</v>
      </c>
      <c r="AC42">
        <v>4.3937102651482096</v>
      </c>
      <c r="AD42">
        <v>5.7184949221017302E-3</v>
      </c>
      <c r="AE42">
        <v>5.8211975267458298</v>
      </c>
    </row>
    <row r="43" spans="1:31" x14ac:dyDescent="0.2">
      <c r="A43">
        <v>42</v>
      </c>
      <c r="B43">
        <v>756</v>
      </c>
      <c r="C43">
        <v>235</v>
      </c>
      <c r="D43">
        <v>0.344653840548026</v>
      </c>
      <c r="E43">
        <v>104.834314041309</v>
      </c>
      <c r="F43">
        <v>2.1938393266596199</v>
      </c>
      <c r="G43">
        <v>-1713.7639496007664</v>
      </c>
      <c r="H43">
        <v>-1433.9408641500975</v>
      </c>
      <c r="I43">
        <v>271.89727974607098</v>
      </c>
      <c r="J43">
        <v>141.34471358895999</v>
      </c>
      <c r="K43">
        <v>47.785775725395503</v>
      </c>
      <c r="L43">
        <v>1.5264404746931633E-4</v>
      </c>
      <c r="M43">
        <v>1.7708821456121163E-5</v>
      </c>
      <c r="N43" s="1">
        <v>3.4992447254316999E-6</v>
      </c>
      <c r="O43" s="1">
        <v>9.85937939011456E-8</v>
      </c>
      <c r="P43" s="1">
        <v>-5.0542127677498703E-7</v>
      </c>
      <c r="Q43">
        <v>72.759213434929705</v>
      </c>
      <c r="R43">
        <v>6.5818144212601098E-2</v>
      </c>
      <c r="S43">
        <v>12.066659772310899</v>
      </c>
      <c r="T43">
        <v>0.15216084393299401</v>
      </c>
      <c r="V43">
        <v>0.35910479408453899</v>
      </c>
      <c r="W43">
        <v>2.2893267552208801E-2</v>
      </c>
      <c r="X43">
        <v>4.76943074004363E-2</v>
      </c>
      <c r="AA43">
        <v>0.51509851992470301</v>
      </c>
      <c r="AB43">
        <v>3.7869280075945499</v>
      </c>
      <c r="AC43">
        <v>4.3974151423200798</v>
      </c>
      <c r="AD43">
        <v>5.7233168880520303E-3</v>
      </c>
      <c r="AE43">
        <v>5.8212904488491004</v>
      </c>
    </row>
    <row r="44" spans="1:31" x14ac:dyDescent="0.2">
      <c r="A44">
        <v>43</v>
      </c>
      <c r="B44">
        <v>755</v>
      </c>
      <c r="C44">
        <v>235</v>
      </c>
      <c r="D44">
        <v>0.34394835383941902</v>
      </c>
      <c r="E44">
        <v>104.62269913081499</v>
      </c>
      <c r="F44">
        <v>2.1942963515273801</v>
      </c>
      <c r="G44">
        <v>-1709.9807646771812</v>
      </c>
      <c r="H44">
        <v>-1431.1066370549968</v>
      </c>
      <c r="I44">
        <v>271.238756623239</v>
      </c>
      <c r="J44">
        <v>141.06703243924301</v>
      </c>
      <c r="K44">
        <v>47.679384353891002</v>
      </c>
      <c r="L44">
        <v>1.5268101471947867E-4</v>
      </c>
      <c r="M44">
        <v>1.7701090261880092E-5</v>
      </c>
      <c r="N44" s="1">
        <v>3.4971158941800701E-6</v>
      </c>
      <c r="O44" s="1">
        <v>9.8341281350742004E-8</v>
      </c>
      <c r="P44" s="1">
        <v>-5.0471301788278696E-7</v>
      </c>
      <c r="Q44">
        <v>72.714366131405001</v>
      </c>
      <c r="R44">
        <v>6.5951271161267505E-2</v>
      </c>
      <c r="S44">
        <v>12.0910663795677</v>
      </c>
      <c r="T44">
        <v>0.15276190384884</v>
      </c>
      <c r="V44">
        <v>0.359567229308768</v>
      </c>
      <c r="W44">
        <v>2.2939572577831299E-2</v>
      </c>
      <c r="X44">
        <v>4.7790776203819003E-2</v>
      </c>
      <c r="AA44">
        <v>0.51614038300122</v>
      </c>
      <c r="AB44">
        <v>3.7945876305829702</v>
      </c>
      <c r="AC44">
        <v>4.4063095659917204</v>
      </c>
      <c r="AD44">
        <v>5.73489314445743E-3</v>
      </c>
      <c r="AE44">
        <v>5.8227842632062696</v>
      </c>
    </row>
    <row r="45" spans="1:31" x14ac:dyDescent="0.2">
      <c r="A45">
        <v>44</v>
      </c>
      <c r="B45">
        <v>754</v>
      </c>
      <c r="C45">
        <v>235</v>
      </c>
      <c r="D45">
        <v>0.34324149345275801</v>
      </c>
      <c r="E45">
        <v>104.412086961138</v>
      </c>
      <c r="F45">
        <v>2.1947534628188601</v>
      </c>
      <c r="G45">
        <v>-1706.215401367592</v>
      </c>
      <c r="H45">
        <v>-1428.2859468312911</v>
      </c>
      <c r="I45">
        <v>270.58312275354098</v>
      </c>
      <c r="J45">
        <v>140.790659939753</v>
      </c>
      <c r="K45">
        <v>47.573492298782</v>
      </c>
      <c r="L45">
        <v>1.5271794840804719E-4</v>
      </c>
      <c r="M45">
        <v>1.769335159800039E-5</v>
      </c>
      <c r="N45" s="1">
        <v>3.4950061020123098E-6</v>
      </c>
      <c r="O45" s="1">
        <v>9.8089975672216003E-8</v>
      </c>
      <c r="P45" s="1">
        <v>-5.04008659537105E-7</v>
      </c>
      <c r="Q45">
        <v>72.669543907774198</v>
      </c>
      <c r="R45">
        <v>6.6084303080430298E-2</v>
      </c>
      <c r="S45">
        <v>12.115455564747901</v>
      </c>
      <c r="T45">
        <v>0.15336506885512299</v>
      </c>
      <c r="V45">
        <v>0.36002705418516501</v>
      </c>
      <c r="W45">
        <v>2.2985844549713901E-2</v>
      </c>
      <c r="X45">
        <v>4.7887176145241697E-2</v>
      </c>
      <c r="AA45">
        <v>0.51718150236857996</v>
      </c>
      <c r="AB45">
        <v>3.8022417859318902</v>
      </c>
      <c r="AC45">
        <v>4.4151976405908204</v>
      </c>
      <c r="AD45">
        <v>5.7464611374279896E-3</v>
      </c>
      <c r="AE45">
        <v>5.8242836906334601</v>
      </c>
    </row>
    <row r="46" spans="1:31" x14ac:dyDescent="0.2">
      <c r="A46">
        <v>45</v>
      </c>
      <c r="B46">
        <v>753</v>
      </c>
      <c r="C46">
        <v>235</v>
      </c>
      <c r="D46">
        <v>0.342533255372025</v>
      </c>
      <c r="E46">
        <v>104.202469703791</v>
      </c>
      <c r="F46">
        <v>2.1952106620305698</v>
      </c>
      <c r="G46">
        <v>-1702.467721547767</v>
      </c>
      <c r="H46">
        <v>-1425.4786874562881</v>
      </c>
      <c r="I46">
        <v>269.930355300374</v>
      </c>
      <c r="J46">
        <v>140.51558589055799</v>
      </c>
      <c r="K46">
        <v>47.468095662128398</v>
      </c>
      <c r="L46">
        <v>1.5275484813202642E-4</v>
      </c>
      <c r="M46">
        <v>1.7685605403737132E-5</v>
      </c>
      <c r="N46" s="1">
        <v>3.4929151950454901E-6</v>
      </c>
      <c r="O46" s="1">
        <v>9.7839867142313303E-8</v>
      </c>
      <c r="P46" s="1">
        <v>-5.0330816962099903E-7</v>
      </c>
      <c r="Q46">
        <v>72.624746601757593</v>
      </c>
      <c r="R46">
        <v>6.6217240528120197E-2</v>
      </c>
      <c r="S46">
        <v>12.1398274301584</v>
      </c>
      <c r="T46">
        <v>0.15397035123475999</v>
      </c>
      <c r="V46">
        <v>0.36048426186673899</v>
      </c>
      <c r="W46">
        <v>2.3032083661953601E-2</v>
      </c>
      <c r="X46">
        <v>4.7983507629075599E-2</v>
      </c>
      <c r="AA46">
        <v>0.51822188239397704</v>
      </c>
      <c r="AB46">
        <v>3.80989050574822</v>
      </c>
      <c r="AC46">
        <v>4.4240794034001798</v>
      </c>
      <c r="AD46">
        <v>5.7580209154877602E-3</v>
      </c>
      <c r="AE46">
        <v>5.8257887107053996</v>
      </c>
    </row>
    <row r="47" spans="1:31" x14ac:dyDescent="0.2">
      <c r="A47">
        <v>46</v>
      </c>
      <c r="B47">
        <v>752</v>
      </c>
      <c r="C47">
        <v>235</v>
      </c>
      <c r="D47">
        <v>0.34182363556552797</v>
      </c>
      <c r="E47">
        <v>103.99383961382701</v>
      </c>
      <c r="F47">
        <v>2.1956679506605199</v>
      </c>
      <c r="G47">
        <v>-1698.7375885635392</v>
      </c>
      <c r="H47">
        <v>-1422.6847540402359</v>
      </c>
      <c r="I47">
        <v>269.28043166688099</v>
      </c>
      <c r="J47">
        <v>140.24180020033501</v>
      </c>
      <c r="K47">
        <v>47.363190587421599</v>
      </c>
      <c r="L47">
        <v>1.5279171348328346E-4</v>
      </c>
      <c r="M47">
        <v>1.7677851618108082E-5</v>
      </c>
      <c r="N47" s="1">
        <v>3.4908430208555599E-6</v>
      </c>
      <c r="O47" s="1">
        <v>9.7590946137075798E-8</v>
      </c>
      <c r="P47" s="1">
        <v>-5.0261151633009501E-7</v>
      </c>
      <c r="Q47">
        <v>72.579974052361607</v>
      </c>
      <c r="R47">
        <v>6.6350084059043593E-2</v>
      </c>
      <c r="S47">
        <v>12.164182077494999</v>
      </c>
      <c r="T47">
        <v>0.154577763328132</v>
      </c>
      <c r="V47">
        <v>0.360938845429913</v>
      </c>
      <c r="W47">
        <v>2.3078290107491899E-2</v>
      </c>
      <c r="X47">
        <v>4.8079771057281603E-2</v>
      </c>
      <c r="AA47">
        <v>0.51926152741859399</v>
      </c>
      <c r="AB47">
        <v>3.81753382194769</v>
      </c>
      <c r="AC47">
        <v>4.43295489148064</v>
      </c>
      <c r="AD47">
        <v>5.7695725268721802E-3</v>
      </c>
      <c r="AE47">
        <v>5.8272993027875799</v>
      </c>
    </row>
    <row r="48" spans="1:31" x14ac:dyDescent="0.2">
      <c r="A48">
        <v>47</v>
      </c>
      <c r="B48">
        <v>751</v>
      </c>
      <c r="C48">
        <v>235</v>
      </c>
      <c r="D48">
        <v>0.34111262998584302</v>
      </c>
      <c r="E48">
        <v>103.78618902519101</v>
      </c>
      <c r="F48">
        <v>2.19612533020825</v>
      </c>
      <c r="G48">
        <v>-1695.0248671530173</v>
      </c>
      <c r="H48">
        <v>-1419.9040427614354</v>
      </c>
      <c r="I48">
        <v>268.63332948453001</v>
      </c>
      <c r="J48">
        <v>139.96929288060699</v>
      </c>
      <c r="K48">
        <v>47.258773257421304</v>
      </c>
      <c r="L48">
        <v>1.5282854405124308E-4</v>
      </c>
      <c r="M48">
        <v>1.7670090179991599E-5</v>
      </c>
      <c r="N48" s="1">
        <v>3.4887894283927299E-6</v>
      </c>
      <c r="O48" s="1">
        <v>9.73432031286535E-8</v>
      </c>
      <c r="P48" s="1">
        <v>-5.0191866816515699E-7</v>
      </c>
      <c r="Q48">
        <v>72.535226099041296</v>
      </c>
      <c r="R48">
        <v>6.6482834226868098E-2</v>
      </c>
      <c r="S48">
        <v>12.188519608263499</v>
      </c>
      <c r="T48">
        <v>0.155187317539414</v>
      </c>
      <c r="V48">
        <v>0.361390797885841</v>
      </c>
      <c r="W48">
        <v>2.31244640789088E-2</v>
      </c>
      <c r="X48">
        <v>4.8175966831068097E-2</v>
      </c>
      <c r="AA48">
        <v>0.52030044177547996</v>
      </c>
      <c r="AB48">
        <v>3.8251717663862599</v>
      </c>
      <c r="AC48">
        <v>4.44182414182362</v>
      </c>
      <c r="AD48">
        <v>5.7811160197262504E-3</v>
      </c>
      <c r="AE48">
        <v>5.8288154461278703</v>
      </c>
    </row>
    <row r="49" spans="1:31" x14ac:dyDescent="0.2">
      <c r="A49">
        <v>48</v>
      </c>
      <c r="B49">
        <v>750</v>
      </c>
      <c r="C49">
        <v>235</v>
      </c>
      <c r="D49">
        <v>0.34040023456971302</v>
      </c>
      <c r="E49">
        <v>103.579510353895</v>
      </c>
      <c r="F49">
        <v>2.1965828021743801</v>
      </c>
      <c r="G49">
        <v>-1691.3294234977918</v>
      </c>
      <c r="H49">
        <v>-1417.136450911529</v>
      </c>
      <c r="I49">
        <v>267.98902662000899</v>
      </c>
      <c r="J49">
        <v>139.698054049555</v>
      </c>
      <c r="K49">
        <v>47.154839895570099</v>
      </c>
      <c r="L49">
        <v>1.5286533941992285E-4</v>
      </c>
      <c r="M49">
        <v>1.7662321028030075E-5</v>
      </c>
      <c r="N49" s="1">
        <v>3.4867542680455102E-6</v>
      </c>
      <c r="O49" s="1">
        <v>9.7096628686485806E-8</v>
      </c>
      <c r="P49" s="1">
        <v>-5.0122959393317297E-7</v>
      </c>
      <c r="Q49">
        <v>72.490502582669905</v>
      </c>
      <c r="R49">
        <v>6.6615491581542605E-2</v>
      </c>
      <c r="S49">
        <v>12.212840123288601</v>
      </c>
      <c r="T49">
        <v>0.155799026329522</v>
      </c>
      <c r="V49">
        <v>0.361840112166532</v>
      </c>
      <c r="W49">
        <v>2.31706057674907E-2</v>
      </c>
      <c r="X49">
        <v>4.8272095348949599E-2</v>
      </c>
      <c r="AA49">
        <v>0.52133862976858203</v>
      </c>
      <c r="AB49">
        <v>3.8328043707058699</v>
      </c>
      <c r="AC49">
        <v>4.4506871911720296</v>
      </c>
      <c r="AD49">
        <v>5.7926514418714901E-3</v>
      </c>
      <c r="AE49">
        <v>5.83033711975897</v>
      </c>
    </row>
    <row r="50" spans="1:31" x14ac:dyDescent="0.2">
      <c r="A50">
        <v>49</v>
      </c>
      <c r="B50">
        <v>749</v>
      </c>
      <c r="C50">
        <v>235</v>
      </c>
      <c r="D50">
        <v>0.33968644523797997</v>
      </c>
      <c r="E50">
        <v>103.37379609126</v>
      </c>
      <c r="F50">
        <v>2.1970403680635102</v>
      </c>
      <c r="G50">
        <v>-1687.6511251098068</v>
      </c>
      <c r="H50">
        <v>-1414.3818768008859</v>
      </c>
      <c r="I50">
        <v>267.347501158265</v>
      </c>
      <c r="J50">
        <v>139.42807392354899</v>
      </c>
      <c r="K50">
        <v>47.051386762808598</v>
      </c>
      <c r="L50">
        <v>1.5290209917060094E-4</v>
      </c>
      <c r="M50">
        <v>1.7654544100654767E-5</v>
      </c>
      <c r="N50" s="1">
        <v>3.4847373914625499E-6</v>
      </c>
      <c r="O50" s="1">
        <v>9.6851213471580395E-8</v>
      </c>
      <c r="P50" s="1">
        <v>-5.0054426272871204E-7</v>
      </c>
      <c r="Q50">
        <v>72.445803344287995</v>
      </c>
      <c r="R50">
        <v>6.6748056672977701E-2</v>
      </c>
      <c r="S50">
        <v>12.2371437233853</v>
      </c>
      <c r="T50">
        <v>0.15641290222648599</v>
      </c>
      <c r="V50">
        <v>0.362286781143553</v>
      </c>
      <c r="W50">
        <v>2.32167153645116E-2</v>
      </c>
      <c r="X50">
        <v>4.83681570094101E-2</v>
      </c>
      <c r="AA50">
        <v>0.52237609570155197</v>
      </c>
      <c r="AB50">
        <v>3.8404316665464</v>
      </c>
      <c r="AC50">
        <v>4.4595440762664396</v>
      </c>
      <c r="AD50">
        <v>5.8041788411266199E-3</v>
      </c>
      <c r="AE50">
        <v>5.8318643025541101</v>
      </c>
    </row>
    <row r="51" spans="1:31" x14ac:dyDescent="0.2">
      <c r="A51">
        <v>50</v>
      </c>
      <c r="B51">
        <v>748</v>
      </c>
      <c r="C51">
        <v>235</v>
      </c>
      <c r="D51">
        <v>0.33897125789551102</v>
      </c>
      <c r="E51">
        <v>103.16903880922401</v>
      </c>
      <c r="F51">
        <v>2.1974980293777402</v>
      </c>
      <c r="G51">
        <v>-1683.98984091901</v>
      </c>
      <c r="H51">
        <v>-1411.6402198337885</v>
      </c>
      <c r="I51">
        <v>266.708731415778</v>
      </c>
      <c r="J51">
        <v>139.15934282384899</v>
      </c>
      <c r="K51">
        <v>46.948410160093999</v>
      </c>
      <c r="L51">
        <v>1.529388228808558E-4</v>
      </c>
      <c r="M51">
        <v>1.7646759336215891E-5</v>
      </c>
      <c r="N51" s="1">
        <v>3.48273865177483E-6</v>
      </c>
      <c r="O51" s="1">
        <v>9.6606948241955302E-8</v>
      </c>
      <c r="P51" s="1">
        <v>-4.9986264395736204E-7</v>
      </c>
      <c r="Q51">
        <v>72.401128226369707</v>
      </c>
      <c r="R51">
        <v>6.6880530046998093E-2</v>
      </c>
      <c r="S51">
        <v>12.261430508622601</v>
      </c>
      <c r="T51">
        <v>0.15702895781437401</v>
      </c>
      <c r="V51">
        <v>0.36273079760697502</v>
      </c>
      <c r="W51">
        <v>2.32627930598229E-2</v>
      </c>
      <c r="X51">
        <v>4.84641522079758E-2</v>
      </c>
      <c r="AA51">
        <v>0.52341284384605902</v>
      </c>
      <c r="AB51">
        <v>3.84805368531249</v>
      </c>
      <c r="AC51">
        <v>4.4683948335741501</v>
      </c>
      <c r="AD51">
        <v>5.8156982649543798E-3</v>
      </c>
      <c r="AE51">
        <v>5.8333969732738398</v>
      </c>
    </row>
    <row r="52" spans="1:31" x14ac:dyDescent="0.2">
      <c r="A52">
        <v>51</v>
      </c>
      <c r="B52">
        <v>747</v>
      </c>
      <c r="C52">
        <v>235</v>
      </c>
      <c r="D52">
        <v>0.33825466843111501</v>
      </c>
      <c r="E52">
        <v>80.750936122143898</v>
      </c>
      <c r="F52">
        <v>2.2004013203912001</v>
      </c>
      <c r="G52">
        <v>-1316.3005978617698</v>
      </c>
      <c r="H52">
        <v>-1103.6006338463446</v>
      </c>
      <c r="I52">
        <v>208.49871490998899</v>
      </c>
      <c r="J52">
        <v>108.88607127340001</v>
      </c>
      <c r="K52">
        <v>36.6982765252056</v>
      </c>
      <c r="L52">
        <v>1.5277973532304569E-4</v>
      </c>
      <c r="M52">
        <v>1.761056476358841E-5</v>
      </c>
      <c r="N52" s="1">
        <v>2.7192426411252899E-6</v>
      </c>
      <c r="O52" s="1">
        <v>7.5302803736003004E-8</v>
      </c>
      <c r="P52" s="1">
        <v>-3.9001900003846702E-7</v>
      </c>
      <c r="Q52">
        <v>72.272014285038097</v>
      </c>
      <c r="R52">
        <v>8.5447925824213206E-2</v>
      </c>
      <c r="S52">
        <v>12.245589515270501</v>
      </c>
      <c r="T52">
        <v>0.20051052879047901</v>
      </c>
      <c r="V52">
        <v>0.46353380130701999</v>
      </c>
      <c r="W52">
        <v>2.9721017677979699E-2</v>
      </c>
      <c r="X52">
        <v>6.1918786829162901E-2</v>
      </c>
      <c r="AA52">
        <v>0.51167287144711604</v>
      </c>
      <c r="AB52">
        <v>3.8000971026083601</v>
      </c>
      <c r="AC52">
        <v>4.5096945094741399</v>
      </c>
      <c r="AD52">
        <v>7.4302544194938301E-3</v>
      </c>
      <c r="AE52">
        <v>5.8123694013132301</v>
      </c>
    </row>
    <row r="53" spans="1:31" x14ac:dyDescent="0.2">
      <c r="A53">
        <v>52</v>
      </c>
      <c r="B53">
        <v>746</v>
      </c>
      <c r="C53">
        <v>235</v>
      </c>
      <c r="D53">
        <v>0.33753667271746202</v>
      </c>
      <c r="E53">
        <v>63.008405728048601</v>
      </c>
      <c r="F53">
        <v>2.2034698343094998</v>
      </c>
      <c r="G53">
        <v>-1025.6838981206124</v>
      </c>
      <c r="H53">
        <v>-859.96734000758636</v>
      </c>
      <c r="I53">
        <v>162.60271609971599</v>
      </c>
      <c r="J53">
        <v>84.973024804703897</v>
      </c>
      <c r="K53">
        <v>28.595084328800599</v>
      </c>
      <c r="L53">
        <v>1.5304927751988011E-4</v>
      </c>
      <c r="M53">
        <v>1.7608982917273061E-5</v>
      </c>
      <c r="N53" s="1">
        <v>2.124154875942E-6</v>
      </c>
      <c r="O53" s="1">
        <v>5.8707815710962798E-8</v>
      </c>
      <c r="P53" s="1">
        <v>-3.0431204273811399E-7</v>
      </c>
      <c r="Q53">
        <v>72.084118073482301</v>
      </c>
      <c r="R53">
        <v>0.10950919834065</v>
      </c>
      <c r="S53">
        <v>12.2393172650149</v>
      </c>
      <c r="T53">
        <v>0.25656816156478202</v>
      </c>
      <c r="V53">
        <v>0.59442385516941898</v>
      </c>
      <c r="W53">
        <v>3.80901559445588E-2</v>
      </c>
      <c r="X53">
        <v>7.9354491551237999E-2</v>
      </c>
      <c r="AA53">
        <v>0.51297230216130796</v>
      </c>
      <c r="AB53">
        <v>3.7816440875410602</v>
      </c>
      <c r="AC53">
        <v>4.4822357216609197</v>
      </c>
      <c r="AD53">
        <v>9.5225389861361108E-3</v>
      </c>
      <c r="AE53">
        <v>5.8122441485826402</v>
      </c>
    </row>
    <row r="54" spans="1:31" x14ac:dyDescent="0.2">
      <c r="A54">
        <v>53</v>
      </c>
      <c r="B54">
        <v>745</v>
      </c>
      <c r="C54">
        <v>235</v>
      </c>
      <c r="D54">
        <v>0.33681726661101002</v>
      </c>
      <c r="E54">
        <v>32.127670910313199</v>
      </c>
      <c r="F54">
        <v>2.2059701355660599</v>
      </c>
      <c r="G54">
        <v>-522.8157312292393</v>
      </c>
      <c r="H54">
        <v>-438.48208448976675</v>
      </c>
      <c r="I54">
        <v>82.830277208144594</v>
      </c>
      <c r="J54">
        <v>43.353066846456301</v>
      </c>
      <c r="K54">
        <v>14.563964576097501</v>
      </c>
      <c r="L54">
        <v>1.529790825803773E-4</v>
      </c>
      <c r="M54">
        <v>1.7591952872957575E-5</v>
      </c>
      <c r="N54" s="1">
        <v>1.0821475716203799E-6</v>
      </c>
      <c r="O54" s="1">
        <v>2.9852570220957899E-8</v>
      </c>
      <c r="P54" s="1">
        <v>-1.54653002977801E-7</v>
      </c>
      <c r="Q54">
        <v>71.9179763013734</v>
      </c>
      <c r="R54">
        <v>0.13446312715481301</v>
      </c>
      <c r="S54">
        <v>12.3347974644958</v>
      </c>
      <c r="T54">
        <v>0.26006061163028199</v>
      </c>
      <c r="V54">
        <v>0.60415367230199002</v>
      </c>
      <c r="W54">
        <v>7.4701960397281802E-2</v>
      </c>
      <c r="X54">
        <v>0.146900274126813</v>
      </c>
      <c r="AA54">
        <v>0.51511349972915099</v>
      </c>
      <c r="AB54">
        <v>3.7113689680933302</v>
      </c>
      <c r="AC54">
        <v>4.48126333919706</v>
      </c>
      <c r="AD54">
        <v>1.8675490099319601E-2</v>
      </c>
      <c r="AE54">
        <v>5.8005252914006498</v>
      </c>
    </row>
    <row r="55" spans="1:31" x14ac:dyDescent="0.2">
      <c r="A55">
        <v>54</v>
      </c>
      <c r="B55">
        <v>744</v>
      </c>
      <c r="C55">
        <v>235</v>
      </c>
      <c r="D55">
        <v>0.336096445951927</v>
      </c>
      <c r="E55">
        <v>14.6762714627269</v>
      </c>
      <c r="F55">
        <v>2.2087669473592002</v>
      </c>
      <c r="G55">
        <v>-238.7773059549335</v>
      </c>
      <c r="H55">
        <v>-200.34228209306525</v>
      </c>
      <c r="I55">
        <v>37.786977202839502</v>
      </c>
      <c r="J55">
        <v>19.8144067780221</v>
      </c>
      <c r="K55">
        <v>6.6445540939816699</v>
      </c>
      <c r="L55">
        <v>1.5287917740019186E-4</v>
      </c>
      <c r="M55">
        <v>1.7592330146764626E-5</v>
      </c>
      <c r="N55" s="1">
        <v>4.9403678944977502E-7</v>
      </c>
      <c r="O55" s="1">
        <v>1.36028648184543E-8</v>
      </c>
      <c r="P55" s="1">
        <v>-7.0310890067664497E-8</v>
      </c>
      <c r="Q55">
        <v>71.642692116681005</v>
      </c>
      <c r="R55">
        <v>0.147724246319279</v>
      </c>
      <c r="S55">
        <v>12.6280034914037</v>
      </c>
      <c r="T55">
        <v>0.250991073785091</v>
      </c>
      <c r="V55">
        <v>0.58733703666798598</v>
      </c>
      <c r="W55">
        <v>0.162377446004137</v>
      </c>
      <c r="X55">
        <v>0.15590201964922401</v>
      </c>
      <c r="AA55">
        <v>0.52054467919834002</v>
      </c>
      <c r="AB55">
        <v>3.56720861038924</v>
      </c>
      <c r="AC55">
        <v>4.5059429631780201</v>
      </c>
      <c r="AD55">
        <v>4.0882318204811301E-2</v>
      </c>
      <c r="AE55">
        <v>5.7903939985190602</v>
      </c>
    </row>
    <row r="56" spans="1:31" x14ac:dyDescent="0.2">
      <c r="A56">
        <v>55</v>
      </c>
      <c r="B56">
        <v>743</v>
      </c>
      <c r="C56">
        <v>235</v>
      </c>
      <c r="D56">
        <v>0.33537420656399403</v>
      </c>
      <c r="E56">
        <v>9.6136831036756707</v>
      </c>
      <c r="F56">
        <v>2.2112828292959801</v>
      </c>
      <c r="G56">
        <v>-156.37085281062519</v>
      </c>
      <c r="H56">
        <v>-131.24788936507181</v>
      </c>
      <c r="I56">
        <v>24.7236760769112</v>
      </c>
      <c r="J56">
        <v>12.9861375867433</v>
      </c>
      <c r="K56">
        <v>4.3475592431278498</v>
      </c>
      <c r="L56">
        <v>1.5288915603906534E-4</v>
      </c>
      <c r="M56">
        <v>1.7602320387298962E-5</v>
      </c>
      <c r="N56" s="1">
        <v>3.2382402665359899E-7</v>
      </c>
      <c r="O56" s="1">
        <v>8.8985962522331696E-9</v>
      </c>
      <c r="P56" s="1">
        <v>-4.5904744391779E-8</v>
      </c>
      <c r="Q56">
        <v>71.371332146084399</v>
      </c>
      <c r="R56">
        <v>0.147086930532595</v>
      </c>
      <c r="S56">
        <v>12.914665137029001</v>
      </c>
      <c r="T56">
        <v>0.24736110912470499</v>
      </c>
      <c r="V56">
        <v>0.58292944364945798</v>
      </c>
      <c r="W56">
        <v>0.245684732045124</v>
      </c>
      <c r="X56">
        <v>0.15536220157216099</v>
      </c>
      <c r="AA56">
        <v>0.52617931525131101</v>
      </c>
      <c r="AB56">
        <v>3.4374652676870898</v>
      </c>
      <c r="AC56">
        <v>4.5220510422510003</v>
      </c>
      <c r="AD56">
        <v>6.2411044084637199E-2</v>
      </c>
      <c r="AE56">
        <v>5.7874716306883602</v>
      </c>
    </row>
    <row r="57" spans="1:31" x14ac:dyDescent="0.2">
      <c r="A57">
        <v>56</v>
      </c>
      <c r="B57">
        <v>757</v>
      </c>
      <c r="C57">
        <v>215</v>
      </c>
      <c r="D57">
        <v>0.36671407076639501</v>
      </c>
      <c r="E57">
        <v>104.60241129297199</v>
      </c>
      <c r="F57">
        <v>2.1945717274602599</v>
      </c>
      <c r="G57">
        <v>-1709.4889648449923</v>
      </c>
      <c r="H57">
        <v>-1431.8006858315644</v>
      </c>
      <c r="I57">
        <v>269.561014428411</v>
      </c>
      <c r="J57">
        <v>140.73320975706099</v>
      </c>
      <c r="K57">
        <v>47.6641569669844</v>
      </c>
      <c r="L57">
        <v>1.4900250875260343E-4</v>
      </c>
      <c r="M57">
        <v>1.7636390060540615E-5</v>
      </c>
      <c r="N57" s="1">
        <v>3.33485822388445E-6</v>
      </c>
      <c r="O57" s="1">
        <v>9.5416289666973398E-8</v>
      </c>
      <c r="P57" s="1">
        <v>-4.8969182580137304E-7</v>
      </c>
      <c r="Q57">
        <v>73.000229207100702</v>
      </c>
      <c r="R57">
        <v>6.5964062536516294E-2</v>
      </c>
      <c r="S57">
        <v>12.093411465028501</v>
      </c>
      <c r="T57">
        <v>0.153730581355871</v>
      </c>
      <c r="V57">
        <v>0.35879200139155698</v>
      </c>
      <c r="W57">
        <v>2.2944021751831498E-2</v>
      </c>
      <c r="X57">
        <v>4.7800045316316701E-2</v>
      </c>
      <c r="AA57">
        <v>0.51624048941621303</v>
      </c>
      <c r="AB57">
        <v>3.79532359811548</v>
      </c>
      <c r="AC57">
        <v>4.4071641781642903</v>
      </c>
      <c r="AD57">
        <v>5.7360054379577896E-3</v>
      </c>
      <c r="AE57">
        <v>5.5326643443846297</v>
      </c>
    </row>
    <row r="58" spans="1:31" x14ac:dyDescent="0.2">
      <c r="A58">
        <v>57</v>
      </c>
      <c r="B58">
        <v>756</v>
      </c>
      <c r="C58">
        <v>215</v>
      </c>
      <c r="D58">
        <v>0.36603070495068801</v>
      </c>
      <c r="E58">
        <v>104.469738006554</v>
      </c>
      <c r="F58">
        <v>2.1949885686195199</v>
      </c>
      <c r="G58">
        <v>-1707.0160936193695</v>
      </c>
      <c r="H58">
        <v>-1430.0749295789469</v>
      </c>
      <c r="I58">
        <v>269.09698687307201</v>
      </c>
      <c r="J58">
        <v>140.55394665585001</v>
      </c>
      <c r="K58">
        <v>47.594661539516501</v>
      </c>
      <c r="L58">
        <v>1.490025174344916E-4</v>
      </c>
      <c r="M58">
        <v>1.7628268330656087E-5</v>
      </c>
      <c r="N58" s="1">
        <v>3.3347689184801999E-6</v>
      </c>
      <c r="O58" s="1">
        <v>9.5230254378217107E-8</v>
      </c>
      <c r="P58" s="1">
        <v>-4.89189533904598E-7</v>
      </c>
      <c r="Q58">
        <v>72.972426570078298</v>
      </c>
      <c r="R58">
        <v>6.6047834824350199E-2</v>
      </c>
      <c r="S58">
        <v>12.1087697177985</v>
      </c>
      <c r="T58">
        <v>0.15420193786912101</v>
      </c>
      <c r="V58">
        <v>0.35899919699715499</v>
      </c>
      <c r="W58">
        <v>2.2973159938904E-2</v>
      </c>
      <c r="X58">
        <v>4.78607498727186E-2</v>
      </c>
      <c r="AA58">
        <v>0.51689609862534802</v>
      </c>
      <c r="AB58">
        <v>3.80014353989373</v>
      </c>
      <c r="AC58">
        <v>4.41276113826446</v>
      </c>
      <c r="AD58">
        <v>5.74328998472581E-3</v>
      </c>
      <c r="AE58">
        <v>5.5331767658525504</v>
      </c>
    </row>
    <row r="59" spans="1:31" x14ac:dyDescent="0.2">
      <c r="A59">
        <v>58</v>
      </c>
      <c r="B59">
        <v>755</v>
      </c>
      <c r="C59">
        <v>215</v>
      </c>
      <c r="D59">
        <v>0.36534600982346799</v>
      </c>
      <c r="E59">
        <v>104.264415625111</v>
      </c>
      <c r="F59">
        <v>2.1954413028144399</v>
      </c>
      <c r="G59">
        <v>-1703.3403099087238</v>
      </c>
      <c r="H59">
        <v>-1427.3259079435068</v>
      </c>
      <c r="I59">
        <v>268.45732817703299</v>
      </c>
      <c r="J59">
        <v>140.284657513377</v>
      </c>
      <c r="K59">
        <v>47.491324633207</v>
      </c>
      <c r="L59">
        <v>1.4903753139412443E-4</v>
      </c>
      <c r="M59">
        <v>1.7620563549092585E-5</v>
      </c>
      <c r="N59" s="1">
        <v>3.3328010363592102E-6</v>
      </c>
      <c r="O59" s="1">
        <v>9.4990333872789997E-8</v>
      </c>
      <c r="P59" s="1">
        <v>-4.8851800588216602E-7</v>
      </c>
      <c r="Q59">
        <v>72.928804217468596</v>
      </c>
      <c r="R59">
        <v>6.6177899320985598E-2</v>
      </c>
      <c r="S59">
        <v>12.1326148755152</v>
      </c>
      <c r="T59">
        <v>0.15480183786894999</v>
      </c>
      <c r="V59">
        <v>0.35943959657805602</v>
      </c>
      <c r="W59">
        <v>2.3018399763820599E-2</v>
      </c>
      <c r="X59">
        <v>4.7954999507961803E-2</v>
      </c>
      <c r="AA59">
        <v>0.51791399468597099</v>
      </c>
      <c r="AB59">
        <v>3.8076269609320099</v>
      </c>
      <c r="AC59">
        <v>4.4214509546338396</v>
      </c>
      <c r="AD59">
        <v>5.7545999409548496E-3</v>
      </c>
      <c r="AE59">
        <v>5.5344416637835501</v>
      </c>
    </row>
    <row r="60" spans="1:31" x14ac:dyDescent="0.2">
      <c r="A60">
        <v>59</v>
      </c>
      <c r="B60">
        <v>754</v>
      </c>
      <c r="C60">
        <v>215</v>
      </c>
      <c r="D60">
        <v>0.36465998150221401</v>
      </c>
      <c r="E60">
        <v>104.06004179738601</v>
      </c>
      <c r="F60">
        <v>2.19589416643002</v>
      </c>
      <c r="G60">
        <v>-1699.6814006436355</v>
      </c>
      <c r="H60">
        <v>-1424.5896926152245</v>
      </c>
      <c r="I60">
        <v>267.82038458687703</v>
      </c>
      <c r="J60">
        <v>140.016601884197</v>
      </c>
      <c r="K60">
        <v>47.388459511490097</v>
      </c>
      <c r="L60">
        <v>1.4907248727513193E-4</v>
      </c>
      <c r="M60">
        <v>1.7612849657059333E-5</v>
      </c>
      <c r="N60" s="1">
        <v>3.3308494199774698E-6</v>
      </c>
      <c r="O60" s="1">
        <v>9.4751510056004796E-8</v>
      </c>
      <c r="P60" s="1">
        <v>-4.8784993334716703E-7</v>
      </c>
      <c r="Q60">
        <v>72.885207608941599</v>
      </c>
      <c r="R60">
        <v>6.6307872655240199E-2</v>
      </c>
      <c r="S60">
        <v>12.156443320129499</v>
      </c>
      <c r="T60">
        <v>0.15540384129894699</v>
      </c>
      <c r="V60">
        <v>0.35987741644842303</v>
      </c>
      <c r="W60">
        <v>2.3063607880082701E-2</v>
      </c>
      <c r="X60">
        <v>4.80491830835095E-2</v>
      </c>
      <c r="AA60">
        <v>0.51893117730187499</v>
      </c>
      <c r="AB60">
        <v>3.8151051368303901</v>
      </c>
      <c r="AC60">
        <v>4.4301346802991599</v>
      </c>
      <c r="AD60">
        <v>5.7659019700201999E-3</v>
      </c>
      <c r="AE60">
        <v>5.5357102531611604</v>
      </c>
    </row>
    <row r="61" spans="1:31" x14ac:dyDescent="0.2">
      <c r="A61">
        <v>60</v>
      </c>
      <c r="B61">
        <v>753</v>
      </c>
      <c r="C61">
        <v>215</v>
      </c>
      <c r="D61">
        <v>0.36397261608926701</v>
      </c>
      <c r="E61">
        <v>103.482669143262</v>
      </c>
      <c r="F61">
        <v>2.1964474468291999</v>
      </c>
      <c r="G61">
        <v>-1689.8329334544972</v>
      </c>
      <c r="H61">
        <v>-1416.6835297909045</v>
      </c>
      <c r="I61">
        <v>266.18857249290301</v>
      </c>
      <c r="J61">
        <v>139.23548708029301</v>
      </c>
      <c r="K61">
        <v>47.113655868548001</v>
      </c>
      <c r="L61">
        <v>1.4904366746793299E-4</v>
      </c>
      <c r="M61">
        <v>1.7599099005541892E-5</v>
      </c>
      <c r="N61" s="1">
        <v>3.3146993961625801E-6</v>
      </c>
      <c r="O61" s="1">
        <v>9.4115482512206694E-8</v>
      </c>
      <c r="P61" s="1">
        <v>-4.8514723563051402E-7</v>
      </c>
      <c r="Q61">
        <v>72.844851965592298</v>
      </c>
      <c r="R61">
        <v>6.6677831728981105E-2</v>
      </c>
      <c r="S61">
        <v>12.1766843901855</v>
      </c>
      <c r="T61">
        <v>0.15657312359780101</v>
      </c>
      <c r="V61">
        <v>0.36161338072738403</v>
      </c>
      <c r="W61">
        <v>2.3192289297034398E-2</v>
      </c>
      <c r="X61">
        <v>4.8317269368833002E-2</v>
      </c>
      <c r="AA61">
        <v>0.51706081212463895</v>
      </c>
      <c r="AB61">
        <v>3.8158422963041398</v>
      </c>
      <c r="AC61">
        <v>4.4501263506840703</v>
      </c>
      <c r="AD61">
        <v>5.7980723242574E-3</v>
      </c>
      <c r="AE61">
        <v>5.5332622180649702</v>
      </c>
    </row>
    <row r="62" spans="1:31" x14ac:dyDescent="0.2">
      <c r="A62">
        <v>61</v>
      </c>
      <c r="B62">
        <v>752</v>
      </c>
      <c r="C62">
        <v>215</v>
      </c>
      <c r="D62">
        <v>0.363283909671757</v>
      </c>
      <c r="E62">
        <v>100.995625019435</v>
      </c>
      <c r="F62">
        <v>2.1975272059187101</v>
      </c>
      <c r="G62">
        <v>-1648.321384607814</v>
      </c>
      <c r="H62">
        <v>-1382.3229525481627</v>
      </c>
      <c r="I62">
        <v>259.47269381032203</v>
      </c>
      <c r="J62">
        <v>135.83119494795201</v>
      </c>
      <c r="K62">
        <v>45.958759803937298</v>
      </c>
      <c r="L62">
        <v>1.4869338849835611E-4</v>
      </c>
      <c r="M62">
        <v>1.7554989960867332E-5</v>
      </c>
      <c r="N62" s="1">
        <v>3.2263117469706002E-6</v>
      </c>
      <c r="O62" s="1">
        <v>9.1460241148740495E-8</v>
      </c>
      <c r="P62" s="1">
        <v>-4.72080510800754E-7</v>
      </c>
      <c r="Q62">
        <v>72.819506966703102</v>
      </c>
      <c r="R62">
        <v>6.8319791066914604E-2</v>
      </c>
      <c r="S62">
        <v>12.1796146460744</v>
      </c>
      <c r="T62">
        <v>0.16074242504677799</v>
      </c>
      <c r="V62">
        <v>0.37023598368838101</v>
      </c>
      <c r="W62">
        <v>2.3763405588489099E-2</v>
      </c>
      <c r="X62">
        <v>4.9507094976031903E-2</v>
      </c>
      <c r="AA62">
        <v>0.50218954695267304</v>
      </c>
      <c r="AB62">
        <v>3.7817272367266002</v>
      </c>
      <c r="AC62">
        <v>4.52642373562208</v>
      </c>
      <c r="AD62">
        <v>5.9408513971209199E-3</v>
      </c>
      <c r="AE62">
        <v>5.5120283161573802</v>
      </c>
    </row>
    <row r="63" spans="1:31" x14ac:dyDescent="0.2">
      <c r="A63">
        <v>62</v>
      </c>
      <c r="B63">
        <v>751</v>
      </c>
      <c r="C63">
        <v>215</v>
      </c>
      <c r="D63">
        <v>0.36259385832153801</v>
      </c>
      <c r="E63">
        <v>89.531315505185304</v>
      </c>
      <c r="F63">
        <v>2.1993455309431802</v>
      </c>
      <c r="G63">
        <v>-1460.0066546106996</v>
      </c>
      <c r="H63">
        <v>-1224.6938665541611</v>
      </c>
      <c r="I63">
        <v>229.763987752319</v>
      </c>
      <c r="J63">
        <v>120.378087286297</v>
      </c>
      <c r="K63">
        <v>40.708162608169097</v>
      </c>
      <c r="L63">
        <v>1.484858852760678E-4</v>
      </c>
      <c r="M63">
        <v>1.7520060765929565E-5</v>
      </c>
      <c r="N63" s="1">
        <v>2.8543259123579802E-6</v>
      </c>
      <c r="O63" s="1">
        <v>8.0780413647003803E-8</v>
      </c>
      <c r="P63" s="1">
        <v>-4.1740391113959301E-7</v>
      </c>
      <c r="Q63">
        <v>72.743285236127306</v>
      </c>
      <c r="R63">
        <v>7.7068006440730294E-2</v>
      </c>
      <c r="S63">
        <v>12.1800536269905</v>
      </c>
      <c r="T63">
        <v>0.181464818987465</v>
      </c>
      <c r="V63">
        <v>0.41751832506507103</v>
      </c>
      <c r="W63">
        <v>2.6806263109812399E-2</v>
      </c>
      <c r="X63">
        <v>5.5846381478807598E-2</v>
      </c>
      <c r="AA63">
        <v>0.49680528208505598</v>
      </c>
      <c r="AB63">
        <v>3.7442548718758899</v>
      </c>
      <c r="AC63">
        <v>4.5755488122387602</v>
      </c>
      <c r="AD63">
        <v>6.7015657774505896E-3</v>
      </c>
      <c r="AE63">
        <v>5.4946468098230401</v>
      </c>
    </row>
    <row r="64" spans="1:31" x14ac:dyDescent="0.2">
      <c r="A64">
        <v>63</v>
      </c>
      <c r="B64">
        <v>750</v>
      </c>
      <c r="C64">
        <v>215</v>
      </c>
      <c r="D64">
        <v>0.36190245809509802</v>
      </c>
      <c r="E64">
        <v>68.714992793146195</v>
      </c>
      <c r="F64">
        <v>2.2024884280012</v>
      </c>
      <c r="G64">
        <v>-1119.0279530315606</v>
      </c>
      <c r="H64">
        <v>-938.7228490595644</v>
      </c>
      <c r="I64">
        <v>176.225484017002</v>
      </c>
      <c r="J64">
        <v>92.397021094172402</v>
      </c>
      <c r="K64">
        <v>31.198798558731198</v>
      </c>
      <c r="L64">
        <v>1.4867043809317323E-4</v>
      </c>
      <c r="M64">
        <v>1.7512373938186989E-5</v>
      </c>
      <c r="N64" s="1">
        <v>2.1915521963555998E-6</v>
      </c>
      <c r="O64" s="1">
        <v>6.1905752558151605E-8</v>
      </c>
      <c r="P64" s="1">
        <v>-3.2009217543475698E-7</v>
      </c>
      <c r="Q64">
        <v>72.561237182314201</v>
      </c>
      <c r="R64">
        <v>0.100414767134913</v>
      </c>
      <c r="S64">
        <v>12.1750501894194</v>
      </c>
      <c r="T64">
        <v>0.23606141660423499</v>
      </c>
      <c r="V64">
        <v>0.54433830767407398</v>
      </c>
      <c r="W64">
        <v>3.4926875525173803E-2</v>
      </c>
      <c r="X64">
        <v>7.2764324010842596E-2</v>
      </c>
      <c r="AA64">
        <v>0.50440509273761602</v>
      </c>
      <c r="AB64">
        <v>3.71497050973118</v>
      </c>
      <c r="AC64">
        <v>4.55655300101016</v>
      </c>
      <c r="AD64">
        <v>8.7317188812901896E-3</v>
      </c>
      <c r="AE64">
        <v>5.4905466149567497</v>
      </c>
    </row>
    <row r="65" spans="1:31" x14ac:dyDescent="0.2">
      <c r="A65">
        <v>64</v>
      </c>
      <c r="B65">
        <v>749</v>
      </c>
      <c r="C65">
        <v>215</v>
      </c>
      <c r="D65">
        <v>0.36120970503350902</v>
      </c>
      <c r="E65">
        <v>42.934982139379997</v>
      </c>
      <c r="F65">
        <v>2.2053888614708002</v>
      </c>
      <c r="G65">
        <v>-698.58528252008489</v>
      </c>
      <c r="H65">
        <v>-586.13686443966026</v>
      </c>
      <c r="I65">
        <v>110.011659815511</v>
      </c>
      <c r="J65">
        <v>57.748640753175202</v>
      </c>
      <c r="K65">
        <v>19.468213923392199</v>
      </c>
      <c r="L65">
        <v>1.4868756800433489E-4</v>
      </c>
      <c r="M65">
        <v>1.749620097766391E-5</v>
      </c>
      <c r="N65" s="1">
        <v>1.36839056190811E-6</v>
      </c>
      <c r="O65" s="1">
        <v>3.8582475746676203E-8</v>
      </c>
      <c r="P65" s="1">
        <v>-1.9949769906205E-7</v>
      </c>
      <c r="Q65">
        <v>72.389585729876998</v>
      </c>
      <c r="R65">
        <v>0.127037352082154</v>
      </c>
      <c r="S65">
        <v>12.2166058925451</v>
      </c>
      <c r="T65">
        <v>0.26528548437925698</v>
      </c>
      <c r="V65">
        <v>0.61319045683866702</v>
      </c>
      <c r="W65">
        <v>5.5898474400384299E-2</v>
      </c>
      <c r="X65">
        <v>0.11303217000595001</v>
      </c>
      <c r="AA65">
        <v>0.51292858324725499</v>
      </c>
      <c r="AB65">
        <v>3.6605343187091002</v>
      </c>
      <c r="AC65">
        <v>4.55144560714165</v>
      </c>
      <c r="AD65">
        <v>1.3974618600087099E-2</v>
      </c>
      <c r="AE65">
        <v>5.4804813121732598</v>
      </c>
    </row>
    <row r="66" spans="1:31" x14ac:dyDescent="0.2">
      <c r="A66">
        <v>65</v>
      </c>
      <c r="B66">
        <v>748</v>
      </c>
      <c r="C66">
        <v>215</v>
      </c>
      <c r="D66">
        <v>0.36051559516231801</v>
      </c>
      <c r="E66">
        <v>20.6529176209722</v>
      </c>
      <c r="F66">
        <v>2.20798312902309</v>
      </c>
      <c r="G66">
        <v>-336.01181028875544</v>
      </c>
      <c r="H66">
        <v>-282.04842916554946</v>
      </c>
      <c r="I66">
        <v>52.845694680709002</v>
      </c>
      <c r="J66">
        <v>27.794175730468599</v>
      </c>
      <c r="K66">
        <v>9.3537479292742507</v>
      </c>
      <c r="L66">
        <v>1.484366093659029E-4</v>
      </c>
      <c r="M66">
        <v>1.7474040372079902E-5</v>
      </c>
      <c r="N66" s="1">
        <v>6.5675982668975996E-7</v>
      </c>
      <c r="O66" s="1">
        <v>1.8485065972424598E-8</v>
      </c>
      <c r="P66" s="1">
        <v>-9.5418258499878199E-8</v>
      </c>
      <c r="Q66">
        <v>72.193632789591703</v>
      </c>
      <c r="R66">
        <v>0.15631464519956401</v>
      </c>
      <c r="S66">
        <v>12.405524646416801</v>
      </c>
      <c r="T66">
        <v>0.25035924925634201</v>
      </c>
      <c r="V66">
        <v>0.58120750575643298</v>
      </c>
      <c r="W66">
        <v>0.11620634159512699</v>
      </c>
      <c r="X66">
        <v>0.164539810117737</v>
      </c>
      <c r="AA66">
        <v>0.52264836374684798</v>
      </c>
      <c r="AB66">
        <v>3.5410216178672602</v>
      </c>
      <c r="AC66">
        <v>4.5775110387667901</v>
      </c>
      <c r="AD66">
        <v>2.90515853987507E-2</v>
      </c>
      <c r="AE66">
        <v>5.4619824062865296</v>
      </c>
    </row>
    <row r="67" spans="1:31" x14ac:dyDescent="0.2">
      <c r="A67">
        <v>66</v>
      </c>
      <c r="B67">
        <v>747</v>
      </c>
      <c r="C67">
        <v>215</v>
      </c>
      <c r="D67">
        <v>0.35982012449149797</v>
      </c>
      <c r="E67">
        <v>11.693203187810999</v>
      </c>
      <c r="F67">
        <v>2.2106651617992799</v>
      </c>
      <c r="G67">
        <v>-190.18978865036962</v>
      </c>
      <c r="H67">
        <v>-159.70580013494461</v>
      </c>
      <c r="I67">
        <v>29.881868857937501</v>
      </c>
      <c r="J67">
        <v>15.744287310472201</v>
      </c>
      <c r="K67">
        <v>5.2894501572973702</v>
      </c>
      <c r="L67">
        <v>1.483885659111683E-4</v>
      </c>
      <c r="M67">
        <v>1.7480260450732923E-5</v>
      </c>
      <c r="N67" s="1">
        <v>3.7186532247372698E-7</v>
      </c>
      <c r="O67" s="1">
        <v>1.04463944640642E-8</v>
      </c>
      <c r="P67" s="1">
        <v>-5.38011020674303E-8</v>
      </c>
      <c r="Q67">
        <v>71.913863296821603</v>
      </c>
      <c r="R67">
        <v>0.157215624643567</v>
      </c>
      <c r="S67">
        <v>12.7031539253717</v>
      </c>
      <c r="T67">
        <v>0.24598858618108199</v>
      </c>
      <c r="V67">
        <v>0.57538018922515</v>
      </c>
      <c r="W67">
        <v>0.20325913327572401</v>
      </c>
      <c r="X67">
        <v>0.16435911145086801</v>
      </c>
      <c r="AA67">
        <v>0.52986516218042301</v>
      </c>
      <c r="AB67">
        <v>3.3993607557433498</v>
      </c>
      <c r="AC67">
        <v>4.6001326979059201</v>
      </c>
      <c r="AD67">
        <v>5.13118595787437E-2</v>
      </c>
      <c r="AE67">
        <v>5.4561096576218002</v>
      </c>
    </row>
    <row r="68" spans="1:31" x14ac:dyDescent="0.2">
      <c r="A68">
        <v>67</v>
      </c>
      <c r="B68">
        <v>746</v>
      </c>
      <c r="C68">
        <v>215</v>
      </c>
      <c r="D68">
        <v>0.35912328901535701</v>
      </c>
      <c r="E68">
        <v>8.4180429374316805</v>
      </c>
      <c r="F68">
        <v>2.2130088131268799</v>
      </c>
      <c r="G68">
        <v>-136.88584211567888</v>
      </c>
      <c r="H68">
        <v>-114.98605990122321</v>
      </c>
      <c r="I68">
        <v>21.488281621405701</v>
      </c>
      <c r="J68">
        <v>11.3399707184935</v>
      </c>
      <c r="K68">
        <v>3.80389038104975</v>
      </c>
      <c r="L68">
        <v>1.4839314149744039E-4</v>
      </c>
      <c r="M68">
        <v>1.7489162734583941E-5</v>
      </c>
      <c r="N68" s="1">
        <v>2.6789339744024203E-7</v>
      </c>
      <c r="O68" s="1">
        <v>7.5109175632771203E-9</v>
      </c>
      <c r="P68" s="1">
        <v>-3.8610209925388799E-8</v>
      </c>
      <c r="Q68">
        <v>71.660518435421594</v>
      </c>
      <c r="R68">
        <v>0.15653500039114701</v>
      </c>
      <c r="S68">
        <v>12.970268474947099</v>
      </c>
      <c r="T68">
        <v>0.242567053247874</v>
      </c>
      <c r="V68">
        <v>0.57102390481988596</v>
      </c>
      <c r="W68">
        <v>0.28005165770276302</v>
      </c>
      <c r="X68">
        <v>0.16381207437797901</v>
      </c>
      <c r="AA68">
        <v>0.53547722431099298</v>
      </c>
      <c r="AB68">
        <v>3.2799282438990902</v>
      </c>
      <c r="AC68">
        <v>4.6148817391453196</v>
      </c>
      <c r="AD68">
        <v>7.12754739383267E-2</v>
      </c>
      <c r="AE68">
        <v>5.4536607177977796</v>
      </c>
    </row>
    <row r="69" spans="1:31" x14ac:dyDescent="0.2">
      <c r="A69">
        <v>68</v>
      </c>
      <c r="B69">
        <v>759</v>
      </c>
      <c r="C69">
        <v>195</v>
      </c>
      <c r="D69">
        <v>0.38939156130407598</v>
      </c>
      <c r="E69">
        <v>104.282560800186</v>
      </c>
      <c r="F69">
        <v>2.1953810232561399</v>
      </c>
      <c r="G69">
        <v>-1703.9989946913086</v>
      </c>
      <c r="H69">
        <v>-1428.2927065288975</v>
      </c>
      <c r="I69">
        <v>267.11843061804097</v>
      </c>
      <c r="J69">
        <v>140.017836676928</v>
      </c>
      <c r="K69">
        <v>47.500893783584203</v>
      </c>
      <c r="L69">
        <v>1.4522731919109282E-4</v>
      </c>
      <c r="M69">
        <v>1.7537599648856101E-5</v>
      </c>
      <c r="N69" s="1">
        <v>3.1624185493085202E-6</v>
      </c>
      <c r="O69" s="1">
        <v>9.2057296821252299E-8</v>
      </c>
      <c r="P69" s="1">
        <v>-4.7216552417894602E-7</v>
      </c>
      <c r="Q69">
        <v>73.224132025617905</v>
      </c>
      <c r="R69">
        <v>6.6166384360477601E-2</v>
      </c>
      <c r="S69">
        <v>12.130503799421399</v>
      </c>
      <c r="T69">
        <v>0.15523042539068499</v>
      </c>
      <c r="V69">
        <v>0.358967169394178</v>
      </c>
      <c r="W69">
        <v>2.30143945601659E-2</v>
      </c>
      <c r="X69">
        <v>4.7946655333679901E-2</v>
      </c>
      <c r="AA69">
        <v>0.51782387760373605</v>
      </c>
      <c r="AB69">
        <v>3.8069644334941199</v>
      </c>
      <c r="AC69">
        <v>4.4206816217651799</v>
      </c>
      <c r="AD69">
        <v>5.7535986400413797E-3</v>
      </c>
      <c r="AE69">
        <v>5.2428156144183102</v>
      </c>
    </row>
    <row r="70" spans="1:31" x14ac:dyDescent="0.2">
      <c r="A70">
        <v>69</v>
      </c>
      <c r="B70">
        <v>758</v>
      </c>
      <c r="C70">
        <v>195</v>
      </c>
      <c r="D70">
        <v>0.38873151335887302</v>
      </c>
      <c r="E70">
        <v>103.977694681183</v>
      </c>
      <c r="F70">
        <v>2.1957575637716298</v>
      </c>
      <c r="G70">
        <v>-1698.6627903376025</v>
      </c>
      <c r="H70">
        <v>-1424.2388571661329</v>
      </c>
      <c r="I70">
        <v>266.13386332877701</v>
      </c>
      <c r="J70">
        <v>139.56541273122599</v>
      </c>
      <c r="K70">
        <v>47.3539048193376</v>
      </c>
      <c r="L70">
        <v>1.4502636286568913E-4</v>
      </c>
      <c r="M70">
        <v>1.7521353208000967E-5</v>
      </c>
      <c r="N70" s="1">
        <v>3.1530422588459198E-6</v>
      </c>
      <c r="O70" s="1">
        <v>9.1618741816343403E-8</v>
      </c>
      <c r="P70" s="1">
        <v>-4.6995827653406502E-7</v>
      </c>
      <c r="Q70">
        <v>73.260699299019194</v>
      </c>
      <c r="R70">
        <v>6.6360386438234303E-2</v>
      </c>
      <c r="S70">
        <v>12.1087081521747</v>
      </c>
      <c r="T70">
        <v>0.15589284023698999</v>
      </c>
      <c r="V70">
        <v>0.35983316586524899</v>
      </c>
      <c r="W70">
        <v>2.30818735437332E-2</v>
      </c>
      <c r="X70">
        <v>4.8087236549446202E-2</v>
      </c>
      <c r="AA70">
        <v>0.51358116162840695</v>
      </c>
      <c r="AB70">
        <v>3.7932378559608</v>
      </c>
      <c r="AC70">
        <v>4.4281515062833101</v>
      </c>
      <c r="AD70">
        <v>5.7704683859331196E-3</v>
      </c>
      <c r="AE70">
        <v>5.2365960539139502</v>
      </c>
    </row>
    <row r="71" spans="1:31" x14ac:dyDescent="0.2">
      <c r="A71">
        <v>70</v>
      </c>
      <c r="B71">
        <v>757</v>
      </c>
      <c r="C71">
        <v>195</v>
      </c>
      <c r="D71">
        <v>0.388070183953793</v>
      </c>
      <c r="E71">
        <v>101.641018036598</v>
      </c>
      <c r="F71">
        <v>2.1967552580784302</v>
      </c>
      <c r="G71">
        <v>-1659.6294794688311</v>
      </c>
      <c r="H71">
        <v>-1391.9420806699904</v>
      </c>
      <c r="I71">
        <v>259.852835799486</v>
      </c>
      <c r="J71">
        <v>136.37468876999199</v>
      </c>
      <c r="K71">
        <v>46.268703654091503</v>
      </c>
      <c r="L71">
        <v>1.4471713027006691E-4</v>
      </c>
      <c r="M71">
        <v>1.7480612171823289E-5</v>
      </c>
      <c r="N71" s="1">
        <v>3.0747913706028702E-6</v>
      </c>
      <c r="O71" s="1">
        <v>8.92033481152405E-8</v>
      </c>
      <c r="P71" s="1">
        <v>-4.5816599505454898E-7</v>
      </c>
      <c r="Q71">
        <v>73.235853712721806</v>
      </c>
      <c r="R71">
        <v>6.7885978842867997E-2</v>
      </c>
      <c r="S71">
        <v>12.1111665533103</v>
      </c>
      <c r="T71">
        <v>0.15978138862942301</v>
      </c>
      <c r="V71">
        <v>0.36783142532499602</v>
      </c>
      <c r="W71">
        <v>2.3612514380127101E-2</v>
      </c>
      <c r="X71">
        <v>4.9192738291935399E-2</v>
      </c>
      <c r="AA71">
        <v>0.49948262764356199</v>
      </c>
      <c r="AB71">
        <v>3.7607374930016499</v>
      </c>
      <c r="AC71">
        <v>4.5004905275692604</v>
      </c>
      <c r="AD71">
        <v>5.9031285950311204E-3</v>
      </c>
      <c r="AE71">
        <v>5.2180619116889204</v>
      </c>
    </row>
    <row r="72" spans="1:31" x14ac:dyDescent="0.2">
      <c r="A72">
        <v>71</v>
      </c>
      <c r="B72">
        <v>756</v>
      </c>
      <c r="C72">
        <v>195</v>
      </c>
      <c r="D72">
        <v>0.38740756935335302</v>
      </c>
      <c r="E72">
        <v>99.054407515413601</v>
      </c>
      <c r="F72">
        <v>2.1978415736759902</v>
      </c>
      <c r="G72">
        <v>-1616.5065102760545</v>
      </c>
      <c r="H72">
        <v>-1356.201710944978</v>
      </c>
      <c r="I72">
        <v>252.93183630284801</v>
      </c>
      <c r="J72">
        <v>132.84891861323001</v>
      </c>
      <c r="K72">
        <v>45.068947963223899</v>
      </c>
      <c r="L72">
        <v>1.4438507473562366E-4</v>
      </c>
      <c r="M72">
        <v>1.7437251231707116E-5</v>
      </c>
      <c r="N72" s="1">
        <v>2.9884186085763401E-6</v>
      </c>
      <c r="O72" s="1">
        <v>8.6562419016317205E-8</v>
      </c>
      <c r="P72" s="1">
        <v>-4.45189670560669E-7</v>
      </c>
      <c r="Q72">
        <v>73.207705337683805</v>
      </c>
      <c r="R72">
        <v>6.96586873120872E-2</v>
      </c>
      <c r="S72">
        <v>12.1144417651211</v>
      </c>
      <c r="T72">
        <v>0.16426270550508301</v>
      </c>
      <c r="V72">
        <v>0.377158629141091</v>
      </c>
      <c r="W72">
        <v>2.42291086302888E-2</v>
      </c>
      <c r="X72">
        <v>5.0477309646445298E-2</v>
      </c>
      <c r="AA72">
        <v>0.48674782878559297</v>
      </c>
      <c r="AB72">
        <v>3.72391434397912</v>
      </c>
      <c r="AC72">
        <v>4.5773755661850197</v>
      </c>
      <c r="AD72">
        <v>6.0572771575708503E-3</v>
      </c>
      <c r="AE72">
        <v>5.1979714408526698</v>
      </c>
    </row>
    <row r="73" spans="1:31" x14ac:dyDescent="0.2">
      <c r="A73">
        <v>72</v>
      </c>
      <c r="B73">
        <v>755</v>
      </c>
      <c r="C73">
        <v>195</v>
      </c>
      <c r="D73">
        <v>0.38674366580751801</v>
      </c>
      <c r="E73">
        <v>88.769425816810895</v>
      </c>
      <c r="F73">
        <v>2.1996313672524601</v>
      </c>
      <c r="G73">
        <v>-1447.4924316917502</v>
      </c>
      <c r="H73">
        <v>-1214.7117424139346</v>
      </c>
      <c r="I73">
        <v>226.40732313165901</v>
      </c>
      <c r="J73">
        <v>119.01882962363101</v>
      </c>
      <c r="K73">
        <v>40.356501156687798</v>
      </c>
      <c r="L73">
        <v>1.4415642228776608E-4</v>
      </c>
      <c r="M73">
        <v>1.7400343535700164E-5</v>
      </c>
      <c r="N73" s="1">
        <v>2.6719756755813199E-6</v>
      </c>
      <c r="O73" s="1">
        <v>7.7271393097505206E-8</v>
      </c>
      <c r="P73" s="1">
        <v>-3.97827796341713E-7</v>
      </c>
      <c r="Q73">
        <v>73.134576903928803</v>
      </c>
      <c r="R73">
        <v>7.7729465258002797E-2</v>
      </c>
      <c r="S73">
        <v>12.1159390439378</v>
      </c>
      <c r="T73">
        <v>0.18344167455725399</v>
      </c>
      <c r="V73">
        <v>0.42072443568412099</v>
      </c>
      <c r="W73">
        <v>2.70363357419071E-2</v>
      </c>
      <c r="X73">
        <v>5.6325699462336801E-2</v>
      </c>
      <c r="AA73">
        <v>0.48444291976193299</v>
      </c>
      <c r="AB73">
        <v>3.6810156050740499</v>
      </c>
      <c r="AC73">
        <v>4.6318914767234798</v>
      </c>
      <c r="AD73">
        <v>6.7590839354734096E-3</v>
      </c>
      <c r="AE73">
        <v>5.1801173559346898</v>
      </c>
    </row>
    <row r="74" spans="1:31" x14ac:dyDescent="0.2">
      <c r="A74">
        <v>73</v>
      </c>
      <c r="B74">
        <v>754</v>
      </c>
      <c r="C74">
        <v>195</v>
      </c>
      <c r="D74">
        <v>0.38607846955167302</v>
      </c>
      <c r="E74">
        <v>68.875027473263501</v>
      </c>
      <c r="F74">
        <v>2.20278784666379</v>
      </c>
      <c r="G74">
        <v>-1121.5873571043046</v>
      </c>
      <c r="H74">
        <v>-941.29098413264217</v>
      </c>
      <c r="I74">
        <v>175.530714084274</v>
      </c>
      <c r="J74">
        <v>92.348784585935405</v>
      </c>
      <c r="K74">
        <v>31.2672087680061</v>
      </c>
      <c r="L74">
        <v>1.4427899833705673E-4</v>
      </c>
      <c r="M74">
        <v>1.7388225650460265E-5</v>
      </c>
      <c r="N74" s="1">
        <v>2.07286784142617E-6</v>
      </c>
      <c r="O74" s="1">
        <v>5.9835669579041104E-8</v>
      </c>
      <c r="P74" s="1">
        <v>-3.0824124329805398E-7</v>
      </c>
      <c r="Q74">
        <v>72.958399030550098</v>
      </c>
      <c r="R74">
        <v>0.10018144824231801</v>
      </c>
      <c r="S74">
        <v>12.1124329465051</v>
      </c>
      <c r="T74">
        <v>0.23605859664315201</v>
      </c>
      <c r="V74">
        <v>0.54258249982867601</v>
      </c>
      <c r="W74">
        <v>3.4845721127747802E-2</v>
      </c>
      <c r="X74">
        <v>7.2595252349538994E-2</v>
      </c>
      <c r="AA74">
        <v>0.49707931185575399</v>
      </c>
      <c r="AB74">
        <v>3.6434834615232199</v>
      </c>
      <c r="AC74">
        <v>4.6201219882212303</v>
      </c>
      <c r="AD74">
        <v>8.7114302819338296E-3</v>
      </c>
      <c r="AE74">
        <v>5.1735083128711299</v>
      </c>
    </row>
    <row r="75" spans="1:31" x14ac:dyDescent="0.2">
      <c r="A75">
        <v>74</v>
      </c>
      <c r="B75">
        <v>753</v>
      </c>
      <c r="C75">
        <v>195</v>
      </c>
      <c r="D75">
        <v>0.38541197680651201</v>
      </c>
      <c r="E75">
        <v>44.956083587272097</v>
      </c>
      <c r="F75">
        <v>2.2057487322580198</v>
      </c>
      <c r="G75">
        <v>-731.40144173262877</v>
      </c>
      <c r="H75">
        <v>-613.94854615041618</v>
      </c>
      <c r="I75">
        <v>114.459772530539</v>
      </c>
      <c r="J75">
        <v>60.2905290414569</v>
      </c>
      <c r="K75">
        <v>20.381325819124701</v>
      </c>
      <c r="L75">
        <v>1.442540854232254E-4</v>
      </c>
      <c r="M75">
        <v>1.7368142912773921E-5</v>
      </c>
      <c r="N75" s="1">
        <v>1.3514324646409599E-6</v>
      </c>
      <c r="O75" s="1">
        <v>3.8941251534971301E-8</v>
      </c>
      <c r="P75" s="1">
        <v>-2.0060328467363401E-7</v>
      </c>
      <c r="Q75">
        <v>72.790916095263597</v>
      </c>
      <c r="R75">
        <v>0.12648433357972699</v>
      </c>
      <c r="S75">
        <v>12.1483363654778</v>
      </c>
      <c r="T75">
        <v>0.26674066356256498</v>
      </c>
      <c r="V75">
        <v>0.61451917962112301</v>
      </c>
      <c r="W75">
        <v>5.3385433260441498E-2</v>
      </c>
      <c r="X75">
        <v>0.108411321198256</v>
      </c>
      <c r="AA75">
        <v>0.51147375288666597</v>
      </c>
      <c r="AB75">
        <v>3.5831256354366099</v>
      </c>
      <c r="AC75">
        <v>4.6216343434966696</v>
      </c>
      <c r="AD75">
        <v>1.3346358315101401E-2</v>
      </c>
      <c r="AE75">
        <v>5.1616265179012801</v>
      </c>
    </row>
    <row r="76" spans="1:31" x14ac:dyDescent="0.2">
      <c r="A76">
        <v>75</v>
      </c>
      <c r="B76">
        <v>752</v>
      </c>
      <c r="C76">
        <v>195</v>
      </c>
      <c r="D76">
        <v>0.38474418377798603</v>
      </c>
      <c r="E76">
        <v>23.005781706039102</v>
      </c>
      <c r="F76">
        <v>2.2082652363811599</v>
      </c>
      <c r="G76">
        <v>-374.25592473399428</v>
      </c>
      <c r="H76">
        <v>-314.29196455294203</v>
      </c>
      <c r="I76">
        <v>58.492864635470099</v>
      </c>
      <c r="J76">
        <v>30.870517763479601</v>
      </c>
      <c r="K76">
        <v>10.418033724852799</v>
      </c>
      <c r="L76">
        <v>1.4397594468198199E-4</v>
      </c>
      <c r="M76">
        <v>1.7340409727399534E-5</v>
      </c>
      <c r="N76" s="1">
        <v>6.8979250885004402E-7</v>
      </c>
      <c r="O76" s="1">
        <v>1.9842221319229699E-8</v>
      </c>
      <c r="P76" s="1">
        <v>-1.0206308160744801E-7</v>
      </c>
      <c r="Q76">
        <v>72.616972307253704</v>
      </c>
      <c r="R76">
        <v>0.153530589013121</v>
      </c>
      <c r="S76">
        <v>12.3045572753693</v>
      </c>
      <c r="T76">
        <v>0.25264958238512503</v>
      </c>
      <c r="V76">
        <v>0.58413756270386497</v>
      </c>
      <c r="W76">
        <v>0.104321601876665</v>
      </c>
      <c r="X76">
        <v>0.17083184806245399</v>
      </c>
      <c r="AA76">
        <v>0.52639901234737996</v>
      </c>
      <c r="AB76">
        <v>3.4683033451516199</v>
      </c>
      <c r="AC76">
        <v>4.6497896787977604</v>
      </c>
      <c r="AD76">
        <v>2.6080400469147901E-2</v>
      </c>
      <c r="AE76">
        <v>5.1424267965697803</v>
      </c>
    </row>
    <row r="77" spans="1:31" x14ac:dyDescent="0.2">
      <c r="A77">
        <v>76</v>
      </c>
      <c r="B77">
        <v>751</v>
      </c>
      <c r="C77">
        <v>195</v>
      </c>
      <c r="D77">
        <v>0.38407508665723</v>
      </c>
      <c r="E77">
        <v>12.834554590535699</v>
      </c>
      <c r="F77">
        <v>2.2109503219928399</v>
      </c>
      <c r="G77">
        <v>-208.74158355557526</v>
      </c>
      <c r="H77">
        <v>-175.36751810351313</v>
      </c>
      <c r="I77">
        <v>32.587087293914003</v>
      </c>
      <c r="J77">
        <v>17.2294527095059</v>
      </c>
      <c r="K77">
        <v>5.8049945595192103</v>
      </c>
      <c r="L77">
        <v>1.4383561570316408E-4</v>
      </c>
      <c r="M77">
        <v>1.7337061172404148E-5</v>
      </c>
      <c r="N77" s="1">
        <v>3.8445333306168401E-7</v>
      </c>
      <c r="O77" s="1">
        <v>1.10388975845393E-8</v>
      </c>
      <c r="P77" s="1">
        <v>-5.6646952874860397E-8</v>
      </c>
      <c r="Q77">
        <v>72.356542611937201</v>
      </c>
      <c r="R77">
        <v>0.168050288983321</v>
      </c>
      <c r="S77">
        <v>12.5826293245188</v>
      </c>
      <c r="T77">
        <v>0.24404294941745</v>
      </c>
      <c r="V77">
        <v>0.56808825882896696</v>
      </c>
      <c r="W77">
        <v>0.18595276950444201</v>
      </c>
      <c r="X77">
        <v>0.17359103787887201</v>
      </c>
      <c r="AA77">
        <v>0.53577137924026996</v>
      </c>
      <c r="AB77">
        <v>3.32637328797564</v>
      </c>
      <c r="AC77">
        <v>4.6805718055958696</v>
      </c>
      <c r="AD77">
        <v>4.6748798002021197E-2</v>
      </c>
      <c r="AE77">
        <v>5.1316374881171098</v>
      </c>
    </row>
    <row r="78" spans="1:31" x14ac:dyDescent="0.2">
      <c r="A78">
        <v>77</v>
      </c>
      <c r="B78">
        <v>750</v>
      </c>
      <c r="C78">
        <v>195</v>
      </c>
      <c r="D78">
        <v>0.38340468162048602</v>
      </c>
      <c r="E78">
        <v>9.0059158949063196</v>
      </c>
      <c r="F78">
        <v>2.2133071063737702</v>
      </c>
      <c r="G78">
        <v>-146.43559483754896</v>
      </c>
      <c r="H78">
        <v>-123.06683754524376</v>
      </c>
      <c r="I78">
        <v>22.840011036803201</v>
      </c>
      <c r="J78">
        <v>12.095504909664699</v>
      </c>
      <c r="K78">
        <v>4.06898611989791</v>
      </c>
      <c r="L78">
        <v>1.4381811081481895E-4</v>
      </c>
      <c r="M78">
        <v>1.7344570197912834E-5</v>
      </c>
      <c r="N78" s="1">
        <v>2.6990538202304601E-7</v>
      </c>
      <c r="O78" s="1">
        <v>7.7349554054263992E-9</v>
      </c>
      <c r="P78" s="1">
        <v>-3.9612698269692698E-8</v>
      </c>
      <c r="Q78">
        <v>72.103955732095301</v>
      </c>
      <c r="R78">
        <v>0.167292197577707</v>
      </c>
      <c r="S78">
        <v>12.849588447639301</v>
      </c>
      <c r="T78">
        <v>0.24058792362802101</v>
      </c>
      <c r="V78">
        <v>0.563697567252056</v>
      </c>
      <c r="W78">
        <v>0.262748608923279</v>
      </c>
      <c r="X78">
        <v>0.17304236419781199</v>
      </c>
      <c r="AA78">
        <v>0.54163306880408701</v>
      </c>
      <c r="AB78">
        <v>3.2048271170003302</v>
      </c>
      <c r="AC78">
        <v>4.6975808617928596</v>
      </c>
      <c r="AD78">
        <v>6.6622874008633107E-2</v>
      </c>
      <c r="AE78">
        <v>5.1284232370805602</v>
      </c>
    </row>
    <row r="79" spans="1:31" x14ac:dyDescent="0.2">
      <c r="A79">
        <v>78</v>
      </c>
      <c r="B79">
        <v>767</v>
      </c>
      <c r="C79">
        <v>175</v>
      </c>
      <c r="D79">
        <v>0.41577705138682203</v>
      </c>
      <c r="E79">
        <v>103.95927253831699</v>
      </c>
      <c r="F79">
        <v>2.19482069945709</v>
      </c>
      <c r="G79">
        <v>-1699.9964825904613</v>
      </c>
      <c r="H79">
        <v>-1423.9154760451224</v>
      </c>
      <c r="I79">
        <v>265.42422395360097</v>
      </c>
      <c r="J79">
        <v>139.36470138024001</v>
      </c>
      <c r="K79">
        <v>47.365724482201699</v>
      </c>
      <c r="L79">
        <v>1.4142010182695153E-4</v>
      </c>
      <c r="M79">
        <v>1.7440798578968241E-5</v>
      </c>
      <c r="N79" s="1">
        <v>2.9662118926870301E-6</v>
      </c>
      <c r="O79" s="1">
        <v>8.8852541631075304E-8</v>
      </c>
      <c r="P79" s="1">
        <v>-4.5319736555918699E-7</v>
      </c>
      <c r="Q79">
        <v>73.451841414029403</v>
      </c>
      <c r="R79">
        <v>6.6372145856030004E-2</v>
      </c>
      <c r="S79">
        <v>12.168226740272701</v>
      </c>
      <c r="T79">
        <v>0.15531693347455</v>
      </c>
      <c r="V79">
        <v>0.36043999481103101</v>
      </c>
      <c r="W79">
        <v>2.3085963776010202E-2</v>
      </c>
      <c r="X79">
        <v>4.8095757866689001E-2</v>
      </c>
      <c r="AA79">
        <v>0.51943418496023397</v>
      </c>
      <c r="AB79">
        <v>3.8188031746150299</v>
      </c>
      <c r="AC79">
        <v>4.4344288753086198</v>
      </c>
      <c r="AD79">
        <v>5.7714909440024602E-3</v>
      </c>
      <c r="AE79">
        <v>4.9481833240856199</v>
      </c>
    </row>
    <row r="80" spans="1:31" x14ac:dyDescent="0.2">
      <c r="A80">
        <v>79</v>
      </c>
      <c r="B80">
        <v>766</v>
      </c>
      <c r="C80">
        <v>175</v>
      </c>
      <c r="D80">
        <v>0.41514747630275201</v>
      </c>
      <c r="E80">
        <v>103.885354429331</v>
      </c>
      <c r="F80">
        <v>2.1951489892061602</v>
      </c>
      <c r="G80">
        <v>-1698.5002568583911</v>
      </c>
      <c r="H80">
        <v>-1423.0380957505658</v>
      </c>
      <c r="I80">
        <v>265.08411789233998</v>
      </c>
      <c r="J80">
        <v>139.245213024023</v>
      </c>
      <c r="K80">
        <v>47.324967435080197</v>
      </c>
      <c r="L80">
        <v>1.4133732038348369E-4</v>
      </c>
      <c r="M80">
        <v>1.7431296905692689E-5</v>
      </c>
      <c r="N80" s="1">
        <v>2.9665542710076901E-6</v>
      </c>
      <c r="O80" s="1">
        <v>8.8697796688672202E-8</v>
      </c>
      <c r="P80" s="1">
        <v>-4.5259372582494399E-7</v>
      </c>
      <c r="Q80">
        <v>73.460805420933994</v>
      </c>
      <c r="R80">
        <v>6.6419371988511E-2</v>
      </c>
      <c r="S80">
        <v>12.1629114830597</v>
      </c>
      <c r="T80">
        <v>0.15565660420480801</v>
      </c>
      <c r="V80">
        <v>0.36049026243297499</v>
      </c>
      <c r="W80">
        <v>2.3102390256872801E-2</v>
      </c>
      <c r="X80">
        <v>4.8129979701820799E-2</v>
      </c>
      <c r="AA80">
        <v>0.51837896295380304</v>
      </c>
      <c r="AB80">
        <v>3.8154553607241599</v>
      </c>
      <c r="AC80">
        <v>4.4362857661066704</v>
      </c>
      <c r="AD80">
        <v>5.77559756421798E-3</v>
      </c>
      <c r="AE80">
        <v>4.9465888000724298</v>
      </c>
    </row>
    <row r="81" spans="1:31" x14ac:dyDescent="0.2">
      <c r="A81">
        <v>80</v>
      </c>
      <c r="B81">
        <v>765</v>
      </c>
      <c r="C81">
        <v>175</v>
      </c>
      <c r="D81">
        <v>0.41451668833983701</v>
      </c>
      <c r="E81">
        <v>103.412214923064</v>
      </c>
      <c r="F81">
        <v>2.19551023237781</v>
      </c>
      <c r="G81">
        <v>-1690.370990397766</v>
      </c>
      <c r="H81">
        <v>-1416.6666546489785</v>
      </c>
      <c r="I81">
        <v>263.64623199806101</v>
      </c>
      <c r="J81">
        <v>138.553575949227</v>
      </c>
      <c r="K81">
        <v>47.101677504397202</v>
      </c>
      <c r="L81">
        <v>1.4107472338855987E-4</v>
      </c>
      <c r="M81">
        <v>1.741204436828307E-5</v>
      </c>
      <c r="N81" s="1">
        <v>2.95151133515634E-6</v>
      </c>
      <c r="O81" s="1">
        <v>8.8094140421535303E-8</v>
      </c>
      <c r="P81" s="1">
        <v>-4.4944027083947303E-7</v>
      </c>
      <c r="Q81">
        <v>73.517017207516005</v>
      </c>
      <c r="R81">
        <v>6.6723258999272894E-2</v>
      </c>
      <c r="S81">
        <v>12.1285090240927</v>
      </c>
      <c r="T81">
        <v>0.156549450258852</v>
      </c>
      <c r="V81">
        <v>0.36197703270162701</v>
      </c>
      <c r="W81">
        <v>2.3208090086702798E-2</v>
      </c>
      <c r="X81">
        <v>4.8350187680634399E-2</v>
      </c>
      <c r="AA81">
        <v>0.51176648217874199</v>
      </c>
      <c r="AB81">
        <v>3.7937566515047401</v>
      </c>
      <c r="AC81">
        <v>4.4479888245602996</v>
      </c>
      <c r="AD81">
        <v>5.8020225216753301E-3</v>
      </c>
      <c r="AE81">
        <v>4.9383517678987099</v>
      </c>
    </row>
    <row r="82" spans="1:31" x14ac:dyDescent="0.2">
      <c r="A82">
        <v>81</v>
      </c>
      <c r="B82">
        <v>764</v>
      </c>
      <c r="C82">
        <v>175</v>
      </c>
      <c r="D82">
        <v>0.41388468398978101</v>
      </c>
      <c r="E82">
        <v>102.93711434313499</v>
      </c>
      <c r="F82">
        <v>2.1958732160986698</v>
      </c>
      <c r="G82">
        <v>-1682.2141961124701</v>
      </c>
      <c r="H82">
        <v>-1410.2685926156398</v>
      </c>
      <c r="I82">
        <v>262.20469893152301</v>
      </c>
      <c r="J82">
        <v>137.859672468469</v>
      </c>
      <c r="K82">
        <v>46.877530810280398</v>
      </c>
      <c r="L82">
        <v>1.4081051440790641E-4</v>
      </c>
      <c r="M82">
        <v>1.7392780579374919E-5</v>
      </c>
      <c r="N82" s="1">
        <v>2.9363884830114801E-6</v>
      </c>
      <c r="O82" s="1">
        <v>8.7490085237257398E-8</v>
      </c>
      <c r="P82" s="1">
        <v>-4.4627875839063099E-7</v>
      </c>
      <c r="Q82">
        <v>73.573555571725805</v>
      </c>
      <c r="R82">
        <v>6.7031216525065301E-2</v>
      </c>
      <c r="S82">
        <v>12.093973797330699</v>
      </c>
      <c r="T82">
        <v>0.15745311975285201</v>
      </c>
      <c r="V82">
        <v>0.36348474026496802</v>
      </c>
      <c r="W82">
        <v>2.3315205747847699E-2</v>
      </c>
      <c r="X82">
        <v>4.8573345308021001E-2</v>
      </c>
      <c r="AA82">
        <v>0.50543555828700604</v>
      </c>
      <c r="AB82">
        <v>3.7718027771263101</v>
      </c>
      <c r="AC82">
        <v>4.4594760433331198</v>
      </c>
      <c r="AD82">
        <v>5.82880143696138E-3</v>
      </c>
      <c r="AE82">
        <v>4.9300698231612801</v>
      </c>
    </row>
    <row r="83" spans="1:31" x14ac:dyDescent="0.2">
      <c r="A83">
        <v>82</v>
      </c>
      <c r="B83">
        <v>763</v>
      </c>
      <c r="C83">
        <v>175</v>
      </c>
      <c r="D83">
        <v>0.41325145973073701</v>
      </c>
      <c r="E83">
        <v>102.460238036767</v>
      </c>
      <c r="F83">
        <v>2.1962376822207799</v>
      </c>
      <c r="G83">
        <v>-1674.0330606136285</v>
      </c>
      <c r="H83">
        <v>-1403.846494018145</v>
      </c>
      <c r="I83">
        <v>260.760089364941</v>
      </c>
      <c r="J83">
        <v>137.163772950446</v>
      </c>
      <c r="K83">
        <v>46.652618187099797</v>
      </c>
      <c r="L83">
        <v>1.4054482495091101E-4</v>
      </c>
      <c r="M83">
        <v>1.737351855676479E-5</v>
      </c>
      <c r="N83" s="1">
        <v>2.9211957502963202E-6</v>
      </c>
      <c r="O83" s="1">
        <v>8.6885924676086402E-8</v>
      </c>
      <c r="P83" s="1">
        <v>-4.431107969407E-7</v>
      </c>
      <c r="Q83">
        <v>73.630418694273004</v>
      </c>
      <c r="R83">
        <v>6.7343197050977896E-2</v>
      </c>
      <c r="S83">
        <v>12.0593070752789</v>
      </c>
      <c r="T83">
        <v>0.158367535005842</v>
      </c>
      <c r="V83">
        <v>0.36501309693784101</v>
      </c>
      <c r="W83">
        <v>2.34237207133823E-2</v>
      </c>
      <c r="X83">
        <v>4.8799418152885701E-2</v>
      </c>
      <c r="AA83">
        <v>0.49938221091178298</v>
      </c>
      <c r="AB83">
        <v>3.7496131306053502</v>
      </c>
      <c r="AC83">
        <v>4.4707259023241503</v>
      </c>
      <c r="AD83">
        <v>5.8559301783449201E-3</v>
      </c>
      <c r="AE83">
        <v>4.9217500885674799</v>
      </c>
    </row>
    <row r="84" spans="1:31" x14ac:dyDescent="0.2">
      <c r="A84">
        <v>83</v>
      </c>
      <c r="B84">
        <v>762</v>
      </c>
      <c r="C84">
        <v>175</v>
      </c>
      <c r="D84">
        <v>0.41261701202724399</v>
      </c>
      <c r="E84">
        <v>100.80808310088899</v>
      </c>
      <c r="F84">
        <v>2.1969855805798302</v>
      </c>
      <c r="G84">
        <v>-1646.3682174609542</v>
      </c>
      <c r="H84">
        <v>-1381.0698816242734</v>
      </c>
      <c r="I84">
        <v>256.28975108600702</v>
      </c>
      <c r="J84">
        <v>134.898747028808</v>
      </c>
      <c r="K84">
        <v>45.884726778354199</v>
      </c>
      <c r="L84">
        <v>1.4026764569312667E-4</v>
      </c>
      <c r="M84">
        <v>1.7341841603825413E-5</v>
      </c>
      <c r="N84" s="1">
        <v>2.86933414585696E-6</v>
      </c>
      <c r="O84" s="1">
        <v>8.5204380093933904E-8</v>
      </c>
      <c r="P84" s="1">
        <v>-4.3486228354814301E-7</v>
      </c>
      <c r="Q84">
        <v>73.634848456719695</v>
      </c>
      <c r="R84">
        <v>6.84468922308024E-2</v>
      </c>
      <c r="S84">
        <v>12.048058006778501</v>
      </c>
      <c r="T84">
        <v>0.161218692071534</v>
      </c>
      <c r="V84">
        <v>0.370765297218828</v>
      </c>
      <c r="W84">
        <v>2.3807614688971499E-2</v>
      </c>
      <c r="X84">
        <v>4.9599197268705202E-2</v>
      </c>
      <c r="AA84">
        <v>0.48937171725891798</v>
      </c>
      <c r="AB84">
        <v>3.7200613784786798</v>
      </c>
      <c r="AC84">
        <v>4.5198849308598401</v>
      </c>
      <c r="AD84">
        <v>5.9519036722412199E-3</v>
      </c>
      <c r="AE84">
        <v>4.90798591275313</v>
      </c>
    </row>
    <row r="85" spans="1:31" x14ac:dyDescent="0.2">
      <c r="A85">
        <v>84</v>
      </c>
      <c r="B85">
        <v>761</v>
      </c>
      <c r="C85">
        <v>175</v>
      </c>
      <c r="D85">
        <v>0.411981337330175</v>
      </c>
      <c r="E85">
        <v>98.241821899174198</v>
      </c>
      <c r="F85">
        <v>2.1980341634796199</v>
      </c>
      <c r="G85">
        <v>-1603.5921997212492</v>
      </c>
      <c r="H85">
        <v>-1345.6004061047927</v>
      </c>
      <c r="I85">
        <v>249.47231409027299</v>
      </c>
      <c r="J85">
        <v>131.413001423521</v>
      </c>
      <c r="K85">
        <v>44.695311625025603</v>
      </c>
      <c r="L85">
        <v>1.3996836229825953E-4</v>
      </c>
      <c r="M85">
        <v>1.7300719225078071E-5</v>
      </c>
      <c r="N85" s="1">
        <v>2.7891405182191799E-6</v>
      </c>
      <c r="O85" s="1">
        <v>8.2695384286879104E-8</v>
      </c>
      <c r="P85" s="1">
        <v>-4.2262630830649598E-7</v>
      </c>
      <c r="Q85">
        <v>73.604510967561893</v>
      </c>
      <c r="R85">
        <v>7.0234853818996801E-2</v>
      </c>
      <c r="S85">
        <v>12.051747662129699</v>
      </c>
      <c r="T85">
        <v>0.165733321251714</v>
      </c>
      <c r="V85">
        <v>0.38017747729822199</v>
      </c>
      <c r="W85">
        <v>2.4429514371821101E-2</v>
      </c>
      <c r="X85">
        <v>5.0894821607978001E-2</v>
      </c>
      <c r="AA85">
        <v>0.47798759613645497</v>
      </c>
      <c r="AB85">
        <v>3.6827839494187802</v>
      </c>
      <c r="AC85">
        <v>4.5955443240818603</v>
      </c>
      <c r="AD85">
        <v>6.1073785929535796E-3</v>
      </c>
      <c r="AE85">
        <v>4.8898481337295401</v>
      </c>
    </row>
    <row r="86" spans="1:31" x14ac:dyDescent="0.2">
      <c r="A86">
        <v>85</v>
      </c>
      <c r="B86">
        <v>760</v>
      </c>
      <c r="C86">
        <v>175</v>
      </c>
      <c r="D86">
        <v>0.41134443207665999</v>
      </c>
      <c r="E86">
        <v>95.314840779556206</v>
      </c>
      <c r="F86">
        <v>2.1991813872462398</v>
      </c>
      <c r="G86">
        <v>-1554.925733216196</v>
      </c>
      <c r="H86">
        <v>-1305.1717575784048</v>
      </c>
      <c r="I86">
        <v>241.740285183943</v>
      </c>
      <c r="J86">
        <v>127.445270248808</v>
      </c>
      <c r="K86">
        <v>43.341054690766903</v>
      </c>
      <c r="L86">
        <v>1.3964616245474833E-4</v>
      </c>
      <c r="M86">
        <v>1.7257296755369848E-5</v>
      </c>
      <c r="N86" s="1">
        <v>2.6983028377676101E-6</v>
      </c>
      <c r="O86" s="1">
        <v>7.9880838200460399E-8</v>
      </c>
      <c r="P86" s="1">
        <v>-4.0878032157571197E-7</v>
      </c>
      <c r="Q86">
        <v>73.571762695236302</v>
      </c>
      <c r="R86">
        <v>7.2391664756160504E-2</v>
      </c>
      <c r="S86">
        <v>12.0552999420145</v>
      </c>
      <c r="T86">
        <v>0.17112301483414799</v>
      </c>
      <c r="V86">
        <v>0.39158199901693702</v>
      </c>
      <c r="W86">
        <v>2.5179709480399302E-2</v>
      </c>
      <c r="X86">
        <v>5.2457728084184502E-2</v>
      </c>
      <c r="AA86">
        <v>0.46876827808877097</v>
      </c>
      <c r="AB86">
        <v>3.64046921465853</v>
      </c>
      <c r="AC86">
        <v>4.6743680552579603</v>
      </c>
      <c r="AD86">
        <v>6.2949273700979797E-3</v>
      </c>
      <c r="AE86">
        <v>4.8703027712019296</v>
      </c>
    </row>
    <row r="87" spans="1:31" x14ac:dyDescent="0.2">
      <c r="A87">
        <v>86</v>
      </c>
      <c r="B87">
        <v>759</v>
      </c>
      <c r="C87">
        <v>175</v>
      </c>
      <c r="D87">
        <v>0.41070629269001901</v>
      </c>
      <c r="E87">
        <v>76.573796433024498</v>
      </c>
      <c r="F87">
        <v>2.2019858694832202</v>
      </c>
      <c r="G87">
        <v>-1247.7251982347304</v>
      </c>
      <c r="H87">
        <v>-1047.4677723064046</v>
      </c>
      <c r="I87">
        <v>194.01969280465499</v>
      </c>
      <c r="J87">
        <v>102.378046403718</v>
      </c>
      <c r="K87">
        <v>34.774880935541702</v>
      </c>
      <c r="L87">
        <v>1.39621595612584E-4</v>
      </c>
      <c r="M87">
        <v>1.723449663800185E-5</v>
      </c>
      <c r="N87" s="1">
        <v>2.1650811701850199E-6</v>
      </c>
      <c r="O87" s="1">
        <v>6.3985421666455402E-8</v>
      </c>
      <c r="P87" s="1">
        <v>-3.2764202299759498E-7</v>
      </c>
      <c r="Q87">
        <v>73.427450269227805</v>
      </c>
      <c r="R87">
        <v>9.0109153802192005E-2</v>
      </c>
      <c r="S87">
        <v>12.055197220390699</v>
      </c>
      <c r="T87">
        <v>0.21280716554139301</v>
      </c>
      <c r="V87">
        <v>0.48759724706029201</v>
      </c>
      <c r="W87">
        <v>3.1342314365966399E-2</v>
      </c>
      <c r="X87">
        <v>6.5296488262491195E-2</v>
      </c>
      <c r="AA87">
        <v>0.483895020447833</v>
      </c>
      <c r="AB87">
        <v>3.5916503296417401</v>
      </c>
      <c r="AC87">
        <v>4.6880666930724804</v>
      </c>
      <c r="AD87">
        <v>7.8355785914863106E-3</v>
      </c>
      <c r="AE87">
        <v>4.8587525195954298</v>
      </c>
    </row>
    <row r="88" spans="1:31" x14ac:dyDescent="0.2">
      <c r="A88">
        <v>87</v>
      </c>
      <c r="B88">
        <v>758</v>
      </c>
      <c r="C88">
        <v>175</v>
      </c>
      <c r="D88">
        <v>0.41006691557969399</v>
      </c>
      <c r="E88">
        <v>61.714884449912702</v>
      </c>
      <c r="F88">
        <v>2.2050649993819902</v>
      </c>
      <c r="G88">
        <v>-1004.2968454202249</v>
      </c>
      <c r="H88">
        <v>-843.18098990939109</v>
      </c>
      <c r="I88">
        <v>156.248708248881</v>
      </c>
      <c r="J88">
        <v>82.514757904133702</v>
      </c>
      <c r="K88">
        <v>27.987784698958599</v>
      </c>
      <c r="L88">
        <v>1.3973366296903098E-4</v>
      </c>
      <c r="M88">
        <v>1.7222119612502695E-5</v>
      </c>
      <c r="N88" s="1">
        <v>1.7446278840485099E-6</v>
      </c>
      <c r="O88" s="1">
        <v>5.14663480969776E-8</v>
      </c>
      <c r="P88" s="1">
        <v>-2.6368645136198497E-7</v>
      </c>
      <c r="Q88">
        <v>73.256164352480894</v>
      </c>
      <c r="R88">
        <v>0.11180447085826099</v>
      </c>
      <c r="S88">
        <v>12.0522916027082</v>
      </c>
      <c r="T88">
        <v>0.26364657290097199</v>
      </c>
      <c r="V88">
        <v>0.60535232863502297</v>
      </c>
      <c r="W88">
        <v>3.8888511602854503E-2</v>
      </c>
      <c r="X88">
        <v>8.1017732506031406E-2</v>
      </c>
      <c r="AA88">
        <v>0.49712117504590603</v>
      </c>
      <c r="AB88">
        <v>3.55373439181071</v>
      </c>
      <c r="AC88">
        <v>4.6779392793245398</v>
      </c>
      <c r="AD88">
        <v>9.7221279007085708E-3</v>
      </c>
      <c r="AE88">
        <v>4.8523174542258101</v>
      </c>
    </row>
    <row r="89" spans="1:31" x14ac:dyDescent="0.2">
      <c r="A89">
        <v>88</v>
      </c>
      <c r="B89">
        <v>757</v>
      </c>
      <c r="C89">
        <v>175</v>
      </c>
      <c r="D89">
        <v>0.40942629714119499</v>
      </c>
      <c r="E89">
        <v>33.445326375035499</v>
      </c>
      <c r="F89">
        <v>2.20770393708663</v>
      </c>
      <c r="G89">
        <v>-544.08134988250447</v>
      </c>
      <c r="H89">
        <v>-456.97180215938891</v>
      </c>
      <c r="I89">
        <v>84.560061858093803</v>
      </c>
      <c r="J89">
        <v>44.735622693201499</v>
      </c>
      <c r="K89">
        <v>15.1493711693838</v>
      </c>
      <c r="L89">
        <v>1.394480044267548E-4</v>
      </c>
      <c r="M89">
        <v>1.7186812930058638E-5</v>
      </c>
      <c r="N89" s="1">
        <v>9.4253899702041104E-7</v>
      </c>
      <c r="O89" s="1">
        <v>2.77594298641374E-8</v>
      </c>
      <c r="P89" s="1">
        <v>-1.4209033246896999E-7</v>
      </c>
      <c r="Q89">
        <v>73.106473627688302</v>
      </c>
      <c r="R89">
        <v>0.13969251317958101</v>
      </c>
      <c r="S89">
        <v>12.1465015135615</v>
      </c>
      <c r="T89">
        <v>0.26154215048373902</v>
      </c>
      <c r="V89">
        <v>0.60197696786833699</v>
      </c>
      <c r="W89">
        <v>7.1758905058568398E-2</v>
      </c>
      <c r="X89">
        <v>0.14161830329098399</v>
      </c>
      <c r="AA89">
        <v>0.52222520052846899</v>
      </c>
      <c r="AB89">
        <v>3.44943940824164</v>
      </c>
      <c r="AC89">
        <v>4.70906104699342</v>
      </c>
      <c r="AD89">
        <v>1.79397262646314E-2</v>
      </c>
      <c r="AE89">
        <v>4.8317706368407496</v>
      </c>
    </row>
    <row r="90" spans="1:31" x14ac:dyDescent="0.2">
      <c r="A90">
        <v>89</v>
      </c>
      <c r="B90">
        <v>756</v>
      </c>
      <c r="C90">
        <v>175</v>
      </c>
      <c r="D90">
        <v>0.40878443375601398</v>
      </c>
      <c r="E90">
        <v>18.4915929254872</v>
      </c>
      <c r="F90">
        <v>2.2102299696122598</v>
      </c>
      <c r="G90">
        <v>-300.77661551589324</v>
      </c>
      <c r="H90">
        <v>-252.72880424763741</v>
      </c>
      <c r="I90">
        <v>46.6868884693735</v>
      </c>
      <c r="J90">
        <v>24.745368864562501</v>
      </c>
      <c r="K90">
        <v>8.3663660251296008</v>
      </c>
      <c r="L90">
        <v>1.3919562561838143E-4</v>
      </c>
      <c r="M90">
        <v>1.7164385558099215E-5</v>
      </c>
      <c r="N90" s="1">
        <v>5.1987290952452798E-7</v>
      </c>
      <c r="O90" s="1">
        <v>1.5285331785692999E-8</v>
      </c>
      <c r="P90" s="1">
        <v>-7.80972081217396E-8</v>
      </c>
      <c r="Q90">
        <v>72.911487934151097</v>
      </c>
      <c r="R90">
        <v>0.168334384173876</v>
      </c>
      <c r="S90">
        <v>12.3342159360529</v>
      </c>
      <c r="T90">
        <v>0.248162221329259</v>
      </c>
      <c r="V90">
        <v>0.57363217115522103</v>
      </c>
      <c r="W90">
        <v>0.12978871045179999</v>
      </c>
      <c r="X90">
        <v>0.181116920834067</v>
      </c>
      <c r="AA90">
        <v>0.53726001795047695</v>
      </c>
      <c r="AB90">
        <v>3.3258090781945699</v>
      </c>
      <c r="AC90">
        <v>4.7430153324628099</v>
      </c>
      <c r="AD90">
        <v>3.2447177612915698E-2</v>
      </c>
      <c r="AE90">
        <v>4.8147301156309101</v>
      </c>
    </row>
    <row r="91" spans="1:31" x14ac:dyDescent="0.2">
      <c r="A91">
        <v>90</v>
      </c>
      <c r="B91">
        <v>755</v>
      </c>
      <c r="C91">
        <v>175</v>
      </c>
      <c r="D91">
        <v>0.40814132179156798</v>
      </c>
      <c r="E91">
        <v>11.555405138530199</v>
      </c>
      <c r="F91">
        <v>2.2127377076202102</v>
      </c>
      <c r="G91">
        <v>-187.91014670210581</v>
      </c>
      <c r="H91">
        <v>-157.95309955553736</v>
      </c>
      <c r="I91">
        <v>29.136844960918602</v>
      </c>
      <c r="J91">
        <v>15.469810593302901</v>
      </c>
      <c r="K91">
        <v>5.2222209160786699</v>
      </c>
      <c r="L91">
        <v>1.3908414604372121E-4</v>
      </c>
      <c r="M91">
        <v>1.7162924720408125E-5</v>
      </c>
      <c r="N91" s="1">
        <v>3.2466865508241901E-7</v>
      </c>
      <c r="O91" s="1">
        <v>9.5285878989080801E-9</v>
      </c>
      <c r="P91" s="1">
        <v>-4.8573436775539198E-8</v>
      </c>
      <c r="Q91">
        <v>72.662629570373994</v>
      </c>
      <c r="R91">
        <v>0.17982226654244601</v>
      </c>
      <c r="S91">
        <v>12.5975308593289</v>
      </c>
      <c r="T91">
        <v>0.24097199192371499</v>
      </c>
      <c r="V91">
        <v>0.56058312639038999</v>
      </c>
      <c r="W91">
        <v>0.20658012412875901</v>
      </c>
      <c r="X91">
        <v>0.1831091299581</v>
      </c>
      <c r="AA91">
        <v>0.54580528754341595</v>
      </c>
      <c r="AB91">
        <v>3.19384135378121</v>
      </c>
      <c r="AC91">
        <v>4.7708956721015499</v>
      </c>
      <c r="AD91">
        <v>5.19237528070709E-2</v>
      </c>
      <c r="AE91">
        <v>4.8063068651202903</v>
      </c>
    </row>
    <row r="92" spans="1:31" x14ac:dyDescent="0.2">
      <c r="A92">
        <v>91</v>
      </c>
      <c r="B92">
        <v>754</v>
      </c>
      <c r="C92">
        <v>175</v>
      </c>
      <c r="D92">
        <v>0.40749695760112897</v>
      </c>
      <c r="E92">
        <v>8.4860322614258301</v>
      </c>
      <c r="F92">
        <v>2.21496320368776</v>
      </c>
      <c r="G92">
        <v>-137.96343923293432</v>
      </c>
      <c r="H92">
        <v>-116.00926251179571</v>
      </c>
      <c r="I92">
        <v>21.373875988062601</v>
      </c>
      <c r="J92">
        <v>11.365820681335499</v>
      </c>
      <c r="K92">
        <v>3.8312294521629799</v>
      </c>
      <c r="L92">
        <v>1.3906615991264904E-4</v>
      </c>
      <c r="M92">
        <v>1.7170044994047859E-5</v>
      </c>
      <c r="N92" s="1">
        <v>2.38567488094678E-7</v>
      </c>
      <c r="O92" s="1">
        <v>6.9882902676786597E-9</v>
      </c>
      <c r="P92" s="1">
        <v>-3.5553215257546197E-8</v>
      </c>
      <c r="Q92">
        <v>72.4226163786401</v>
      </c>
      <c r="R92">
        <v>0.17896405005788499</v>
      </c>
      <c r="S92">
        <v>12.850808359953</v>
      </c>
      <c r="T92">
        <v>0.23766556313391099</v>
      </c>
      <c r="V92">
        <v>0.55626704923917702</v>
      </c>
      <c r="W92">
        <v>0.27900978356657002</v>
      </c>
      <c r="X92">
        <v>0.18254649333647199</v>
      </c>
      <c r="AA92">
        <v>0.55118777493801696</v>
      </c>
      <c r="AB92">
        <v>3.0796327424837999</v>
      </c>
      <c r="AC92">
        <v>4.7869549488767102</v>
      </c>
      <c r="AD92">
        <v>7.0704421278927995E-2</v>
      </c>
      <c r="AE92">
        <v>4.8036424344952398</v>
      </c>
    </row>
    <row r="93" spans="1:31" x14ac:dyDescent="0.2">
      <c r="A93">
        <v>92</v>
      </c>
      <c r="B93">
        <v>775</v>
      </c>
      <c r="C93">
        <v>155</v>
      </c>
      <c r="D93">
        <v>0.44175976720889598</v>
      </c>
      <c r="E93">
        <v>103.621099734095</v>
      </c>
      <c r="F93">
        <v>2.1952744846907799</v>
      </c>
      <c r="G93">
        <v>-1695.6096366025347</v>
      </c>
      <c r="H93">
        <v>-1419.3714545866278</v>
      </c>
      <c r="I93">
        <v>263.54832992978697</v>
      </c>
      <c r="J93">
        <v>138.66199030803099</v>
      </c>
      <c r="K93">
        <v>47.201887716875</v>
      </c>
      <c r="L93">
        <v>1.3706196583320956E-4</v>
      </c>
      <c r="M93">
        <v>1.727881120582585E-5</v>
      </c>
      <c r="N93" s="1">
        <v>2.7626062082109702E-6</v>
      </c>
      <c r="O93" s="1">
        <v>8.5166426201563897E-8</v>
      </c>
      <c r="P93" s="1">
        <v>-4.30907472674059E-7</v>
      </c>
      <c r="Q93">
        <v>73.691555287458996</v>
      </c>
      <c r="R93">
        <v>6.6588754777803696E-2</v>
      </c>
      <c r="S93">
        <v>12.207938375931199</v>
      </c>
      <c r="T93">
        <v>0.15548467235552799</v>
      </c>
      <c r="V93">
        <v>0.36192147658152302</v>
      </c>
      <c r="W93">
        <v>2.3161306009670601E-2</v>
      </c>
      <c r="X93">
        <v>4.82527208534815E-2</v>
      </c>
      <c r="AA93">
        <v>0.521129385217593</v>
      </c>
      <c r="AB93">
        <v>3.8312660357663599</v>
      </c>
      <c r="AC93">
        <v>4.4489008626908904</v>
      </c>
      <c r="AD93">
        <v>5.79032650241756E-3</v>
      </c>
      <c r="AE93">
        <v>4.6380107958543997</v>
      </c>
    </row>
    <row r="94" spans="1:31" x14ac:dyDescent="0.2">
      <c r="A94">
        <v>93</v>
      </c>
      <c r="B94">
        <v>774</v>
      </c>
      <c r="C94">
        <v>155</v>
      </c>
      <c r="D94">
        <v>0.44115981473524002</v>
      </c>
      <c r="E94">
        <v>103.32285582538501</v>
      </c>
      <c r="F94">
        <v>2.19558910743369</v>
      </c>
      <c r="G94">
        <v>-1690.3872714331073</v>
      </c>
      <c r="H94">
        <v>-1415.4053026978522</v>
      </c>
      <c r="I94">
        <v>262.60036168195097</v>
      </c>
      <c r="J94">
        <v>138.22287684663499</v>
      </c>
      <c r="K94">
        <v>47.059286036517904</v>
      </c>
      <c r="L94">
        <v>1.3689347929925026E-4</v>
      </c>
      <c r="M94">
        <v>1.7265092557682281E-5</v>
      </c>
      <c r="N94" s="1">
        <v>2.7551345294985999E-6</v>
      </c>
      <c r="O94" s="1">
        <v>8.47846967647177E-8</v>
      </c>
      <c r="P94" s="1">
        <v>-4.2901094868392998E-7</v>
      </c>
      <c r="Q94">
        <v>73.726753702508105</v>
      </c>
      <c r="R94">
        <v>6.6780964820222999E-2</v>
      </c>
      <c r="S94">
        <v>12.185938817697499</v>
      </c>
      <c r="T94">
        <v>0.156128571396907</v>
      </c>
      <c r="V94">
        <v>0.36279062858390998</v>
      </c>
      <c r="W94">
        <v>2.3228161676598899E-2</v>
      </c>
      <c r="X94">
        <v>4.8392003492916197E-2</v>
      </c>
      <c r="AA94">
        <v>0.51683211976848897</v>
      </c>
      <c r="AB94">
        <v>3.8174315743336402</v>
      </c>
      <c r="AC94">
        <v>4.4564414998409401</v>
      </c>
      <c r="AD94">
        <v>5.8070404191495504E-3</v>
      </c>
      <c r="AE94">
        <v>4.6334749154614299</v>
      </c>
    </row>
    <row r="95" spans="1:31" x14ac:dyDescent="0.2">
      <c r="A95">
        <v>94</v>
      </c>
      <c r="B95">
        <v>773</v>
      </c>
      <c r="C95">
        <v>155</v>
      </c>
      <c r="D95">
        <v>0.440558715289395</v>
      </c>
      <c r="E95">
        <v>102.86945532660199</v>
      </c>
      <c r="F95">
        <v>2.1959112434352202</v>
      </c>
      <c r="G95">
        <v>-1682.5891445359118</v>
      </c>
      <c r="H95">
        <v>-1409.3037990546807</v>
      </c>
      <c r="I95">
        <v>261.22959946588099</v>
      </c>
      <c r="J95">
        <v>137.56234364861299</v>
      </c>
      <c r="K95">
        <v>46.845907654116303</v>
      </c>
      <c r="L95">
        <v>1.3665799696399803E-4</v>
      </c>
      <c r="M95">
        <v>1.7247824204462403E-5</v>
      </c>
      <c r="N95" s="1">
        <v>2.74212978129403E-6</v>
      </c>
      <c r="O95" s="1">
        <v>8.4237888691653905E-8</v>
      </c>
      <c r="P95" s="1">
        <v>-4.2617830431565102E-7</v>
      </c>
      <c r="Q95">
        <v>73.780318673452399</v>
      </c>
      <c r="R95">
        <v>6.7075304113287201E-2</v>
      </c>
      <c r="S95">
        <v>12.152497925200899</v>
      </c>
      <c r="T95">
        <v>0.15699269955036399</v>
      </c>
      <c r="V95">
        <v>0.36423128572118801</v>
      </c>
      <c r="W95">
        <v>2.3330540561142601E-2</v>
      </c>
      <c r="X95">
        <v>4.8605292835717101E-2</v>
      </c>
      <c r="AA95">
        <v>0.51053446384401502</v>
      </c>
      <c r="AB95">
        <v>3.79626184475842</v>
      </c>
      <c r="AC95">
        <v>4.4677189625439802</v>
      </c>
      <c r="AD95">
        <v>5.8326351402853303E-3</v>
      </c>
      <c r="AE95">
        <v>4.6266003722781104</v>
      </c>
    </row>
    <row r="96" spans="1:31" x14ac:dyDescent="0.2">
      <c r="A96">
        <v>95</v>
      </c>
      <c r="B96">
        <v>772</v>
      </c>
      <c r="C96">
        <v>155</v>
      </c>
      <c r="D96">
        <v>0.43995646557910401</v>
      </c>
      <c r="E96">
        <v>102.41462415344201</v>
      </c>
      <c r="F96">
        <v>2.1962348920483898</v>
      </c>
      <c r="G96">
        <v>-1674.7718673599986</v>
      </c>
      <c r="H96">
        <v>-1403.18285193013</v>
      </c>
      <c r="I96">
        <v>259.85649469441501</v>
      </c>
      <c r="J96">
        <v>136.900243191686</v>
      </c>
      <c r="K96">
        <v>46.631908328312498</v>
      </c>
      <c r="L96">
        <v>1.3642115984217179E-4</v>
      </c>
      <c r="M96">
        <v>1.7230550992880671E-5</v>
      </c>
      <c r="N96" s="1">
        <v>2.72906536095155E-6</v>
      </c>
      <c r="O96" s="1">
        <v>8.36910233854313E-8</v>
      </c>
      <c r="P96" s="1">
        <v>-4.2334015063836801E-7</v>
      </c>
      <c r="Q96">
        <v>73.834152015664401</v>
      </c>
      <c r="R96">
        <v>6.7373190665253102E-2</v>
      </c>
      <c r="S96">
        <v>12.118951482022799</v>
      </c>
      <c r="T96">
        <v>0.15786641760476</v>
      </c>
      <c r="V96">
        <v>0.36569004672566002</v>
      </c>
      <c r="W96">
        <v>2.3434153274869699E-2</v>
      </c>
      <c r="X96">
        <v>4.8821152655982802E-2</v>
      </c>
      <c r="AA96">
        <v>0.50449433118360698</v>
      </c>
      <c r="AB96">
        <v>3.77486949521324</v>
      </c>
      <c r="AC96">
        <v>4.4787976713313098</v>
      </c>
      <c r="AD96">
        <v>5.8585383187170197E-3</v>
      </c>
      <c r="AE96">
        <v>4.6196915053392704</v>
      </c>
    </row>
    <row r="97" spans="1:31" x14ac:dyDescent="0.2">
      <c r="A97">
        <v>96</v>
      </c>
      <c r="B97">
        <v>771</v>
      </c>
      <c r="C97">
        <v>155</v>
      </c>
      <c r="D97">
        <v>0.43935306229947801</v>
      </c>
      <c r="E97">
        <v>101.95853445996801</v>
      </c>
      <c r="F97">
        <v>2.19655984436204</v>
      </c>
      <c r="G97">
        <v>-1666.9383772398853</v>
      </c>
      <c r="H97">
        <v>-1397.0448538732189</v>
      </c>
      <c r="I97">
        <v>258.48156238726801</v>
      </c>
      <c r="J97">
        <v>136.236823194317</v>
      </c>
      <c r="K97">
        <v>46.417371564752798</v>
      </c>
      <c r="L97">
        <v>1.3618307343542859E-4</v>
      </c>
      <c r="M97">
        <v>1.7213283292230592E-5</v>
      </c>
      <c r="N97" s="1">
        <v>2.71594942766732E-6</v>
      </c>
      <c r="O97" s="1">
        <v>8.3144345564603205E-8</v>
      </c>
      <c r="P97" s="1">
        <v>-4.2049783035187602E-7</v>
      </c>
      <c r="Q97">
        <v>73.888251340786297</v>
      </c>
      <c r="R97">
        <v>6.7674570221575997E-2</v>
      </c>
      <c r="S97">
        <v>12.085301287544301</v>
      </c>
      <c r="T97">
        <v>0.15874963384320001</v>
      </c>
      <c r="V97">
        <v>0.36716658525033102</v>
      </c>
      <c r="W97">
        <v>2.3538980946633901E-2</v>
      </c>
      <c r="X97">
        <v>4.9039543638826198E-2</v>
      </c>
      <c r="AA97">
        <v>0.49870753518142302</v>
      </c>
      <c r="AB97">
        <v>3.7532717240391502</v>
      </c>
      <c r="AC97">
        <v>4.4896602883907804</v>
      </c>
      <c r="AD97">
        <v>5.8847452366579001E-3</v>
      </c>
      <c r="AE97">
        <v>4.6127537649206598</v>
      </c>
    </row>
    <row r="98" spans="1:31" x14ac:dyDescent="0.2">
      <c r="A98">
        <v>97</v>
      </c>
      <c r="B98">
        <v>770</v>
      </c>
      <c r="C98">
        <v>155</v>
      </c>
      <c r="D98">
        <v>0.43874850213296301</v>
      </c>
      <c r="E98">
        <v>101.501353753883</v>
      </c>
      <c r="F98">
        <v>2.1968858885467801</v>
      </c>
      <c r="G98">
        <v>-1659.0915322370943</v>
      </c>
      <c r="H98">
        <v>-1390.8921343457785</v>
      </c>
      <c r="I98">
        <v>257.105304022734</v>
      </c>
      <c r="J98">
        <v>135.57232462062501</v>
      </c>
      <c r="K98">
        <v>46.202378686598401</v>
      </c>
      <c r="L98">
        <v>1.3594384422678526E-4</v>
      </c>
      <c r="M98">
        <v>1.7196031587369564E-5</v>
      </c>
      <c r="N98" s="1">
        <v>2.7027900117281299E-6</v>
      </c>
      <c r="O98" s="1">
        <v>8.2598094246672094E-8</v>
      </c>
      <c r="P98" s="1">
        <v>-4.1765265703363699E-7</v>
      </c>
      <c r="Q98">
        <v>73.942614476850807</v>
      </c>
      <c r="R98">
        <v>6.7979388892989698E-2</v>
      </c>
      <c r="S98">
        <v>12.0515490123533</v>
      </c>
      <c r="T98">
        <v>0.15964225695763701</v>
      </c>
      <c r="V98">
        <v>0.36866057733323399</v>
      </c>
      <c r="W98">
        <v>2.36450048323428E-2</v>
      </c>
      <c r="X98">
        <v>4.92604267340538E-2</v>
      </c>
      <c r="AA98">
        <v>0.49316977440924997</v>
      </c>
      <c r="AB98">
        <v>3.7314859582006901</v>
      </c>
      <c r="AC98">
        <v>4.5002892015860203</v>
      </c>
      <c r="AD98">
        <v>5.9112512080851101E-3</v>
      </c>
      <c r="AE98">
        <v>4.6057926706414296</v>
      </c>
    </row>
    <row r="99" spans="1:31" x14ac:dyDescent="0.2">
      <c r="A99">
        <v>98</v>
      </c>
      <c r="B99">
        <v>769</v>
      </c>
      <c r="C99">
        <v>155</v>
      </c>
      <c r="D99">
        <v>0.43814278174927401</v>
      </c>
      <c r="E99">
        <v>101.043244006439</v>
      </c>
      <c r="F99">
        <v>2.1972128103123598</v>
      </c>
      <c r="G99">
        <v>-1651.2340965256078</v>
      </c>
      <c r="H99">
        <v>-1384.7269475387061</v>
      </c>
      <c r="I99">
        <v>255.72820514023999</v>
      </c>
      <c r="J99">
        <v>134.906980452938</v>
      </c>
      <c r="K99">
        <v>45.987008419122802</v>
      </c>
      <c r="L99">
        <v>1.3570357933551702E-4</v>
      </c>
      <c r="M99">
        <v>1.7178806460568292E-5</v>
      </c>
      <c r="N99" s="1">
        <v>2.6895949820651799E-6</v>
      </c>
      <c r="O99" s="1">
        <v>8.2052501821566402E-8</v>
      </c>
      <c r="P99" s="1">
        <v>-4.14805909687873E-7</v>
      </c>
      <c r="Q99">
        <v>73.997239528874601</v>
      </c>
      <c r="R99">
        <v>6.82875937708457E-2</v>
      </c>
      <c r="S99">
        <v>12.0176961656159</v>
      </c>
      <c r="T99">
        <v>0.160544197332257</v>
      </c>
      <c r="V99">
        <v>0.37017170487977602</v>
      </c>
      <c r="W99">
        <v>2.3752206528988198E-2</v>
      </c>
      <c r="X99">
        <v>4.9483763602065703E-2</v>
      </c>
      <c r="AA99">
        <v>0.48787666221770498</v>
      </c>
      <c r="AB99">
        <v>3.7095297961338698</v>
      </c>
      <c r="AC99">
        <v>4.5106665302353202</v>
      </c>
      <c r="AD99">
        <v>5.93805163224638E-3</v>
      </c>
      <c r="AE99">
        <v>4.59881379917634</v>
      </c>
    </row>
    <row r="100" spans="1:31" x14ac:dyDescent="0.2">
      <c r="A100">
        <v>99</v>
      </c>
      <c r="B100">
        <v>768</v>
      </c>
      <c r="C100">
        <v>155</v>
      </c>
      <c r="D100">
        <v>0.43753589780531399</v>
      </c>
      <c r="E100">
        <v>100.33102321955499</v>
      </c>
      <c r="F100">
        <v>2.1976228232426598</v>
      </c>
      <c r="G100">
        <v>-1639.1674734966059</v>
      </c>
      <c r="H100">
        <v>-1375.0256443247956</v>
      </c>
      <c r="I100">
        <v>253.701992193065</v>
      </c>
      <c r="J100">
        <v>133.90357101346899</v>
      </c>
      <c r="K100">
        <v>45.654341663376997</v>
      </c>
      <c r="L100">
        <v>1.3546092223916333E-4</v>
      </c>
      <c r="M100">
        <v>1.7158975998212456E-5</v>
      </c>
      <c r="N100" s="1">
        <v>2.66898711652771E-6</v>
      </c>
      <c r="O100" s="1">
        <v>8.1284923128261198E-8</v>
      </c>
      <c r="P100" s="1">
        <v>-4.1092039556029798E-7</v>
      </c>
      <c r="Q100">
        <v>74.040824746623102</v>
      </c>
      <c r="R100">
        <v>6.8772347560942096E-2</v>
      </c>
      <c r="S100">
        <v>11.9887339979028</v>
      </c>
      <c r="T100">
        <v>0.161878016742693</v>
      </c>
      <c r="V100">
        <v>0.37262473645564298</v>
      </c>
      <c r="W100">
        <v>2.3920816542934001E-2</v>
      </c>
      <c r="X100">
        <v>4.9835034464456598E-2</v>
      </c>
      <c r="AA100">
        <v>0.48200098447944001</v>
      </c>
      <c r="AB100">
        <v>3.6857499751379099</v>
      </c>
      <c r="AC100">
        <v>4.5289641193241303</v>
      </c>
      <c r="AD100">
        <v>5.9802041357324099E-3</v>
      </c>
      <c r="AE100">
        <v>4.5907150206300704</v>
      </c>
    </row>
    <row r="101" spans="1:31" x14ac:dyDescent="0.2">
      <c r="A101">
        <v>100</v>
      </c>
      <c r="B101">
        <v>767</v>
      </c>
      <c r="C101">
        <v>155</v>
      </c>
      <c r="D101">
        <v>0.43692784694515202</v>
      </c>
      <c r="E101">
        <v>97.833890953857903</v>
      </c>
      <c r="F101">
        <v>2.19861496916034</v>
      </c>
      <c r="G101">
        <v>-1597.5336329481863</v>
      </c>
      <c r="H101">
        <v>-1340.5011000811273</v>
      </c>
      <c r="I101">
        <v>247.11102520507501</v>
      </c>
      <c r="J101">
        <v>130.52300523205599</v>
      </c>
      <c r="K101">
        <v>44.497964548663496</v>
      </c>
      <c r="L101">
        <v>1.3519947173556141E-4</v>
      </c>
      <c r="M101">
        <v>1.7120763003185155E-5</v>
      </c>
      <c r="N101" s="1">
        <v>2.5964795878243602E-6</v>
      </c>
      <c r="O101" s="1">
        <v>7.8955766774507598E-8</v>
      </c>
      <c r="P101" s="1">
        <v>-3.9970086455641401E-7</v>
      </c>
      <c r="Q101">
        <v>74.008775484281998</v>
      </c>
      <c r="R101">
        <v>7.0527707042282395E-2</v>
      </c>
      <c r="S101">
        <v>11.992778771861801</v>
      </c>
      <c r="T101">
        <v>0.16630660177135001</v>
      </c>
      <c r="V101">
        <v>0.38186864297294398</v>
      </c>
      <c r="W101">
        <v>2.45313763625301E-2</v>
      </c>
      <c r="X101">
        <v>5.1107034088617102E-2</v>
      </c>
      <c r="AA101">
        <v>0.47163719280594002</v>
      </c>
      <c r="AB101">
        <v>3.6488539180495798</v>
      </c>
      <c r="AC101">
        <v>4.6027223814412803</v>
      </c>
      <c r="AD101">
        <v>6.1328440906311199E-3</v>
      </c>
      <c r="AE101">
        <v>4.57475804523094</v>
      </c>
    </row>
    <row r="102" spans="1:31" x14ac:dyDescent="0.2">
      <c r="A102">
        <v>101</v>
      </c>
      <c r="B102">
        <v>766</v>
      </c>
      <c r="C102">
        <v>155</v>
      </c>
      <c r="D102">
        <v>0.43631862579993802</v>
      </c>
      <c r="E102">
        <v>95.0497474387426</v>
      </c>
      <c r="F102">
        <v>2.1996883860331602</v>
      </c>
      <c r="G102">
        <v>-1551.2167496857853</v>
      </c>
      <c r="H102">
        <v>-1302.0304144394804</v>
      </c>
      <c r="I102">
        <v>239.798234370692</v>
      </c>
      <c r="J102">
        <v>126.76036372166</v>
      </c>
      <c r="K102">
        <v>43.210551113629201</v>
      </c>
      <c r="L102">
        <v>1.3492063311525487E-4</v>
      </c>
      <c r="M102">
        <v>1.7080739338921928E-5</v>
      </c>
      <c r="N102" s="1">
        <v>2.5160787649230198E-6</v>
      </c>
      <c r="O102" s="1">
        <v>7.63955223946346E-8</v>
      </c>
      <c r="P102" s="1">
        <v>-3.8726798291257301E-7</v>
      </c>
      <c r="Q102">
        <v>73.974493210609893</v>
      </c>
      <c r="R102">
        <v>7.2593564800867399E-2</v>
      </c>
      <c r="S102">
        <v>11.996781578174</v>
      </c>
      <c r="T102">
        <v>0.17147290823883299</v>
      </c>
      <c r="V102">
        <v>0.392788726632889</v>
      </c>
      <c r="W102">
        <v>2.52499355829061E-2</v>
      </c>
      <c r="X102">
        <v>5.2604032464407001E-2</v>
      </c>
      <c r="AA102">
        <v>0.46317667867240198</v>
      </c>
      <c r="AB102">
        <v>3.60773654497372</v>
      </c>
      <c r="AC102">
        <v>4.6790474631674401</v>
      </c>
      <c r="AD102">
        <v>6.31248389572451E-3</v>
      </c>
      <c r="AE102">
        <v>4.5577428727868501</v>
      </c>
    </row>
    <row r="103" spans="1:31" x14ac:dyDescent="0.2">
      <c r="A103">
        <v>102</v>
      </c>
      <c r="B103">
        <v>765</v>
      </c>
      <c r="C103">
        <v>155</v>
      </c>
      <c r="D103">
        <v>0.43570823098781702</v>
      </c>
      <c r="E103">
        <v>89.172470826044801</v>
      </c>
      <c r="F103">
        <v>2.2011298537598898</v>
      </c>
      <c r="G103">
        <v>-1454.3156472063472</v>
      </c>
      <c r="H103">
        <v>-1221.0434169587443</v>
      </c>
      <c r="I103">
        <v>224.699927994608</v>
      </c>
      <c r="J103">
        <v>118.880643966028</v>
      </c>
      <c r="K103">
        <v>40.512135471573103</v>
      </c>
      <c r="L103">
        <v>1.346576960632503E-4</v>
      </c>
      <c r="M103">
        <v>1.7041074534809157E-5</v>
      </c>
      <c r="N103" s="1">
        <v>2.35414530314887E-6</v>
      </c>
      <c r="O103" s="1">
        <v>7.1370834883323602E-8</v>
      </c>
      <c r="P103" s="1">
        <v>-3.6223113564546899E-7</v>
      </c>
      <c r="Q103">
        <v>73.920493248667199</v>
      </c>
      <c r="R103">
        <v>7.7378140765676506E-2</v>
      </c>
      <c r="S103">
        <v>12.000529487692001</v>
      </c>
      <c r="T103">
        <v>0.18299760184601599</v>
      </c>
      <c r="V103">
        <v>0.41847635435835001</v>
      </c>
      <c r="W103">
        <v>2.6914135918487202E-2</v>
      </c>
      <c r="X103">
        <v>5.6071116496888798E-2</v>
      </c>
      <c r="AA103">
        <v>0.46184474865699998</v>
      </c>
      <c r="AB103">
        <v>3.5591846610936999</v>
      </c>
      <c r="AC103">
        <v>4.7490919193342904</v>
      </c>
      <c r="AD103">
        <v>6.7285339796181697E-3</v>
      </c>
      <c r="AE103">
        <v>4.5402900511906701</v>
      </c>
    </row>
    <row r="104" spans="1:31" x14ac:dyDescent="0.2">
      <c r="A104">
        <v>103</v>
      </c>
      <c r="B104">
        <v>764</v>
      </c>
      <c r="C104">
        <v>155</v>
      </c>
      <c r="D104">
        <v>0.43509665911391998</v>
      </c>
      <c r="E104">
        <v>70.962662242529007</v>
      </c>
      <c r="F104">
        <v>2.2041542296918402</v>
      </c>
      <c r="G104">
        <v>-1155.8902195853818</v>
      </c>
      <c r="H104">
        <v>-970.60197426692935</v>
      </c>
      <c r="I104">
        <v>178.65134774955601</v>
      </c>
      <c r="J104">
        <v>94.602612746896099</v>
      </c>
      <c r="K104">
        <v>32.194962261080001</v>
      </c>
      <c r="L104">
        <v>1.346890239260914E-4</v>
      </c>
      <c r="M104">
        <v>1.7022795831865933E-5</v>
      </c>
      <c r="N104" s="1">
        <v>1.8717360246973E-6</v>
      </c>
      <c r="O104" s="1">
        <v>5.6647353882963298E-8</v>
      </c>
      <c r="P104" s="1">
        <v>-2.8763878899763498E-7</v>
      </c>
      <c r="Q104">
        <v>73.759294542918397</v>
      </c>
      <c r="R104">
        <v>9.7234232509754298E-2</v>
      </c>
      <c r="S104">
        <v>12.000858892395</v>
      </c>
      <c r="T104">
        <v>0.22963751091582299</v>
      </c>
      <c r="V104">
        <v>0.52614936229800202</v>
      </c>
      <c r="W104">
        <v>3.3820602612072599E-2</v>
      </c>
      <c r="X104">
        <v>7.0459588775223805E-2</v>
      </c>
      <c r="AA104">
        <v>0.48313319087897899</v>
      </c>
      <c r="AB104">
        <v>3.5086267680228902</v>
      </c>
      <c r="AC104">
        <v>4.7512580331171996</v>
      </c>
      <c r="AD104">
        <v>8.4551506530120401E-3</v>
      </c>
      <c r="AE104">
        <v>4.5310721249035204</v>
      </c>
    </row>
    <row r="105" spans="1:31" x14ac:dyDescent="0.2">
      <c r="A105">
        <v>104</v>
      </c>
      <c r="B105">
        <v>763</v>
      </c>
      <c r="C105">
        <v>155</v>
      </c>
      <c r="D105">
        <v>0.43448390677026</v>
      </c>
      <c r="E105">
        <v>58.4981938758418</v>
      </c>
      <c r="F105">
        <v>2.2071370653340501</v>
      </c>
      <c r="G105">
        <v>-951.65996421782177</v>
      </c>
      <c r="H105">
        <v>-799.18531638941795</v>
      </c>
      <c r="I105">
        <v>147.15499476755599</v>
      </c>
      <c r="J105">
        <v>77.987881818886905</v>
      </c>
      <c r="K105">
        <v>26.504105610218598</v>
      </c>
      <c r="L105">
        <v>1.3478596033368243E-4</v>
      </c>
      <c r="M105">
        <v>1.7009897280707396E-5</v>
      </c>
      <c r="N105" s="1">
        <v>1.5425563092311399E-6</v>
      </c>
      <c r="O105" s="1">
        <v>4.6601758624536402E-8</v>
      </c>
      <c r="P105" s="1">
        <v>-2.3675935658755399E-7</v>
      </c>
      <c r="Q105">
        <v>73.594178541224593</v>
      </c>
      <c r="R105">
        <v>0.117952359600128</v>
      </c>
      <c r="S105">
        <v>11.998827666353201</v>
      </c>
      <c r="T105">
        <v>0.27816944680278899</v>
      </c>
      <c r="V105">
        <v>0.63861640193600699</v>
      </c>
      <c r="W105">
        <v>4.1026907686979898E-2</v>
      </c>
      <c r="X105">
        <v>8.5472724347970597E-2</v>
      </c>
      <c r="AA105">
        <v>0.497559460347202</v>
      </c>
      <c r="AB105">
        <v>3.4694255371292599</v>
      </c>
      <c r="AC105">
        <v>4.7438062938054104</v>
      </c>
      <c r="AD105">
        <v>1.0256726921737999E-2</v>
      </c>
      <c r="AE105">
        <v>4.5247079338445397</v>
      </c>
    </row>
    <row r="106" spans="1:31" x14ac:dyDescent="0.2">
      <c r="A106">
        <v>105</v>
      </c>
      <c r="B106">
        <v>762</v>
      </c>
      <c r="C106">
        <v>155</v>
      </c>
      <c r="D106">
        <v>0.433869970535674</v>
      </c>
      <c r="E106">
        <v>30.673454740937402</v>
      </c>
      <c r="F106">
        <v>2.2095464004977199</v>
      </c>
      <c r="G106">
        <v>-498.96793072462157</v>
      </c>
      <c r="H106">
        <v>-419.21762025051021</v>
      </c>
      <c r="I106">
        <v>77.042274524572704</v>
      </c>
      <c r="J106">
        <v>40.911801779401401</v>
      </c>
      <c r="K106">
        <v>13.882240596544101</v>
      </c>
      <c r="L106">
        <v>1.3439520727708123E-4</v>
      </c>
      <c r="M106">
        <v>1.696805401122677E-5</v>
      </c>
      <c r="N106" s="1">
        <v>8.0561670981752402E-7</v>
      </c>
      <c r="O106" s="1">
        <v>2.4300826280148102E-8</v>
      </c>
      <c r="P106" s="1">
        <v>-1.2329385358137601E-7</v>
      </c>
      <c r="Q106">
        <v>73.455918369712904</v>
      </c>
      <c r="R106">
        <v>0.14612572723848699</v>
      </c>
      <c r="S106">
        <v>12.115533177773701</v>
      </c>
      <c r="T106">
        <v>0.26138318479045303</v>
      </c>
      <c r="V106">
        <v>0.60144078091238296</v>
      </c>
      <c r="W106">
        <v>7.8243550335918205E-2</v>
      </c>
      <c r="X106">
        <v>0.15308354740226801</v>
      </c>
      <c r="AA106">
        <v>0.53031539018735097</v>
      </c>
      <c r="AB106">
        <v>3.3447630706734999</v>
      </c>
      <c r="AC106">
        <v>4.7920621618842496</v>
      </c>
      <c r="AD106">
        <v>1.9560887583961399E-2</v>
      </c>
      <c r="AE106">
        <v>4.5015701515047102</v>
      </c>
    </row>
    <row r="107" spans="1:31" x14ac:dyDescent="0.2">
      <c r="A107">
        <v>106</v>
      </c>
      <c r="B107">
        <v>761</v>
      </c>
      <c r="C107">
        <v>155</v>
      </c>
      <c r="D107">
        <v>0.43325484697577799</v>
      </c>
      <c r="E107">
        <v>18.0489748199311</v>
      </c>
      <c r="F107">
        <v>2.21195964943997</v>
      </c>
      <c r="G107">
        <v>-293.5615588490187</v>
      </c>
      <c r="H107">
        <v>-246.74350014489391</v>
      </c>
      <c r="I107">
        <v>45.272019246844998</v>
      </c>
      <c r="J107">
        <v>24.084069516505</v>
      </c>
      <c r="K107">
        <v>8.1597215503007803</v>
      </c>
      <c r="L107">
        <v>1.3416198207758588E-4</v>
      </c>
      <c r="M107">
        <v>1.6946536856707832E-5</v>
      </c>
      <c r="N107" s="1">
        <v>4.72965160985489E-7</v>
      </c>
      <c r="O107" s="1">
        <v>1.42428924628699E-8</v>
      </c>
      <c r="P107" s="1">
        <v>-7.2133879151927006E-8</v>
      </c>
      <c r="Q107">
        <v>73.267528354929993</v>
      </c>
      <c r="R107">
        <v>0.17379707639643199</v>
      </c>
      <c r="S107">
        <v>12.294103052816901</v>
      </c>
      <c r="T107">
        <v>0.24885069554140499</v>
      </c>
      <c r="V107">
        <v>0.57490562631860898</v>
      </c>
      <c r="W107">
        <v>0.13297154126163799</v>
      </c>
      <c r="X107">
        <v>0.18995861309501799</v>
      </c>
      <c r="AA107">
        <v>0.54648283653097096</v>
      </c>
      <c r="AB107">
        <v>3.2248992210012699</v>
      </c>
      <c r="AC107">
        <v>4.8270284884068397</v>
      </c>
      <c r="AD107">
        <v>3.3242885315370799E-2</v>
      </c>
      <c r="AE107">
        <v>4.4862316083854399</v>
      </c>
    </row>
    <row r="108" spans="1:31" x14ac:dyDescent="0.2">
      <c r="A108">
        <v>107</v>
      </c>
      <c r="B108">
        <v>760</v>
      </c>
      <c r="C108">
        <v>155</v>
      </c>
      <c r="D108">
        <v>0.43263853264288998</v>
      </c>
      <c r="E108">
        <v>11.876505314027099</v>
      </c>
      <c r="F108">
        <v>2.21434292829551</v>
      </c>
      <c r="G108">
        <v>-193.12832368736846</v>
      </c>
      <c r="H108">
        <v>-162.39084689934271</v>
      </c>
      <c r="I108">
        <v>29.751223721652899</v>
      </c>
      <c r="J108">
        <v>15.853325189929301</v>
      </c>
      <c r="K108">
        <v>5.3634444612285099</v>
      </c>
      <c r="L108">
        <v>1.3401783668011975E-4</v>
      </c>
      <c r="M108">
        <v>1.6939479634975493E-5</v>
      </c>
      <c r="N108" s="1">
        <v>3.1086381256360501E-7</v>
      </c>
      <c r="O108" s="1">
        <v>9.3450435331402097E-9</v>
      </c>
      <c r="P108" s="1">
        <v>-4.7223896886218101E-8</v>
      </c>
      <c r="Q108">
        <v>73.041656108636204</v>
      </c>
      <c r="R108">
        <v>0.19776274840484101</v>
      </c>
      <c r="S108">
        <v>12.5293488665917</v>
      </c>
      <c r="T108">
        <v>0.238698042472517</v>
      </c>
      <c r="V108">
        <v>0.55442651945207</v>
      </c>
      <c r="W108">
        <v>0.20207964687760999</v>
      </c>
      <c r="X108">
        <v>0.194331160882386</v>
      </c>
      <c r="AA108">
        <v>0.55528807824113202</v>
      </c>
      <c r="AB108">
        <v>3.1014460474252301</v>
      </c>
      <c r="AC108">
        <v>4.8584027742984599</v>
      </c>
      <c r="AD108">
        <v>5.0519911719334697E-2</v>
      </c>
      <c r="AE108">
        <v>4.47604009499842</v>
      </c>
    </row>
    <row r="109" spans="1:31" x14ac:dyDescent="0.2">
      <c r="A109">
        <v>108</v>
      </c>
      <c r="B109">
        <v>759</v>
      </c>
      <c r="C109">
        <v>155</v>
      </c>
      <c r="D109">
        <v>0.43202102407596099</v>
      </c>
      <c r="E109">
        <v>8.6770256770205592</v>
      </c>
      <c r="F109">
        <v>2.2165176334976899</v>
      </c>
      <c r="G109">
        <v>-141.06449835282291</v>
      </c>
      <c r="H109">
        <v>-118.65368655843302</v>
      </c>
      <c r="I109">
        <v>21.712746979014501</v>
      </c>
      <c r="J109">
        <v>11.587693136310699</v>
      </c>
      <c r="K109">
        <v>3.9147108716333898</v>
      </c>
      <c r="L109">
        <v>1.3400098250037807E-4</v>
      </c>
      <c r="M109">
        <v>1.6947441698060535E-5</v>
      </c>
      <c r="N109" s="1">
        <v>2.27277678375133E-7</v>
      </c>
      <c r="O109" s="1">
        <v>6.8193499572127598E-9</v>
      </c>
      <c r="P109" s="1">
        <v>-3.4388790959959E-8</v>
      </c>
      <c r="Q109">
        <v>72.803625470158494</v>
      </c>
      <c r="R109">
        <v>0.19277782881102101</v>
      </c>
      <c r="S109">
        <v>12.781312055870099</v>
      </c>
      <c r="T109">
        <v>0.23642686361715001</v>
      </c>
      <c r="V109">
        <v>0.552549023042332</v>
      </c>
      <c r="W109">
        <v>0.27382580608566298</v>
      </c>
      <c r="X109">
        <v>0.19296317497240401</v>
      </c>
      <c r="AA109">
        <v>0.56071585823612002</v>
      </c>
      <c r="AB109">
        <v>2.9879371633862699</v>
      </c>
      <c r="AC109">
        <v>4.8746121713803703</v>
      </c>
      <c r="AD109">
        <v>6.9148118529556699E-2</v>
      </c>
      <c r="AE109">
        <v>4.4741064659104</v>
      </c>
    </row>
    <row r="110" spans="1:31" x14ac:dyDescent="0.2">
      <c r="A110">
        <v>109</v>
      </c>
      <c r="B110">
        <v>785</v>
      </c>
      <c r="C110">
        <v>135</v>
      </c>
      <c r="D110">
        <v>0.46848792704248099</v>
      </c>
      <c r="E110">
        <v>103.261052045409</v>
      </c>
      <c r="F110">
        <v>2.1965043365339301</v>
      </c>
      <c r="G110">
        <v>-1691.1985548522598</v>
      </c>
      <c r="H110">
        <v>-1414.3000874968388</v>
      </c>
      <c r="I110">
        <v>261.68167779182602</v>
      </c>
      <c r="J110">
        <v>137.91549232086001</v>
      </c>
      <c r="K110">
        <v>47.011540258715698</v>
      </c>
      <c r="L110">
        <v>1.3205106715658257E-4</v>
      </c>
      <c r="M110">
        <v>1.7046455675853359E-5</v>
      </c>
      <c r="N110" s="1">
        <v>2.5418078417762802E-6</v>
      </c>
      <c r="O110" s="1">
        <v>8.0978724451943195E-8</v>
      </c>
      <c r="P110" s="1">
        <v>-4.0457451623028301E-7</v>
      </c>
      <c r="Q110">
        <v>73.948500898917402</v>
      </c>
      <c r="R110">
        <v>6.6820934547187794E-2</v>
      </c>
      <c r="S110">
        <v>12.250504666985099</v>
      </c>
      <c r="T110">
        <v>0.155297401537771</v>
      </c>
      <c r="V110">
        <v>0.36383974550630999</v>
      </c>
      <c r="W110">
        <v>2.3242064190325901E-2</v>
      </c>
      <c r="X110">
        <v>4.8420967063180199E-2</v>
      </c>
      <c r="AA110">
        <v>0.52294644428233805</v>
      </c>
      <c r="AB110">
        <v>3.8446247848164199</v>
      </c>
      <c r="AC110">
        <v>4.4644131632250801</v>
      </c>
      <c r="AD110">
        <v>5.8105160475813503E-3</v>
      </c>
      <c r="AE110">
        <v>4.3055784128812302</v>
      </c>
    </row>
    <row r="111" spans="1:31" x14ac:dyDescent="0.2">
      <c r="A111">
        <v>110</v>
      </c>
      <c r="B111">
        <v>784</v>
      </c>
      <c r="C111">
        <v>135</v>
      </c>
      <c r="D111">
        <v>0.467918932980182</v>
      </c>
      <c r="E111">
        <v>103.039483681305</v>
      </c>
      <c r="F111">
        <v>2.19678453696591</v>
      </c>
      <c r="G111">
        <v>-1687.252957625941</v>
      </c>
      <c r="H111">
        <v>-1411.3881590688206</v>
      </c>
      <c r="I111">
        <v>260.951424639001</v>
      </c>
      <c r="J111">
        <v>137.587770986442</v>
      </c>
      <c r="K111">
        <v>46.904683617091699</v>
      </c>
      <c r="L111">
        <v>1.3192978383065257E-4</v>
      </c>
      <c r="M111">
        <v>1.7035820787651206E-5</v>
      </c>
      <c r="N111" s="1">
        <v>2.5376903820456601E-6</v>
      </c>
      <c r="O111" s="1">
        <v>8.0702385812439894E-8</v>
      </c>
      <c r="P111" s="1">
        <v>-4.0326871304085603E-7</v>
      </c>
      <c r="Q111">
        <v>73.974372962859604</v>
      </c>
      <c r="R111">
        <v>6.6964621264420807E-2</v>
      </c>
      <c r="S111">
        <v>12.233903523415</v>
      </c>
      <c r="T111">
        <v>0.15582827822283199</v>
      </c>
      <c r="V111">
        <v>0.36444491323900002</v>
      </c>
      <c r="W111">
        <v>2.3292042178928201E-2</v>
      </c>
      <c r="X111">
        <v>4.8525087872770399E-2</v>
      </c>
      <c r="AA111">
        <v>0.51970863727170002</v>
      </c>
      <c r="AB111">
        <v>3.83419251407074</v>
      </c>
      <c r="AC111">
        <v>4.4700865370507996</v>
      </c>
      <c r="AD111">
        <v>5.8230105447317397E-3</v>
      </c>
      <c r="AE111">
        <v>4.3028578720093904</v>
      </c>
    </row>
    <row r="112" spans="1:31" x14ac:dyDescent="0.2">
      <c r="A112">
        <v>111</v>
      </c>
      <c r="B112">
        <v>783</v>
      </c>
      <c r="C112">
        <v>135</v>
      </c>
      <c r="D112">
        <v>0.46734886143066801</v>
      </c>
      <c r="E112">
        <v>102.605965307758</v>
      </c>
      <c r="F112">
        <v>2.1970649971699698</v>
      </c>
      <c r="G112">
        <v>-1679.7851174743598</v>
      </c>
      <c r="H112">
        <v>-1405.5591349176709</v>
      </c>
      <c r="I112">
        <v>259.646813953216</v>
      </c>
      <c r="J112">
        <v>136.95827778921199</v>
      </c>
      <c r="K112">
        <v>46.701379085245499</v>
      </c>
      <c r="L112">
        <v>1.3172234223377341E-4</v>
      </c>
      <c r="M112">
        <v>1.7020682240234345E-5</v>
      </c>
      <c r="N112" s="1">
        <v>2.5266727628188102E-6</v>
      </c>
      <c r="O112" s="1">
        <v>8.0212703604587699E-8</v>
      </c>
      <c r="P112" s="1">
        <v>-4.0076527218011802E-7</v>
      </c>
      <c r="Q112">
        <v>74.025214590187701</v>
      </c>
      <c r="R112">
        <v>6.7247552121400406E-2</v>
      </c>
      <c r="S112">
        <v>12.2014775490223</v>
      </c>
      <c r="T112">
        <v>0.15665648918311001</v>
      </c>
      <c r="V112">
        <v>0.36583191244243801</v>
      </c>
      <c r="W112">
        <v>2.3390452911790399E-2</v>
      </c>
      <c r="X112">
        <v>4.8730110232901303E-2</v>
      </c>
      <c r="AA112">
        <v>0.51357406859655297</v>
      </c>
      <c r="AB112">
        <v>3.8136841446506602</v>
      </c>
      <c r="AC112">
        <v>4.4810450553277104</v>
      </c>
      <c r="AD112">
        <v>5.84761322794718E-3</v>
      </c>
      <c r="AE112">
        <v>4.2973004620953796</v>
      </c>
    </row>
    <row r="113" spans="1:31" x14ac:dyDescent="0.2">
      <c r="A113">
        <v>112</v>
      </c>
      <c r="B113">
        <v>782</v>
      </c>
      <c r="C113">
        <v>135</v>
      </c>
      <c r="D113">
        <v>0.466777709330429</v>
      </c>
      <c r="E113">
        <v>102.171396301229</v>
      </c>
      <c r="F113">
        <v>2.19734686148474</v>
      </c>
      <c r="G113">
        <v>-1672.3040128284365</v>
      </c>
      <c r="H113">
        <v>-1399.7157822861541</v>
      </c>
      <c r="I113">
        <v>258.34073879759501</v>
      </c>
      <c r="J113">
        <v>136.32770496267301</v>
      </c>
      <c r="K113">
        <v>46.497618601822502</v>
      </c>
      <c r="L113">
        <v>1.3151373896075398E-4</v>
      </c>
      <c r="M113">
        <v>1.7005540318812659E-5</v>
      </c>
      <c r="N113" s="1">
        <v>2.51560866010059E-6</v>
      </c>
      <c r="O113" s="1">
        <v>7.9723119031065304E-8</v>
      </c>
      <c r="P113" s="1">
        <v>-3.9825779863521597E-7</v>
      </c>
      <c r="Q113">
        <v>74.076272785187697</v>
      </c>
      <c r="R113">
        <v>6.7533578377034401E-2</v>
      </c>
      <c r="S113">
        <v>12.1689699075626</v>
      </c>
      <c r="T113">
        <v>0.157493178838958</v>
      </c>
      <c r="V113">
        <v>0.367234610064264</v>
      </c>
      <c r="W113">
        <v>2.3489940305054101E-2</v>
      </c>
      <c r="X113">
        <v>4.89373756355354E-2</v>
      </c>
      <c r="AA113">
        <v>0.50767694163352695</v>
      </c>
      <c r="AB113">
        <v>3.7929748557464298</v>
      </c>
      <c r="AC113">
        <v>4.49182852893769</v>
      </c>
      <c r="AD113">
        <v>5.8724850762629502E-3</v>
      </c>
      <c r="AE113">
        <v>4.2917158126348003</v>
      </c>
    </row>
    <row r="114" spans="1:31" x14ac:dyDescent="0.2">
      <c r="A114">
        <v>113</v>
      </c>
      <c r="B114">
        <v>781</v>
      </c>
      <c r="C114">
        <v>135</v>
      </c>
      <c r="D114">
        <v>0.46620547360432502</v>
      </c>
      <c r="E114">
        <v>101.735935129609</v>
      </c>
      <c r="F114">
        <v>2.1976299635339802</v>
      </c>
      <c r="G114">
        <v>-1664.812331849789</v>
      </c>
      <c r="H114">
        <v>-1393.8602972587407</v>
      </c>
      <c r="I114">
        <v>257.03366180434301</v>
      </c>
      <c r="J114">
        <v>135.69627790311199</v>
      </c>
      <c r="K114">
        <v>46.293478346103598</v>
      </c>
      <c r="L114">
        <v>1.3130405714164065E-4</v>
      </c>
      <c r="M114">
        <v>1.699040311211319E-5</v>
      </c>
      <c r="N114" s="1">
        <v>2.5045046110415798E-6</v>
      </c>
      <c r="O114" s="1">
        <v>7.9233834404990394E-8</v>
      </c>
      <c r="P114" s="1">
        <v>-3.9574739902209302E-7</v>
      </c>
      <c r="Q114">
        <v>74.127544851475704</v>
      </c>
      <c r="R114">
        <v>6.7822642915796899E-2</v>
      </c>
      <c r="S114">
        <v>12.1363827102966</v>
      </c>
      <c r="T114">
        <v>0.15833824946448999</v>
      </c>
      <c r="V114">
        <v>0.36865266360349802</v>
      </c>
      <c r="W114">
        <v>2.35904844924496E-2</v>
      </c>
      <c r="X114">
        <v>4.9146842692610201E-2</v>
      </c>
      <c r="AA114">
        <v>0.50201307050714095</v>
      </c>
      <c r="AB114">
        <v>3.7720797143590499</v>
      </c>
      <c r="AC114">
        <v>4.5024231521225797</v>
      </c>
      <c r="AD114">
        <v>5.8976211231117296E-3</v>
      </c>
      <c r="AE114">
        <v>4.2861079969468703</v>
      </c>
    </row>
    <row r="115" spans="1:31" x14ac:dyDescent="0.2">
      <c r="A115">
        <v>114</v>
      </c>
      <c r="B115">
        <v>780</v>
      </c>
      <c r="C115">
        <v>135</v>
      </c>
      <c r="D115">
        <v>0.46563215116555001</v>
      </c>
      <c r="E115">
        <v>101.299736543612</v>
      </c>
      <c r="F115">
        <v>2.1979141355388698</v>
      </c>
      <c r="G115">
        <v>-1657.3126983248014</v>
      </c>
      <c r="H115">
        <v>-1387.9948251298972</v>
      </c>
      <c r="I115">
        <v>255.72603446318601</v>
      </c>
      <c r="J115">
        <v>135.064216543133</v>
      </c>
      <c r="K115">
        <v>46.089032735928797</v>
      </c>
      <c r="L115">
        <v>1.3109338032139833E-4</v>
      </c>
      <c r="M115">
        <v>1.6975278747291233E-5</v>
      </c>
      <c r="N115" s="1">
        <v>2.4933670477323901E-6</v>
      </c>
      <c r="O115" s="1">
        <v>7.8745047312332394E-8</v>
      </c>
      <c r="P115" s="1">
        <v>-3.9323515656212002E-7</v>
      </c>
      <c r="Q115">
        <v>74.179028206127597</v>
      </c>
      <c r="R115">
        <v>6.8114688501974094E-2</v>
      </c>
      <c r="S115">
        <v>12.1037179932569</v>
      </c>
      <c r="T115">
        <v>0.15919160286061901</v>
      </c>
      <c r="V115">
        <v>0.37008573007912299</v>
      </c>
      <c r="W115">
        <v>2.3692065565902299E-2</v>
      </c>
      <c r="X115">
        <v>4.9358469928970798E-2</v>
      </c>
      <c r="AA115">
        <v>0.49657816701185498</v>
      </c>
      <c r="AB115">
        <v>3.7510139136140999</v>
      </c>
      <c r="AC115">
        <v>4.5128150300529404</v>
      </c>
      <c r="AD115">
        <v>5.9230163914748201E-3</v>
      </c>
      <c r="AE115">
        <v>4.2804811166084002</v>
      </c>
    </row>
    <row r="116" spans="1:31" x14ac:dyDescent="0.2">
      <c r="A116">
        <v>115</v>
      </c>
      <c r="B116">
        <v>779</v>
      </c>
      <c r="C116">
        <v>135</v>
      </c>
      <c r="D116">
        <v>0.46505773891555402</v>
      </c>
      <c r="E116">
        <v>100.86295089884599</v>
      </c>
      <c r="F116">
        <v>2.1981992087325</v>
      </c>
      <c r="G116">
        <v>-1649.8076604930482</v>
      </c>
      <c r="H116">
        <v>-1382.1214511036828</v>
      </c>
      <c r="I116">
        <v>254.41829528999199</v>
      </c>
      <c r="J116">
        <v>134.43173441659201</v>
      </c>
      <c r="K116">
        <v>45.884354110474</v>
      </c>
      <c r="L116">
        <v>1.3088179217476075E-4</v>
      </c>
      <c r="M116">
        <v>1.696017537253545E-5</v>
      </c>
      <c r="N116" s="1">
        <v>2.4822022734725502E-6</v>
      </c>
      <c r="O116" s="1">
        <v>7.8256949917605202E-8</v>
      </c>
      <c r="P116" s="1">
        <v>-3.9072212704457302E-7</v>
      </c>
      <c r="Q116">
        <v>74.230720421717294</v>
      </c>
      <c r="R116">
        <v>6.8409658239328403E-2</v>
      </c>
      <c r="S116">
        <v>12.0709776937685</v>
      </c>
      <c r="T116">
        <v>0.16005314131019999</v>
      </c>
      <c r="V116">
        <v>0.37153346863482201</v>
      </c>
      <c r="W116">
        <v>2.3794663735416499E-2</v>
      </c>
      <c r="X116">
        <v>4.9572216115460199E-2</v>
      </c>
      <c r="AA116">
        <v>0.49136786419782902</v>
      </c>
      <c r="AB116">
        <v>3.7297927225933001</v>
      </c>
      <c r="AC116">
        <v>4.5229901928598002</v>
      </c>
      <c r="AD116">
        <v>5.9486659338532097E-3</v>
      </c>
      <c r="AE116">
        <v>4.2748392908939898</v>
      </c>
    </row>
    <row r="117" spans="1:31" x14ac:dyDescent="0.2">
      <c r="A117">
        <v>116</v>
      </c>
      <c r="B117">
        <v>778</v>
      </c>
      <c r="C117">
        <v>135</v>
      </c>
      <c r="D117">
        <v>0.464482233743996</v>
      </c>
      <c r="E117">
        <v>100.42572356588001</v>
      </c>
      <c r="F117">
        <v>2.19848501373116</v>
      </c>
      <c r="G117">
        <v>-1642.2996813537354</v>
      </c>
      <c r="H117">
        <v>-1376.2421921980949</v>
      </c>
      <c r="I117">
        <v>253.11086824491201</v>
      </c>
      <c r="J117">
        <v>133.79903784830299</v>
      </c>
      <c r="K117">
        <v>45.6795124545527</v>
      </c>
      <c r="L117">
        <v>1.3066937625207006E-4</v>
      </c>
      <c r="M117">
        <v>1.69451011419871E-5</v>
      </c>
      <c r="N117" s="1">
        <v>2.4710164421536499E-6</v>
      </c>
      <c r="O117" s="1">
        <v>7.7769728372729497E-8</v>
      </c>
      <c r="P117" s="1">
        <v>-3.88209335362914E-7</v>
      </c>
      <c r="Q117">
        <v>74.282619264278793</v>
      </c>
      <c r="R117">
        <v>6.8707495998012402E-2</v>
      </c>
      <c r="S117">
        <v>12.0381636292064</v>
      </c>
      <c r="T117">
        <v>0.160922768467299</v>
      </c>
      <c r="V117">
        <v>0.37299554295626203</v>
      </c>
      <c r="W117">
        <v>2.38982594775674E-2</v>
      </c>
      <c r="X117">
        <v>4.97880405782751E-2</v>
      </c>
      <c r="AA117">
        <v>0.48637773898333198</v>
      </c>
      <c r="AB117">
        <v>3.70843143983618</v>
      </c>
      <c r="AC117">
        <v>4.5329346078561903</v>
      </c>
      <c r="AD117">
        <v>5.97456486939085E-3</v>
      </c>
      <c r="AE117">
        <v>4.2691866474921802</v>
      </c>
    </row>
    <row r="118" spans="1:31" x14ac:dyDescent="0.2">
      <c r="A118">
        <v>117</v>
      </c>
      <c r="B118">
        <v>777</v>
      </c>
      <c r="C118">
        <v>135</v>
      </c>
      <c r="D118">
        <v>0.46390563252868899</v>
      </c>
      <c r="E118">
        <v>99.988194427215006</v>
      </c>
      <c r="F118">
        <v>2.1987713808837501</v>
      </c>
      <c r="G118">
        <v>-1634.7911304229083</v>
      </c>
      <c r="H118">
        <v>-1370.3589903383763</v>
      </c>
      <c r="I118">
        <v>251.804161390784</v>
      </c>
      <c r="J118">
        <v>133.16632526549199</v>
      </c>
      <c r="K118">
        <v>45.474575163438203</v>
      </c>
      <c r="L118">
        <v>1.304562157426871E-4</v>
      </c>
      <c r="M118">
        <v>1.6930064201713999E-5</v>
      </c>
      <c r="N118" s="1">
        <v>2.4598155403240898E-6</v>
      </c>
      <c r="O118" s="1">
        <v>7.7283562315287506E-8</v>
      </c>
      <c r="P118" s="1">
        <v>-3.85697772542251E-7</v>
      </c>
      <c r="Q118">
        <v>74.334722727799402</v>
      </c>
      <c r="R118">
        <v>6.9008146807001403E-2</v>
      </c>
      <c r="S118">
        <v>12.0052774779231</v>
      </c>
      <c r="T118">
        <v>0.161800390177471</v>
      </c>
      <c r="V118">
        <v>0.37447162349018298</v>
      </c>
      <c r="W118">
        <v>2.4002833671998101E-2</v>
      </c>
      <c r="X118">
        <v>5.0005903483340199E-2</v>
      </c>
      <c r="AA118">
        <v>0.48160333344943301</v>
      </c>
      <c r="AB118">
        <v>3.6869453505485001</v>
      </c>
      <c r="AC118">
        <v>4.5426341904065204</v>
      </c>
      <c r="AD118">
        <v>6.0007084179983803E-3</v>
      </c>
      <c r="AE118">
        <v>4.2635273138249898</v>
      </c>
    </row>
    <row r="119" spans="1:31" x14ac:dyDescent="0.2">
      <c r="A119">
        <v>118</v>
      </c>
      <c r="B119">
        <v>776</v>
      </c>
      <c r="C119">
        <v>135</v>
      </c>
      <c r="D119">
        <v>0.46332793213554102</v>
      </c>
      <c r="E119">
        <v>99.550497484096795</v>
      </c>
      <c r="F119">
        <v>2.1990581405909801</v>
      </c>
      <c r="G119">
        <v>-1627.284277315533</v>
      </c>
      <c r="H119">
        <v>-1364.4737069511241</v>
      </c>
      <c r="I119">
        <v>250.498565852746</v>
      </c>
      <c r="J119">
        <v>132.53378666303499</v>
      </c>
      <c r="K119">
        <v>45.269606858754003</v>
      </c>
      <c r="L119">
        <v>1.3024239326927254E-4</v>
      </c>
      <c r="M119">
        <v>1.6915072677401112E-5</v>
      </c>
      <c r="N119" s="1">
        <v>2.4486053727451401E-6</v>
      </c>
      <c r="O119" s="1">
        <v>7.6798624479905202E-8</v>
      </c>
      <c r="P119" s="1">
        <v>-3.8318839340452999E-7</v>
      </c>
      <c r="Q119">
        <v>74.387029062166903</v>
      </c>
      <c r="R119">
        <v>6.9311557193398807E-2</v>
      </c>
      <c r="S119">
        <v>11.9723207639863</v>
      </c>
      <c r="T119">
        <v>0.16268591519015399</v>
      </c>
      <c r="V119">
        <v>0.37596138936073897</v>
      </c>
      <c r="W119">
        <v>2.4108367719440402E-2</v>
      </c>
      <c r="X119">
        <v>5.02257660821794E-2</v>
      </c>
      <c r="AA119">
        <v>0.47704017465377702</v>
      </c>
      <c r="AB119">
        <v>3.66534968847286</v>
      </c>
      <c r="AC119">
        <v>4.55207481382803</v>
      </c>
      <c r="AD119">
        <v>6.0270919298588401E-3</v>
      </c>
      <c r="AE119">
        <v>4.2578654094162998</v>
      </c>
    </row>
    <row r="120" spans="1:31" x14ac:dyDescent="0.2">
      <c r="A120">
        <v>119</v>
      </c>
      <c r="B120">
        <v>775</v>
      </c>
      <c r="C120">
        <v>135</v>
      </c>
      <c r="D120">
        <v>0.46274912941850099</v>
      </c>
      <c r="E120">
        <v>99.112760555220305</v>
      </c>
      <c r="F120">
        <v>2.1993451235906001</v>
      </c>
      <c r="G120">
        <v>-1619.7812868505989</v>
      </c>
      <c r="H120">
        <v>-1358.5881188114522</v>
      </c>
      <c r="I120">
        <v>249.19445502947701</v>
      </c>
      <c r="J120">
        <v>131.901603196596</v>
      </c>
      <c r="K120">
        <v>45.0646692472761</v>
      </c>
      <c r="L120">
        <v>1.3002799070843617E-4</v>
      </c>
      <c r="M120">
        <v>1.6900134663543369E-5</v>
      </c>
      <c r="N120" s="1">
        <v>2.4373915509046399E-6</v>
      </c>
      <c r="O120" s="1">
        <v>7.6315080404982206E-8</v>
      </c>
      <c r="P120" s="1">
        <v>-3.8068211477681702E-7</v>
      </c>
      <c r="Q120">
        <v>74.439536796373901</v>
      </c>
      <c r="R120">
        <v>6.96176754773771E-2</v>
      </c>
      <c r="S120">
        <v>11.939294844468201</v>
      </c>
      <c r="T120">
        <v>0.16357925578103</v>
      </c>
      <c r="V120">
        <v>0.37746453003205499</v>
      </c>
      <c r="W120">
        <v>2.4214843644302101E-2</v>
      </c>
      <c r="X120">
        <v>5.0447590925642598E-2</v>
      </c>
      <c r="AA120">
        <v>0.47268379260453203</v>
      </c>
      <c r="AB120">
        <v>3.6436596015721001</v>
      </c>
      <c r="AC120">
        <v>4.5612423190287101</v>
      </c>
      <c r="AD120">
        <v>6.0537109110741201E-3</v>
      </c>
      <c r="AE120">
        <v>4.2522050391809296</v>
      </c>
    </row>
    <row r="121" spans="1:31" x14ac:dyDescent="0.2">
      <c r="A121">
        <v>120</v>
      </c>
      <c r="B121">
        <v>774</v>
      </c>
      <c r="C121">
        <v>135</v>
      </c>
      <c r="D121">
        <v>0.46216922121950399</v>
      </c>
      <c r="E121">
        <v>96.815335930915197</v>
      </c>
      <c r="F121">
        <v>2.20023450383328</v>
      </c>
      <c r="G121">
        <v>-1581.4644777478215</v>
      </c>
      <c r="H121">
        <v>-1326.8363829349009</v>
      </c>
      <c r="I121">
        <v>243.162961192685</v>
      </c>
      <c r="J121">
        <v>128.79965173439101</v>
      </c>
      <c r="K121">
        <v>44.002280557932302</v>
      </c>
      <c r="L121">
        <v>1.2980320261626839E-4</v>
      </c>
      <c r="M121">
        <v>1.6866555091480099E-5</v>
      </c>
      <c r="N121" s="1">
        <v>2.3761862469622702E-6</v>
      </c>
      <c r="O121" s="1">
        <v>7.4284795109508698E-8</v>
      </c>
      <c r="P121" s="1">
        <v>-3.7103503193534899E-7</v>
      </c>
      <c r="Q121">
        <v>74.413024704015001</v>
      </c>
      <c r="R121">
        <v>7.1269700545417897E-2</v>
      </c>
      <c r="S121">
        <v>11.9403791181361</v>
      </c>
      <c r="T121">
        <v>0.16774021417654</v>
      </c>
      <c r="V121">
        <v>0.38617049784052898</v>
      </c>
      <c r="W121">
        <v>2.47894610592722E-2</v>
      </c>
      <c r="X121">
        <v>5.1644710540166401E-2</v>
      </c>
      <c r="AA121">
        <v>0.46411366113497998</v>
      </c>
      <c r="AB121">
        <v>3.60770472900519</v>
      </c>
      <c r="AC121">
        <v>4.6280258909314602</v>
      </c>
      <c r="AD121">
        <v>6.1973652648165903E-3</v>
      </c>
      <c r="AE121">
        <v>4.2389399473504001</v>
      </c>
    </row>
    <row r="122" spans="1:31" x14ac:dyDescent="0.2">
      <c r="A122">
        <v>121</v>
      </c>
      <c r="B122">
        <v>773</v>
      </c>
      <c r="C122">
        <v>135</v>
      </c>
      <c r="D122">
        <v>0.46158820436839998</v>
      </c>
      <c r="E122">
        <v>94.088482703595901</v>
      </c>
      <c r="F122">
        <v>2.2012511745888301</v>
      </c>
      <c r="G122">
        <v>-1536.0977713781347</v>
      </c>
      <c r="H122">
        <v>-1289.1523783392327</v>
      </c>
      <c r="I122">
        <v>236.05161118281401</v>
      </c>
      <c r="J122">
        <v>125.127824990843</v>
      </c>
      <c r="K122">
        <v>42.7431834175718</v>
      </c>
      <c r="L122">
        <v>1.2956455854791743E-4</v>
      </c>
      <c r="M122">
        <v>1.6829800492822545E-5</v>
      </c>
      <c r="N122" s="1">
        <v>2.3038455998086202E-6</v>
      </c>
      <c r="O122" s="1">
        <v>7.1915586364209107E-8</v>
      </c>
      <c r="P122" s="1">
        <v>-3.5971157311810898E-7</v>
      </c>
      <c r="Q122">
        <v>74.376807679626296</v>
      </c>
      <c r="R122">
        <v>7.3335224479465499E-2</v>
      </c>
      <c r="S122">
        <v>11.9447125952085</v>
      </c>
      <c r="T122">
        <v>0.172888789720303</v>
      </c>
      <c r="V122">
        <v>0.397104020201763</v>
      </c>
      <c r="W122">
        <v>2.5507904166765599E-2</v>
      </c>
      <c r="X122">
        <v>5.3141467014117497E-2</v>
      </c>
      <c r="AA122">
        <v>0.45687433492850898</v>
      </c>
      <c r="AB122">
        <v>3.5667936885259399</v>
      </c>
      <c r="AC122">
        <v>4.7022921548285197</v>
      </c>
      <c r="AD122">
        <v>6.3769760416893598E-3</v>
      </c>
      <c r="AE122">
        <v>4.2241651652579399</v>
      </c>
    </row>
    <row r="123" spans="1:31" x14ac:dyDescent="0.2">
      <c r="A123">
        <v>122</v>
      </c>
      <c r="B123">
        <v>772</v>
      </c>
      <c r="C123">
        <v>135</v>
      </c>
      <c r="D123">
        <v>0.46100607568291702</v>
      </c>
      <c r="E123">
        <v>90.833454191666902</v>
      </c>
      <c r="F123">
        <v>2.2023866587934502</v>
      </c>
      <c r="G123">
        <v>-1482.1027418677813</v>
      </c>
      <c r="H123">
        <v>-1244.2061185280829</v>
      </c>
      <c r="I123">
        <v>227.61959846882999</v>
      </c>
      <c r="J123">
        <v>120.75511216972301</v>
      </c>
      <c r="K123">
        <v>41.243191257537198</v>
      </c>
      <c r="L123">
        <v>1.2930997783069592E-4</v>
      </c>
      <c r="M123">
        <v>1.6791222927974846E-5</v>
      </c>
      <c r="N123" s="1">
        <v>2.2183376371583601E-6</v>
      </c>
      <c r="O123" s="1">
        <v>6.9144466303976603E-8</v>
      </c>
      <c r="P123" s="1">
        <v>-3.4632637315947098E-7</v>
      </c>
      <c r="Q123">
        <v>74.336253348865597</v>
      </c>
      <c r="R123">
        <v>7.5963201679427397E-2</v>
      </c>
      <c r="S123">
        <v>11.9491059469521</v>
      </c>
      <c r="T123">
        <v>0.17936127952324701</v>
      </c>
      <c r="V123">
        <v>0.41108504817032099</v>
      </c>
      <c r="W123">
        <v>2.6421983192838099E-2</v>
      </c>
      <c r="X123">
        <v>5.5045798318440503E-2</v>
      </c>
      <c r="AA123">
        <v>0.45253189590017201</v>
      </c>
      <c r="AB123">
        <v>3.5205347731594498</v>
      </c>
      <c r="AC123">
        <v>4.7787648446858597</v>
      </c>
      <c r="AD123">
        <v>6.6054957982072098E-3</v>
      </c>
      <c r="AE123">
        <v>4.2083263837542502</v>
      </c>
    </row>
    <row r="124" spans="1:31" x14ac:dyDescent="0.2">
      <c r="A124">
        <v>123</v>
      </c>
      <c r="B124">
        <v>771</v>
      </c>
      <c r="C124">
        <v>135</v>
      </c>
      <c r="D124">
        <v>0.46042283196858502</v>
      </c>
      <c r="E124">
        <v>78.707886372060798</v>
      </c>
      <c r="F124">
        <v>2.2045851808610699</v>
      </c>
      <c r="G124">
        <v>-1283.0530630681983</v>
      </c>
      <c r="H124">
        <v>-1077.3331489003976</v>
      </c>
      <c r="I124">
        <v>197.02141853929001</v>
      </c>
      <c r="J124">
        <v>104.616058133761</v>
      </c>
      <c r="K124">
        <v>35.701903040697601</v>
      </c>
      <c r="L124">
        <v>1.2918751946802199E-4</v>
      </c>
      <c r="M124">
        <v>1.6761900368700936E-5</v>
      </c>
      <c r="N124" s="1">
        <v>1.9184648306308702E-6</v>
      </c>
      <c r="O124" s="1">
        <v>5.9703133228096994E-8</v>
      </c>
      <c r="P124" s="1">
        <v>-2.99277844250876E-7</v>
      </c>
      <c r="Q124">
        <v>74.230091039436005</v>
      </c>
      <c r="R124">
        <v>8.7665929274026597E-2</v>
      </c>
      <c r="S124">
        <v>11.9529079844742</v>
      </c>
      <c r="T124">
        <v>0.206971024213188</v>
      </c>
      <c r="V124">
        <v>0.474435964702494</v>
      </c>
      <c r="W124">
        <v>3.0492497138778E-2</v>
      </c>
      <c r="X124">
        <v>6.35260357058509E-2</v>
      </c>
      <c r="AA124">
        <v>0.46734781389919999</v>
      </c>
      <c r="AB124">
        <v>3.46516397173307</v>
      </c>
      <c r="AC124">
        <v>4.8184326438429599</v>
      </c>
      <c r="AD124">
        <v>7.6231242846891197E-3</v>
      </c>
      <c r="AE124">
        <v>4.1953419712954103</v>
      </c>
    </row>
    <row r="125" spans="1:31" x14ac:dyDescent="0.2">
      <c r="A125">
        <v>124</v>
      </c>
      <c r="B125">
        <v>770</v>
      </c>
      <c r="C125">
        <v>135</v>
      </c>
      <c r="D125">
        <v>0.45983847001869499</v>
      </c>
      <c r="E125">
        <v>64.778098720681299</v>
      </c>
      <c r="F125">
        <v>2.2074525494283499</v>
      </c>
      <c r="G125">
        <v>-1054.7222494053974</v>
      </c>
      <c r="H125">
        <v>-885.71999136858881</v>
      </c>
      <c r="I125">
        <v>162.01146339146601</v>
      </c>
      <c r="J125">
        <v>86.100325886486104</v>
      </c>
      <c r="K125">
        <v>29.345182861328698</v>
      </c>
      <c r="L125">
        <v>1.2922980484289106E-4</v>
      </c>
      <c r="M125">
        <v>1.6745361496461319E-5</v>
      </c>
      <c r="N125" s="1">
        <v>1.5778011813102799E-6</v>
      </c>
      <c r="O125" s="1">
        <v>4.9017158632919303E-8</v>
      </c>
      <c r="P125" s="1">
        <v>-2.4583135655250002E-7</v>
      </c>
      <c r="Q125">
        <v>74.075339271351396</v>
      </c>
      <c r="R125">
        <v>0.106517482548444</v>
      </c>
      <c r="S125">
        <v>11.9536790567573</v>
      </c>
      <c r="T125">
        <v>0.25115453695578299</v>
      </c>
      <c r="V125">
        <v>0.57674883026172097</v>
      </c>
      <c r="W125">
        <v>3.7049559147263898E-2</v>
      </c>
      <c r="X125">
        <v>7.71865815568991E-2</v>
      </c>
      <c r="AA125">
        <v>0.48755416796851198</v>
      </c>
      <c r="AB125">
        <v>3.4174189081775999</v>
      </c>
      <c r="AC125">
        <v>4.8205335054524099</v>
      </c>
      <c r="AD125">
        <v>9.2623897868058108E-3</v>
      </c>
      <c r="AE125">
        <v>4.1875557100357099</v>
      </c>
    </row>
    <row r="126" spans="1:31" x14ac:dyDescent="0.2">
      <c r="A126">
        <v>125</v>
      </c>
      <c r="B126">
        <v>769</v>
      </c>
      <c r="C126">
        <v>135</v>
      </c>
      <c r="D126">
        <v>0.45925298661421299</v>
      </c>
      <c r="E126">
        <v>46.0142863418804</v>
      </c>
      <c r="F126">
        <v>2.2101475280816398</v>
      </c>
      <c r="G126">
        <v>-748.59386267443722</v>
      </c>
      <c r="H126">
        <v>-628.79387880361583</v>
      </c>
      <c r="I126">
        <v>114.954645560448</v>
      </c>
      <c r="J126">
        <v>61.167328939058301</v>
      </c>
      <c r="K126">
        <v>20.8195542411685</v>
      </c>
      <c r="L126">
        <v>1.2911851141117307E-4</v>
      </c>
      <c r="M126">
        <v>1.6718974194912763E-5</v>
      </c>
      <c r="N126" s="1">
        <v>1.11852447653613E-6</v>
      </c>
      <c r="O126" s="1">
        <v>3.4692391298918701E-8</v>
      </c>
      <c r="P126" s="1">
        <v>-1.7397016777541701E-7</v>
      </c>
      <c r="Q126">
        <v>73.929555683415003</v>
      </c>
      <c r="R126">
        <v>0.130123007374608</v>
      </c>
      <c r="S126">
        <v>11.989587948127101</v>
      </c>
      <c r="T126">
        <v>0.274518881467334</v>
      </c>
      <c r="V126">
        <v>0.63151481374789498</v>
      </c>
      <c r="W126">
        <v>5.21577142839336E-2</v>
      </c>
      <c r="X126">
        <v>0.106340013589991</v>
      </c>
      <c r="AA126">
        <v>0.51465656419919803</v>
      </c>
      <c r="AB126">
        <v>3.34218551153428</v>
      </c>
      <c r="AC126">
        <v>4.8419150031636704</v>
      </c>
      <c r="AD126">
        <v>1.30394285709661E-2</v>
      </c>
      <c r="AE126">
        <v>4.1744054305259404</v>
      </c>
    </row>
    <row r="127" spans="1:31" x14ac:dyDescent="0.2">
      <c r="A127">
        <v>126</v>
      </c>
      <c r="B127">
        <v>768</v>
      </c>
      <c r="C127">
        <v>135</v>
      </c>
      <c r="D127">
        <v>0.45866637852374798</v>
      </c>
      <c r="E127">
        <v>27.673012596436902</v>
      </c>
      <c r="F127">
        <v>2.2123629168588099</v>
      </c>
      <c r="G127">
        <v>-450.15441269743894</v>
      </c>
      <c r="H127">
        <v>-378.2722232112867</v>
      </c>
      <c r="I127">
        <v>69.041146315278397</v>
      </c>
      <c r="J127">
        <v>36.803244670882897</v>
      </c>
      <c r="K127">
        <v>12.508351313232</v>
      </c>
      <c r="L127">
        <v>1.2883273008922844E-4</v>
      </c>
      <c r="M127">
        <v>1.6685653464307646E-5</v>
      </c>
      <c r="N127" s="1">
        <v>6.7064162213329597E-7</v>
      </c>
      <c r="O127" s="1">
        <v>2.0767986437346401E-8</v>
      </c>
      <c r="P127" s="1">
        <v>-1.04021652879855E-7</v>
      </c>
      <c r="Q127">
        <v>73.792071292397594</v>
      </c>
      <c r="R127">
        <v>0.154570511983948</v>
      </c>
      <c r="S127">
        <v>12.097622240113299</v>
      </c>
      <c r="T127">
        <v>0.261965286453399</v>
      </c>
      <c r="V127">
        <v>0.60392223001441003</v>
      </c>
      <c r="W127">
        <v>8.6727095275042798E-2</v>
      </c>
      <c r="X127">
        <v>0.16791197199449701</v>
      </c>
      <c r="AA127">
        <v>0.54235625427380996</v>
      </c>
      <c r="AB127">
        <v>3.2323363485861201</v>
      </c>
      <c r="AC127">
        <v>4.88181839895958</v>
      </c>
      <c r="AD127">
        <v>2.1681773818731001E-2</v>
      </c>
      <c r="AE127">
        <v>4.1570165961294903</v>
      </c>
    </row>
    <row r="128" spans="1:31" x14ac:dyDescent="0.2">
      <c r="A128">
        <v>127</v>
      </c>
      <c r="B128">
        <v>767</v>
      </c>
      <c r="C128">
        <v>135</v>
      </c>
      <c r="D128">
        <v>0.45807864250348701</v>
      </c>
      <c r="E128">
        <v>17.262905311437599</v>
      </c>
      <c r="F128">
        <v>2.2146452458190198</v>
      </c>
      <c r="G128">
        <v>-280.77047678123085</v>
      </c>
      <c r="H128">
        <v>-236.03024419626175</v>
      </c>
      <c r="I128">
        <v>43.013250574406598</v>
      </c>
      <c r="J128">
        <v>22.9679409638054</v>
      </c>
      <c r="K128">
        <v>7.7948851374854797</v>
      </c>
      <c r="L128">
        <v>1.2862793884791136E-4</v>
      </c>
      <c r="M128">
        <v>1.6666375145340878E-5</v>
      </c>
      <c r="N128" s="1">
        <v>4.1750054880654398E-7</v>
      </c>
      <c r="O128" s="1">
        <v>1.29075670395806E-8</v>
      </c>
      <c r="P128" s="1">
        <v>-6.45347814531781E-8</v>
      </c>
      <c r="Q128">
        <v>73.608592628677201</v>
      </c>
      <c r="R128">
        <v>0.18150448020732801</v>
      </c>
      <c r="S128">
        <v>12.270386994259701</v>
      </c>
      <c r="T128">
        <v>0.25023207892263699</v>
      </c>
      <c r="V128">
        <v>0.57907261659831799</v>
      </c>
      <c r="W128">
        <v>0.139026424388039</v>
      </c>
      <c r="X128">
        <v>0.19988905052470901</v>
      </c>
      <c r="AA128">
        <v>0.55866105790845699</v>
      </c>
      <c r="AB128">
        <v>3.11680735454543</v>
      </c>
      <c r="AC128">
        <v>4.9172849865253196</v>
      </c>
      <c r="AD128">
        <v>3.4756606096958E-2</v>
      </c>
      <c r="AE128">
        <v>4.1437857213458598</v>
      </c>
    </row>
    <row r="129" spans="1:31" x14ac:dyDescent="0.2">
      <c r="A129">
        <v>128</v>
      </c>
      <c r="B129">
        <v>766</v>
      </c>
      <c r="C129">
        <v>135</v>
      </c>
      <c r="D129">
        <v>0.45748977529712298</v>
      </c>
      <c r="E129">
        <v>11.761049106775699</v>
      </c>
      <c r="F129">
        <v>2.2169006739709101</v>
      </c>
      <c r="G129">
        <v>-191.24711068783631</v>
      </c>
      <c r="H129">
        <v>-160.83304116322776</v>
      </c>
      <c r="I129">
        <v>29.268218760148599</v>
      </c>
      <c r="J129">
        <v>15.653147876136</v>
      </c>
      <c r="K129">
        <v>5.3051763865041996</v>
      </c>
      <c r="L129">
        <v>1.2849731924889459E-4</v>
      </c>
      <c r="M129">
        <v>1.6659711650575462E-5</v>
      </c>
      <c r="N129" s="1">
        <v>2.8414636197872602E-7</v>
      </c>
      <c r="O129" s="1">
        <v>8.7696046766569199E-9</v>
      </c>
      <c r="P129" s="1">
        <v>-4.3749596970803097E-8</v>
      </c>
      <c r="Q129">
        <v>73.392853968465005</v>
      </c>
      <c r="R129">
        <v>0.20525735500497999</v>
      </c>
      <c r="S129">
        <v>12.4926873298243</v>
      </c>
      <c r="T129">
        <v>0.24050680034131999</v>
      </c>
      <c r="V129">
        <v>0.55936810140836302</v>
      </c>
      <c r="W129">
        <v>0.20406342820349299</v>
      </c>
      <c r="X129">
        <v>0.20403745308483201</v>
      </c>
      <c r="AA129">
        <v>0.56754797345644503</v>
      </c>
      <c r="AB129">
        <v>2.9992501700352001</v>
      </c>
      <c r="AC129">
        <v>4.9485863481468</v>
      </c>
      <c r="AD129">
        <v>5.1015857050782203E-2</v>
      </c>
      <c r="AE129">
        <v>4.1348252149783802</v>
      </c>
    </row>
    <row r="130" spans="1:31" x14ac:dyDescent="0.2">
      <c r="A130">
        <v>129</v>
      </c>
      <c r="B130">
        <v>765</v>
      </c>
      <c r="C130">
        <v>135</v>
      </c>
      <c r="D130">
        <v>0.45689977363579698</v>
      </c>
      <c r="E130">
        <v>8.8296443552287105</v>
      </c>
      <c r="F130">
        <v>2.2189725068348598</v>
      </c>
      <c r="G130">
        <v>-143.54655509949666</v>
      </c>
      <c r="H130">
        <v>-120.75965765176828</v>
      </c>
      <c r="I130">
        <v>21.9495231399396</v>
      </c>
      <c r="J130">
        <v>11.756358361580901</v>
      </c>
      <c r="K130">
        <v>3.9791589702133199</v>
      </c>
      <c r="L130">
        <v>1.2845603346380168E-4</v>
      </c>
      <c r="M130">
        <v>1.6663716608754012E-5</v>
      </c>
      <c r="N130" s="1">
        <v>2.13396601712993E-7</v>
      </c>
      <c r="O130" s="1">
        <v>6.5739116355795302E-9</v>
      </c>
      <c r="P130" s="1">
        <v>-3.2727600540500298E-8</v>
      </c>
      <c r="Q130">
        <v>73.172852670811196</v>
      </c>
      <c r="R130">
        <v>0.209443929140924</v>
      </c>
      <c r="S130">
        <v>12.723036549893299</v>
      </c>
      <c r="T130">
        <v>0.23606080387294101</v>
      </c>
      <c r="V130">
        <v>0.55201677595680798</v>
      </c>
      <c r="W130">
        <v>0.27023569047843499</v>
      </c>
      <c r="X130">
        <v>0.20442687110478999</v>
      </c>
      <c r="AA130">
        <v>0.572604865439588</v>
      </c>
      <c r="AB130">
        <v>2.8926695747628699</v>
      </c>
      <c r="AC130">
        <v>4.9671498812713502</v>
      </c>
      <c r="AD130">
        <v>6.7952906805675298E-2</v>
      </c>
      <c r="AE130">
        <v>4.1315494804619899</v>
      </c>
    </row>
    <row r="131" spans="1:31" x14ac:dyDescent="0.2">
      <c r="A131">
        <v>130</v>
      </c>
      <c r="B131">
        <v>797</v>
      </c>
      <c r="C131">
        <v>115</v>
      </c>
      <c r="D131">
        <v>0.49579077699387802</v>
      </c>
      <c r="E131">
        <v>102.870058492334</v>
      </c>
      <c r="F131">
        <v>2.1990593017672002</v>
      </c>
      <c r="G131">
        <v>-1686.5352527393163</v>
      </c>
      <c r="H131">
        <v>-1408.5976107804545</v>
      </c>
      <c r="I131">
        <v>259.71839644803202</v>
      </c>
      <c r="J131">
        <v>137.09795835614401</v>
      </c>
      <c r="K131">
        <v>46.779119785294299</v>
      </c>
      <c r="L131">
        <v>1.2612597545855688E-4</v>
      </c>
      <c r="M131">
        <v>1.6715839825674642E-5</v>
      </c>
      <c r="N131" s="1">
        <v>2.3003043970625301E-6</v>
      </c>
      <c r="O131" s="1">
        <v>7.6079679220735705E-8</v>
      </c>
      <c r="P131" s="1">
        <v>-3.7296450981374902E-7</v>
      </c>
      <c r="Q131">
        <v>74.2295679803768</v>
      </c>
      <c r="R131">
        <v>6.7074910825623904E-2</v>
      </c>
      <c r="S131">
        <v>12.2970669846981</v>
      </c>
      <c r="T131">
        <v>0.15481641996982001</v>
      </c>
      <c r="V131">
        <v>0.36618656214481399</v>
      </c>
      <c r="W131">
        <v>2.3330403765434202E-2</v>
      </c>
      <c r="X131">
        <v>4.86050078446554E-2</v>
      </c>
      <c r="AA131">
        <v>0.52493408472227299</v>
      </c>
      <c r="AB131">
        <v>3.8592376228655798</v>
      </c>
      <c r="AC131">
        <v>4.4813817232771402</v>
      </c>
      <c r="AD131">
        <v>5.8326009413584698E-3</v>
      </c>
      <c r="AE131">
        <v>3.9419656985681999</v>
      </c>
    </row>
    <row r="132" spans="1:31" x14ac:dyDescent="0.2">
      <c r="A132">
        <v>131</v>
      </c>
      <c r="B132">
        <v>796</v>
      </c>
      <c r="C132">
        <v>115</v>
      </c>
      <c r="D132">
        <v>0.49525370621521903</v>
      </c>
      <c r="E132">
        <v>102.77156289635001</v>
      </c>
      <c r="F132">
        <v>2.19931239610563</v>
      </c>
      <c r="G132">
        <v>-1684.6394174741379</v>
      </c>
      <c r="H132">
        <v>-1407.3786485771102</v>
      </c>
      <c r="I132">
        <v>259.32822232336599</v>
      </c>
      <c r="J132">
        <v>136.94695795673499</v>
      </c>
      <c r="K132">
        <v>46.728951775259603</v>
      </c>
      <c r="L132">
        <v>1.2606592964981266E-4</v>
      </c>
      <c r="M132">
        <v>1.6709035875676489E-5</v>
      </c>
      <c r="N132" s="1">
        <v>2.30040667434514E-6</v>
      </c>
      <c r="O132" s="1">
        <v>7.5944206337443104E-8</v>
      </c>
      <c r="P132" s="1">
        <v>-3.7243736811953101E-7</v>
      </c>
      <c r="Q132">
        <v>74.240759125302006</v>
      </c>
      <c r="R132">
        <v>6.7139194982944406E-2</v>
      </c>
      <c r="S132">
        <v>12.2895186591194</v>
      </c>
      <c r="T132">
        <v>0.155168845045392</v>
      </c>
      <c r="V132">
        <v>0.36635390649710098</v>
      </c>
      <c r="W132">
        <v>2.3352763472328099E-2</v>
      </c>
      <c r="X132">
        <v>4.8651590567351903E-2</v>
      </c>
      <c r="AA132">
        <v>0.523475143178042</v>
      </c>
      <c r="AB132">
        <v>3.8545055738845102</v>
      </c>
      <c r="AC132">
        <v>4.4839238691976604</v>
      </c>
      <c r="AD132">
        <v>5.8381908680818599E-3</v>
      </c>
      <c r="AE132">
        <v>3.9413131378850501</v>
      </c>
    </row>
    <row r="133" spans="1:31" x14ac:dyDescent="0.2">
      <c r="A133">
        <v>132</v>
      </c>
      <c r="B133">
        <v>795</v>
      </c>
      <c r="C133">
        <v>115</v>
      </c>
      <c r="D133">
        <v>0.49471562982727202</v>
      </c>
      <c r="E133">
        <v>102.356472898601</v>
      </c>
      <c r="F133">
        <v>2.1995498849577499</v>
      </c>
      <c r="G133">
        <v>-1677.4769355052308</v>
      </c>
      <c r="H133">
        <v>-1401.8030770715679</v>
      </c>
      <c r="I133">
        <v>258.08534235234998</v>
      </c>
      <c r="J133">
        <v>136.346480593725</v>
      </c>
      <c r="K133">
        <v>46.535190494471202</v>
      </c>
      <c r="L133">
        <v>1.258859684263076E-4</v>
      </c>
      <c r="M133">
        <v>1.6696131641211787E-5</v>
      </c>
      <c r="N133" s="1">
        <v>2.2912645317199202E-6</v>
      </c>
      <c r="O133" s="1">
        <v>7.5511410042356E-8</v>
      </c>
      <c r="P133" s="1">
        <v>-3.7026462348952397E-7</v>
      </c>
      <c r="Q133">
        <v>74.289051688666703</v>
      </c>
      <c r="R133">
        <v>6.7411467048454299E-2</v>
      </c>
      <c r="S133">
        <v>12.2580568353013</v>
      </c>
      <c r="T133">
        <v>0.155960122643267</v>
      </c>
      <c r="V133">
        <v>0.367693811622605</v>
      </c>
      <c r="W133">
        <v>2.3447466799461698E-2</v>
      </c>
      <c r="X133">
        <v>4.8848889165548103E-2</v>
      </c>
      <c r="AA133">
        <v>0.51750717125863199</v>
      </c>
      <c r="AB133">
        <v>3.8346223436894298</v>
      </c>
      <c r="AC133">
        <v>4.4945642152596497</v>
      </c>
      <c r="AD133">
        <v>5.8618666998651297E-3</v>
      </c>
      <c r="AE133">
        <v>3.9369741218449401</v>
      </c>
    </row>
    <row r="134" spans="1:31" x14ac:dyDescent="0.2">
      <c r="A134">
        <v>133</v>
      </c>
      <c r="B134">
        <v>794</v>
      </c>
      <c r="C134">
        <v>115</v>
      </c>
      <c r="D134">
        <v>0.49417654500304597</v>
      </c>
      <c r="E134">
        <v>101.940682318001</v>
      </c>
      <c r="F134">
        <v>2.1997886522033299</v>
      </c>
      <c r="G134">
        <v>-1670.3066402623158</v>
      </c>
      <c r="H134">
        <v>-1396.2178994096846</v>
      </c>
      <c r="I134">
        <v>256.84181310277899</v>
      </c>
      <c r="J134">
        <v>135.74537418492699</v>
      </c>
      <c r="K134">
        <v>46.341125642182099</v>
      </c>
      <c r="L134">
        <v>1.2570504473163784E-4</v>
      </c>
      <c r="M134">
        <v>1.6683227555209779E-5</v>
      </c>
      <c r="N134" s="1">
        <v>2.2820880527185198E-6</v>
      </c>
      <c r="O134" s="1">
        <v>7.5078856585976202E-8</v>
      </c>
      <c r="P134" s="1">
        <v>-3.6808921961741903E-7</v>
      </c>
      <c r="Q134">
        <v>74.337513438453001</v>
      </c>
      <c r="R134">
        <v>6.7686421584620293E-2</v>
      </c>
      <c r="S134">
        <v>12.2265352971936</v>
      </c>
      <c r="T134">
        <v>0.15675883238753799</v>
      </c>
      <c r="V134">
        <v>0.36904724494183699</v>
      </c>
      <c r="W134">
        <v>2.3543103159867101E-2</v>
      </c>
      <c r="X134">
        <v>4.9048131583060303E-2</v>
      </c>
      <c r="AA134">
        <v>0.51175840405307405</v>
      </c>
      <c r="AB134">
        <v>3.81455982265879</v>
      </c>
      <c r="AC134">
        <v>4.5050483757404498</v>
      </c>
      <c r="AD134">
        <v>5.8857757899663703E-3</v>
      </c>
      <c r="AE134">
        <v>3.9326151524541801</v>
      </c>
    </row>
    <row r="135" spans="1:31" x14ac:dyDescent="0.2">
      <c r="A135">
        <v>134</v>
      </c>
      <c r="B135">
        <v>793</v>
      </c>
      <c r="C135">
        <v>115</v>
      </c>
      <c r="D135">
        <v>0.49363644890494002</v>
      </c>
      <c r="E135">
        <v>101.524334834831</v>
      </c>
      <c r="F135">
        <v>2.20002856581117</v>
      </c>
      <c r="G135">
        <v>-1663.1309578785263</v>
      </c>
      <c r="H135">
        <v>-1390.6251020449174</v>
      </c>
      <c r="I135">
        <v>255.59804514712599</v>
      </c>
      <c r="J135">
        <v>135.14384094031101</v>
      </c>
      <c r="K135">
        <v>46.146825733327901</v>
      </c>
      <c r="L135">
        <v>1.2552322350338775E-4</v>
      </c>
      <c r="M135">
        <v>1.6670329846143395E-5</v>
      </c>
      <c r="N135" s="1">
        <v>2.2728823599658E-6</v>
      </c>
      <c r="O135" s="1">
        <v>7.4646709994016202E-8</v>
      </c>
      <c r="P135" s="1">
        <v>-3.65912047142655E-7</v>
      </c>
      <c r="Q135">
        <v>74.386141619457305</v>
      </c>
      <c r="R135">
        <v>6.7964001056747603E-2</v>
      </c>
      <c r="S135">
        <v>12.194956270784299</v>
      </c>
      <c r="T135">
        <v>0.15756487540516301</v>
      </c>
      <c r="V135">
        <v>0.37041386182705399</v>
      </c>
      <c r="W135">
        <v>2.3639652541476399E-2</v>
      </c>
      <c r="X135">
        <v>4.9249276128080402E-2</v>
      </c>
      <c r="AA135">
        <v>0.50622471594445795</v>
      </c>
      <c r="AB135">
        <v>3.7943312386646699</v>
      </c>
      <c r="AC135">
        <v>4.5153653458239802</v>
      </c>
      <c r="AD135">
        <v>5.9099131353686296E-3</v>
      </c>
      <c r="AE135">
        <v>3.92823922923127</v>
      </c>
    </row>
    <row r="136" spans="1:31" x14ac:dyDescent="0.2">
      <c r="A136">
        <v>135</v>
      </c>
      <c r="B136">
        <v>792</v>
      </c>
      <c r="C136">
        <v>115</v>
      </c>
      <c r="D136">
        <v>0.49309533868469302</v>
      </c>
      <c r="E136">
        <v>101.107570912307</v>
      </c>
      <c r="F136">
        <v>2.20026949329189</v>
      </c>
      <c r="G136">
        <v>-1655.952258306954</v>
      </c>
      <c r="H136">
        <v>-1385.0266272775341</v>
      </c>
      <c r="I136">
        <v>254.354439308472</v>
      </c>
      <c r="J136">
        <v>134.54207833144599</v>
      </c>
      <c r="K136">
        <v>45.952357754611903</v>
      </c>
      <c r="L136">
        <v>1.2534056974260993E-4</v>
      </c>
      <c r="M136">
        <v>1.6657444735794215E-5</v>
      </c>
      <c r="N136" s="1">
        <v>2.26365248824095E-6</v>
      </c>
      <c r="O136" s="1">
        <v>7.4215130301807807E-8</v>
      </c>
      <c r="P136" s="1">
        <v>-3.6373397746740799E-7</v>
      </c>
      <c r="Q136">
        <v>74.434933535114595</v>
      </c>
      <c r="R136">
        <v>6.8244147671044406E-2</v>
      </c>
      <c r="S136">
        <v>12.163321934307501</v>
      </c>
      <c r="T136">
        <v>0.15837815215222001</v>
      </c>
      <c r="V136">
        <v>0.371793316301544</v>
      </c>
      <c r="W136">
        <v>2.3737094842101202E-2</v>
      </c>
      <c r="X136">
        <v>4.9452280921049502E-2</v>
      </c>
      <c r="AA136">
        <v>0.50090189849334699</v>
      </c>
      <c r="AB136">
        <v>3.77394986901247</v>
      </c>
      <c r="AC136">
        <v>4.5255041410768904</v>
      </c>
      <c r="AD136">
        <v>5.93427371052476E-3</v>
      </c>
      <c r="AE136">
        <v>3.9238493563965502</v>
      </c>
    </row>
    <row r="137" spans="1:31" x14ac:dyDescent="0.2">
      <c r="A137">
        <v>136</v>
      </c>
      <c r="B137">
        <v>791</v>
      </c>
      <c r="C137">
        <v>115</v>
      </c>
      <c r="D137">
        <v>0.49255321148334702</v>
      </c>
      <c r="E137">
        <v>100.690527278171</v>
      </c>
      <c r="F137">
        <v>2.2005113020234801</v>
      </c>
      <c r="G137">
        <v>-1648.7728467711561</v>
      </c>
      <c r="H137">
        <v>-1379.4243661371206</v>
      </c>
      <c r="I137">
        <v>253.11138526902701</v>
      </c>
      <c r="J137">
        <v>133.94027837931401</v>
      </c>
      <c r="K137">
        <v>45.757786922330901</v>
      </c>
      <c r="L137">
        <v>1.2515714830080521E-4</v>
      </c>
      <c r="M137">
        <v>1.6644578425661323E-5</v>
      </c>
      <c r="N137" s="1">
        <v>2.2544033679244001E-6</v>
      </c>
      <c r="O137" s="1">
        <v>7.3784273056974604E-8</v>
      </c>
      <c r="P137" s="1">
        <v>-3.6155585989679997E-7</v>
      </c>
      <c r="Q137">
        <v>74.483886577165194</v>
      </c>
      <c r="R137">
        <v>6.8526803727404495E-2</v>
      </c>
      <c r="S137">
        <v>12.1316344008178</v>
      </c>
      <c r="T137">
        <v>0.15919856314037101</v>
      </c>
      <c r="V137">
        <v>0.37318526304462002</v>
      </c>
      <c r="W137">
        <v>2.38354099921393E-2</v>
      </c>
      <c r="X137">
        <v>4.9657104150296401E-2</v>
      </c>
      <c r="AA137">
        <v>0.49578567963632902</v>
      </c>
      <c r="AB137">
        <v>3.7534289984679301</v>
      </c>
      <c r="AC137">
        <v>4.5354538121986101</v>
      </c>
      <c r="AD137">
        <v>5.95885249803419E-3</v>
      </c>
      <c r="AE137">
        <v>3.9194485351612101</v>
      </c>
    </row>
    <row r="138" spans="1:31" x14ac:dyDescent="0.2">
      <c r="A138">
        <v>137</v>
      </c>
      <c r="B138">
        <v>790</v>
      </c>
      <c r="C138">
        <v>115</v>
      </c>
      <c r="D138">
        <v>0.49201006443117301</v>
      </c>
      <c r="E138">
        <v>100.273336470668</v>
      </c>
      <c r="F138">
        <v>2.20075385955443</v>
      </c>
      <c r="G138">
        <v>-1641.5949562972796</v>
      </c>
      <c r="H138">
        <v>-1373.8201521470435</v>
      </c>
      <c r="I138">
        <v>251.86926035859099</v>
      </c>
      <c r="J138">
        <v>133.33862703276</v>
      </c>
      <c r="K138">
        <v>45.5631764703434</v>
      </c>
      <c r="L138">
        <v>1.2497302368326033E-4</v>
      </c>
      <c r="M138">
        <v>1.6631737084547647E-5</v>
      </c>
      <c r="N138" s="1">
        <v>2.2451398103659099E-6</v>
      </c>
      <c r="O138" s="1">
        <v>7.3354288888912396E-8</v>
      </c>
      <c r="P138" s="1">
        <v>-3.59378519140743E-7</v>
      </c>
      <c r="Q138">
        <v>74.532998252777006</v>
      </c>
      <c r="R138">
        <v>6.8811911948482504E-2</v>
      </c>
      <c r="S138">
        <v>12.099895702342099</v>
      </c>
      <c r="T138">
        <v>0.16002600961636301</v>
      </c>
      <c r="V138">
        <v>0.37458935926018999</v>
      </c>
      <c r="W138">
        <v>2.3934578069035799E-2</v>
      </c>
      <c r="X138">
        <v>4.98637043104984E-2</v>
      </c>
      <c r="AA138">
        <v>0.49087174205994999</v>
      </c>
      <c r="AB138">
        <v>3.7327818801148398</v>
      </c>
      <c r="AC138">
        <v>4.5452034583573404</v>
      </c>
      <c r="AD138">
        <v>5.98364451725819E-3</v>
      </c>
      <c r="AE138">
        <v>3.9150397566267601</v>
      </c>
    </row>
    <row r="139" spans="1:31" x14ac:dyDescent="0.2">
      <c r="A139">
        <v>138</v>
      </c>
      <c r="B139">
        <v>789</v>
      </c>
      <c r="C139">
        <v>115</v>
      </c>
      <c r="D139">
        <v>0.49146589464765</v>
      </c>
      <c r="E139">
        <v>99.856126450682794</v>
      </c>
      <c r="F139">
        <v>2.20099703388891</v>
      </c>
      <c r="G139">
        <v>-1634.4207413529409</v>
      </c>
      <c r="H139">
        <v>-1368.2157559946372</v>
      </c>
      <c r="I139">
        <v>250.62842852544699</v>
      </c>
      <c r="J139">
        <v>132.737303639435</v>
      </c>
      <c r="K139">
        <v>45.368587468856497</v>
      </c>
      <c r="L139">
        <v>1.2478825986613753E-4</v>
      </c>
      <c r="M139">
        <v>1.6618926836998391E-5</v>
      </c>
      <c r="N139" s="1">
        <v>2.2358664951195398E-6</v>
      </c>
      <c r="O139" s="1">
        <v>7.2925323142806294E-8</v>
      </c>
      <c r="P139" s="1">
        <v>-3.5720275316564198E-7</v>
      </c>
      <c r="Q139">
        <v>74.582266209036803</v>
      </c>
      <c r="R139">
        <v>6.9099415782044898E-2</v>
      </c>
      <c r="S139">
        <v>12.068107775709599</v>
      </c>
      <c r="T139">
        <v>0.16086039418859799</v>
      </c>
      <c r="V139">
        <v>0.376005266391571</v>
      </c>
      <c r="W139">
        <v>2.40345794024487E-2</v>
      </c>
      <c r="X139">
        <v>5.00720404217758E-2</v>
      </c>
      <c r="AA139">
        <v>0.48615574050322502</v>
      </c>
      <c r="AB139">
        <v>3.71202169923375</v>
      </c>
      <c r="AC139">
        <v>4.55474223933735</v>
      </c>
      <c r="AD139">
        <v>6.0086448506113102E-3</v>
      </c>
      <c r="AE139">
        <v>3.9106259951420599</v>
      </c>
    </row>
    <row r="140" spans="1:31" x14ac:dyDescent="0.2">
      <c r="A140">
        <v>139</v>
      </c>
      <c r="B140">
        <v>788</v>
      </c>
      <c r="C140">
        <v>115</v>
      </c>
      <c r="D140">
        <v>0.49092069924139198</v>
      </c>
      <c r="E140">
        <v>99.439020291199299</v>
      </c>
      <c r="F140">
        <v>2.2012406937428599</v>
      </c>
      <c r="G140">
        <v>-1627.2522727764613</v>
      </c>
      <c r="H140">
        <v>-1362.612881259274</v>
      </c>
      <c r="I140">
        <v>249.389239520508</v>
      </c>
      <c r="J140">
        <v>132.13648052507699</v>
      </c>
      <c r="K140">
        <v>45.174078679291902</v>
      </c>
      <c r="L140">
        <v>1.2460292013833176E-4</v>
      </c>
      <c r="M140">
        <v>1.6606153753347232E-5</v>
      </c>
      <c r="N140" s="1">
        <v>2.22658795953376E-6</v>
      </c>
      <c r="O140" s="1">
        <v>7.2497515592640703E-8</v>
      </c>
      <c r="P140" s="1">
        <v>-3.5502933148508198E-7</v>
      </c>
      <c r="Q140">
        <v>74.631688253115001</v>
      </c>
      <c r="R140">
        <v>6.9389259666819803E-2</v>
      </c>
      <c r="S140">
        <v>12.036272450904301</v>
      </c>
      <c r="T140">
        <v>0.161701621379789</v>
      </c>
      <c r="V140">
        <v>0.37743265162762801</v>
      </c>
      <c r="W140">
        <v>2.4135394666718098E-2</v>
      </c>
      <c r="X140">
        <v>5.0282072222337701E-2</v>
      </c>
      <c r="AA140">
        <v>0.48163331797064901</v>
      </c>
      <c r="AB140">
        <v>3.69116154076917</v>
      </c>
      <c r="AC140">
        <v>4.5640593864646197</v>
      </c>
      <c r="AD140">
        <v>6.0338486666785497E-3</v>
      </c>
      <c r="AE140">
        <v>3.9062102025461298</v>
      </c>
    </row>
    <row r="141" spans="1:31" x14ac:dyDescent="0.2">
      <c r="A141">
        <v>140</v>
      </c>
      <c r="B141">
        <v>787</v>
      </c>
      <c r="C141">
        <v>115</v>
      </c>
      <c r="D141">
        <v>0.49037447531009798</v>
      </c>
      <c r="E141">
        <v>99.022135929175306</v>
      </c>
      <c r="F141">
        <v>2.20148470878387</v>
      </c>
      <c r="G141">
        <v>-1620.0915337424472</v>
      </c>
      <c r="H141">
        <v>-1357.0131609924324</v>
      </c>
      <c r="I141">
        <v>248.152028250733</v>
      </c>
      <c r="J141">
        <v>131.53632265914399</v>
      </c>
      <c r="K141">
        <v>44.979706438150302</v>
      </c>
      <c r="L141">
        <v>1.2441706695511158E-4</v>
      </c>
      <c r="M141">
        <v>1.6593423840317178E-5</v>
      </c>
      <c r="N141" s="1">
        <v>2.2173085900367701E-6</v>
      </c>
      <c r="O141" s="1">
        <v>7.2071000211789402E-8</v>
      </c>
      <c r="P141" s="1">
        <v>-3.52858993769238E-7</v>
      </c>
      <c r="Q141">
        <v>74.681262369878098</v>
      </c>
      <c r="R141">
        <v>6.9681389269722199E-2</v>
      </c>
      <c r="S141">
        <v>12.0043914409418</v>
      </c>
      <c r="T141">
        <v>0.162549598122916</v>
      </c>
      <c r="V141">
        <v>0.37887118924435198</v>
      </c>
      <c r="W141">
        <v>2.4237004963379601E-2</v>
      </c>
      <c r="X141">
        <v>5.0493760340383297E-2</v>
      </c>
      <c r="AA141">
        <v>0.477300120497819</v>
      </c>
      <c r="AB141">
        <v>3.6702143596227601</v>
      </c>
      <c r="AC141">
        <v>4.5731442131343503</v>
      </c>
      <c r="AD141">
        <v>6.0592512408438499E-3</v>
      </c>
      <c r="AE141">
        <v>3.9017953027433698</v>
      </c>
    </row>
    <row r="142" spans="1:31" x14ac:dyDescent="0.2">
      <c r="A142">
        <v>141</v>
      </c>
      <c r="B142">
        <v>786</v>
      </c>
      <c r="C142">
        <v>115</v>
      </c>
      <c r="D142">
        <v>0.48982721994052197</v>
      </c>
      <c r="E142">
        <v>98.605585996358698</v>
      </c>
      <c r="F142">
        <v>2.2017289498485</v>
      </c>
      <c r="G142">
        <v>-1612.9404170357193</v>
      </c>
      <c r="H142">
        <v>-1351.418155375969</v>
      </c>
      <c r="I142">
        <v>246.917114346174</v>
      </c>
      <c r="J142">
        <v>130.93698743013101</v>
      </c>
      <c r="K142">
        <v>44.7855245774659</v>
      </c>
      <c r="L142">
        <v>1.2423076181441775E-4</v>
      </c>
      <c r="M142">
        <v>1.6580743032815577E-5</v>
      </c>
      <c r="N142" s="1">
        <v>2.2080326156961498E-6</v>
      </c>
      <c r="O142" s="1">
        <v>7.1645905018683804E-8</v>
      </c>
      <c r="P142" s="1">
        <v>-3.5069244887707002E-7</v>
      </c>
      <c r="Q142">
        <v>74.730986734577698</v>
      </c>
      <c r="R142">
        <v>6.9975751680589698E-2</v>
      </c>
      <c r="S142">
        <v>11.972466334615699</v>
      </c>
      <c r="T142">
        <v>0.16340423417097799</v>
      </c>
      <c r="V142">
        <v>0.38032056170372902</v>
      </c>
      <c r="W142">
        <v>2.4339391888898498E-2</v>
      </c>
      <c r="X142">
        <v>5.07070664352154E-2</v>
      </c>
      <c r="AA142">
        <v>0.47315181056322297</v>
      </c>
      <c r="AB142">
        <v>3.6491929545874999</v>
      </c>
      <c r="AC142">
        <v>4.5819861248131</v>
      </c>
      <c r="AD142">
        <v>6.0848479722234701E-3</v>
      </c>
      <c r="AE142">
        <v>3.8973841869910699</v>
      </c>
    </row>
    <row r="143" spans="1:31" x14ac:dyDescent="0.2">
      <c r="A143">
        <v>142</v>
      </c>
      <c r="B143">
        <v>785</v>
      </c>
      <c r="C143">
        <v>115</v>
      </c>
      <c r="D143">
        <v>0.48927893020838498</v>
      </c>
      <c r="E143">
        <v>98.189477715389401</v>
      </c>
      <c r="F143">
        <v>2.2019732891432602</v>
      </c>
      <c r="G143">
        <v>-1605.8007234018842</v>
      </c>
      <c r="H143">
        <v>-1345.8293502697175</v>
      </c>
      <c r="I143">
        <v>245.684801901589</v>
      </c>
      <c r="J143">
        <v>130.33862451072</v>
      </c>
      <c r="K143">
        <v>44.591584375481901</v>
      </c>
      <c r="L143">
        <v>1.2404406514806445E-4</v>
      </c>
      <c r="M143">
        <v>1.6568117186317749E-5</v>
      </c>
      <c r="N143" s="1">
        <v>2.1987641035569101E-6</v>
      </c>
      <c r="O143" s="1">
        <v>7.1222351981179001E-8</v>
      </c>
      <c r="P143" s="1">
        <v>-3.4853037422233899E-7</v>
      </c>
      <c r="Q143">
        <v>74.780859721941994</v>
      </c>
      <c r="R143">
        <v>7.0272295571226995E-2</v>
      </c>
      <c r="S143">
        <v>11.9404985912693</v>
      </c>
      <c r="T143">
        <v>0.16426544243505301</v>
      </c>
      <c r="V143">
        <v>0.38178046054818698</v>
      </c>
      <c r="W143">
        <v>2.4442537589989599E-2</v>
      </c>
      <c r="X143">
        <v>5.0921953312489103E-2</v>
      </c>
      <c r="AA143">
        <v>0.46918407890761898</v>
      </c>
      <c r="AB143">
        <v>3.6281099451587102</v>
      </c>
      <c r="AC143">
        <v>4.5905746292859702</v>
      </c>
      <c r="AD143">
        <v>6.1106343974961499E-3</v>
      </c>
      <c r="AE143">
        <v>3.89297970958176</v>
      </c>
    </row>
    <row r="144" spans="1:31" x14ac:dyDescent="0.2">
      <c r="A144">
        <v>143</v>
      </c>
      <c r="B144">
        <v>784</v>
      </c>
      <c r="C144">
        <v>115</v>
      </c>
      <c r="D144">
        <v>0.48872960317835601</v>
      </c>
      <c r="E144">
        <v>97.773912873530705</v>
      </c>
      <c r="F144">
        <v>2.2022176004311</v>
      </c>
      <c r="G144">
        <v>-1598.6741611749121</v>
      </c>
      <c r="H144">
        <v>-1340.2481568168712</v>
      </c>
      <c r="I144">
        <v>244.45537942396101</v>
      </c>
      <c r="J144">
        <v>129.74137582984</v>
      </c>
      <c r="K144">
        <v>44.397934543067201</v>
      </c>
      <c r="L144">
        <v>1.2385703623252938E-4</v>
      </c>
      <c r="M144">
        <v>1.6555552069943275E-5</v>
      </c>
      <c r="N144" s="1">
        <v>2.1895069560833101E-6</v>
      </c>
      <c r="O144" s="1">
        <v>7.0800456989300295E-8</v>
      </c>
      <c r="P144" s="1">
        <v>-3.4637341553170402E-7</v>
      </c>
      <c r="Q144">
        <v>74.830879909836995</v>
      </c>
      <c r="R144">
        <v>7.0570971307298794E-2</v>
      </c>
      <c r="S144">
        <v>11.9084895386925</v>
      </c>
      <c r="T144">
        <v>0.16513313922650899</v>
      </c>
      <c r="V144">
        <v>0.38325058702576997</v>
      </c>
      <c r="W144">
        <v>2.4546424802536101E-2</v>
      </c>
      <c r="X144">
        <v>5.1138385005295398E-2</v>
      </c>
      <c r="AA144">
        <v>0.46539265480180397</v>
      </c>
      <c r="AB144">
        <v>3.6069777517180701</v>
      </c>
      <c r="AC144">
        <v>4.5988993473613498</v>
      </c>
      <c r="AD144">
        <v>6.1366062006326504E-3</v>
      </c>
      <c r="AE144">
        <v>3.8885846840211</v>
      </c>
    </row>
    <row r="145" spans="1:31" x14ac:dyDescent="0.2">
      <c r="A145">
        <v>144</v>
      </c>
      <c r="B145">
        <v>783</v>
      </c>
      <c r="C145">
        <v>115</v>
      </c>
      <c r="D145">
        <v>0.48817923590399198</v>
      </c>
      <c r="E145">
        <v>96.339854694375205</v>
      </c>
      <c r="F145">
        <v>2.20278856126362</v>
      </c>
      <c r="G145">
        <v>-1574.6673993173522</v>
      </c>
      <c r="H145">
        <v>-1320.5009569235744</v>
      </c>
      <c r="I145">
        <v>240.65373516430199</v>
      </c>
      <c r="J145">
        <v>127.79578046721301</v>
      </c>
      <c r="K145">
        <v>43.735407196372002</v>
      </c>
      <c r="L145">
        <v>1.2367001688155913E-4</v>
      </c>
      <c r="M145">
        <v>1.6533165565945603E-5</v>
      </c>
      <c r="N145" s="1">
        <v>2.15531843116601E-6</v>
      </c>
      <c r="O145" s="1">
        <v>6.9582836212938494E-8</v>
      </c>
      <c r="P145" s="1">
        <v>-3.4063356898833999E-7</v>
      </c>
      <c r="Q145">
        <v>74.837481339312603</v>
      </c>
      <c r="R145">
        <v>7.1621449107325902E-2</v>
      </c>
      <c r="S145">
        <v>11.895009358265799</v>
      </c>
      <c r="T145">
        <v>0.16781703107458401</v>
      </c>
      <c r="V145">
        <v>0.38875223587722202</v>
      </c>
      <c r="W145">
        <v>2.4911808385153299E-2</v>
      </c>
      <c r="X145">
        <v>5.1899600802418601E-2</v>
      </c>
      <c r="AA145">
        <v>0.45963194090694098</v>
      </c>
      <c r="AB145">
        <v>3.57765679534729</v>
      </c>
      <c r="AC145">
        <v>4.6386124764592598</v>
      </c>
      <c r="AD145">
        <v>6.2279520962866299E-3</v>
      </c>
      <c r="AE145">
        <v>3.8803780123650502</v>
      </c>
    </row>
    <row r="146" spans="1:31" x14ac:dyDescent="0.2">
      <c r="A146">
        <v>145</v>
      </c>
      <c r="B146">
        <v>782</v>
      </c>
      <c r="C146">
        <v>115</v>
      </c>
      <c r="D146">
        <v>0.48762782542766497</v>
      </c>
      <c r="E146">
        <v>93.752182415159297</v>
      </c>
      <c r="F146">
        <v>2.2037229150042998</v>
      </c>
      <c r="G146">
        <v>-1531.5837234949227</v>
      </c>
      <c r="H146">
        <v>-1284.7355526873414</v>
      </c>
      <c r="I146">
        <v>233.94604635130599</v>
      </c>
      <c r="J146">
        <v>124.323150860778</v>
      </c>
      <c r="K146">
        <v>42.542636271028698</v>
      </c>
      <c r="L146">
        <v>1.2347579072577008E-4</v>
      </c>
      <c r="M146">
        <v>1.6500367345999103E-5</v>
      </c>
      <c r="N146" s="1">
        <v>2.09314847840878E-6</v>
      </c>
      <c r="O146" s="1">
        <v>6.7475199831037293E-8</v>
      </c>
      <c r="P146" s="1">
        <v>-3.3081339873096802E-7</v>
      </c>
      <c r="Q146">
        <v>74.800281272653095</v>
      </c>
      <c r="R146">
        <v>7.3598286698494095E-2</v>
      </c>
      <c r="S146">
        <v>11.899552022130701</v>
      </c>
      <c r="T146">
        <v>0.172727479728847</v>
      </c>
      <c r="V146">
        <v>0.39923166659105902</v>
      </c>
      <c r="W146">
        <v>2.5599404069037299E-2</v>
      </c>
      <c r="X146">
        <v>5.3332091810512801E-2</v>
      </c>
      <c r="AA146">
        <v>0.45306737389537599</v>
      </c>
      <c r="AB146">
        <v>3.5380227971443698</v>
      </c>
      <c r="AC146">
        <v>4.7101727078497104</v>
      </c>
      <c r="AD146">
        <v>6.3998510172574097E-3</v>
      </c>
      <c r="AE146">
        <v>3.8680150464114802</v>
      </c>
    </row>
    <row r="147" spans="1:31" x14ac:dyDescent="0.2">
      <c r="A147">
        <v>146</v>
      </c>
      <c r="B147">
        <v>781</v>
      </c>
      <c r="C147">
        <v>115</v>
      </c>
      <c r="D147">
        <v>0.48707536878053398</v>
      </c>
      <c r="E147">
        <v>90.798137002896098</v>
      </c>
      <c r="F147">
        <v>2.2047451025143099</v>
      </c>
      <c r="G147">
        <v>-1482.5187463947868</v>
      </c>
      <c r="H147">
        <v>-1243.9332885671174</v>
      </c>
      <c r="I147">
        <v>226.329704337778</v>
      </c>
      <c r="J147">
        <v>120.36620895866</v>
      </c>
      <c r="K147">
        <v>41.1830541768065</v>
      </c>
      <c r="L147">
        <v>1.2327074104990108E-4</v>
      </c>
      <c r="M147">
        <v>1.6466269918456555E-5</v>
      </c>
      <c r="N147" s="1">
        <v>2.0226607782111301E-6</v>
      </c>
      <c r="O147" s="1">
        <v>6.5107139619277001E-8</v>
      </c>
      <c r="P147" s="1">
        <v>-3.19673259239914E-7</v>
      </c>
      <c r="Q147">
        <v>74.759697585638193</v>
      </c>
      <c r="R147">
        <v>7.5992748615320502E-2</v>
      </c>
      <c r="S147">
        <v>11.9041924193806</v>
      </c>
      <c r="T147">
        <v>0.17861940488044301</v>
      </c>
      <c r="V147">
        <v>0.41197526770359799</v>
      </c>
      <c r="W147">
        <v>2.6432260387932501E-2</v>
      </c>
      <c r="X147">
        <v>5.5067209141548598E-2</v>
      </c>
      <c r="AA147">
        <v>0.44873604090434799</v>
      </c>
      <c r="AB147">
        <v>3.4943347453879601</v>
      </c>
      <c r="AC147">
        <v>4.78340873006732</v>
      </c>
      <c r="AD147">
        <v>6.6080650969810801E-3</v>
      </c>
      <c r="AE147">
        <v>3.8549355227956101</v>
      </c>
    </row>
    <row r="148" spans="1:31" x14ac:dyDescent="0.2">
      <c r="A148">
        <v>147</v>
      </c>
      <c r="B148">
        <v>780</v>
      </c>
      <c r="C148">
        <v>115</v>
      </c>
      <c r="D148">
        <v>0.48652186298248101</v>
      </c>
      <c r="E148">
        <v>87.029474634063206</v>
      </c>
      <c r="F148">
        <v>2.2059307492740698</v>
      </c>
      <c r="G148">
        <v>-1420.1384204107821</v>
      </c>
      <c r="H148">
        <v>-1191.9317922765022</v>
      </c>
      <c r="I148">
        <v>216.689577110838</v>
      </c>
      <c r="J148">
        <v>115.33199417701501</v>
      </c>
      <c r="K148">
        <v>39.452496259324001</v>
      </c>
      <c r="L148">
        <v>1.2305435974556837E-4</v>
      </c>
      <c r="M148">
        <v>1.6430648760980857E-5</v>
      </c>
      <c r="N148" s="1">
        <v>1.93388239702026E-6</v>
      </c>
      <c r="O148" s="1">
        <v>6.2159269492456794E-8</v>
      </c>
      <c r="P148" s="1">
        <v>-3.0562476071686798E-7</v>
      </c>
      <c r="Q148">
        <v>74.711980774323806</v>
      </c>
      <c r="R148">
        <v>7.9283484463322396E-2</v>
      </c>
      <c r="S148">
        <v>11.909093647627801</v>
      </c>
      <c r="T148">
        <v>0.18660388107414799</v>
      </c>
      <c r="V148">
        <v>0.42959049652277997</v>
      </c>
      <c r="W148">
        <v>2.75768641611468E-2</v>
      </c>
      <c r="X148">
        <v>5.74518003357622E-2</v>
      </c>
      <c r="AA148">
        <v>0.44856436939681998</v>
      </c>
      <c r="AB148">
        <v>3.4443908440883102</v>
      </c>
      <c r="AC148">
        <v>4.8576362677227003</v>
      </c>
      <c r="AD148">
        <v>6.8942160402828499E-3</v>
      </c>
      <c r="AE148">
        <v>3.8409333542430599</v>
      </c>
    </row>
    <row r="149" spans="1:31" x14ac:dyDescent="0.2">
      <c r="A149">
        <v>148</v>
      </c>
      <c r="B149">
        <v>779</v>
      </c>
      <c r="C149">
        <v>115</v>
      </c>
      <c r="D149">
        <v>0.48596730504205599</v>
      </c>
      <c r="E149">
        <v>75.540287754995106</v>
      </c>
      <c r="F149">
        <v>2.2081457951616401</v>
      </c>
      <c r="G149">
        <v>-1231.508822545354</v>
      </c>
      <c r="H149">
        <v>-1033.8210825030333</v>
      </c>
      <c r="I149">
        <v>187.88931240062701</v>
      </c>
      <c r="J149">
        <v>100.09190281518801</v>
      </c>
      <c r="K149">
        <v>34.209827956339801</v>
      </c>
      <c r="L149">
        <v>1.2296549949243027E-4</v>
      </c>
      <c r="M149">
        <v>1.6404529864366966E-5</v>
      </c>
      <c r="N149" s="1">
        <v>1.67567754482998E-6</v>
      </c>
      <c r="O149" s="1">
        <v>5.3775245938088902E-8</v>
      </c>
      <c r="P149" s="1">
        <v>-2.6460068458260702E-7</v>
      </c>
      <c r="Q149">
        <v>74.600885118091895</v>
      </c>
      <c r="R149">
        <v>9.1341987237071598E-2</v>
      </c>
      <c r="S149">
        <v>11.9140292735994</v>
      </c>
      <c r="T149">
        <v>0.21492355143733499</v>
      </c>
      <c r="V149">
        <v>0.49498381836527</v>
      </c>
      <c r="W149">
        <v>3.17711259954854E-2</v>
      </c>
      <c r="X149">
        <v>6.6189845824008303E-2</v>
      </c>
      <c r="AA149">
        <v>0.46759127651975402</v>
      </c>
      <c r="AB149">
        <v>3.3873940031818699</v>
      </c>
      <c r="AC149">
        <v>4.8930463908183803</v>
      </c>
      <c r="AD149">
        <v>7.9427814988634604E-3</v>
      </c>
      <c r="AE149">
        <v>3.8299008274305102</v>
      </c>
    </row>
    <row r="150" spans="1:31" x14ac:dyDescent="0.2">
      <c r="A150">
        <v>149</v>
      </c>
      <c r="B150">
        <v>778</v>
      </c>
      <c r="C150">
        <v>115</v>
      </c>
      <c r="D150">
        <v>0.48541169195642903</v>
      </c>
      <c r="E150">
        <v>63.468539494630399</v>
      </c>
      <c r="F150">
        <v>2.2108408733495799</v>
      </c>
      <c r="G150">
        <v>-1033.551792507518</v>
      </c>
      <c r="H150">
        <v>-867.7560934418193</v>
      </c>
      <c r="I150">
        <v>157.72791615440099</v>
      </c>
      <c r="J150">
        <v>84.095594012909203</v>
      </c>
      <c r="K150">
        <v>28.7078732167959</v>
      </c>
      <c r="L150">
        <v>1.2299960544921498E-4</v>
      </c>
      <c r="M150">
        <v>1.6388310494028891E-5</v>
      </c>
      <c r="N150" s="1">
        <v>1.4068907777255099E-6</v>
      </c>
      <c r="O150" s="1">
        <v>4.5072995632155602E-8</v>
      </c>
      <c r="P150" s="1">
        <v>-2.21891169707499E-7</v>
      </c>
      <c r="Q150">
        <v>74.454997291378007</v>
      </c>
      <c r="R150">
        <v>0.10871527933276801</v>
      </c>
      <c r="S150">
        <v>11.916179548605401</v>
      </c>
      <c r="T150">
        <v>0.25550845150585799</v>
      </c>
      <c r="V150">
        <v>0.58939423620717502</v>
      </c>
      <c r="W150">
        <v>3.7814010202679098E-2</v>
      </c>
      <c r="X150">
        <v>7.8779187922351696E-2</v>
      </c>
      <c r="AA150">
        <v>0.48889168227017699</v>
      </c>
      <c r="AB150">
        <v>3.3390315500079901</v>
      </c>
      <c r="AC150">
        <v>4.8984420969100899</v>
      </c>
      <c r="AD150">
        <v>9.4535025506619803E-3</v>
      </c>
      <c r="AE150">
        <v>3.8227931631068102</v>
      </c>
    </row>
    <row r="151" spans="1:31" x14ac:dyDescent="0.2">
      <c r="A151">
        <v>150</v>
      </c>
      <c r="B151">
        <v>777</v>
      </c>
      <c r="C151">
        <v>115</v>
      </c>
      <c r="D151">
        <v>0.48485502071132902</v>
      </c>
      <c r="E151">
        <v>54.309502719546501</v>
      </c>
      <c r="F151">
        <v>2.2135508147679399</v>
      </c>
      <c r="G151">
        <v>-883.38998407322481</v>
      </c>
      <c r="H151">
        <v>-741.76577752239461</v>
      </c>
      <c r="I151">
        <v>134.860930867809</v>
      </c>
      <c r="J151">
        <v>71.960993624365599</v>
      </c>
      <c r="K151">
        <v>24.5350151246652</v>
      </c>
      <c r="L151">
        <v>1.2307720176767567E-4</v>
      </c>
      <c r="M151">
        <v>1.6375646197281717E-5</v>
      </c>
      <c r="N151" s="1">
        <v>1.2035184792633999E-6</v>
      </c>
      <c r="O151" s="1">
        <v>3.8490752217421298E-8</v>
      </c>
      <c r="P151" s="1">
        <v>-1.8958942009113E-7</v>
      </c>
      <c r="Q151">
        <v>74.304957843599098</v>
      </c>
      <c r="R151">
        <v>0.12704958901268401</v>
      </c>
      <c r="S151">
        <v>11.9160430819725</v>
      </c>
      <c r="T151">
        <v>0.29823267162622102</v>
      </c>
      <c r="V151">
        <v>0.68912212166875297</v>
      </c>
      <c r="W151">
        <v>4.41911613956881E-2</v>
      </c>
      <c r="X151">
        <v>9.2064919574477502E-2</v>
      </c>
      <c r="AA151">
        <v>0.50503551823873605</v>
      </c>
      <c r="AB151">
        <v>3.2988088296334501</v>
      </c>
      <c r="AC151">
        <v>4.89611708304166</v>
      </c>
      <c r="AD151">
        <v>1.1047790348914399E-2</v>
      </c>
      <c r="AE151">
        <v>3.8173293898877398</v>
      </c>
    </row>
    <row r="152" spans="1:31" x14ac:dyDescent="0.2">
      <c r="A152">
        <v>151</v>
      </c>
      <c r="B152">
        <v>776</v>
      </c>
      <c r="C152">
        <v>115</v>
      </c>
      <c r="D152">
        <v>0.484297288280991</v>
      </c>
      <c r="E152">
        <v>30.2868197763942</v>
      </c>
      <c r="F152">
        <v>2.2154878267051599</v>
      </c>
      <c r="G152">
        <v>-492.71488888127527</v>
      </c>
      <c r="H152">
        <v>-413.9349711648112</v>
      </c>
      <c r="I152">
        <v>75.0892796229938</v>
      </c>
      <c r="J152">
        <v>40.148121853813301</v>
      </c>
      <c r="K152">
        <v>13.6704970396683</v>
      </c>
      <c r="L152">
        <v>1.2265020365223733E-4</v>
      </c>
      <c r="M152">
        <v>1.6331372460476537E-5</v>
      </c>
      <c r="N152" s="1">
        <v>6.6813318850880497E-7</v>
      </c>
      <c r="O152" s="1">
        <v>2.1338082596019401E-8</v>
      </c>
      <c r="P152" s="1">
        <v>-1.04939739064439E-7</v>
      </c>
      <c r="Q152">
        <v>74.188120627978293</v>
      </c>
      <c r="R152">
        <v>0.15479521911788199</v>
      </c>
      <c r="S152">
        <v>12.0397461100545</v>
      </c>
      <c r="T152">
        <v>0.269330782471986</v>
      </c>
      <c r="V152">
        <v>0.62326232228936496</v>
      </c>
      <c r="W152">
        <v>7.9242390509068797E-2</v>
      </c>
      <c r="X152">
        <v>0.155115335051938</v>
      </c>
      <c r="AA152">
        <v>0.54871059042908799</v>
      </c>
      <c r="AB152">
        <v>3.1608141125706601</v>
      </c>
      <c r="AC152">
        <v>4.9653122811998696</v>
      </c>
      <c r="AD152">
        <v>1.9810597627259698E-2</v>
      </c>
      <c r="AE152">
        <v>3.79573963069996</v>
      </c>
    </row>
    <row r="153" spans="1:31" x14ac:dyDescent="0.2">
      <c r="A153">
        <v>152</v>
      </c>
      <c r="B153">
        <v>775</v>
      </c>
      <c r="C153">
        <v>115</v>
      </c>
      <c r="D153">
        <v>0.483738491628109</v>
      </c>
      <c r="E153">
        <v>21.0327224115963</v>
      </c>
      <c r="F153">
        <v>2.2174524571632701</v>
      </c>
      <c r="G153">
        <v>-342.12973924824024</v>
      </c>
      <c r="H153">
        <v>-287.53301334586871</v>
      </c>
      <c r="I153">
        <v>52.088657064705899</v>
      </c>
      <c r="J153">
        <v>27.8957497906237</v>
      </c>
      <c r="K153">
        <v>9.4850838148309098</v>
      </c>
      <c r="L153">
        <v>1.2248866844907636E-4</v>
      </c>
      <c r="M153">
        <v>1.6309928796009137E-5</v>
      </c>
      <c r="N153" s="1">
        <v>4.6320986735873801E-7</v>
      </c>
      <c r="O153" s="1">
        <v>1.4768909468246899E-8</v>
      </c>
      <c r="P153" s="1">
        <v>-7.25527464831762E-8</v>
      </c>
      <c r="Q153">
        <v>74.049183088350304</v>
      </c>
      <c r="R153">
        <v>0.173372086981883</v>
      </c>
      <c r="S153">
        <v>12.146371340391299</v>
      </c>
      <c r="T153">
        <v>0.25978933506742202</v>
      </c>
      <c r="V153">
        <v>0.60252234007805305</v>
      </c>
      <c r="W153">
        <v>0.114107910190238</v>
      </c>
      <c r="X153">
        <v>0.21417697128874799</v>
      </c>
      <c r="AA153">
        <v>0.56617192471232003</v>
      </c>
      <c r="AB153">
        <v>3.0700681003084398</v>
      </c>
      <c r="AC153">
        <v>4.9906369009338896</v>
      </c>
      <c r="AD153">
        <v>2.8526977547544598E-2</v>
      </c>
      <c r="AE153">
        <v>3.7850730241498001</v>
      </c>
    </row>
    <row r="154" spans="1:31" x14ac:dyDescent="0.2">
      <c r="A154">
        <v>153</v>
      </c>
      <c r="B154">
        <v>774</v>
      </c>
      <c r="C154">
        <v>115</v>
      </c>
      <c r="D154">
        <v>0.48317862770377201</v>
      </c>
      <c r="E154">
        <v>13.604201912455199</v>
      </c>
      <c r="F154">
        <v>2.2196901728671801</v>
      </c>
      <c r="G154">
        <v>-221.24714188511939</v>
      </c>
      <c r="H154">
        <v>-186.0130919809402</v>
      </c>
      <c r="I154">
        <v>33.647567114720097</v>
      </c>
      <c r="J154">
        <v>18.0479553486628</v>
      </c>
      <c r="K154">
        <v>6.1288742360302297</v>
      </c>
      <c r="L154">
        <v>1.2232099202997575E-4</v>
      </c>
      <c r="M154">
        <v>1.62990854568901E-5</v>
      </c>
      <c r="N154" s="1">
        <v>2.9911776763163897E-7</v>
      </c>
      <c r="O154" s="1">
        <v>9.5214294737932797E-9</v>
      </c>
      <c r="P154" s="1">
        <v>-4.6663270681775197E-8</v>
      </c>
      <c r="Q154">
        <v>73.839420753255297</v>
      </c>
      <c r="R154">
        <v>0.20394286987806701</v>
      </c>
      <c r="S154">
        <v>12.3632302268164</v>
      </c>
      <c r="T154">
        <v>0.24822396332536001</v>
      </c>
      <c r="V154">
        <v>0.57842726561064695</v>
      </c>
      <c r="W154">
        <v>0.17641608199016701</v>
      </c>
      <c r="X154">
        <v>0.213268909880382</v>
      </c>
      <c r="AA154">
        <v>0.579740132881162</v>
      </c>
      <c r="AB154">
        <v>2.9463396200809999</v>
      </c>
      <c r="AC154">
        <v>5.0323241481975796</v>
      </c>
      <c r="AD154">
        <v>4.41040204975112E-2</v>
      </c>
      <c r="AE154">
        <v>3.77456200758632</v>
      </c>
    </row>
    <row r="155" spans="1:31" x14ac:dyDescent="0.2">
      <c r="A155">
        <v>154</v>
      </c>
      <c r="B155">
        <v>773</v>
      </c>
      <c r="C155">
        <v>115</v>
      </c>
      <c r="D155">
        <v>0.48261769344740202</v>
      </c>
      <c r="E155">
        <v>10.1363547848413</v>
      </c>
      <c r="F155">
        <v>2.2217151500774999</v>
      </c>
      <c r="G155">
        <v>-164.81595313711782</v>
      </c>
      <c r="H155">
        <v>-138.61747316431124</v>
      </c>
      <c r="I155">
        <v>25.0427567488472</v>
      </c>
      <c r="J155">
        <v>13.4519203319255</v>
      </c>
      <c r="K155">
        <v>4.5624007130201898</v>
      </c>
      <c r="L155">
        <v>1.2224034875598364E-4</v>
      </c>
      <c r="M155">
        <v>1.6296617423755011E-5</v>
      </c>
      <c r="N155" s="1">
        <v>2.22781226646065E-7</v>
      </c>
      <c r="O155" s="1">
        <v>7.07909080126443E-9</v>
      </c>
      <c r="P155" s="1">
        <v>-3.4620331348530802E-8</v>
      </c>
      <c r="Q155">
        <v>73.636902116940902</v>
      </c>
      <c r="R155">
        <v>0.22334420720622</v>
      </c>
      <c r="S155">
        <v>12.5698682756537</v>
      </c>
      <c r="T155">
        <v>0.24025689215690599</v>
      </c>
      <c r="V155">
        <v>0.56244152640860301</v>
      </c>
      <c r="W155">
        <v>0.236771507207655</v>
      </c>
      <c r="X155">
        <v>0.216374486055876</v>
      </c>
      <c r="AA155">
        <v>0.58588500841949598</v>
      </c>
      <c r="AB155">
        <v>2.8426710316666699</v>
      </c>
      <c r="AC155">
        <v>5.0575167740510496</v>
      </c>
      <c r="AD155">
        <v>5.9192876801865302E-2</v>
      </c>
      <c r="AE155">
        <v>3.7687752974308699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BD827-E357-4932-9C86-CC8F48871F85}">
  <sheetPr codeName="Sheet5"/>
  <dimension ref="A1:P155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757</v>
      </c>
      <c r="C2">
        <v>275</v>
      </c>
      <c r="D2">
        <v>0.30264573120419402</v>
      </c>
      <c r="E2">
        <v>4.1076402695702496</v>
      </c>
      <c r="F2">
        <v>0.553927036865275</v>
      </c>
      <c r="G2">
        <v>-89.010242457462667</v>
      </c>
      <c r="H2">
        <v>-52.290062129683577</v>
      </c>
      <c r="I2">
        <v>35.647751270959901</v>
      </c>
      <c r="J2">
        <v>15.858692931172101</v>
      </c>
      <c r="K2">
        <v>7.41548975983509</v>
      </c>
      <c r="L2">
        <v>1.1994105535029585E-3</v>
      </c>
      <c r="M2">
        <v>1.9425669200678956E-4</v>
      </c>
      <c r="N2" s="1">
        <v>5.7782790891415799E-6</v>
      </c>
      <c r="O2" s="1">
        <v>1.1719870032554699E-6</v>
      </c>
      <c r="P2" s="1">
        <v>-4.3493288618910901E-6</v>
      </c>
    </row>
    <row r="3" spans="1:16" x14ac:dyDescent="0.2">
      <c r="A3">
        <v>2</v>
      </c>
      <c r="B3">
        <v>756</v>
      </c>
      <c r="C3">
        <v>275</v>
      </c>
      <c r="D3">
        <v>0.30190011174270298</v>
      </c>
      <c r="E3">
        <v>4.2240423052632101</v>
      </c>
      <c r="F3">
        <v>0.56609507798514802</v>
      </c>
      <c r="G3">
        <v>-90.908043866254701</v>
      </c>
      <c r="H3">
        <v>-53.957803596734614</v>
      </c>
      <c r="I3">
        <v>35.905936659535001</v>
      </c>
      <c r="J3">
        <v>16.0182651557122</v>
      </c>
      <c r="K3">
        <v>7.46171883404722</v>
      </c>
      <c r="L3">
        <v>1.1931277256540477E-3</v>
      </c>
      <c r="M3">
        <v>1.9278870145819215E-4</v>
      </c>
      <c r="N3" s="1">
        <v>5.8321720736349101E-6</v>
      </c>
      <c r="O3" s="1">
        <v>1.1698118350595101E-6</v>
      </c>
      <c r="P3" s="1">
        <v>-4.3542941746074499E-6</v>
      </c>
    </row>
    <row r="4" spans="1:16" x14ac:dyDescent="0.2">
      <c r="A4">
        <v>3</v>
      </c>
      <c r="B4">
        <v>755</v>
      </c>
      <c r="C4">
        <v>275</v>
      </c>
      <c r="D4">
        <v>0.30115304187132302</v>
      </c>
      <c r="E4">
        <v>4.4468835744983997</v>
      </c>
      <c r="F4">
        <v>0.58843122468631404</v>
      </c>
      <c r="G4">
        <v>-94.568730252339719</v>
      </c>
      <c r="H4">
        <v>-57.137730818910015</v>
      </c>
      <c r="I4">
        <v>36.408462473352003</v>
      </c>
      <c r="J4">
        <v>16.3153906175265</v>
      </c>
      <c r="K4">
        <v>7.5571849146329404</v>
      </c>
      <c r="L4">
        <v>1.1806884838173014E-3</v>
      </c>
      <c r="M4">
        <v>1.9034013396509607E-4</v>
      </c>
      <c r="N4" s="1">
        <v>5.89378641697375E-6</v>
      </c>
      <c r="O4" s="1">
        <v>1.1691147412012899E-6</v>
      </c>
      <c r="P4" s="1">
        <v>-4.3647769571856301E-6</v>
      </c>
    </row>
    <row r="5" spans="1:16" x14ac:dyDescent="0.2">
      <c r="A5">
        <v>4</v>
      </c>
      <c r="B5">
        <v>754</v>
      </c>
      <c r="C5">
        <v>275</v>
      </c>
      <c r="D5">
        <v>0.30040451735384299</v>
      </c>
      <c r="E5">
        <v>4.6686270727293602</v>
      </c>
      <c r="F5">
        <v>0.61011283665597604</v>
      </c>
      <c r="G5">
        <v>-98.210113158108385</v>
      </c>
      <c r="H5">
        <v>-60.302679677947545</v>
      </c>
      <c r="I5">
        <v>36.907755938242403</v>
      </c>
      <c r="J5">
        <v>16.611013193875099</v>
      </c>
      <c r="K5">
        <v>7.65207153863222</v>
      </c>
      <c r="L5">
        <v>1.1686172395545989E-3</v>
      </c>
      <c r="M5">
        <v>1.8796050794875132E-4</v>
      </c>
      <c r="N5" s="1">
        <v>5.9556038328503903E-6</v>
      </c>
      <c r="O5" s="1">
        <v>1.16837181813282E-6</v>
      </c>
      <c r="P5" s="1">
        <v>-4.3751206073244701E-6</v>
      </c>
    </row>
    <row r="6" spans="1:16" x14ac:dyDescent="0.2">
      <c r="A6">
        <v>5</v>
      </c>
      <c r="B6">
        <v>753</v>
      </c>
      <c r="C6">
        <v>275</v>
      </c>
      <c r="D6">
        <v>0.29965453393753799</v>
      </c>
      <c r="E6">
        <v>4.8892817876872403</v>
      </c>
      <c r="F6">
        <v>0.63116959624325697</v>
      </c>
      <c r="G6">
        <v>-101.83235076113239</v>
      </c>
      <c r="H6">
        <v>-63.452773260075496</v>
      </c>
      <c r="I6">
        <v>37.403841801666097</v>
      </c>
      <c r="J6">
        <v>16.9051443582179</v>
      </c>
      <c r="K6">
        <v>7.7463835659835603</v>
      </c>
      <c r="L6">
        <v>1.1568971703204191E-3</v>
      </c>
      <c r="M6">
        <v>1.8564670288571746E-4</v>
      </c>
      <c r="N6" s="1">
        <v>6.0176211935085703E-6</v>
      </c>
      <c r="O6" s="1">
        <v>1.1675834940867401E-6</v>
      </c>
      <c r="P6" s="1">
        <v>-4.3853252242229401E-6</v>
      </c>
    </row>
    <row r="7" spans="1:16" x14ac:dyDescent="0.2">
      <c r="A7">
        <v>6</v>
      </c>
      <c r="B7">
        <v>752</v>
      </c>
      <c r="C7">
        <v>275</v>
      </c>
      <c r="D7">
        <v>0.29890308735307097</v>
      </c>
      <c r="E7">
        <v>5.1088566096544001</v>
      </c>
      <c r="F7">
        <v>0.65162941732608404</v>
      </c>
      <c r="G7">
        <v>-105.43559952321878</v>
      </c>
      <c r="H7">
        <v>-66.588133316769301</v>
      </c>
      <c r="I7">
        <v>37.896744535976602</v>
      </c>
      <c r="J7">
        <v>17.197795451513901</v>
      </c>
      <c r="K7">
        <v>7.8401258043540096</v>
      </c>
      <c r="L7">
        <v>1.1455124556463885E-3</v>
      </c>
      <c r="M7">
        <v>1.8339578432724268E-4</v>
      </c>
      <c r="N7" s="1">
        <v>6.0798353457858903E-6</v>
      </c>
      <c r="O7" s="1">
        <v>1.16675019493361E-6</v>
      </c>
      <c r="P7" s="1">
        <v>-4.3953909059502801E-6</v>
      </c>
    </row>
    <row r="8" spans="1:16" x14ac:dyDescent="0.2">
      <c r="A8">
        <v>7</v>
      </c>
      <c r="B8">
        <v>751</v>
      </c>
      <c r="C8">
        <v>275</v>
      </c>
      <c r="D8">
        <v>0.29815017331445698</v>
      </c>
      <c r="E8">
        <v>5.3273603348372003</v>
      </c>
      <c r="F8">
        <v>0.67151857523346103</v>
      </c>
      <c r="G8">
        <v>-109.02001424839284</v>
      </c>
      <c r="H8">
        <v>-69.708880311773569</v>
      </c>
      <c r="I8">
        <v>38.386488347779597</v>
      </c>
      <c r="J8">
        <v>17.488977687033699</v>
      </c>
      <c r="K8">
        <v>7.9333030109927698</v>
      </c>
      <c r="L8">
        <v>1.1344482035253337E-3</v>
      </c>
      <c r="M8">
        <v>1.8120499023104166E-4</v>
      </c>
      <c r="N8" s="1">
        <v>6.14224311169658E-6</v>
      </c>
      <c r="O8" s="1">
        <v>1.16587234429324E-6</v>
      </c>
      <c r="P8" s="1">
        <v>-4.4053177498620202E-6</v>
      </c>
    </row>
    <row r="9" spans="1:16" x14ac:dyDescent="0.2">
      <c r="A9">
        <v>8</v>
      </c>
      <c r="B9">
        <v>750</v>
      </c>
      <c r="C9">
        <v>275</v>
      </c>
      <c r="D9">
        <v>0.29739578751893703</v>
      </c>
      <c r="E9">
        <v>5.5448016649130496</v>
      </c>
      <c r="F9">
        <v>0.690861825086169</v>
      </c>
      <c r="G9">
        <v>-112.58574807621758</v>
      </c>
      <c r="H9">
        <v>-72.815133414154232</v>
      </c>
      <c r="I9">
        <v>38.873097176896501</v>
      </c>
      <c r="J9">
        <v>17.778702149585801</v>
      </c>
      <c r="K9">
        <v>8.0259198924784503</v>
      </c>
      <c r="L9">
        <v>1.1236903833695662E-3</v>
      </c>
      <c r="M9">
        <v>1.7907171850878878E-4</v>
      </c>
      <c r="N9" s="1">
        <v>6.2048412883987002E-6</v>
      </c>
      <c r="O9" s="1">
        <v>1.1649503635245901E-6</v>
      </c>
      <c r="P9" s="1">
        <v>-4.4151058525619402E-6</v>
      </c>
    </row>
    <row r="10" spans="1:16" x14ac:dyDescent="0.2">
      <c r="A10">
        <v>9</v>
      </c>
      <c r="B10">
        <v>749</v>
      </c>
      <c r="C10">
        <v>275</v>
      </c>
      <c r="D10">
        <v>0.29663992564692099</v>
      </c>
      <c r="E10">
        <v>5.7611892094896104</v>
      </c>
      <c r="F10">
        <v>0.70968251024400597</v>
      </c>
      <c r="G10">
        <v>-116.1329525244129</v>
      </c>
      <c r="H10">
        <v>-75.907010532417857</v>
      </c>
      <c r="I10">
        <v>39.356594703374299</v>
      </c>
      <c r="J10">
        <v>18.066979799058199</v>
      </c>
      <c r="K10">
        <v>8.1179811060987905</v>
      </c>
      <c r="L10">
        <v>1.1132257645650866E-3</v>
      </c>
      <c r="M10">
        <v>1.769935156166625E-4</v>
      </c>
      <c r="N10" s="1">
        <v>6.2676266486920802E-6</v>
      </c>
      <c r="O10" s="1">
        <v>1.16398467181314E-6</v>
      </c>
      <c r="P10" s="1">
        <v>-4.4247553102343802E-6</v>
      </c>
    </row>
    <row r="11" spans="1:16" x14ac:dyDescent="0.2">
      <c r="A11">
        <v>10</v>
      </c>
      <c r="B11">
        <v>748</v>
      </c>
      <c r="C11">
        <v>275</v>
      </c>
      <c r="D11">
        <v>0.29588258336189799</v>
      </c>
      <c r="E11">
        <v>5.9765314870927</v>
      </c>
      <c r="F11">
        <v>0.72800266151618898</v>
      </c>
      <c r="G11">
        <v>-119.66177750562338</v>
      </c>
      <c r="H11">
        <v>-78.984628328163666</v>
      </c>
      <c r="I11">
        <v>39.837004349265797</v>
      </c>
      <c r="J11">
        <v>18.353821471316099</v>
      </c>
      <c r="K11">
        <v>8.2094912601631993</v>
      </c>
      <c r="L11">
        <v>1.1030418602630862E-3</v>
      </c>
      <c r="M11">
        <v>1.7496806611688373E-4</v>
      </c>
      <c r="N11" s="1">
        <v>6.3305959409995396E-6</v>
      </c>
      <c r="O11" s="1">
        <v>1.16297568616007E-6</v>
      </c>
      <c r="P11" s="1">
        <v>-4.4342662186067002E-6</v>
      </c>
    </row>
    <row r="12" spans="1:16" x14ac:dyDescent="0.2">
      <c r="A12">
        <v>11</v>
      </c>
      <c r="B12">
        <v>747</v>
      </c>
      <c r="C12">
        <v>275</v>
      </c>
      <c r="D12">
        <v>0.29512375631034898</v>
      </c>
      <c r="E12">
        <v>6.1908369253593003</v>
      </c>
      <c r="F12">
        <v>0.74584308802583299</v>
      </c>
      <c r="G12">
        <v>-123.17237133265122</v>
      </c>
      <c r="H12">
        <v>-82.048102217969983</v>
      </c>
      <c r="I12">
        <v>40.3143492806444</v>
      </c>
      <c r="J12">
        <v>18.639237878898999</v>
      </c>
      <c r="K12">
        <v>8.3004549143785393</v>
      </c>
      <c r="L12">
        <v>1.0931268759035051E-3</v>
      </c>
      <c r="M12">
        <v>1.729931831163878E-4</v>
      </c>
      <c r="N12" s="1">
        <v>6.3937458897557399E-6</v>
      </c>
      <c r="O12" s="1">
        <v>1.1619238214457701E-6</v>
      </c>
      <c r="P12" s="1">
        <v>-4.4436386731948897E-6</v>
      </c>
    </row>
    <row r="13" spans="1:16" x14ac:dyDescent="0.2">
      <c r="A13">
        <v>12</v>
      </c>
      <c r="B13">
        <v>746</v>
      </c>
      <c r="C13">
        <v>275</v>
      </c>
      <c r="D13">
        <v>0.29436344012167098</v>
      </c>
      <c r="E13">
        <v>6.4041138642458399</v>
      </c>
      <c r="F13">
        <v>0.76322346088918103</v>
      </c>
      <c r="G13">
        <v>-126.66488077223784</v>
      </c>
      <c r="H13">
        <v>-85.097546418534719</v>
      </c>
      <c r="I13">
        <v>40.788652414828299</v>
      </c>
      <c r="J13">
        <v>18.9232396149403</v>
      </c>
      <c r="K13">
        <v>8.3908765812634094</v>
      </c>
      <c r="L13">
        <v>1.0834696617987702E-3</v>
      </c>
      <c r="M13">
        <v>1.7106679946416719E-4</v>
      </c>
      <c r="N13" s="1">
        <v>6.45707319566251E-6</v>
      </c>
      <c r="O13" s="1">
        <v>1.1608294904641499E-6</v>
      </c>
      <c r="P13" s="1">
        <v>-4.4528727694418098E-6</v>
      </c>
    </row>
    <row r="14" spans="1:16" x14ac:dyDescent="0.2">
      <c r="A14">
        <v>13</v>
      </c>
      <c r="B14">
        <v>745</v>
      </c>
      <c r="C14">
        <v>275</v>
      </c>
      <c r="D14">
        <v>0.29360163040809401</v>
      </c>
      <c r="E14">
        <v>6.61637055539987</v>
      </c>
      <c r="F14">
        <v>0.78016238980608599</v>
      </c>
      <c r="G14">
        <v>-130.13945103626997</v>
      </c>
      <c r="H14">
        <v>-88.133073937022814</v>
      </c>
      <c r="I14">
        <v>41.259936420001303</v>
      </c>
      <c r="J14">
        <v>19.205837152604399</v>
      </c>
      <c r="K14">
        <v>8.4807607260385893</v>
      </c>
      <c r="L14">
        <v>1.0740596697467997E-3</v>
      </c>
      <c r="M14">
        <v>1.6918695969122196E-4</v>
      </c>
      <c r="N14" s="1">
        <v>6.5205745359187999E-6</v>
      </c>
      <c r="O14" s="1">
        <v>1.1596931039527801E-6</v>
      </c>
      <c r="P14" s="1">
        <v>-4.4619686028401E-6</v>
      </c>
    </row>
    <row r="15" spans="1:16" x14ac:dyDescent="0.2">
      <c r="A15">
        <v>14</v>
      </c>
      <c r="B15">
        <v>744</v>
      </c>
      <c r="C15">
        <v>275</v>
      </c>
      <c r="D15">
        <v>0.29283832276459099</v>
      </c>
      <c r="E15">
        <v>6.8276151645620198</v>
      </c>
      <c r="F15">
        <v>0.79667749378869002</v>
      </c>
      <c r="G15">
        <v>-133.59622582221266</v>
      </c>
      <c r="H15">
        <v>-91.154796604755361</v>
      </c>
      <c r="I15">
        <v>41.728223720618502</v>
      </c>
      <c r="J15">
        <v>19.487040847978701</v>
      </c>
      <c r="K15">
        <v>8.5701117676771794</v>
      </c>
      <c r="L15">
        <v>1.0648869129546814E-3</v>
      </c>
      <c r="M15">
        <v>1.6735181256986569E-4</v>
      </c>
      <c r="N15" s="1">
        <v>6.5842465644364603E-6</v>
      </c>
      <c r="O15" s="1">
        <v>1.15851507061709E-6</v>
      </c>
      <c r="P15" s="1">
        <v>-4.4709262690346302E-6</v>
      </c>
    </row>
    <row r="16" spans="1:16" x14ac:dyDescent="0.2">
      <c r="A16">
        <v>15</v>
      </c>
      <c r="B16">
        <v>743</v>
      </c>
      <c r="C16">
        <v>275</v>
      </c>
      <c r="D16">
        <v>0.29207351276878402</v>
      </c>
      <c r="E16">
        <v>7.0378557716987897</v>
      </c>
      <c r="F16">
        <v>0.81278546611966096</v>
      </c>
      <c r="G16">
        <v>-137.03534731726756</v>
      </c>
      <c r="H16">
        <v>-94.162825078280321</v>
      </c>
      <c r="I16">
        <v>42.193536499246299</v>
      </c>
      <c r="J16">
        <v>19.766860940695398</v>
      </c>
      <c r="K16">
        <v>8.6589340792452791</v>
      </c>
      <c r="L16">
        <v>1.0559419292397985E-3</v>
      </c>
      <c r="M16">
        <v>1.6555960427808188E-4</v>
      </c>
      <c r="N16" s="1">
        <v>6.6480859122634201E-6</v>
      </c>
      <c r="O16" s="1">
        <v>1.1572957971895101E-6</v>
      </c>
      <c r="P16" s="1">
        <v>-4.4797458640611702E-6</v>
      </c>
    </row>
    <row r="17" spans="1:16" x14ac:dyDescent="0.2">
      <c r="A17">
        <v>16</v>
      </c>
      <c r="B17">
        <v>742</v>
      </c>
      <c r="C17">
        <v>275</v>
      </c>
      <c r="D17">
        <v>0.291307195980888</v>
      </c>
      <c r="E17">
        <v>7.2471003734459201</v>
      </c>
      <c r="F17">
        <v>0.82850213446368404</v>
      </c>
      <c r="G17">
        <v>-140.45695623915063</v>
      </c>
      <c r="H17">
        <v>-97.157268873757772</v>
      </c>
      <c r="I17">
        <v>42.655896701667203</v>
      </c>
      <c r="J17">
        <v>20.045307556723301</v>
      </c>
      <c r="K17">
        <v>8.7472319888918495</v>
      </c>
      <c r="L17">
        <v>1.0472157469684827E-3</v>
      </c>
      <c r="M17">
        <v>1.6380867207600611E-4</v>
      </c>
      <c r="N17" s="1">
        <v>6.7120891877276703E-6</v>
      </c>
      <c r="O17" s="1">
        <v>1.1560356884377601E-6</v>
      </c>
      <c r="P17" s="1">
        <v>-4.4884274843912304E-6</v>
      </c>
    </row>
    <row r="18" spans="1:16" x14ac:dyDescent="0.2">
      <c r="A18">
        <v>17</v>
      </c>
      <c r="B18">
        <v>741</v>
      </c>
      <c r="C18">
        <v>275</v>
      </c>
      <c r="D18">
        <v>0.29053936794360102</v>
      </c>
      <c r="E18">
        <v>12.338196565994</v>
      </c>
      <c r="F18">
        <v>1.1068339630055299</v>
      </c>
      <c r="G18">
        <v>-223.19087221644833</v>
      </c>
      <c r="H18">
        <v>-167.60108537928383</v>
      </c>
      <c r="I18">
        <v>54.816741997092798</v>
      </c>
      <c r="J18">
        <v>26.844400817564399</v>
      </c>
      <c r="K18">
        <v>11.1472876496222</v>
      </c>
      <c r="L18">
        <v>8.7999159672580288E-4</v>
      </c>
      <c r="M18">
        <v>1.370898347120772E-4</v>
      </c>
      <c r="N18" s="1">
        <v>7.18250717700637E-6</v>
      </c>
      <c r="O18" s="1">
        <v>1.2299093809914099E-6</v>
      </c>
      <c r="P18" s="1">
        <v>-4.7895549378289397E-6</v>
      </c>
    </row>
    <row r="19" spans="1:16" x14ac:dyDescent="0.2">
      <c r="A19">
        <v>18</v>
      </c>
      <c r="B19">
        <v>740</v>
      </c>
      <c r="C19">
        <v>275</v>
      </c>
      <c r="D19">
        <v>0.28977002418201098</v>
      </c>
      <c r="E19">
        <v>36.582198522370398</v>
      </c>
      <c r="F19">
        <v>1.60325685137341</v>
      </c>
      <c r="G19">
        <v>-619.99599352215023</v>
      </c>
      <c r="H19">
        <v>-504.30089114582159</v>
      </c>
      <c r="I19">
        <v>114.19691752802601</v>
      </c>
      <c r="J19">
        <v>59.919563091751002</v>
      </c>
      <c r="K19">
        <v>22.817428468203602</v>
      </c>
      <c r="L19">
        <v>5.8379024455368432E-4</v>
      </c>
      <c r="M19">
        <v>9.0143738069676835E-5</v>
      </c>
      <c r="N19" s="1">
        <v>9.4625512193854593E-6</v>
      </c>
      <c r="O19" s="1">
        <v>1.6441455240244299E-6</v>
      </c>
      <c r="P19" s="1">
        <v>-6.4210866412770699E-6</v>
      </c>
    </row>
    <row r="20" spans="1:16" x14ac:dyDescent="0.2">
      <c r="A20">
        <v>19</v>
      </c>
      <c r="B20">
        <v>739</v>
      </c>
      <c r="C20">
        <v>275</v>
      </c>
      <c r="D20">
        <v>0.28899916020352701</v>
      </c>
      <c r="E20">
        <v>51.696090748352802</v>
      </c>
      <c r="F20">
        <v>1.7181653248253399</v>
      </c>
      <c r="G20">
        <v>-867.29345649468803</v>
      </c>
      <c r="H20">
        <v>-714.2801253587038</v>
      </c>
      <c r="I20">
        <v>151.180550384817</v>
      </c>
      <c r="J20">
        <v>80.571201005280699</v>
      </c>
      <c r="K20">
        <v>30.087960687722401</v>
      </c>
      <c r="L20">
        <v>5.1550500186232559E-4</v>
      </c>
      <c r="M20">
        <v>7.9203586850201877E-5</v>
      </c>
      <c r="N20" s="1">
        <v>1.09192936369106E-5</v>
      </c>
      <c r="O20" s="1">
        <v>1.89904170988045E-6</v>
      </c>
      <c r="P20" s="1">
        <v>-7.4385531683752904E-6</v>
      </c>
    </row>
    <row r="21" spans="1:16" x14ac:dyDescent="0.2">
      <c r="A21">
        <v>20</v>
      </c>
      <c r="B21">
        <v>738</v>
      </c>
      <c r="C21">
        <v>275</v>
      </c>
      <c r="D21">
        <v>0.28822677149780002</v>
      </c>
      <c r="E21">
        <v>89.207631484398107</v>
      </c>
      <c r="F21">
        <v>1.8554231898737601</v>
      </c>
      <c r="G21">
        <v>-1477.534507030143</v>
      </c>
      <c r="H21">
        <v>-1231.825676145502</v>
      </c>
      <c r="I21">
        <v>243.004784523414</v>
      </c>
      <c r="J21">
        <v>131.77143511739399</v>
      </c>
      <c r="K21">
        <v>48.079398797676497</v>
      </c>
      <c r="L21">
        <v>4.3651851278672676E-4</v>
      </c>
      <c r="M21">
        <v>6.662500183492313E-5</v>
      </c>
      <c r="N21" s="1">
        <v>1.44862272983351E-5</v>
      </c>
      <c r="O21" s="1">
        <v>2.54120246645361E-6</v>
      </c>
      <c r="P21" s="1">
        <v>-9.9829876860361704E-6</v>
      </c>
    </row>
    <row r="22" spans="1:16" x14ac:dyDescent="0.2">
      <c r="A22">
        <v>21</v>
      </c>
      <c r="B22">
        <v>737</v>
      </c>
      <c r="C22">
        <v>275</v>
      </c>
      <c r="D22">
        <v>0.28745285353660599</v>
      </c>
      <c r="E22">
        <v>98.3353183816441</v>
      </c>
      <c r="F22">
        <v>1.8752582551135299</v>
      </c>
      <c r="G22">
        <v>-1625.876966839028</v>
      </c>
      <c r="H22">
        <v>-1357.9597195087586</v>
      </c>
      <c r="I22">
        <v>265.23094968121001</v>
      </c>
      <c r="J22">
        <v>144.275026483895</v>
      </c>
      <c r="K22">
        <v>52.438280494699498</v>
      </c>
      <c r="L22">
        <v>4.2543796692401706E-4</v>
      </c>
      <c r="M22">
        <v>6.4728495403787621E-5</v>
      </c>
      <c r="N22" s="1">
        <v>1.5415661755920698E-5</v>
      </c>
      <c r="O22" s="1">
        <v>2.68924151321505E-6</v>
      </c>
      <c r="P22" s="1">
        <v>-1.0596357787464599E-5</v>
      </c>
    </row>
    <row r="23" spans="1:16" x14ac:dyDescent="0.2">
      <c r="A23">
        <v>22</v>
      </c>
      <c r="B23">
        <v>736</v>
      </c>
      <c r="C23">
        <v>275</v>
      </c>
      <c r="D23">
        <v>0.28667740177377199</v>
      </c>
      <c r="E23">
        <v>101.57427677894999</v>
      </c>
      <c r="F23">
        <v>1.88206830756274</v>
      </c>
      <c r="G23">
        <v>-1678.3283006769072</v>
      </c>
      <c r="H23">
        <v>-1402.8210403124788</v>
      </c>
      <c r="I23">
        <v>273.015089263211</v>
      </c>
      <c r="J23">
        <v>148.742943832826</v>
      </c>
      <c r="K23">
        <v>53.969495352954198</v>
      </c>
      <c r="L23">
        <v>4.2186147308887108E-4</v>
      </c>
      <c r="M23">
        <v>6.4012890354593095E-5</v>
      </c>
      <c r="N23" s="1">
        <v>1.57959517319353E-5</v>
      </c>
      <c r="O23" s="1">
        <v>2.7348581266626298E-6</v>
      </c>
      <c r="P23" s="1">
        <v>-1.08086907802791E-5</v>
      </c>
    </row>
    <row r="24" spans="1:16" x14ac:dyDescent="0.2">
      <c r="A24">
        <v>23</v>
      </c>
      <c r="B24">
        <v>757</v>
      </c>
      <c r="C24">
        <v>255</v>
      </c>
      <c r="D24">
        <v>0.32400184439159502</v>
      </c>
      <c r="E24">
        <v>4.43645206405954</v>
      </c>
      <c r="F24">
        <v>0.53143867304734604</v>
      </c>
      <c r="G24">
        <v>-96.298882329909731</v>
      </c>
      <c r="H24">
        <v>-56.431056606777084</v>
      </c>
      <c r="I24">
        <v>38.703455354494999</v>
      </c>
      <c r="J24">
        <v>17.260905944976699</v>
      </c>
      <c r="K24">
        <v>8.3480038037508297</v>
      </c>
      <c r="L24">
        <v>1.2747331376960433E-3</v>
      </c>
      <c r="M24">
        <v>2.2120537379198216E-4</v>
      </c>
      <c r="N24" s="1">
        <v>6.6217323051565099E-6</v>
      </c>
      <c r="O24" s="1">
        <v>1.6663023501877299E-6</v>
      </c>
      <c r="P24" s="1">
        <v>-5.6987494094654304E-6</v>
      </c>
    </row>
    <row r="25" spans="1:16" x14ac:dyDescent="0.2">
      <c r="A25">
        <v>24</v>
      </c>
      <c r="B25">
        <v>756</v>
      </c>
      <c r="C25">
        <v>255</v>
      </c>
      <c r="D25">
        <v>0.32327697614536499</v>
      </c>
      <c r="E25">
        <v>4.5235906750533097</v>
      </c>
      <c r="F25">
        <v>0.53985615437572299</v>
      </c>
      <c r="G25">
        <v>-97.70924832930163</v>
      </c>
      <c r="H25">
        <v>-57.685266524275029</v>
      </c>
      <c r="I25">
        <v>38.892798475254601</v>
      </c>
      <c r="J25">
        <v>17.384162291597999</v>
      </c>
      <c r="K25">
        <v>8.3792518403060203</v>
      </c>
      <c r="L25">
        <v>1.2706530122497811E-3</v>
      </c>
      <c r="M25">
        <v>2.1995923189044815E-4</v>
      </c>
      <c r="N25" s="1">
        <v>6.6898752307045504E-6</v>
      </c>
      <c r="O25" s="1">
        <v>1.6625300432735601E-6</v>
      </c>
      <c r="P25" s="1">
        <v>-5.7038061790790697E-6</v>
      </c>
    </row>
    <row r="26" spans="1:16" x14ac:dyDescent="0.2">
      <c r="A26">
        <v>25</v>
      </c>
      <c r="B26">
        <v>755</v>
      </c>
      <c r="C26">
        <v>255</v>
      </c>
      <c r="D26">
        <v>0.322550697855369</v>
      </c>
      <c r="E26">
        <v>4.7410249825353201</v>
      </c>
      <c r="F26">
        <v>0.559678029408889</v>
      </c>
      <c r="G26">
        <v>-101.27800476466508</v>
      </c>
      <c r="H26">
        <v>-60.79167016571305</v>
      </c>
      <c r="I26">
        <v>39.3803266608627</v>
      </c>
      <c r="J26">
        <v>17.6754571948582</v>
      </c>
      <c r="K26">
        <v>8.4709864125676209</v>
      </c>
      <c r="L26">
        <v>1.2593174248940627E-3</v>
      </c>
      <c r="M26">
        <v>2.17471506645087E-4</v>
      </c>
      <c r="N26" s="1">
        <v>6.7677628936941102E-6</v>
      </c>
      <c r="O26" s="1">
        <v>1.66107039886384E-6</v>
      </c>
      <c r="P26" s="1">
        <v>-5.7168106481493401E-6</v>
      </c>
    </row>
    <row r="27" spans="1:16" x14ac:dyDescent="0.2">
      <c r="A27">
        <v>26</v>
      </c>
      <c r="B27">
        <v>754</v>
      </c>
      <c r="C27">
        <v>255</v>
      </c>
      <c r="D27">
        <v>0.321823005403299</v>
      </c>
      <c r="E27">
        <v>4.9574070536009103</v>
      </c>
      <c r="F27">
        <v>0.57899003177901098</v>
      </c>
      <c r="G27">
        <v>-104.82825944948789</v>
      </c>
      <c r="H27">
        <v>-63.883713646739267</v>
      </c>
      <c r="I27">
        <v>39.864771975403102</v>
      </c>
      <c r="J27">
        <v>17.965324003259301</v>
      </c>
      <c r="K27">
        <v>8.5621630451369395</v>
      </c>
      <c r="L27">
        <v>1.2482767116716023E-3</v>
      </c>
      <c r="M27">
        <v>2.1504468484140015E-4</v>
      </c>
      <c r="N27" s="1">
        <v>6.8459659715813497E-6</v>
      </c>
      <c r="O27" s="1">
        <v>1.65955206261263E-6</v>
      </c>
      <c r="P27" s="1">
        <v>-5.7296511186690801E-6</v>
      </c>
    </row>
    <row r="28" spans="1:16" x14ac:dyDescent="0.2">
      <c r="A28">
        <v>27</v>
      </c>
      <c r="B28">
        <v>753</v>
      </c>
      <c r="C28">
        <v>255</v>
      </c>
      <c r="D28">
        <v>0.321093894654779</v>
      </c>
      <c r="E28">
        <v>5.1727453032958399</v>
      </c>
      <c r="F28">
        <v>0.59781266723098203</v>
      </c>
      <c r="G28">
        <v>-108.36016069633943</v>
      </c>
      <c r="H28">
        <v>-66.9615122030023</v>
      </c>
      <c r="I28">
        <v>40.3461576402348</v>
      </c>
      <c r="J28">
        <v>18.253773360742802</v>
      </c>
      <c r="K28">
        <v>8.6527863774709992</v>
      </c>
      <c r="L28">
        <v>1.2375188609845759E-3</v>
      </c>
      <c r="M28">
        <v>2.1267632108393033E-4</v>
      </c>
      <c r="N28" s="1">
        <v>6.9244803691549297E-6</v>
      </c>
      <c r="O28" s="1">
        <v>1.6579755377823001E-6</v>
      </c>
      <c r="P28" s="1">
        <v>-5.7423274061611003E-6</v>
      </c>
    </row>
    <row r="29" spans="1:16" x14ac:dyDescent="0.2">
      <c r="A29">
        <v>28</v>
      </c>
      <c r="B29">
        <v>752</v>
      </c>
      <c r="C29">
        <v>255</v>
      </c>
      <c r="D29">
        <v>0.3203633614593</v>
      </c>
      <c r="E29">
        <v>5.3870480588779603</v>
      </c>
      <c r="F29">
        <v>0.61616535567888597</v>
      </c>
      <c r="G29">
        <v>-111.87385527093545</v>
      </c>
      <c r="H29">
        <v>-70.025179867828598</v>
      </c>
      <c r="I29">
        <v>40.824506631241803</v>
      </c>
      <c r="J29">
        <v>18.540815792888701</v>
      </c>
      <c r="K29">
        <v>8.7428610018856805</v>
      </c>
      <c r="L29">
        <v>1.2270324969632983E-3</v>
      </c>
      <c r="M29">
        <v>2.1036409965501798E-4</v>
      </c>
      <c r="N29" s="1">
        <v>7.0033019453541903E-6</v>
      </c>
      <c r="O29" s="1">
        <v>1.6563413258524E-6</v>
      </c>
      <c r="P29" s="1">
        <v>-5.7548393262936503E-6</v>
      </c>
    </row>
    <row r="30" spans="1:16" x14ac:dyDescent="0.2">
      <c r="A30">
        <v>29</v>
      </c>
      <c r="B30">
        <v>751</v>
      </c>
      <c r="C30">
        <v>255</v>
      </c>
      <c r="D30">
        <v>0.31963140165015202</v>
      </c>
      <c r="E30">
        <v>5.6003235597538801</v>
      </c>
      <c r="F30">
        <v>0.63406650202010495</v>
      </c>
      <c r="G30">
        <v>-115.36948839202836</v>
      </c>
      <c r="H30">
        <v>-73.074829470796772</v>
      </c>
      <c r="I30">
        <v>41.299841678919101</v>
      </c>
      <c r="J30">
        <v>18.826461706760998</v>
      </c>
      <c r="K30">
        <v>8.8323914635318594</v>
      </c>
      <c r="L30">
        <v>1.2168068380233427E-3</v>
      </c>
      <c r="M30">
        <v>2.0810582605745265E-4</v>
      </c>
      <c r="N30" s="1">
        <v>7.0824265134178804E-6</v>
      </c>
      <c r="O30" s="1">
        <v>1.6546499265284701E-6</v>
      </c>
      <c r="P30" s="1">
        <v>-5.7671866949667897E-6</v>
      </c>
    </row>
    <row r="31" spans="1:16" x14ac:dyDescent="0.2">
      <c r="A31">
        <v>30</v>
      </c>
      <c r="B31">
        <v>750</v>
      </c>
      <c r="C31">
        <v>255</v>
      </c>
      <c r="D31">
        <v>0.31889801104432502</v>
      </c>
      <c r="E31">
        <v>5.8125799571472099</v>
      </c>
      <c r="F31">
        <v>0.65153356145292696</v>
      </c>
      <c r="G31">
        <v>-118.84720372710267</v>
      </c>
      <c r="H31">
        <v>-76.110572632420997</v>
      </c>
      <c r="I31">
        <v>41.772185268162801</v>
      </c>
      <c r="J31">
        <v>19.11072139054</v>
      </c>
      <c r="K31">
        <v>8.9213822603168698</v>
      </c>
      <c r="L31">
        <v>1.2068316586410239E-3</v>
      </c>
      <c r="M31">
        <v>2.0589941921326897E-4</v>
      </c>
      <c r="N31" s="1">
        <v>7.1618498410978099E-6</v>
      </c>
      <c r="O31" s="1">
        <v>1.65290183776371E-6</v>
      </c>
      <c r="P31" s="1">
        <v>-5.7793693284446303E-6</v>
      </c>
    </row>
    <row r="32" spans="1:16" x14ac:dyDescent="0.2">
      <c r="A32">
        <v>31</v>
      </c>
      <c r="B32">
        <v>749</v>
      </c>
      <c r="C32">
        <v>255</v>
      </c>
      <c r="D32">
        <v>0.31816318544244998</v>
      </c>
      <c r="E32">
        <v>6.0238253179094698</v>
      </c>
      <c r="F32">
        <v>0.66858310013331101</v>
      </c>
      <c r="G32">
        <v>-122.30714345649281</v>
      </c>
      <c r="H32">
        <v>-79.132519817791547</v>
      </c>
      <c r="I32">
        <v>42.241559647318702</v>
      </c>
      <c r="J32">
        <v>19.3936050184092</v>
      </c>
      <c r="K32">
        <v>9.00983784470227</v>
      </c>
      <c r="L32">
        <v>1.1970972538388179E-3</v>
      </c>
      <c r="M32">
        <v>2.0374290422272326E-4</v>
      </c>
      <c r="N32" s="1">
        <v>7.2415676511462901E-6</v>
      </c>
      <c r="O32" s="1">
        <v>1.65109755584048E-6</v>
      </c>
      <c r="P32" s="1">
        <v>-5.7913870436983904E-6</v>
      </c>
    </row>
    <row r="33" spans="1:16" x14ac:dyDescent="0.2">
      <c r="A33">
        <v>32</v>
      </c>
      <c r="B33">
        <v>748</v>
      </c>
      <c r="C33">
        <v>255</v>
      </c>
      <c r="D33">
        <v>0.31742692062870498</v>
      </c>
      <c r="E33">
        <v>6.2340676242105202</v>
      </c>
      <c r="F33">
        <v>0.68523085092884295</v>
      </c>
      <c r="G33">
        <v>-125.74944826977689</v>
      </c>
      <c r="H33">
        <v>-82.140780331489495</v>
      </c>
      <c r="I33">
        <v>42.707986828473302</v>
      </c>
      <c r="J33">
        <v>19.675122650410898</v>
      </c>
      <c r="K33">
        <v>9.0977626237349298</v>
      </c>
      <c r="L33">
        <v>1.1875944065592987E-3</v>
      </c>
      <c r="M33">
        <v>2.016344057050725E-4</v>
      </c>
      <c r="N33" s="1">
        <v>7.3215756216740501E-6</v>
      </c>
      <c r="O33" s="1">
        <v>1.6492375754160999E-6</v>
      </c>
      <c r="P33" s="1">
        <v>-5.8032396586302199E-6</v>
      </c>
    </row>
    <row r="34" spans="1:16" x14ac:dyDescent="0.2">
      <c r="A34">
        <v>33</v>
      </c>
      <c r="B34">
        <v>747</v>
      </c>
      <c r="C34">
        <v>255</v>
      </c>
      <c r="D34">
        <v>0.316689212370732</v>
      </c>
      <c r="E34">
        <v>6.4433147728715197</v>
      </c>
      <c r="F34">
        <v>0.70149176501009702</v>
      </c>
      <c r="G34">
        <v>-129.17425735574528</v>
      </c>
      <c r="H34">
        <v>-85.135462307559891</v>
      </c>
      <c r="I34">
        <v>43.171488586290302</v>
      </c>
      <c r="J34">
        <v>19.955284231569301</v>
      </c>
      <c r="K34">
        <v>9.1851609587730003</v>
      </c>
      <c r="L34">
        <v>1.1783143574753167E-3</v>
      </c>
      <c r="M34">
        <v>1.9957214163619883E-4</v>
      </c>
      <c r="N34" s="1">
        <v>7.4018693863372198E-6</v>
      </c>
      <c r="O34" s="1">
        <v>1.6473223895262E-6</v>
      </c>
      <c r="P34" s="1">
        <v>-5.81492699214913E-6</v>
      </c>
    </row>
    <row r="35" spans="1:16" x14ac:dyDescent="0.2">
      <c r="A35">
        <v>34</v>
      </c>
      <c r="B35">
        <v>746</v>
      </c>
      <c r="C35">
        <v>255</v>
      </c>
      <c r="D35">
        <v>0.31595005641956603</v>
      </c>
      <c r="E35">
        <v>6.6515745813547804</v>
      </c>
      <c r="F35">
        <v>0.71738006013348199</v>
      </c>
      <c r="G35">
        <v>-132.58170850254976</v>
      </c>
      <c r="H35">
        <v>-88.116672794171109</v>
      </c>
      <c r="I35">
        <v>43.6320864720456</v>
      </c>
      <c r="J35">
        <v>20.2340995996136</v>
      </c>
      <c r="K35">
        <v>9.2720371682997804</v>
      </c>
      <c r="L35">
        <v>1.1692487767098886E-3</v>
      </c>
      <c r="M35">
        <v>1.9755441758706195E-4</v>
      </c>
      <c r="N35" s="1">
        <v>7.4824445350719004E-6</v>
      </c>
      <c r="O35" s="1">
        <v>1.6453524897039101E-6</v>
      </c>
      <c r="P35" s="1">
        <v>-5.8264488646593703E-6</v>
      </c>
    </row>
    <row r="36" spans="1:16" x14ac:dyDescent="0.2">
      <c r="A36">
        <v>35</v>
      </c>
      <c r="B36">
        <v>745</v>
      </c>
      <c r="C36">
        <v>255</v>
      </c>
      <c r="D36">
        <v>0.31520944850955201</v>
      </c>
      <c r="E36">
        <v>6.8588547826385602</v>
      </c>
      <c r="F36">
        <v>0.73290926460932304</v>
      </c>
      <c r="G36">
        <v>-135.97193801415528</v>
      </c>
      <c r="H36">
        <v>-91.08451768011048</v>
      </c>
      <c r="I36">
        <v>44.089801802664702</v>
      </c>
      <c r="J36">
        <v>20.5115784785161</v>
      </c>
      <c r="K36">
        <v>9.3583955256653208</v>
      </c>
      <c r="L36">
        <v>1.1603897381272743E-3</v>
      </c>
      <c r="M36">
        <v>1.9557962146779718E-4</v>
      </c>
      <c r="N36" s="1">
        <v>7.5632966140517697E-6</v>
      </c>
      <c r="O36" s="1">
        <v>1.6433283659257099E-6</v>
      </c>
      <c r="P36" s="1">
        <v>-5.8378050979391304E-6</v>
      </c>
    </row>
    <row r="37" spans="1:16" x14ac:dyDescent="0.2">
      <c r="A37">
        <v>36</v>
      </c>
      <c r="B37">
        <v>744</v>
      </c>
      <c r="C37">
        <v>255</v>
      </c>
      <c r="D37">
        <v>0.31446738435825899</v>
      </c>
      <c r="E37">
        <v>18.817031959278399</v>
      </c>
      <c r="F37">
        <v>1.2451690518293099</v>
      </c>
      <c r="G37">
        <v>-331.63265687635288</v>
      </c>
      <c r="H37">
        <v>-257.21698107836187</v>
      </c>
      <c r="I37">
        <v>73.163940835892504</v>
      </c>
      <c r="J37">
        <v>36.704661511145098</v>
      </c>
      <c r="K37">
        <v>15.1120299140375</v>
      </c>
      <c r="L37">
        <v>8.380538354011692E-4</v>
      </c>
      <c r="M37">
        <v>1.4038781921122556E-4</v>
      </c>
      <c r="N37" s="1">
        <v>8.7362216381251307E-6</v>
      </c>
      <c r="O37" s="1">
        <v>1.8978200442179701E-6</v>
      </c>
      <c r="P37" s="1">
        <v>-6.7628824812740799E-6</v>
      </c>
    </row>
    <row r="38" spans="1:16" x14ac:dyDescent="0.2">
      <c r="A38">
        <v>37</v>
      </c>
      <c r="B38">
        <v>743</v>
      </c>
      <c r="C38">
        <v>255</v>
      </c>
      <c r="D38">
        <v>0.31372385966638899</v>
      </c>
      <c r="E38">
        <v>40.854787369767898</v>
      </c>
      <c r="F38">
        <v>1.58748635512287</v>
      </c>
      <c r="G38">
        <v>-692.30447610828492</v>
      </c>
      <c r="H38">
        <v>-563.43010007823909</v>
      </c>
      <c r="I38">
        <v>126.829872611065</v>
      </c>
      <c r="J38">
        <v>66.605865120556402</v>
      </c>
      <c r="K38">
        <v>25.735520332460101</v>
      </c>
      <c r="L38">
        <v>6.2274925713652043E-4</v>
      </c>
      <c r="M38">
        <v>1.0357433516272195E-4</v>
      </c>
      <c r="N38" s="1">
        <v>1.0877484632859599E-5</v>
      </c>
      <c r="O38" s="1">
        <v>2.3735845650403199E-6</v>
      </c>
      <c r="P38" s="1">
        <v>-8.4844461926681797E-6</v>
      </c>
    </row>
    <row r="39" spans="1:16" x14ac:dyDescent="0.2">
      <c r="A39">
        <v>38</v>
      </c>
      <c r="B39">
        <v>742</v>
      </c>
      <c r="C39">
        <v>255</v>
      </c>
      <c r="D39">
        <v>0.31297887011771702</v>
      </c>
      <c r="E39">
        <v>67.515777102322701</v>
      </c>
      <c r="F39">
        <v>1.75122897894555</v>
      </c>
      <c r="G39">
        <v>-1126.8798856991646</v>
      </c>
      <c r="H39">
        <v>-932.29300169433816</v>
      </c>
      <c r="I39">
        <v>191.68755387739401</v>
      </c>
      <c r="J39">
        <v>102.75996150711499</v>
      </c>
      <c r="K39">
        <v>38.553369041994202</v>
      </c>
      <c r="L39">
        <v>5.2143998742516437E-4</v>
      </c>
      <c r="M39">
        <v>8.6195863984532366E-5</v>
      </c>
      <c r="N39" s="1">
        <v>1.34871531605627E-5</v>
      </c>
      <c r="O39" s="1">
        <v>2.9484954634154798E-6</v>
      </c>
      <c r="P39" s="1">
        <v>-1.05722991811684E-5</v>
      </c>
    </row>
    <row r="40" spans="1:16" x14ac:dyDescent="0.2">
      <c r="A40">
        <v>39</v>
      </c>
      <c r="B40">
        <v>741</v>
      </c>
      <c r="C40">
        <v>255</v>
      </c>
      <c r="D40">
        <v>0.31223241137898899</v>
      </c>
      <c r="E40">
        <v>92.057230465927802</v>
      </c>
      <c r="F40">
        <v>1.8293630177623299</v>
      </c>
      <c r="G40">
        <v>-1526.0599654579732</v>
      </c>
      <c r="H40">
        <v>-1271.2049523076644</v>
      </c>
      <c r="I40">
        <v>251.30465200467299</v>
      </c>
      <c r="J40">
        <v>136.04904708814701</v>
      </c>
      <c r="K40">
        <v>50.322013494364697</v>
      </c>
      <c r="L40">
        <v>4.7401399570248484E-4</v>
      </c>
      <c r="M40">
        <v>7.7980235324869639E-5</v>
      </c>
      <c r="N40" s="1">
        <v>1.5923590806623899E-5</v>
      </c>
      <c r="O40" s="1">
        <v>3.4732916369842701E-6</v>
      </c>
      <c r="P40" s="1">
        <v>-1.2493144909555499E-5</v>
      </c>
    </row>
    <row r="41" spans="1:16" x14ac:dyDescent="0.2">
      <c r="A41">
        <v>40</v>
      </c>
      <c r="B41">
        <v>740</v>
      </c>
      <c r="C41">
        <v>255</v>
      </c>
      <c r="D41">
        <v>0.31148447909983901</v>
      </c>
      <c r="E41">
        <v>99.117044316044797</v>
      </c>
      <c r="F41">
        <v>1.84622265356576</v>
      </c>
      <c r="G41">
        <v>-1640.7010133804808</v>
      </c>
      <c r="H41">
        <v>-1368.8442141975545</v>
      </c>
      <c r="I41">
        <v>268.33405408859301</v>
      </c>
      <c r="J41">
        <v>145.65827365325299</v>
      </c>
      <c r="K41">
        <v>53.686398075882899</v>
      </c>
      <c r="L41">
        <v>4.6414387427580012E-4</v>
      </c>
      <c r="M41">
        <v>7.6123102491826308E-5</v>
      </c>
      <c r="N41" s="1">
        <v>1.6707345622386899E-5</v>
      </c>
      <c r="O41" s="1">
        <v>3.6138698410990499E-6</v>
      </c>
      <c r="P41" s="1">
        <v>-1.3040076216890901E-5</v>
      </c>
    </row>
    <row r="42" spans="1:16" x14ac:dyDescent="0.2">
      <c r="A42">
        <v>41</v>
      </c>
      <c r="B42">
        <v>757</v>
      </c>
      <c r="C42">
        <v>235</v>
      </c>
      <c r="D42">
        <v>0.34535795757899301</v>
      </c>
      <c r="E42">
        <v>4.7594716411558897</v>
      </c>
      <c r="F42">
        <v>0.50678156046789502</v>
      </c>
      <c r="G42">
        <v>-103.49377204581272</v>
      </c>
      <c r="H42">
        <v>-60.474453370441303</v>
      </c>
      <c r="I42">
        <v>41.7628911685769</v>
      </c>
      <c r="J42">
        <v>18.666348404535199</v>
      </c>
      <c r="K42">
        <v>9.3915643591325999</v>
      </c>
      <c r="L42">
        <v>1.3600194876367279E-3</v>
      </c>
      <c r="M42">
        <v>2.5524045675653169E-4</v>
      </c>
      <c r="N42" s="1">
        <v>7.2689891686418196E-6</v>
      </c>
      <c r="O42" s="1">
        <v>2.4131374292817299E-6</v>
      </c>
      <c r="P42" s="1">
        <v>-7.5130433112349703E-6</v>
      </c>
    </row>
    <row r="43" spans="1:16" x14ac:dyDescent="0.2">
      <c r="A43">
        <v>42</v>
      </c>
      <c r="B43">
        <v>756</v>
      </c>
      <c r="C43">
        <v>235</v>
      </c>
      <c r="D43">
        <v>0.344653840548026</v>
      </c>
      <c r="E43">
        <v>4.8478977832701</v>
      </c>
      <c r="F43">
        <v>0.51455492820940496</v>
      </c>
      <c r="G43">
        <v>-104.92249484976577</v>
      </c>
      <c r="H43">
        <v>-61.749178385064916</v>
      </c>
      <c r="I43">
        <v>41.953109863160002</v>
      </c>
      <c r="J43">
        <v>18.7929980505555</v>
      </c>
      <c r="K43">
        <v>9.4215360061563302</v>
      </c>
      <c r="L43">
        <v>1.3563542974915895E-3</v>
      </c>
      <c r="M43">
        <v>2.5390438935683226E-4</v>
      </c>
      <c r="N43" s="1">
        <v>7.3591734027120198E-6</v>
      </c>
      <c r="O43" s="1">
        <v>2.4077015818254899E-6</v>
      </c>
      <c r="P43" s="1">
        <v>-7.5211435461422E-6</v>
      </c>
    </row>
    <row r="44" spans="1:16" x14ac:dyDescent="0.2">
      <c r="A44">
        <v>43</v>
      </c>
      <c r="B44">
        <v>755</v>
      </c>
      <c r="C44">
        <v>235</v>
      </c>
      <c r="D44">
        <v>0.34394835383941902</v>
      </c>
      <c r="E44">
        <v>5.0595434368225103</v>
      </c>
      <c r="F44">
        <v>0.532082974384399</v>
      </c>
      <c r="G44">
        <v>-108.39241926958879</v>
      </c>
      <c r="H44">
        <v>-64.776686770015445</v>
      </c>
      <c r="I44">
        <v>42.424223319264001</v>
      </c>
      <c r="J44">
        <v>19.078189040072299</v>
      </c>
      <c r="K44">
        <v>9.5089369147287908</v>
      </c>
      <c r="L44">
        <v>1.3461412213116961E-3</v>
      </c>
      <c r="M44">
        <v>2.513560937877568E-4</v>
      </c>
      <c r="N44" s="1">
        <v>7.4586753711730903E-6</v>
      </c>
      <c r="O44" s="1">
        <v>2.4051108325439099E-6</v>
      </c>
      <c r="P44" s="1">
        <v>-7.5381532529393997E-6</v>
      </c>
    </row>
    <row r="45" spans="1:16" x14ac:dyDescent="0.2">
      <c r="A45">
        <v>44</v>
      </c>
      <c r="B45">
        <v>754</v>
      </c>
      <c r="C45">
        <v>235</v>
      </c>
      <c r="D45">
        <v>0.34324149345275801</v>
      </c>
      <c r="E45">
        <v>5.27018646893079</v>
      </c>
      <c r="F45">
        <v>0.54921791354066996</v>
      </c>
      <c r="G45">
        <v>-111.84471138935545</v>
      </c>
      <c r="H45">
        <v>-67.790511988897791</v>
      </c>
      <c r="I45">
        <v>42.892409315665603</v>
      </c>
      <c r="J45">
        <v>19.362032030266299</v>
      </c>
      <c r="K45">
        <v>9.5958022107385705</v>
      </c>
      <c r="L45">
        <v>1.3361604321617472E-3</v>
      </c>
      <c r="M45">
        <v>2.4886150978914077E-4</v>
      </c>
      <c r="N45" s="1">
        <v>7.5586840629305302E-6</v>
      </c>
      <c r="O45" s="1">
        <v>2.4024423158274601E-6</v>
      </c>
      <c r="P45" s="1">
        <v>-7.5549701146217301E-6</v>
      </c>
    </row>
    <row r="46" spans="1:16" x14ac:dyDescent="0.2">
      <c r="A46">
        <v>45</v>
      </c>
      <c r="B46">
        <v>753</v>
      </c>
      <c r="C46">
        <v>235</v>
      </c>
      <c r="D46">
        <v>0.342533255372025</v>
      </c>
      <c r="E46">
        <v>5.4798347087050399</v>
      </c>
      <c r="F46">
        <v>0.56597372058190198</v>
      </c>
      <c r="G46">
        <v>-115.27950938198431</v>
      </c>
      <c r="H46">
        <v>-70.790761250113079</v>
      </c>
      <c r="I46">
        <v>43.357689469483198</v>
      </c>
      <c r="J46">
        <v>19.644536769954499</v>
      </c>
      <c r="K46">
        <v>9.6821363067369806</v>
      </c>
      <c r="L46">
        <v>1.3264034939771607E-3</v>
      </c>
      <c r="M46">
        <v>2.4641872870214402E-4</v>
      </c>
      <c r="N46" s="1">
        <v>7.6591943236547007E-6</v>
      </c>
      <c r="O46" s="1">
        <v>2.3996966027320798E-6</v>
      </c>
      <c r="P46" s="1">
        <v>-7.5715934143876799E-6</v>
      </c>
    </row>
    <row r="47" spans="1:16" x14ac:dyDescent="0.2">
      <c r="A47">
        <v>46</v>
      </c>
      <c r="B47">
        <v>752</v>
      </c>
      <c r="C47">
        <v>235</v>
      </c>
      <c r="D47">
        <v>0.34182363556552797</v>
      </c>
      <c r="E47">
        <v>5.6884959016380403</v>
      </c>
      <c r="F47">
        <v>0.58236371459426195</v>
      </c>
      <c r="G47">
        <v>-118.69694995026519</v>
      </c>
      <c r="H47">
        <v>-73.777540614530963</v>
      </c>
      <c r="I47">
        <v>43.8200851674966</v>
      </c>
      <c r="J47">
        <v>19.925712895234302</v>
      </c>
      <c r="K47">
        <v>9.7679435704562607</v>
      </c>
      <c r="L47">
        <v>1.3168623660617456E-3</v>
      </c>
      <c r="M47">
        <v>2.4402593166683811E-4</v>
      </c>
      <c r="N47" s="1">
        <v>7.7602009113715496E-6</v>
      </c>
      <c r="O47" s="1">
        <v>2.3968742634952799E-6</v>
      </c>
      <c r="P47" s="1">
        <v>-7.5880224344360304E-6</v>
      </c>
    </row>
    <row r="48" spans="1:16" x14ac:dyDescent="0.2">
      <c r="A48">
        <v>47</v>
      </c>
      <c r="B48">
        <v>751</v>
      </c>
      <c r="C48">
        <v>235</v>
      </c>
      <c r="D48">
        <v>0.34111262998584302</v>
      </c>
      <c r="E48">
        <v>5.8961777143491698</v>
      </c>
      <c r="F48">
        <v>0.59840059711085303</v>
      </c>
      <c r="G48">
        <v>-122.09716840624017</v>
      </c>
      <c r="H48">
        <v>-76.750955062507657</v>
      </c>
      <c r="I48">
        <v>44.279617577094299</v>
      </c>
      <c r="J48">
        <v>20.205569935503501</v>
      </c>
      <c r="K48">
        <v>9.8532283270046808</v>
      </c>
      <c r="L48">
        <v>1.3075293800171685E-3</v>
      </c>
      <c r="M48">
        <v>2.4168138438808979E-4</v>
      </c>
      <c r="N48" s="1">
        <v>7.8616984968820299E-6</v>
      </c>
      <c r="O48" s="1">
        <v>2.3939758676677001E-6</v>
      </c>
      <c r="P48" s="1">
        <v>-7.6042564565108902E-6</v>
      </c>
    </row>
    <row r="49" spans="1:16" x14ac:dyDescent="0.2">
      <c r="A49">
        <v>48</v>
      </c>
      <c r="B49">
        <v>750</v>
      </c>
      <c r="C49">
        <v>235</v>
      </c>
      <c r="D49">
        <v>0.34040023456971302</v>
      </c>
      <c r="E49">
        <v>6.1028877314233601</v>
      </c>
      <c r="F49">
        <v>0.61409648715898502</v>
      </c>
      <c r="G49">
        <v>-125.48029862021028</v>
      </c>
      <c r="H49">
        <v>-79.711108448288442</v>
      </c>
      <c r="I49">
        <v>44.736307639927297</v>
      </c>
      <c r="J49">
        <v>20.484117309611101</v>
      </c>
      <c r="K49">
        <v>9.9379948575464905</v>
      </c>
      <c r="L49">
        <v>1.2983972186521009E-3</v>
      </c>
      <c r="M49">
        <v>2.393834323338628E-4</v>
      </c>
      <c r="N49" s="1">
        <v>7.9636816637731807E-6</v>
      </c>
      <c r="O49" s="1">
        <v>2.3910019841121502E-6</v>
      </c>
      <c r="P49" s="1">
        <v>-7.6202947620330199E-6</v>
      </c>
    </row>
    <row r="50" spans="1:16" x14ac:dyDescent="0.2">
      <c r="A50">
        <v>49</v>
      </c>
      <c r="B50">
        <v>749</v>
      </c>
      <c r="C50">
        <v>235</v>
      </c>
      <c r="D50">
        <v>0.33968644523797997</v>
      </c>
      <c r="E50">
        <v>6.3086334620282196</v>
      </c>
      <c r="F50">
        <v>0.62946295463285096</v>
      </c>
      <c r="G50">
        <v>-128.84647313148346</v>
      </c>
      <c r="H50">
        <v>-82.658103593587072</v>
      </c>
      <c r="I50">
        <v>45.190176087601699</v>
      </c>
      <c r="J50">
        <v>20.761364334497799</v>
      </c>
      <c r="K50">
        <v>10.0222474024827</v>
      </c>
      <c r="L50">
        <v>1.2894588958499405E-3</v>
      </c>
      <c r="M50">
        <v>2.3713049617234288E-4</v>
      </c>
      <c r="N50" s="1">
        <v>8.0661449091738907E-6</v>
      </c>
      <c r="O50" s="1">
        <v>2.3879531812118901E-6</v>
      </c>
      <c r="P50" s="1">
        <v>-7.6361366329034601E-6</v>
      </c>
    </row>
    <row r="51" spans="1:16" x14ac:dyDescent="0.2">
      <c r="A51">
        <v>50</v>
      </c>
      <c r="B51">
        <v>748</v>
      </c>
      <c r="C51">
        <v>235</v>
      </c>
      <c r="D51">
        <v>0.33897125789551102</v>
      </c>
      <c r="E51">
        <v>6.5134223348460099</v>
      </c>
      <c r="F51">
        <v>0.644511050614618</v>
      </c>
      <c r="G51">
        <v>-132.19582306478534</v>
      </c>
      <c r="H51">
        <v>-85.592042215156312</v>
      </c>
      <c r="I51">
        <v>45.641243429721399</v>
      </c>
      <c r="J51">
        <v>21.037320218378301</v>
      </c>
      <c r="K51">
        <v>10.105990158950201</v>
      </c>
      <c r="L51">
        <v>1.2807077383335929E-3</v>
      </c>
      <c r="M51">
        <v>2.3492106761560612E-4</v>
      </c>
      <c r="N51" s="1">
        <v>8.1690826433755694E-6</v>
      </c>
      <c r="O51" s="1">
        <v>2.3848300267313599E-6</v>
      </c>
      <c r="P51" s="1">
        <v>-7.6517813512050997E-6</v>
      </c>
    </row>
    <row r="52" spans="1:16" x14ac:dyDescent="0.2">
      <c r="A52">
        <v>51</v>
      </c>
      <c r="B52">
        <v>747</v>
      </c>
      <c r="C52">
        <v>235</v>
      </c>
      <c r="D52">
        <v>0.33825466843111501</v>
      </c>
      <c r="E52">
        <v>28.931515891335401</v>
      </c>
      <c r="F52">
        <v>1.37947589495714</v>
      </c>
      <c r="G52">
        <v>-499.57426923738842</v>
      </c>
      <c r="H52">
        <v>-397.42344453500596</v>
      </c>
      <c r="I52">
        <v>100.136605073138</v>
      </c>
      <c r="J52">
        <v>51.355058874193197</v>
      </c>
      <c r="K52">
        <v>20.972831781329599</v>
      </c>
      <c r="L52">
        <v>7.9310374593163783E-4</v>
      </c>
      <c r="M52">
        <v>1.4428930789363835E-4</v>
      </c>
      <c r="N52" s="1">
        <v>1.032578477975E-5</v>
      </c>
      <c r="O52" s="1">
        <v>3.02590827944678E-6</v>
      </c>
      <c r="P52" s="1">
        <v>-9.7405302252170497E-6</v>
      </c>
    </row>
    <row r="53" spans="1:16" x14ac:dyDescent="0.2">
      <c r="A53">
        <v>52</v>
      </c>
      <c r="B53">
        <v>746</v>
      </c>
      <c r="C53">
        <v>235</v>
      </c>
      <c r="D53">
        <v>0.33753667271746202</v>
      </c>
      <c r="E53">
        <v>46.674020775437903</v>
      </c>
      <c r="F53">
        <v>1.57994091285907</v>
      </c>
      <c r="G53">
        <v>-789.88350846994774</v>
      </c>
      <c r="H53">
        <v>-644.07582025420072</v>
      </c>
      <c r="I53">
        <v>143.071982902412</v>
      </c>
      <c r="J53">
        <v>75.295066977438694</v>
      </c>
      <c r="K53">
        <v>29.541624244020799</v>
      </c>
      <c r="L53">
        <v>6.6018997216905516E-4</v>
      </c>
      <c r="M53">
        <v>1.1944409106310224E-4</v>
      </c>
      <c r="N53" s="1">
        <v>1.20592897238252E-5</v>
      </c>
      <c r="O53" s="1">
        <v>3.51916061847545E-6</v>
      </c>
      <c r="P53" s="1">
        <v>-1.1365940152924801E-5</v>
      </c>
    </row>
    <row r="54" spans="1:16" x14ac:dyDescent="0.2">
      <c r="A54">
        <v>53</v>
      </c>
      <c r="B54">
        <v>745</v>
      </c>
      <c r="C54">
        <v>235</v>
      </c>
      <c r="D54">
        <v>0.33681726661101002</v>
      </c>
      <c r="E54">
        <v>77.562185469012803</v>
      </c>
      <c r="F54">
        <v>1.74652302656722</v>
      </c>
      <c r="G54">
        <v>-1292.5692782875233</v>
      </c>
      <c r="H54">
        <v>-1070.8876007647141</v>
      </c>
      <c r="I54">
        <v>217.734940792461</v>
      </c>
      <c r="J54">
        <v>116.90057482370401</v>
      </c>
      <c r="K54">
        <v>44.409483464675802</v>
      </c>
      <c r="L54">
        <v>5.5190023283826573E-4</v>
      </c>
      <c r="M54">
        <v>9.9243399768398762E-5</v>
      </c>
      <c r="N54" s="1">
        <v>1.50444337392566E-5</v>
      </c>
      <c r="O54" s="1">
        <v>4.3823597104669899E-6</v>
      </c>
      <c r="P54" s="1">
        <v>-1.4200719776681801E-5</v>
      </c>
    </row>
    <row r="55" spans="1:16" x14ac:dyDescent="0.2">
      <c r="A55">
        <v>54</v>
      </c>
      <c r="B55">
        <v>744</v>
      </c>
      <c r="C55">
        <v>235</v>
      </c>
      <c r="D55">
        <v>0.336096445951927</v>
      </c>
      <c r="E55">
        <v>95.0147412154367</v>
      </c>
      <c r="F55">
        <v>1.80018938347368</v>
      </c>
      <c r="G55">
        <v>-1576.327692139929</v>
      </c>
      <c r="H55">
        <v>-1312.0781935486782</v>
      </c>
      <c r="I55">
        <v>259.79966688478402</v>
      </c>
      <c r="J55">
        <v>140.42948442527299</v>
      </c>
      <c r="K55">
        <v>52.780414154034297</v>
      </c>
      <c r="L55">
        <v>5.1766576924227323E-4</v>
      </c>
      <c r="M55">
        <v>9.270964890842627E-5</v>
      </c>
      <c r="N55" s="1">
        <v>1.6814590716699001E-5</v>
      </c>
      <c r="O55" s="1">
        <v>4.8587005684052596E-6</v>
      </c>
      <c r="P55" s="1">
        <v>-1.5796935934380601E-5</v>
      </c>
    </row>
    <row r="56" spans="1:16" x14ac:dyDescent="0.2">
      <c r="A56">
        <v>55</v>
      </c>
      <c r="B56">
        <v>743</v>
      </c>
      <c r="C56">
        <v>235</v>
      </c>
      <c r="D56">
        <v>0.33537420656399403</v>
      </c>
      <c r="E56">
        <v>100.07750356523501</v>
      </c>
      <c r="F56">
        <v>1.8134488062927001</v>
      </c>
      <c r="G56">
        <v>-1658.4399407640717</v>
      </c>
      <c r="H56">
        <v>-1382.1720203734433</v>
      </c>
      <c r="I56">
        <v>271.88291186035701</v>
      </c>
      <c r="J56">
        <v>147.284452488369</v>
      </c>
      <c r="K56">
        <v>55.186285500844697</v>
      </c>
      <c r="L56">
        <v>5.0961798760687678E-4</v>
      </c>
      <c r="M56">
        <v>9.0996387385670411E-5</v>
      </c>
      <c r="N56" s="1">
        <v>1.7442881770566099E-5</v>
      </c>
      <c r="O56" s="1">
        <v>4.9833899829414397E-6</v>
      </c>
      <c r="P56" s="1">
        <v>-1.6256834754263002E-5</v>
      </c>
    </row>
    <row r="57" spans="1:16" x14ac:dyDescent="0.2">
      <c r="A57">
        <v>56</v>
      </c>
      <c r="B57">
        <v>757</v>
      </c>
      <c r="C57">
        <v>215</v>
      </c>
      <c r="D57">
        <v>0.36671407076639501</v>
      </c>
      <c r="E57">
        <v>5.0799296870271196</v>
      </c>
      <c r="F57">
        <v>0.47955072945348198</v>
      </c>
      <c r="G57">
        <v>-110.66803683160026</v>
      </c>
      <c r="H57">
        <v>-64.453552093768536</v>
      </c>
      <c r="I57">
        <v>44.864720463565497</v>
      </c>
      <c r="J57">
        <v>20.080376823946601</v>
      </c>
      <c r="K57">
        <v>10.5931017826131</v>
      </c>
      <c r="L57">
        <v>1.4559824446835829E-3</v>
      </c>
      <c r="M57">
        <v>2.989402771591835E-4</v>
      </c>
      <c r="N57" s="1">
        <v>7.3737638728596604E-6</v>
      </c>
      <c r="O57" s="1">
        <v>3.5760066409332699E-6</v>
      </c>
      <c r="P57" s="1">
        <v>-9.9763140419354099E-6</v>
      </c>
    </row>
    <row r="58" spans="1:16" x14ac:dyDescent="0.2">
      <c r="A58">
        <v>57</v>
      </c>
      <c r="B58">
        <v>756</v>
      </c>
      <c r="C58">
        <v>215</v>
      </c>
      <c r="D58">
        <v>0.36603070495068801</v>
      </c>
      <c r="E58">
        <v>5.2126318745328604</v>
      </c>
      <c r="F58">
        <v>0.489845498391142</v>
      </c>
      <c r="G58">
        <v>-112.8270331891619</v>
      </c>
      <c r="H58">
        <v>-66.360702597064616</v>
      </c>
      <c r="I58">
        <v>45.153030689472502</v>
      </c>
      <c r="J58">
        <v>20.265984087827899</v>
      </c>
      <c r="K58">
        <v>10.641379560807</v>
      </c>
      <c r="L58">
        <v>1.4506194085794669E-3</v>
      </c>
      <c r="M58">
        <v>2.9704950278294632E-4</v>
      </c>
      <c r="N58" s="1">
        <v>7.4955507467506098E-6</v>
      </c>
      <c r="O58" s="1">
        <v>3.56959183810254E-6</v>
      </c>
      <c r="P58" s="1">
        <v>-9.9937014941580303E-6</v>
      </c>
    </row>
    <row r="59" spans="1:16" x14ac:dyDescent="0.2">
      <c r="A59">
        <v>58</v>
      </c>
      <c r="B59">
        <v>755</v>
      </c>
      <c r="C59">
        <v>215</v>
      </c>
      <c r="D59">
        <v>0.36534600982346799</v>
      </c>
      <c r="E59">
        <v>5.4179852014725798</v>
      </c>
      <c r="F59">
        <v>0.50523651090850297</v>
      </c>
      <c r="G59">
        <v>-116.18915992226859</v>
      </c>
      <c r="H59">
        <v>-69.302212281431196</v>
      </c>
      <c r="I59">
        <v>45.606053911848001</v>
      </c>
      <c r="J59">
        <v>20.544812557694001</v>
      </c>
      <c r="K59">
        <v>10.7236612645631</v>
      </c>
      <c r="L59">
        <v>1.4416251113350724E-3</v>
      </c>
      <c r="M59">
        <v>2.9442709909431863E-4</v>
      </c>
      <c r="N59" s="1">
        <v>7.6229567449122302E-6</v>
      </c>
      <c r="O59" s="1">
        <v>3.5653850161878601E-6</v>
      </c>
      <c r="P59" s="1">
        <v>-1.0017329841633199E-5</v>
      </c>
    </row>
    <row r="60" spans="1:16" x14ac:dyDescent="0.2">
      <c r="A60">
        <v>59</v>
      </c>
      <c r="B60">
        <v>754</v>
      </c>
      <c r="C60">
        <v>215</v>
      </c>
      <c r="D60">
        <v>0.36465998150221401</v>
      </c>
      <c r="E60">
        <v>5.62239009489734</v>
      </c>
      <c r="F60">
        <v>0.52033004212969902</v>
      </c>
      <c r="G60">
        <v>-119.5346007699854</v>
      </c>
      <c r="H60">
        <v>-72.230781391587755</v>
      </c>
      <c r="I60">
        <v>46.0563128894591</v>
      </c>
      <c r="J60">
        <v>20.822381223428799</v>
      </c>
      <c r="K60">
        <v>10.805430476174299</v>
      </c>
      <c r="L60">
        <v>1.4328081665989261E-3</v>
      </c>
      <c r="M60">
        <v>2.9185150225160742E-4</v>
      </c>
      <c r="N60" s="1">
        <v>7.7512029043509198E-6</v>
      </c>
      <c r="O60" s="1">
        <v>3.5610717529776299E-6</v>
      </c>
      <c r="P60" s="1">
        <v>-1.0040739161213801E-5</v>
      </c>
    </row>
    <row r="61" spans="1:16" x14ac:dyDescent="0.2">
      <c r="A61">
        <v>60</v>
      </c>
      <c r="B61">
        <v>753</v>
      </c>
      <c r="C61">
        <v>215</v>
      </c>
      <c r="D61">
        <v>0.36397261608926701</v>
      </c>
      <c r="E61">
        <v>6.1997940828326401</v>
      </c>
      <c r="F61">
        <v>0.55984578866389001</v>
      </c>
      <c r="G61">
        <v>-129.06979593951837</v>
      </c>
      <c r="H61">
        <v>-80.393456895150251</v>
      </c>
      <c r="I61">
        <v>47.438757677257797</v>
      </c>
      <c r="J61">
        <v>21.615751516246501</v>
      </c>
      <c r="K61">
        <v>11.074110421780301</v>
      </c>
      <c r="L61">
        <v>1.4070386370229014E-3</v>
      </c>
      <c r="M61">
        <v>2.8580957967279315E-4</v>
      </c>
      <c r="N61" s="1">
        <v>7.9143583996189604E-6</v>
      </c>
      <c r="O61" s="1">
        <v>3.5737217173287501E-6</v>
      </c>
      <c r="P61" s="1">
        <v>-1.01122113062366E-5</v>
      </c>
    </row>
    <row r="62" spans="1:16" x14ac:dyDescent="0.2">
      <c r="A62">
        <v>61</v>
      </c>
      <c r="B62">
        <v>752</v>
      </c>
      <c r="C62">
        <v>215</v>
      </c>
      <c r="D62">
        <v>0.363283909671757</v>
      </c>
      <c r="E62">
        <v>8.6868699434975198</v>
      </c>
      <c r="F62">
        <v>0.70633703186719998</v>
      </c>
      <c r="G62">
        <v>-170.26851089408558</v>
      </c>
      <c r="H62">
        <v>-115.33670216204843</v>
      </c>
      <c r="I62">
        <v>53.587125690950401</v>
      </c>
      <c r="J62">
        <v>25.047950199570799</v>
      </c>
      <c r="K62">
        <v>12.2984772871582</v>
      </c>
      <c r="L62">
        <v>1.3069207835766296E-3</v>
      </c>
      <c r="M62">
        <v>2.6458700776207423E-4</v>
      </c>
      <c r="N62" s="1">
        <v>8.2543158117132498E-6</v>
      </c>
      <c r="O62" s="1">
        <v>3.6725054315016302E-6</v>
      </c>
      <c r="P62" s="1">
        <v>-1.0428615439296301E-5</v>
      </c>
    </row>
    <row r="63" spans="1:16" x14ac:dyDescent="0.2">
      <c r="A63">
        <v>62</v>
      </c>
      <c r="B63">
        <v>751</v>
      </c>
      <c r="C63">
        <v>215</v>
      </c>
      <c r="D63">
        <v>0.36259385832153801</v>
      </c>
      <c r="E63">
        <v>20.151191983976702</v>
      </c>
      <c r="F63">
        <v>1.1270705857351</v>
      </c>
      <c r="G63">
        <v>-358.27090785751142</v>
      </c>
      <c r="H63">
        <v>-274.96940276739031</v>
      </c>
      <c r="I63">
        <v>81.3405348696609</v>
      </c>
      <c r="J63">
        <v>40.4884858653771</v>
      </c>
      <c r="K63">
        <v>17.879263498686299</v>
      </c>
      <c r="L63">
        <v>1.0128122680120558E-3</v>
      </c>
      <c r="M63">
        <v>2.0394785324685214E-4</v>
      </c>
      <c r="N63" s="1">
        <v>9.3161732847240793E-6</v>
      </c>
      <c r="O63" s="1">
        <v>4.1079038636945596E-6</v>
      </c>
      <c r="P63" s="1">
        <v>-1.17061841290181E-5</v>
      </c>
    </row>
    <row r="64" spans="1:16" x14ac:dyDescent="0.2">
      <c r="A64">
        <v>63</v>
      </c>
      <c r="B64">
        <v>750</v>
      </c>
      <c r="C64">
        <v>215</v>
      </c>
      <c r="D64">
        <v>0.36190245809509802</v>
      </c>
      <c r="E64">
        <v>40.9674888220176</v>
      </c>
      <c r="F64">
        <v>1.4642323420288299</v>
      </c>
      <c r="G64">
        <v>-698.93991755275545</v>
      </c>
      <c r="H64">
        <v>-564.41931787303076</v>
      </c>
      <c r="I64">
        <v>131.480877224051</v>
      </c>
      <c r="J64">
        <v>68.404225735775398</v>
      </c>
      <c r="K64">
        <v>27.978817053892701</v>
      </c>
      <c r="L64">
        <v>7.7629641256975592E-4</v>
      </c>
      <c r="M64">
        <v>1.55339504750793E-4</v>
      </c>
      <c r="N64" s="1">
        <v>1.11459595055042E-5</v>
      </c>
      <c r="O64" s="1">
        <v>4.8840124298689603E-6</v>
      </c>
      <c r="P64" s="1">
        <v>-1.39668898755506E-5</v>
      </c>
    </row>
    <row r="65" spans="1:16" x14ac:dyDescent="0.2">
      <c r="A65">
        <v>64</v>
      </c>
      <c r="B65">
        <v>749</v>
      </c>
      <c r="C65">
        <v>215</v>
      </c>
      <c r="D65">
        <v>0.36120970503350902</v>
      </c>
      <c r="E65">
        <v>66.752198611999603</v>
      </c>
      <c r="F65">
        <v>1.6503424246849301</v>
      </c>
      <c r="G65">
        <v>-1119.1528726781792</v>
      </c>
      <c r="H65">
        <v>-921.396942500097</v>
      </c>
      <c r="I65">
        <v>193.47532408974101</v>
      </c>
      <c r="J65">
        <v>102.93458317926201</v>
      </c>
      <c r="K65">
        <v>40.447483875804203</v>
      </c>
      <c r="L65">
        <v>6.4749412516455567E-4</v>
      </c>
      <c r="M65">
        <v>1.2881743274416248E-4</v>
      </c>
      <c r="N65" s="1">
        <v>1.34304970037325E-5</v>
      </c>
      <c r="O65" s="1">
        <v>5.8424224231965403E-6</v>
      </c>
      <c r="P65" s="1">
        <v>-1.6766687186758101E-5</v>
      </c>
    </row>
    <row r="66" spans="1:16" x14ac:dyDescent="0.2">
      <c r="A66">
        <v>65</v>
      </c>
      <c r="B66">
        <v>748</v>
      </c>
      <c r="C66">
        <v>215</v>
      </c>
      <c r="D66">
        <v>0.36051559516231801</v>
      </c>
      <c r="E66">
        <v>89.038349147885498</v>
      </c>
      <c r="F66">
        <v>1.7393823454191599</v>
      </c>
      <c r="G66">
        <v>-1481.491323088756</v>
      </c>
      <c r="H66">
        <v>-1229.3307753225233</v>
      </c>
      <c r="I66">
        <v>246.94327093775499</v>
      </c>
      <c r="J66">
        <v>132.768299071927</v>
      </c>
      <c r="K66">
        <v>51.1896360121032</v>
      </c>
      <c r="L66">
        <v>5.8684626376914783E-4</v>
      </c>
      <c r="M66">
        <v>1.162096968639358E-4</v>
      </c>
      <c r="N66" s="1">
        <v>1.5472739337238099E-5</v>
      </c>
      <c r="O66" s="1">
        <v>6.6611853229266699E-6</v>
      </c>
      <c r="P66" s="1">
        <v>-1.9184217321379501E-5</v>
      </c>
    </row>
    <row r="67" spans="1:16" x14ac:dyDescent="0.2">
      <c r="A67">
        <v>66</v>
      </c>
      <c r="B67">
        <v>747</v>
      </c>
      <c r="C67">
        <v>215</v>
      </c>
      <c r="D67">
        <v>0.35982012449149797</v>
      </c>
      <c r="E67">
        <v>97.998278253686394</v>
      </c>
      <c r="F67">
        <v>1.76633927848785</v>
      </c>
      <c r="G67">
        <v>-1627.0179847225891</v>
      </c>
      <c r="H67">
        <v>-1353.3019465560988</v>
      </c>
      <c r="I67">
        <v>268.31533790470297</v>
      </c>
      <c r="J67">
        <v>144.78561093467701</v>
      </c>
      <c r="K67">
        <v>55.481004950295699</v>
      </c>
      <c r="L67">
        <v>5.6903578879312616E-4</v>
      </c>
      <c r="M67">
        <v>1.1230338824349063E-4</v>
      </c>
      <c r="N67" s="1">
        <v>1.6428794409868101E-5</v>
      </c>
      <c r="O67" s="1">
        <v>6.9733770886202999E-6</v>
      </c>
      <c r="P67" s="1">
        <v>-2.0154955227711099E-5</v>
      </c>
    </row>
    <row r="68" spans="1:16" x14ac:dyDescent="0.2">
      <c r="A68">
        <v>67</v>
      </c>
      <c r="B68">
        <v>746</v>
      </c>
      <c r="C68">
        <v>215</v>
      </c>
      <c r="D68">
        <v>0.35912328901535701</v>
      </c>
      <c r="E68">
        <v>101.273517231955</v>
      </c>
      <c r="F68">
        <v>1.7758588512479201</v>
      </c>
      <c r="G68">
        <v>-1680.0253884423491</v>
      </c>
      <c r="H68">
        <v>-1398.7206563402528</v>
      </c>
      <c r="I68">
        <v>276.02481310707702</v>
      </c>
      <c r="J68">
        <v>149.20596028415599</v>
      </c>
      <c r="K68">
        <v>57.027909149867902</v>
      </c>
      <c r="L68">
        <v>5.6320111125540879E-4</v>
      </c>
      <c r="M68">
        <v>1.1082534191586929E-4</v>
      </c>
      <c r="N68" s="1">
        <v>1.6917754206063699E-5</v>
      </c>
      <c r="O68" s="1">
        <v>7.0718832131456702E-6</v>
      </c>
      <c r="P68" s="1">
        <v>-2.0512731438138199E-5</v>
      </c>
    </row>
    <row r="69" spans="1:16" x14ac:dyDescent="0.2">
      <c r="A69">
        <v>68</v>
      </c>
      <c r="B69">
        <v>759</v>
      </c>
      <c r="C69">
        <v>195</v>
      </c>
      <c r="D69">
        <v>0.38939156130407598</v>
      </c>
      <c r="E69">
        <v>5.3998876192525103</v>
      </c>
      <c r="F69">
        <v>0.44786796074135798</v>
      </c>
      <c r="G69">
        <v>-117.96704895731662</v>
      </c>
      <c r="H69">
        <v>-68.341300387616059</v>
      </c>
      <c r="I69">
        <v>48.082971193128301</v>
      </c>
      <c r="J69">
        <v>21.460718189817701</v>
      </c>
      <c r="K69">
        <v>12.0568741070784</v>
      </c>
      <c r="L69">
        <v>1.558324849206414E-3</v>
      </c>
      <c r="M69">
        <v>3.5706488191763059E-4</v>
      </c>
      <c r="N69" s="1">
        <v>5.9816368102284303E-6</v>
      </c>
      <c r="O69" s="1">
        <v>5.4756430250371901E-6</v>
      </c>
      <c r="P69" s="1">
        <v>-1.33073765140499E-5</v>
      </c>
    </row>
    <row r="70" spans="1:16" x14ac:dyDescent="0.2">
      <c r="A70">
        <v>69</v>
      </c>
      <c r="B70">
        <v>758</v>
      </c>
      <c r="C70">
        <v>195</v>
      </c>
      <c r="D70">
        <v>0.38873151335887302</v>
      </c>
      <c r="E70">
        <v>5.7047753308823399</v>
      </c>
      <c r="F70">
        <v>0.46767512167819802</v>
      </c>
      <c r="G70">
        <v>-122.98849454191432</v>
      </c>
      <c r="H70">
        <v>-72.612235288146664</v>
      </c>
      <c r="I70">
        <v>48.857452600128902</v>
      </c>
      <c r="J70">
        <v>21.9110282198092</v>
      </c>
      <c r="K70">
        <v>12.198158649986301</v>
      </c>
      <c r="L70">
        <v>1.5464647505826535E-3</v>
      </c>
      <c r="M70">
        <v>3.5331697961117571E-4</v>
      </c>
      <c r="N70" s="1">
        <v>6.1492645733180599E-6</v>
      </c>
      <c r="O70" s="1">
        <v>5.4828859635766199E-6</v>
      </c>
      <c r="P70" s="1">
        <v>-1.3374991090387199E-5</v>
      </c>
    </row>
    <row r="71" spans="1:16" x14ac:dyDescent="0.2">
      <c r="A71">
        <v>70</v>
      </c>
      <c r="B71">
        <v>757</v>
      </c>
      <c r="C71">
        <v>195</v>
      </c>
      <c r="D71">
        <v>0.388070183953793</v>
      </c>
      <c r="E71">
        <v>8.0414829989031702</v>
      </c>
      <c r="F71">
        <v>0.60223681196832701</v>
      </c>
      <c r="G71">
        <v>-161.70757902320665</v>
      </c>
      <c r="H71">
        <v>-105.46426792012137</v>
      </c>
      <c r="I71">
        <v>54.600295977866402</v>
      </c>
      <c r="J71">
        <v>25.116450506409901</v>
      </c>
      <c r="K71">
        <v>13.3526925606236</v>
      </c>
      <c r="L71">
        <v>1.4502836346605994E-3</v>
      </c>
      <c r="M71">
        <v>3.302465385340641E-4</v>
      </c>
      <c r="N71" s="1">
        <v>6.4422014398805303E-6</v>
      </c>
      <c r="O71" s="1">
        <v>5.6096887790491702E-6</v>
      </c>
      <c r="P71" s="1">
        <v>-1.3735692920529299E-5</v>
      </c>
    </row>
    <row r="72" spans="1:16" x14ac:dyDescent="0.2">
      <c r="A72">
        <v>71</v>
      </c>
      <c r="B72">
        <v>756</v>
      </c>
      <c r="C72">
        <v>195</v>
      </c>
      <c r="D72">
        <v>0.38740756935335302</v>
      </c>
      <c r="E72">
        <v>10.628124180035901</v>
      </c>
      <c r="F72">
        <v>0.72646004448116197</v>
      </c>
      <c r="G72">
        <v>-204.51687499312968</v>
      </c>
      <c r="H72">
        <v>-141.79804939271799</v>
      </c>
      <c r="I72">
        <v>60.945535661342802</v>
      </c>
      <c r="J72">
        <v>28.659886201622001</v>
      </c>
      <c r="K72">
        <v>14.6300188988735</v>
      </c>
      <c r="L72">
        <v>1.3612694665348125E-3</v>
      </c>
      <c r="M72">
        <v>3.0893926565064465E-4</v>
      </c>
      <c r="N72" s="1">
        <v>6.7570855800826601E-6</v>
      </c>
      <c r="O72" s="1">
        <v>5.7493727168000396E-6</v>
      </c>
      <c r="P72" s="1">
        <v>-1.41306465597513E-5</v>
      </c>
    </row>
    <row r="73" spans="1:16" x14ac:dyDescent="0.2">
      <c r="A73">
        <v>72</v>
      </c>
      <c r="B73">
        <v>755</v>
      </c>
      <c r="C73">
        <v>195</v>
      </c>
      <c r="D73">
        <v>0.38674366580751801</v>
      </c>
      <c r="E73">
        <v>20.913118970839001</v>
      </c>
      <c r="F73">
        <v>1.0634051265778199</v>
      </c>
      <c r="G73">
        <v>-373.21776790362043</v>
      </c>
      <c r="H73">
        <v>-285.0837239810362</v>
      </c>
      <c r="I73">
        <v>85.724487044402906</v>
      </c>
      <c r="J73">
        <v>42.436888312255803</v>
      </c>
      <c r="K73">
        <v>19.666182199196498</v>
      </c>
      <c r="L73">
        <v>1.113375294403558E-3</v>
      </c>
      <c r="M73">
        <v>2.5145959706162718E-4</v>
      </c>
      <c r="N73" s="1">
        <v>7.5191244061077497E-6</v>
      </c>
      <c r="O73" s="1">
        <v>6.2847139997551898E-6</v>
      </c>
      <c r="P73" s="1">
        <v>-1.55043647672483E-5</v>
      </c>
    </row>
    <row r="74" spans="1:16" x14ac:dyDescent="0.2">
      <c r="A74">
        <v>73</v>
      </c>
      <c r="B74">
        <v>754</v>
      </c>
      <c r="C74">
        <v>195</v>
      </c>
      <c r="D74">
        <v>0.38607846955167302</v>
      </c>
      <c r="E74">
        <v>40.807491796690996</v>
      </c>
      <c r="F74">
        <v>1.3892382240123899</v>
      </c>
      <c r="G74">
        <v>-698.81201613130713</v>
      </c>
      <c r="H74">
        <v>-561.79803065869066</v>
      </c>
      <c r="I74">
        <v>133.396451594675</v>
      </c>
      <c r="J74">
        <v>68.952443999898506</v>
      </c>
      <c r="K74">
        <v>29.3740059057913</v>
      </c>
      <c r="L74">
        <v>8.7246734640580631E-4</v>
      </c>
      <c r="M74">
        <v>1.95893767353825E-4</v>
      </c>
      <c r="N74" s="1">
        <v>8.8610726631080393E-6</v>
      </c>
      <c r="O74" s="1">
        <v>7.3012953192182096E-6</v>
      </c>
      <c r="P74" s="1">
        <v>-1.80798119065928E-5</v>
      </c>
    </row>
    <row r="75" spans="1:16" x14ac:dyDescent="0.2">
      <c r="A75">
        <v>74</v>
      </c>
      <c r="B75">
        <v>753</v>
      </c>
      <c r="C75">
        <v>195</v>
      </c>
      <c r="D75">
        <v>0.38541197680651201</v>
      </c>
      <c r="E75">
        <v>64.730635914903303</v>
      </c>
      <c r="F75">
        <v>1.5785069139733501</v>
      </c>
      <c r="G75">
        <v>-1088.7587738447367</v>
      </c>
      <c r="H75">
        <v>-893.17721112273216</v>
      </c>
      <c r="I75">
        <v>190.60220601831401</v>
      </c>
      <c r="J75">
        <v>100.787090770229</v>
      </c>
      <c r="K75">
        <v>41.007508641166403</v>
      </c>
      <c r="L75">
        <v>7.3417889302305843E-4</v>
      </c>
      <c r="M75">
        <v>1.6394061444319848E-4</v>
      </c>
      <c r="N75" s="1">
        <v>1.04965565006153E-5</v>
      </c>
      <c r="O75" s="1">
        <v>8.5188059547076205E-6</v>
      </c>
      <c r="P75" s="1">
        <v>-2.1173943493731099E-5</v>
      </c>
    </row>
    <row r="76" spans="1:16" x14ac:dyDescent="0.2">
      <c r="A76">
        <v>75</v>
      </c>
      <c r="B76">
        <v>752</v>
      </c>
      <c r="C76">
        <v>195</v>
      </c>
      <c r="D76">
        <v>0.38474418377798603</v>
      </c>
      <c r="E76">
        <v>86.685778319174702</v>
      </c>
      <c r="F76">
        <v>1.6784236921428599</v>
      </c>
      <c r="G76">
        <v>-1445.6799700583515</v>
      </c>
      <c r="H76">
        <v>-1196.5952174117472</v>
      </c>
      <c r="I76">
        <v>242.97936353308199</v>
      </c>
      <c r="J76">
        <v>129.979124395295</v>
      </c>
      <c r="K76">
        <v>51.647136968438502</v>
      </c>
      <c r="L76">
        <v>6.6222911883137363E-4</v>
      </c>
      <c r="M76">
        <v>1.4718708102067193E-4</v>
      </c>
      <c r="N76" s="1">
        <v>1.20706162397372E-5</v>
      </c>
      <c r="O76" s="1">
        <v>9.6242612759976106E-6</v>
      </c>
      <c r="P76" s="1">
        <v>-2.40118011802451E-5</v>
      </c>
    </row>
    <row r="77" spans="1:16" x14ac:dyDescent="0.2">
      <c r="A77">
        <v>76</v>
      </c>
      <c r="B77">
        <v>751</v>
      </c>
      <c r="C77">
        <v>195</v>
      </c>
      <c r="D77">
        <v>0.38407508665723</v>
      </c>
      <c r="E77">
        <v>96.857259499627204</v>
      </c>
      <c r="F77">
        <v>1.7128857940443301</v>
      </c>
      <c r="G77">
        <v>-1610.8979850605492</v>
      </c>
      <c r="H77">
        <v>-1337.3266519616368</v>
      </c>
      <c r="I77">
        <v>267.12608025271999</v>
      </c>
      <c r="J77">
        <v>143.52526906042101</v>
      </c>
      <c r="K77">
        <v>56.546244843875499</v>
      </c>
      <c r="L77">
        <v>6.3811778062029801E-4</v>
      </c>
      <c r="M77">
        <v>1.4132738732540513E-4</v>
      </c>
      <c r="N77" s="1">
        <v>1.2960920706078401E-5</v>
      </c>
      <c r="O77" s="1">
        <v>1.0115569190442601E-5</v>
      </c>
      <c r="P77" s="1">
        <v>-2.5333107846579899E-5</v>
      </c>
    </row>
    <row r="78" spans="1:16" x14ac:dyDescent="0.2">
      <c r="A78">
        <v>77</v>
      </c>
      <c r="B78">
        <v>750</v>
      </c>
      <c r="C78">
        <v>195</v>
      </c>
      <c r="D78">
        <v>0.38340468162048602</v>
      </c>
      <c r="E78">
        <v>100.685950622386</v>
      </c>
      <c r="F78">
        <v>1.7251090478823901</v>
      </c>
      <c r="G78">
        <v>-1672.9055351420559</v>
      </c>
      <c r="H78">
        <v>-1390.409824214204</v>
      </c>
      <c r="I78">
        <v>276.10972537622001</v>
      </c>
      <c r="J78">
        <v>148.65101121970599</v>
      </c>
      <c r="K78">
        <v>58.364977417503397</v>
      </c>
      <c r="L78">
        <v>6.3017535143503089E-4</v>
      </c>
      <c r="M78">
        <v>1.3914075356310382E-4</v>
      </c>
      <c r="N78" s="1">
        <v>1.3473621390541799E-5</v>
      </c>
      <c r="O78" s="1">
        <v>1.0279974397029999E-5</v>
      </c>
      <c r="P78" s="1">
        <v>-2.58425293266211E-5</v>
      </c>
    </row>
    <row r="79" spans="1:16" x14ac:dyDescent="0.2">
      <c r="A79">
        <v>78</v>
      </c>
      <c r="B79">
        <v>767</v>
      </c>
      <c r="C79">
        <v>175</v>
      </c>
      <c r="D79">
        <v>0.41577705138682203</v>
      </c>
      <c r="E79">
        <v>5.7231346124181899</v>
      </c>
      <c r="F79">
        <v>0.40854861540745302</v>
      </c>
      <c r="G79">
        <v>-125.7061461590592</v>
      </c>
      <c r="H79">
        <v>-72.073225009530759</v>
      </c>
      <c r="I79">
        <v>51.565828273416699</v>
      </c>
      <c r="J79">
        <v>22.677277503225099</v>
      </c>
      <c r="K79">
        <v>14.0084543101691</v>
      </c>
      <c r="L79">
        <v>1.6493854536155936E-3</v>
      </c>
      <c r="M79">
        <v>4.3702689054680907E-4</v>
      </c>
      <c r="N79" s="1">
        <v>1.08053414054883E-6</v>
      </c>
      <c r="O79" s="1">
        <v>8.7617433602060095E-6</v>
      </c>
      <c r="P79" s="1">
        <v>-1.7616852569473599E-5</v>
      </c>
    </row>
    <row r="80" spans="1:16" x14ac:dyDescent="0.2">
      <c r="A80">
        <v>79</v>
      </c>
      <c r="B80">
        <v>766</v>
      </c>
      <c r="C80">
        <v>175</v>
      </c>
      <c r="D80">
        <v>0.41514747630275201</v>
      </c>
      <c r="E80">
        <v>5.7970765725109397</v>
      </c>
      <c r="F80">
        <v>0.41333646608496499</v>
      </c>
      <c r="G80">
        <v>-126.88584593223385</v>
      </c>
      <c r="H80">
        <v>-73.126395982945354</v>
      </c>
      <c r="I80">
        <v>51.737216108740398</v>
      </c>
      <c r="J80">
        <v>22.802321802042599</v>
      </c>
      <c r="K80">
        <v>14.025078956666</v>
      </c>
      <c r="L80">
        <v>1.6489364208149536E-3</v>
      </c>
      <c r="M80">
        <v>4.3565940102639566E-4</v>
      </c>
      <c r="N80" s="1">
        <v>1.2475997042808599E-6</v>
      </c>
      <c r="O80" s="1">
        <v>8.7493964014928601E-6</v>
      </c>
      <c r="P80" s="1">
        <v>-1.76605939172674E-5</v>
      </c>
    </row>
    <row r="81" spans="1:16" x14ac:dyDescent="0.2">
      <c r="A81">
        <v>80</v>
      </c>
      <c r="B81">
        <v>765</v>
      </c>
      <c r="C81">
        <v>175</v>
      </c>
      <c r="D81">
        <v>0.41451668833983701</v>
      </c>
      <c r="E81">
        <v>6.2702347980155402</v>
      </c>
      <c r="F81">
        <v>0.43996031737050101</v>
      </c>
      <c r="G81">
        <v>-134.69871173519016</v>
      </c>
      <c r="H81">
        <v>-79.745791241232098</v>
      </c>
      <c r="I81">
        <v>52.936682494826002</v>
      </c>
      <c r="J81">
        <v>23.487078740402801</v>
      </c>
      <c r="K81">
        <v>14.251818971971501</v>
      </c>
      <c r="L81">
        <v>1.63202762593377E-3</v>
      </c>
      <c r="M81">
        <v>4.2989229559348493E-4</v>
      </c>
      <c r="N81" s="1">
        <v>1.4192300704954699E-6</v>
      </c>
      <c r="O81" s="1">
        <v>8.7774760920734703E-6</v>
      </c>
      <c r="P81" s="1">
        <v>-1.7786466219854601E-5</v>
      </c>
    </row>
    <row r="82" spans="1:16" x14ac:dyDescent="0.2">
      <c r="A82">
        <v>81</v>
      </c>
      <c r="B82">
        <v>764</v>
      </c>
      <c r="C82">
        <v>175</v>
      </c>
      <c r="D82">
        <v>0.41388468398978101</v>
      </c>
      <c r="E82">
        <v>6.7453540576102604</v>
      </c>
      <c r="F82">
        <v>0.46586283067157502</v>
      </c>
      <c r="G82">
        <v>-142.53934324950893</v>
      </c>
      <c r="H82">
        <v>-86.391864287220969</v>
      </c>
      <c r="I82">
        <v>54.139510876391597</v>
      </c>
      <c r="J82">
        <v>24.174872685462098</v>
      </c>
      <c r="K82">
        <v>14.4792707499036</v>
      </c>
      <c r="L82">
        <v>1.6155769442365688E-3</v>
      </c>
      <c r="M82">
        <v>4.2427433674510531E-4</v>
      </c>
      <c r="N82" s="1">
        <v>1.5942034826277701E-6</v>
      </c>
      <c r="O82" s="1">
        <v>8.8053424502508105E-6</v>
      </c>
      <c r="P82" s="1">
        <v>-1.79127742839841E-5</v>
      </c>
    </row>
    <row r="83" spans="1:16" x14ac:dyDescent="0.2">
      <c r="A83">
        <v>82</v>
      </c>
      <c r="B83">
        <v>763</v>
      </c>
      <c r="C83">
        <v>175</v>
      </c>
      <c r="D83">
        <v>0.41325145973073701</v>
      </c>
      <c r="E83">
        <v>7.2222490047071402</v>
      </c>
      <c r="F83">
        <v>0.49106474839261899</v>
      </c>
      <c r="G83">
        <v>-150.40455414140985</v>
      </c>
      <c r="H83">
        <v>-93.061992097148746</v>
      </c>
      <c r="I83">
        <v>55.345167321021599</v>
      </c>
      <c r="J83">
        <v>24.865435361725101</v>
      </c>
      <c r="K83">
        <v>14.7073253137135</v>
      </c>
      <c r="L83">
        <v>1.5995720799354318E-3</v>
      </c>
      <c r="M83">
        <v>4.1880118555694487E-4</v>
      </c>
      <c r="N83" s="1">
        <v>1.77254316419446E-6</v>
      </c>
      <c r="O83" s="1">
        <v>8.8329662301072103E-6</v>
      </c>
      <c r="P83" s="1">
        <v>-1.8039459506346501E-5</v>
      </c>
    </row>
    <row r="84" spans="1:16" x14ac:dyDescent="0.2">
      <c r="A84">
        <v>83</v>
      </c>
      <c r="B84">
        <v>762</v>
      </c>
      <c r="C84">
        <v>175</v>
      </c>
      <c r="D84">
        <v>0.41261701202724399</v>
      </c>
      <c r="E84">
        <v>8.8744297614727703</v>
      </c>
      <c r="F84">
        <v>0.57164011202516996</v>
      </c>
      <c r="G84">
        <v>-177.75388444687121</v>
      </c>
      <c r="H84">
        <v>-116.27752107033407</v>
      </c>
      <c r="I84">
        <v>59.392117978756602</v>
      </c>
      <c r="J84">
        <v>27.130659674653401</v>
      </c>
      <c r="K84">
        <v>15.524504972250799</v>
      </c>
      <c r="L84">
        <v>1.5407964109045683E-3</v>
      </c>
      <c r="M84">
        <v>4.0212128915609606E-4</v>
      </c>
      <c r="N84" s="1">
        <v>1.9690266380892501E-6</v>
      </c>
      <c r="O84" s="1">
        <v>8.9558244319208299E-6</v>
      </c>
      <c r="P84" s="1">
        <v>-1.83622529301574E-5</v>
      </c>
    </row>
    <row r="85" spans="1:16" x14ac:dyDescent="0.2">
      <c r="A85">
        <v>84</v>
      </c>
      <c r="B85">
        <v>761</v>
      </c>
      <c r="C85">
        <v>175</v>
      </c>
      <c r="D85">
        <v>0.411981337330175</v>
      </c>
      <c r="E85">
        <v>11.4407208156835</v>
      </c>
      <c r="F85">
        <v>0.68104924259433097</v>
      </c>
      <c r="G85">
        <v>-220.21498238434361</v>
      </c>
      <c r="H85">
        <v>-152.33193938847759</v>
      </c>
      <c r="I85">
        <v>65.644744785009607</v>
      </c>
      <c r="J85">
        <v>30.620454630746</v>
      </c>
      <c r="K85">
        <v>16.798669024433899</v>
      </c>
      <c r="L85">
        <v>1.4594224941972247E-3</v>
      </c>
      <c r="M85">
        <v>3.7961342629003848E-4</v>
      </c>
      <c r="N85" s="1">
        <v>2.1849652564585299E-6</v>
      </c>
      <c r="O85" s="1">
        <v>9.1512256032603207E-6</v>
      </c>
      <c r="P85" s="1">
        <v>-1.8836765395726E-5</v>
      </c>
    </row>
    <row r="86" spans="1:16" x14ac:dyDescent="0.2">
      <c r="A86">
        <v>85</v>
      </c>
      <c r="B86">
        <v>760</v>
      </c>
      <c r="C86">
        <v>175</v>
      </c>
      <c r="D86">
        <v>0.41134443207665999</v>
      </c>
      <c r="E86">
        <v>14.367730608901701</v>
      </c>
      <c r="F86">
        <v>0.78723447912661104</v>
      </c>
      <c r="G86">
        <v>-268.56709745457562</v>
      </c>
      <c r="H86">
        <v>-193.39882397652738</v>
      </c>
      <c r="I86">
        <v>72.759846941386598</v>
      </c>
      <c r="J86">
        <v>34.591397559099597</v>
      </c>
      <c r="K86">
        <v>18.250890922412101</v>
      </c>
      <c r="L86">
        <v>1.3800834862719865E-3</v>
      </c>
      <c r="M86">
        <v>3.5775881899288958E-4</v>
      </c>
      <c r="N86" s="1">
        <v>2.4156203782880101E-6</v>
      </c>
      <c r="O86" s="1">
        <v>9.3725643354172092E-6</v>
      </c>
      <c r="P86" s="1">
        <v>-1.9368487208358301E-5</v>
      </c>
    </row>
    <row r="87" spans="1:16" x14ac:dyDescent="0.2">
      <c r="A87">
        <v>86</v>
      </c>
      <c r="B87">
        <v>759</v>
      </c>
      <c r="C87">
        <v>175</v>
      </c>
      <c r="D87">
        <v>0.41070629269001901</v>
      </c>
      <c r="E87">
        <v>33.108759817106701</v>
      </c>
      <c r="F87">
        <v>1.20472303997244</v>
      </c>
      <c r="G87">
        <v>-575.4542366352091</v>
      </c>
      <c r="H87">
        <v>-454.17577685343639</v>
      </c>
      <c r="I87">
        <v>117.50477116857699</v>
      </c>
      <c r="J87">
        <v>59.416650910231802</v>
      </c>
      <c r="K87">
        <v>27.482465860255999</v>
      </c>
      <c r="L87">
        <v>1.0566235394109732E-3</v>
      </c>
      <c r="M87">
        <v>2.7233199935415477E-4</v>
      </c>
      <c r="N87" s="1">
        <v>2.9123882135898799E-6</v>
      </c>
      <c r="O87" s="1">
        <v>1.07338802150916E-5</v>
      </c>
      <c r="P87" s="1">
        <v>-2.2269046675808099E-5</v>
      </c>
    </row>
    <row r="88" spans="1:16" x14ac:dyDescent="0.2">
      <c r="A88">
        <v>87</v>
      </c>
      <c r="B88">
        <v>758</v>
      </c>
      <c r="C88">
        <v>175</v>
      </c>
      <c r="D88">
        <v>0.41006691557969399</v>
      </c>
      <c r="E88">
        <v>47.967647219111001</v>
      </c>
      <c r="F88">
        <v>1.37917717250492</v>
      </c>
      <c r="G88">
        <v>-818.57193277214174</v>
      </c>
      <c r="H88">
        <v>-660.9319848852175</v>
      </c>
      <c r="I88">
        <v>152.882173387031</v>
      </c>
      <c r="J88">
        <v>79.090354336342898</v>
      </c>
      <c r="K88">
        <v>34.779902231117902</v>
      </c>
      <c r="L88">
        <v>9.2210927761360122E-4</v>
      </c>
      <c r="M88">
        <v>2.3655390714852313E-4</v>
      </c>
      <c r="N88" s="1">
        <v>3.3945770575355901E-6</v>
      </c>
      <c r="O88" s="1">
        <v>1.17951429569872E-5</v>
      </c>
      <c r="P88" s="1">
        <v>-2.4567573001007699E-5</v>
      </c>
    </row>
    <row r="89" spans="1:16" x14ac:dyDescent="0.2">
      <c r="A89">
        <v>88</v>
      </c>
      <c r="B89">
        <v>757</v>
      </c>
      <c r="C89">
        <v>175</v>
      </c>
      <c r="D89">
        <v>0.40942629714119499</v>
      </c>
      <c r="E89">
        <v>76.244581269662007</v>
      </c>
      <c r="F89">
        <v>1.5681486357046299</v>
      </c>
      <c r="G89">
        <v>-1278.6006242164185</v>
      </c>
      <c r="H89">
        <v>-1051.8859905868949</v>
      </c>
      <c r="I89">
        <v>220.08438358548199</v>
      </c>
      <c r="J89">
        <v>116.41624680160599</v>
      </c>
      <c r="K89">
        <v>48.620761791118298</v>
      </c>
      <c r="L89">
        <v>7.7806581366981803E-4</v>
      </c>
      <c r="M89">
        <v>1.9850685864007962E-4</v>
      </c>
      <c r="N89" s="1">
        <v>4.1779853436924396E-6</v>
      </c>
      <c r="O89" s="1">
        <v>1.3826384067378E-5</v>
      </c>
      <c r="P89" s="1">
        <v>-2.8912327792887601E-5</v>
      </c>
    </row>
    <row r="90" spans="1:16" x14ac:dyDescent="0.2">
      <c r="A90">
        <v>89</v>
      </c>
      <c r="B90">
        <v>756</v>
      </c>
      <c r="C90">
        <v>175</v>
      </c>
      <c r="D90">
        <v>0.40878443375601398</v>
      </c>
      <c r="E90">
        <v>91.200503991691505</v>
      </c>
      <c r="F90">
        <v>1.6313689341089801</v>
      </c>
      <c r="G90">
        <v>-1521.6376428951894</v>
      </c>
      <c r="H90">
        <v>-1258.6986826558787</v>
      </c>
      <c r="I90">
        <v>255.49693401321099</v>
      </c>
      <c r="J90">
        <v>136.169816204189</v>
      </c>
      <c r="K90">
        <v>55.904278967714497</v>
      </c>
      <c r="L90">
        <v>7.3088016738560076E-4</v>
      </c>
      <c r="M90">
        <v>1.857283004192742E-4</v>
      </c>
      <c r="N90" s="1">
        <v>4.7693096142917602E-6</v>
      </c>
      <c r="O90" s="1">
        <v>1.4873835818286899E-5</v>
      </c>
      <c r="P90" s="1">
        <v>-3.1226307051787901E-5</v>
      </c>
    </row>
    <row r="91" spans="1:16" x14ac:dyDescent="0.2">
      <c r="A91">
        <v>90</v>
      </c>
      <c r="B91">
        <v>755</v>
      </c>
      <c r="C91">
        <v>175</v>
      </c>
      <c r="D91">
        <v>0.40814132179156798</v>
      </c>
      <c r="E91">
        <v>98.136753302390503</v>
      </c>
      <c r="F91">
        <v>1.6562442442818499</v>
      </c>
      <c r="G91">
        <v>-1634.2036163309597</v>
      </c>
      <c r="H91">
        <v>-1354.743312474754</v>
      </c>
      <c r="I91">
        <v>271.81462327995501</v>
      </c>
      <c r="J91">
        <v>145.35447935900601</v>
      </c>
      <c r="K91">
        <v>59.2525852640427</v>
      </c>
      <c r="L91">
        <v>7.1312715246442545E-4</v>
      </c>
      <c r="M91">
        <v>1.8061101891481905E-4</v>
      </c>
      <c r="N91" s="1">
        <v>5.2289216591638898E-6</v>
      </c>
      <c r="O91" s="1">
        <v>1.5334633437072E-5</v>
      </c>
      <c r="P91" s="1">
        <v>-3.2322100342282402E-5</v>
      </c>
    </row>
    <row r="92" spans="1:16" x14ac:dyDescent="0.2">
      <c r="A92">
        <v>91</v>
      </c>
      <c r="B92">
        <v>754</v>
      </c>
      <c r="C92">
        <v>175</v>
      </c>
      <c r="D92">
        <v>0.40749695760112897</v>
      </c>
      <c r="E92">
        <v>101.206140894615</v>
      </c>
      <c r="F92">
        <v>1.6670897530950901</v>
      </c>
      <c r="G92">
        <v>-1683.849957112059</v>
      </c>
      <c r="H92">
        <v>-1397.3404744441682</v>
      </c>
      <c r="I92">
        <v>278.94218788721702</v>
      </c>
      <c r="J92">
        <v>149.44507824778199</v>
      </c>
      <c r="K92">
        <v>60.708273628769597</v>
      </c>
      <c r="L92">
        <v>7.0611303916347451E-4</v>
      </c>
      <c r="M92">
        <v>1.7828250770982789E-4</v>
      </c>
      <c r="N92" s="1">
        <v>5.6204544831030204E-6</v>
      </c>
      <c r="O92" s="1">
        <v>1.5515105379805501E-5</v>
      </c>
      <c r="P92" s="1">
        <v>-3.2833238892998301E-5</v>
      </c>
    </row>
    <row r="93" spans="1:16" x14ac:dyDescent="0.2">
      <c r="A93">
        <v>92</v>
      </c>
      <c r="B93">
        <v>775</v>
      </c>
      <c r="C93">
        <v>155</v>
      </c>
      <c r="D93">
        <v>0.44175976720889598</v>
      </c>
      <c r="E93">
        <v>6.0612722075495702</v>
      </c>
      <c r="F93">
        <v>0.36565731967212201</v>
      </c>
      <c r="G93">
        <v>-133.88612894309861</v>
      </c>
      <c r="H93">
        <v>-75.900567856302899</v>
      </c>
      <c r="I93">
        <v>55.325124952495003</v>
      </c>
      <c r="J93">
        <v>23.767622262315701</v>
      </c>
      <c r="K93">
        <v>16.576373236517099</v>
      </c>
      <c r="L93">
        <v>1.7261228097276012E-3</v>
      </c>
      <c r="M93">
        <v>5.4161989327128693E-4</v>
      </c>
      <c r="N93" s="1">
        <v>-7.8718237915687498E-6</v>
      </c>
      <c r="O93" s="1">
        <v>1.4438368713082599E-5</v>
      </c>
      <c r="P93" s="1">
        <v>-2.31444400213779E-5</v>
      </c>
    </row>
    <row r="94" spans="1:16" x14ac:dyDescent="0.2">
      <c r="A94">
        <v>93</v>
      </c>
      <c r="B94">
        <v>774</v>
      </c>
      <c r="C94">
        <v>155</v>
      </c>
      <c r="D94">
        <v>0.44115981473524002</v>
      </c>
      <c r="E94">
        <v>6.3595363115064698</v>
      </c>
      <c r="F94">
        <v>0.38064187048812298</v>
      </c>
      <c r="G94">
        <v>-138.79004119522239</v>
      </c>
      <c r="H94">
        <v>-80.083403332329624</v>
      </c>
      <c r="I94">
        <v>56.066577942863901</v>
      </c>
      <c r="J94">
        <v>24.205306837165299</v>
      </c>
      <c r="K94">
        <v>16.707400852542001</v>
      </c>
      <c r="L94">
        <v>1.7184883674937065E-3</v>
      </c>
      <c r="M94">
        <v>5.3763502189086527E-4</v>
      </c>
      <c r="N94" s="1">
        <v>-7.7444057359409597E-6</v>
      </c>
      <c r="O94" s="1">
        <v>1.4455939980027599E-5</v>
      </c>
      <c r="P94" s="1">
        <v>-2.3263469998287401E-5</v>
      </c>
    </row>
    <row r="95" spans="1:16" x14ac:dyDescent="0.2">
      <c r="A95">
        <v>94</v>
      </c>
      <c r="B95">
        <v>773</v>
      </c>
      <c r="C95">
        <v>155</v>
      </c>
      <c r="D95">
        <v>0.440558715289395</v>
      </c>
      <c r="E95">
        <v>6.8129549481583203</v>
      </c>
      <c r="F95">
        <v>0.40263004688273402</v>
      </c>
      <c r="G95">
        <v>-146.26991022778043</v>
      </c>
      <c r="H95">
        <v>-86.42937835128339</v>
      </c>
      <c r="I95">
        <v>57.204059815109296</v>
      </c>
      <c r="J95">
        <v>24.8579811663569</v>
      </c>
      <c r="K95">
        <v>16.921128964184199</v>
      </c>
      <c r="L95">
        <v>1.705377334321036E-3</v>
      </c>
      <c r="M95">
        <v>5.3193119065965671E-4</v>
      </c>
      <c r="N95" s="1">
        <v>-7.62685466580254E-6</v>
      </c>
      <c r="O95" s="1">
        <v>1.44959343738534E-5</v>
      </c>
      <c r="P95" s="1">
        <v>-2.3419590709501801E-5</v>
      </c>
    </row>
    <row r="96" spans="1:16" x14ac:dyDescent="0.2">
      <c r="A96">
        <v>95</v>
      </c>
      <c r="B96">
        <v>772</v>
      </c>
      <c r="C96">
        <v>155</v>
      </c>
      <c r="D96">
        <v>0.43995646557910401</v>
      </c>
      <c r="E96">
        <v>7.2678042318374301</v>
      </c>
      <c r="F96">
        <v>0.42414232633451898</v>
      </c>
      <c r="G96">
        <v>-153.76916244230713</v>
      </c>
      <c r="H96">
        <v>-92.794770965467578</v>
      </c>
      <c r="I96">
        <v>58.343685468388799</v>
      </c>
      <c r="J96">
        <v>25.512945583267999</v>
      </c>
      <c r="K96">
        <v>17.135295820736602</v>
      </c>
      <c r="L96">
        <v>1.6925573479508675E-3</v>
      </c>
      <c r="M96">
        <v>5.2634418015710678E-4</v>
      </c>
      <c r="N96" s="1">
        <v>-7.5056250880068103E-6</v>
      </c>
      <c r="O96" s="1">
        <v>1.4535666344247701E-5</v>
      </c>
      <c r="P96" s="1">
        <v>-2.3576448070337899E-5</v>
      </c>
    </row>
    <row r="97" spans="1:16" x14ac:dyDescent="0.2">
      <c r="A97">
        <v>96</v>
      </c>
      <c r="B97">
        <v>771</v>
      </c>
      <c r="C97">
        <v>155</v>
      </c>
      <c r="D97">
        <v>0.43935306229947801</v>
      </c>
      <c r="E97">
        <v>7.7239120096422402</v>
      </c>
      <c r="F97">
        <v>0.44518737885862802</v>
      </c>
      <c r="G97">
        <v>-161.28486070605874</v>
      </c>
      <c r="H97">
        <v>-99.177154580706812</v>
      </c>
      <c r="I97">
        <v>59.484972102925298</v>
      </c>
      <c r="J97">
        <v>26.169956380653002</v>
      </c>
      <c r="K97">
        <v>17.349800053732</v>
      </c>
      <c r="L97">
        <v>1.6800241489988192E-3</v>
      </c>
      <c r="M97">
        <v>5.2087184624219904E-4</v>
      </c>
      <c r="N97" s="1">
        <v>-7.3806461418110396E-6</v>
      </c>
      <c r="O97" s="1">
        <v>1.4575098932143401E-5</v>
      </c>
      <c r="P97" s="1">
        <v>-2.37339870279794E-5</v>
      </c>
    </row>
    <row r="98" spans="1:16" x14ac:dyDescent="0.2">
      <c r="A98">
        <v>97</v>
      </c>
      <c r="B98">
        <v>770</v>
      </c>
      <c r="C98">
        <v>155</v>
      </c>
      <c r="D98">
        <v>0.43874850213296301</v>
      </c>
      <c r="E98">
        <v>8.18111077499203</v>
      </c>
      <c r="F98">
        <v>0.46577418808237098</v>
      </c>
      <c r="G98">
        <v>-168.81414712677847</v>
      </c>
      <c r="H98">
        <v>-105.5741666050851</v>
      </c>
      <c r="I98">
        <v>60.627449675681802</v>
      </c>
      <c r="J98">
        <v>26.828776183580398</v>
      </c>
      <c r="K98">
        <v>17.564543043216499</v>
      </c>
      <c r="L98">
        <v>1.6677731717894535E-3</v>
      </c>
      <c r="M98">
        <v>5.1551196449148274E-4</v>
      </c>
      <c r="N98" s="1">
        <v>-7.2518485867194397E-6</v>
      </c>
      <c r="O98" s="1">
        <v>1.4614196074952499E-5</v>
      </c>
      <c r="P98" s="1">
        <v>-2.38921530318739E-5</v>
      </c>
    </row>
    <row r="99" spans="1:16" x14ac:dyDescent="0.2">
      <c r="A99">
        <v>98</v>
      </c>
      <c r="B99">
        <v>769</v>
      </c>
      <c r="C99">
        <v>155</v>
      </c>
      <c r="D99">
        <v>0.43814278174927401</v>
      </c>
      <c r="E99">
        <v>8.6392385577807804</v>
      </c>
      <c r="F99">
        <v>0.48591202604155298</v>
      </c>
      <c r="G99">
        <v>-176.35425766923578</v>
      </c>
      <c r="H99">
        <v>-111.98352078027555</v>
      </c>
      <c r="I99">
        <v>61.770663154378802</v>
      </c>
      <c r="J99">
        <v>27.489175196411701</v>
      </c>
      <c r="K99">
        <v>17.779429392105602</v>
      </c>
      <c r="L99">
        <v>1.6557995602583398E-3</v>
      </c>
      <c r="M99">
        <v>5.1026223657711558E-4</v>
      </c>
      <c r="N99" s="1">
        <v>-7.1191649126557798E-6</v>
      </c>
      <c r="O99" s="1">
        <v>1.4652922730699699E-5</v>
      </c>
      <c r="P99" s="1">
        <v>-2.4050892248313501E-5</v>
      </c>
    </row>
    <row r="100" spans="1:16" x14ac:dyDescent="0.2">
      <c r="A100">
        <v>99</v>
      </c>
      <c r="B100">
        <v>768</v>
      </c>
      <c r="C100">
        <v>155</v>
      </c>
      <c r="D100">
        <v>0.43753589780531399</v>
      </c>
      <c r="E100">
        <v>9.3514788621237592</v>
      </c>
      <c r="F100">
        <v>0.51599514374829403</v>
      </c>
      <c r="G100">
        <v>-188.10381613087793</v>
      </c>
      <c r="H100">
        <v>-121.9694048243546</v>
      </c>
      <c r="I100">
        <v>63.523982536178202</v>
      </c>
      <c r="J100">
        <v>28.487297261563398</v>
      </c>
      <c r="K100">
        <v>18.123191614154901</v>
      </c>
      <c r="L100">
        <v>1.6358191890177537E-3</v>
      </c>
      <c r="M100">
        <v>5.0256044535125109E-4</v>
      </c>
      <c r="N100" s="1">
        <v>-6.9978695401505004E-6</v>
      </c>
      <c r="O100" s="1">
        <v>1.4721208887707401E-5</v>
      </c>
      <c r="P100" s="1">
        <v>-2.4259525218125101E-5</v>
      </c>
    </row>
    <row r="101" spans="1:16" x14ac:dyDescent="0.2">
      <c r="A101">
        <v>100</v>
      </c>
      <c r="B101">
        <v>767</v>
      </c>
      <c r="C101">
        <v>155</v>
      </c>
      <c r="D101">
        <v>0.43692784694515202</v>
      </c>
      <c r="E101">
        <v>11.848640217620201</v>
      </c>
      <c r="F101">
        <v>0.61159706806260605</v>
      </c>
      <c r="G101">
        <v>-229.42117190498257</v>
      </c>
      <c r="H101">
        <v>-157.06246966150908</v>
      </c>
      <c r="I101">
        <v>69.569158188859006</v>
      </c>
      <c r="J101">
        <v>31.855311578883999</v>
      </c>
      <c r="K101">
        <v>19.373278317297899</v>
      </c>
      <c r="L101">
        <v>1.563325940316629E-3</v>
      </c>
      <c r="M101">
        <v>4.787062925530261E-4</v>
      </c>
      <c r="N101" s="1">
        <v>-6.9772778543494998E-6</v>
      </c>
      <c r="O101" s="1">
        <v>1.49987303861173E-5</v>
      </c>
      <c r="P101" s="1">
        <v>-2.48158973176754E-5</v>
      </c>
    </row>
    <row r="102" spans="1:16" x14ac:dyDescent="0.2">
      <c r="A102">
        <v>101</v>
      </c>
      <c r="B102">
        <v>766</v>
      </c>
      <c r="C102">
        <v>155</v>
      </c>
      <c r="D102">
        <v>0.43631862579993802</v>
      </c>
      <c r="E102">
        <v>14.632811820534499</v>
      </c>
      <c r="F102">
        <v>0.70463851255992105</v>
      </c>
      <c r="G102">
        <v>-275.42211784064096</v>
      </c>
      <c r="H102">
        <v>-196.14313678163549</v>
      </c>
      <c r="I102">
        <v>76.295742528490706</v>
      </c>
      <c r="J102">
        <v>35.602793978912104</v>
      </c>
      <c r="K102">
        <v>20.766409385394201</v>
      </c>
      <c r="L102">
        <v>1.4924342283259187E-3</v>
      </c>
      <c r="M102">
        <v>4.5547433097317859E-4</v>
      </c>
      <c r="N102" s="1">
        <v>-6.96272873688408E-6</v>
      </c>
      <c r="O102" s="1">
        <v>1.5306093462774299E-5</v>
      </c>
      <c r="P102" s="1">
        <v>-2.54262206331734E-5</v>
      </c>
    </row>
    <row r="103" spans="1:16" x14ac:dyDescent="0.2">
      <c r="A103">
        <v>102</v>
      </c>
      <c r="B103">
        <v>765</v>
      </c>
      <c r="C103">
        <v>155</v>
      </c>
      <c r="D103">
        <v>0.43570823098781702</v>
      </c>
      <c r="E103">
        <v>20.510108362894801</v>
      </c>
      <c r="F103">
        <v>0.865343635626317</v>
      </c>
      <c r="G103">
        <v>-372.00779747717269</v>
      </c>
      <c r="H103">
        <v>-278.20563539810377</v>
      </c>
      <c r="I103">
        <v>90.358873059806101</v>
      </c>
      <c r="J103">
        <v>43.402576310537199</v>
      </c>
      <c r="K103">
        <v>23.7016920428958</v>
      </c>
      <c r="L103">
        <v>1.3662657855301628E-3</v>
      </c>
      <c r="M103">
        <v>4.1539456610153075E-4</v>
      </c>
      <c r="N103" s="1">
        <v>-7.0932629273938502E-6</v>
      </c>
      <c r="O103" s="1">
        <v>1.5939056815279299E-5</v>
      </c>
      <c r="P103" s="1">
        <v>-2.6584380088915401E-5</v>
      </c>
    </row>
    <row r="104" spans="1:16" x14ac:dyDescent="0.2">
      <c r="A104">
        <v>103</v>
      </c>
      <c r="B104">
        <v>764</v>
      </c>
      <c r="C104">
        <v>155</v>
      </c>
      <c r="D104">
        <v>0.43509665911391998</v>
      </c>
      <c r="E104">
        <v>38.719894244642298</v>
      </c>
      <c r="F104">
        <v>1.1817034982585499</v>
      </c>
      <c r="G104">
        <v>-670.11930027887524</v>
      </c>
      <c r="H104">
        <v>-531.58976873544032</v>
      </c>
      <c r="I104">
        <v>133.57172097376801</v>
      </c>
      <c r="J104">
        <v>67.3173527270053</v>
      </c>
      <c r="K104">
        <v>32.766167064498603</v>
      </c>
      <c r="L104">
        <v>1.1128644355397589E-3</v>
      </c>
      <c r="M104">
        <v>3.3659428601104759E-4</v>
      </c>
      <c r="N104" s="1">
        <v>-7.7980384143376294E-6</v>
      </c>
      <c r="O104" s="1">
        <v>1.7852255461178E-5</v>
      </c>
      <c r="P104" s="1">
        <v>-2.9895518260666202E-5</v>
      </c>
    </row>
    <row r="105" spans="1:16" x14ac:dyDescent="0.2">
      <c r="A105">
        <v>104</v>
      </c>
      <c r="B105">
        <v>763</v>
      </c>
      <c r="C105">
        <v>155</v>
      </c>
      <c r="D105">
        <v>0.43448390677026</v>
      </c>
      <c r="E105">
        <v>51.1843392884983</v>
      </c>
      <c r="F105">
        <v>1.31415864893512</v>
      </c>
      <c r="G105">
        <v>-874.0380001389035</v>
      </c>
      <c r="H105">
        <v>-705.07406099026946</v>
      </c>
      <c r="I105">
        <v>163.07353504997201</v>
      </c>
      <c r="J105">
        <v>83.693506780720398</v>
      </c>
      <c r="K105">
        <v>38.948371515093299</v>
      </c>
      <c r="L105">
        <v>1.0077990145982659E-3</v>
      </c>
      <c r="M105">
        <v>3.0353555840858057E-4</v>
      </c>
      <c r="N105" s="1">
        <v>-8.1740924404105898E-6</v>
      </c>
      <c r="O105" s="1">
        <v>1.91410573897615E-5</v>
      </c>
      <c r="P105" s="1">
        <v>-3.2183652379516599E-5</v>
      </c>
    </row>
    <row r="106" spans="1:16" x14ac:dyDescent="0.2">
      <c r="A106">
        <v>105</v>
      </c>
      <c r="B106">
        <v>762</v>
      </c>
      <c r="C106">
        <v>155</v>
      </c>
      <c r="D106">
        <v>0.433869970535674</v>
      </c>
      <c r="E106">
        <v>79.017232296180495</v>
      </c>
      <c r="F106">
        <v>1.4988799377039499</v>
      </c>
      <c r="G106">
        <v>-1326.5552445149517</v>
      </c>
      <c r="H106">
        <v>-1089.671728448044</v>
      </c>
      <c r="I106">
        <v>228.845041580523</v>
      </c>
      <c r="J106">
        <v>120.118471015756</v>
      </c>
      <c r="K106">
        <v>52.717519468051798</v>
      </c>
      <c r="L106">
        <v>8.6218180673310074E-4</v>
      </c>
      <c r="M106">
        <v>2.5832554514604463E-4</v>
      </c>
      <c r="N106" s="1">
        <v>-9.2288119233950094E-6</v>
      </c>
      <c r="O106" s="1">
        <v>2.2045647457489301E-5</v>
      </c>
      <c r="P106" s="1">
        <v>-3.7217902938150599E-5</v>
      </c>
    </row>
    <row r="107" spans="1:16" x14ac:dyDescent="0.2">
      <c r="A107">
        <v>106</v>
      </c>
      <c r="B107">
        <v>761</v>
      </c>
      <c r="C107">
        <v>155</v>
      </c>
      <c r="D107">
        <v>0.43325484697577799</v>
      </c>
      <c r="E107">
        <v>91.643481318314002</v>
      </c>
      <c r="F107">
        <v>1.5553096942571001</v>
      </c>
      <c r="G107">
        <v>-1531.6856108762775</v>
      </c>
      <c r="H107">
        <v>-1264.3108294854837</v>
      </c>
      <c r="I107">
        <v>258.55101959705701</v>
      </c>
      <c r="J107">
        <v>136.662686703118</v>
      </c>
      <c r="K107">
        <v>58.922979556227503</v>
      </c>
      <c r="L107">
        <v>8.1894869230968322E-4</v>
      </c>
      <c r="M107">
        <v>2.4444541816725867E-4</v>
      </c>
      <c r="N107" s="1">
        <v>-9.5155814012478408E-6</v>
      </c>
      <c r="O107" s="1">
        <v>2.3326424382446699E-5</v>
      </c>
      <c r="P107" s="1">
        <v>-3.9540772566214999E-5</v>
      </c>
    </row>
    <row r="108" spans="1:16" x14ac:dyDescent="0.2">
      <c r="A108">
        <v>107</v>
      </c>
      <c r="B108">
        <v>760</v>
      </c>
      <c r="C108">
        <v>155</v>
      </c>
      <c r="D108">
        <v>0.43263853264288998</v>
      </c>
      <c r="E108">
        <v>97.815953513715698</v>
      </c>
      <c r="F108">
        <v>1.5795771036875299</v>
      </c>
      <c r="G108">
        <v>-1631.8156795574605</v>
      </c>
      <c r="H108">
        <v>-1349.7941904086329</v>
      </c>
      <c r="I108">
        <v>272.97817725657501</v>
      </c>
      <c r="J108">
        <v>144.77593879030999</v>
      </c>
      <c r="K108">
        <v>61.925406037707099</v>
      </c>
      <c r="L108">
        <v>8.0137184464150522E-4</v>
      </c>
      <c r="M108">
        <v>2.3840489698565148E-4</v>
      </c>
      <c r="N108" s="1">
        <v>-9.4827769144042193E-6</v>
      </c>
      <c r="O108" s="1">
        <v>2.39236371630755E-5</v>
      </c>
      <c r="P108" s="1">
        <v>-4.0719121870674997E-5</v>
      </c>
    </row>
    <row r="109" spans="1:16" x14ac:dyDescent="0.2">
      <c r="A109">
        <v>108</v>
      </c>
      <c r="B109">
        <v>759</v>
      </c>
      <c r="C109">
        <v>155</v>
      </c>
      <c r="D109">
        <v>0.43202102407596099</v>
      </c>
      <c r="E109">
        <v>101.015429537657</v>
      </c>
      <c r="F109">
        <v>1.5919424255286001</v>
      </c>
      <c r="G109">
        <v>-1683.5770759718716</v>
      </c>
      <c r="H109">
        <v>-1394.1984957225657</v>
      </c>
      <c r="I109">
        <v>280.37066025546198</v>
      </c>
      <c r="J109">
        <v>149.00486925033101</v>
      </c>
      <c r="K109">
        <v>63.454197788663897</v>
      </c>
      <c r="L109">
        <v>7.9327320538444561E-4</v>
      </c>
      <c r="M109">
        <v>2.3525516071781918E-4</v>
      </c>
      <c r="N109" s="1">
        <v>-9.3035326908971508E-6</v>
      </c>
      <c r="O109" s="1">
        <v>2.4206792400004399E-5</v>
      </c>
      <c r="P109" s="1">
        <v>-4.1370272130854999E-5</v>
      </c>
    </row>
    <row r="110" spans="1:16" x14ac:dyDescent="0.2">
      <c r="A110">
        <v>109</v>
      </c>
      <c r="B110">
        <v>785</v>
      </c>
      <c r="C110">
        <v>135</v>
      </c>
      <c r="D110">
        <v>0.46848792704248099</v>
      </c>
      <c r="E110">
        <v>6.4212444342187798</v>
      </c>
      <c r="F110">
        <v>0.31822304734854601</v>
      </c>
      <c r="G110">
        <v>-142.8038889737517</v>
      </c>
      <c r="H110">
        <v>-79.842405615513968</v>
      </c>
      <c r="I110">
        <v>59.504945412855001</v>
      </c>
      <c r="J110">
        <v>24.5948404072332</v>
      </c>
      <c r="K110">
        <v>20.1784392668004</v>
      </c>
      <c r="L110">
        <v>1.7646164406930765E-3</v>
      </c>
      <c r="M110">
        <v>6.7890902519569243E-4</v>
      </c>
      <c r="N110" s="1">
        <v>-2.17263509594065E-5</v>
      </c>
      <c r="O110" s="1">
        <v>2.47464063150033E-5</v>
      </c>
      <c r="P110" s="1">
        <v>-3.0079687212391899E-5</v>
      </c>
    </row>
    <row r="111" spans="1:16" x14ac:dyDescent="0.2">
      <c r="A111">
        <v>110</v>
      </c>
      <c r="B111">
        <v>784</v>
      </c>
      <c r="C111">
        <v>135</v>
      </c>
      <c r="D111">
        <v>0.467918932980182</v>
      </c>
      <c r="E111">
        <v>6.64283312898975</v>
      </c>
      <c r="F111">
        <v>0.32782769323138999</v>
      </c>
      <c r="G111">
        <v>-146.42871489265244</v>
      </c>
      <c r="H111">
        <v>-82.957222929012786</v>
      </c>
      <c r="I111">
        <v>60.043677488960597</v>
      </c>
      <c r="J111">
        <v>24.924424515705201</v>
      </c>
      <c r="K111">
        <v>20.263184795376699</v>
      </c>
      <c r="L111">
        <v>1.7618104720973592E-3</v>
      </c>
      <c r="M111">
        <v>6.758875186519041E-4</v>
      </c>
      <c r="N111" s="1">
        <v>-2.1692026394755601E-5</v>
      </c>
      <c r="O111" s="1">
        <v>2.4759819005634001E-5</v>
      </c>
      <c r="P111" s="1">
        <v>-3.0207670959693899E-5</v>
      </c>
    </row>
    <row r="112" spans="1:16" x14ac:dyDescent="0.2">
      <c r="A112">
        <v>111</v>
      </c>
      <c r="B112">
        <v>783</v>
      </c>
      <c r="C112">
        <v>135</v>
      </c>
      <c r="D112">
        <v>0.46734886143066801</v>
      </c>
      <c r="E112">
        <v>7.0763689604621796</v>
      </c>
      <c r="F112">
        <v>0.34580539780766301</v>
      </c>
      <c r="G112">
        <v>-153.57595560952691</v>
      </c>
      <c r="H112">
        <v>-89.027131086933949</v>
      </c>
      <c r="I112">
        <v>61.120598545999499</v>
      </c>
      <c r="J112">
        <v>25.543288674802699</v>
      </c>
      <c r="K112">
        <v>20.463442749375599</v>
      </c>
      <c r="L112">
        <v>1.7524755744850252E-3</v>
      </c>
      <c r="M112">
        <v>6.7033758496219231E-4</v>
      </c>
      <c r="N112" s="1">
        <v>-2.1696593206618701E-5</v>
      </c>
      <c r="O112" s="1">
        <v>2.4819165211559901E-5</v>
      </c>
      <c r="P112" s="1">
        <v>-3.0392897113346198E-5</v>
      </c>
    </row>
    <row r="113" spans="1:16" x14ac:dyDescent="0.2">
      <c r="A113">
        <v>112</v>
      </c>
      <c r="B113">
        <v>782</v>
      </c>
      <c r="C113">
        <v>135</v>
      </c>
      <c r="D113">
        <v>0.466777709330429</v>
      </c>
      <c r="E113">
        <v>7.5109554076201999</v>
      </c>
      <c r="F113">
        <v>0.36348123921099201</v>
      </c>
      <c r="G113">
        <v>-160.73668826632587</v>
      </c>
      <c r="H113">
        <v>-95.111284423454649</v>
      </c>
      <c r="I113">
        <v>62.198847013923</v>
      </c>
      <c r="J113">
        <v>26.163916602464599</v>
      </c>
      <c r="K113">
        <v>20.663942447</v>
      </c>
      <c r="L113">
        <v>1.7433129423162527E-3</v>
      </c>
      <c r="M113">
        <v>6.6487550069779496E-4</v>
      </c>
      <c r="N113" s="1">
        <v>-2.16983066138457E-5</v>
      </c>
      <c r="O113" s="1">
        <v>2.48782408638732E-5</v>
      </c>
      <c r="P113" s="1">
        <v>-3.0579220800034201E-5</v>
      </c>
    </row>
    <row r="114" spans="1:16" x14ac:dyDescent="0.2">
      <c r="A114">
        <v>113</v>
      </c>
      <c r="B114">
        <v>781</v>
      </c>
      <c r="C114">
        <v>135</v>
      </c>
      <c r="D114">
        <v>0.46620547360432502</v>
      </c>
      <c r="E114">
        <v>7.9464340040164396</v>
      </c>
      <c r="F114">
        <v>0.38085743408380002</v>
      </c>
      <c r="G114">
        <v>-167.90822484810866</v>
      </c>
      <c r="H114">
        <v>-101.20745694863589</v>
      </c>
      <c r="I114">
        <v>63.277988372661497</v>
      </c>
      <c r="J114">
        <v>26.786089465353701</v>
      </c>
      <c r="K114">
        <v>20.864589457555301</v>
      </c>
      <c r="L114">
        <v>1.7343224741816893E-3</v>
      </c>
      <c r="M114">
        <v>6.5950066314394171E-4</v>
      </c>
      <c r="N114" s="1">
        <v>-2.16970633586139E-5</v>
      </c>
      <c r="O114" s="1">
        <v>2.4936998914063699E-5</v>
      </c>
      <c r="P114" s="1">
        <v>-3.0766595275118101E-5</v>
      </c>
    </row>
    <row r="115" spans="1:16" x14ac:dyDescent="0.2">
      <c r="A115">
        <v>114</v>
      </c>
      <c r="B115">
        <v>780</v>
      </c>
      <c r="C115">
        <v>135</v>
      </c>
      <c r="D115">
        <v>0.46563215116555001</v>
      </c>
      <c r="E115">
        <v>8.3826500004260396</v>
      </c>
      <c r="F115">
        <v>0.39793657382675601</v>
      </c>
      <c r="G115">
        <v>-175.08794168816917</v>
      </c>
      <c r="H115">
        <v>-107.31347427575014</v>
      </c>
      <c r="I115">
        <v>64.357598553721999</v>
      </c>
      <c r="J115">
        <v>27.4095935190321</v>
      </c>
      <c r="K115">
        <v>21.065291686597899</v>
      </c>
      <c r="L115">
        <v>1.7255037644327018E-3</v>
      </c>
      <c r="M115">
        <v>6.5421235270800868E-4</v>
      </c>
      <c r="N115" s="1">
        <v>-2.1692760570127201E-5</v>
      </c>
      <c r="O115" s="1">
        <v>2.4995393411095402E-5</v>
      </c>
      <c r="P115" s="1">
        <v>-3.0954974374655798E-5</v>
      </c>
    </row>
    <row r="116" spans="1:16" x14ac:dyDescent="0.2">
      <c r="A116">
        <v>115</v>
      </c>
      <c r="B116">
        <v>779</v>
      </c>
      <c r="C116">
        <v>135</v>
      </c>
      <c r="D116">
        <v>0.46505773891555402</v>
      </c>
      <c r="E116">
        <v>8.8194530427472593</v>
      </c>
      <c r="F116">
        <v>0.41472160894820198</v>
      </c>
      <c r="G116">
        <v>-182.27329063984658</v>
      </c>
      <c r="H116">
        <v>-113.42722303318071</v>
      </c>
      <c r="I116">
        <v>65.437265662558104</v>
      </c>
      <c r="J116">
        <v>28.0342210505076</v>
      </c>
      <c r="K116">
        <v>21.265959748552099</v>
      </c>
      <c r="L116">
        <v>1.7168561109002774E-3</v>
      </c>
      <c r="M116">
        <v>6.4900973757725619E-4</v>
      </c>
      <c r="N116" s="1">
        <v>-2.16852959271043E-5</v>
      </c>
      <c r="O116" s="1">
        <v>2.50533796484507E-5</v>
      </c>
      <c r="P116" s="1">
        <v>-3.1144312706509699E-5</v>
      </c>
    </row>
    <row r="117" spans="1:16" x14ac:dyDescent="0.2">
      <c r="A117">
        <v>116</v>
      </c>
      <c r="B117">
        <v>778</v>
      </c>
      <c r="C117">
        <v>135</v>
      </c>
      <c r="D117">
        <v>0.464482233743996</v>
      </c>
      <c r="E117">
        <v>9.2566977618508499</v>
      </c>
      <c r="F117">
        <v>0.43121583021052101</v>
      </c>
      <c r="G117">
        <v>-189.46180876959849</v>
      </c>
      <c r="H117">
        <v>-119.54665905540342</v>
      </c>
      <c r="I117">
        <v>66.5165914654944</v>
      </c>
      <c r="J117">
        <v>28.659771199759302</v>
      </c>
      <c r="K117">
        <v>21.466507287850899</v>
      </c>
      <c r="L117">
        <v>1.708378525361362E-3</v>
      </c>
      <c r="M117">
        <v>6.4389187937771567E-4</v>
      </c>
      <c r="N117" s="1">
        <v>-2.1674567798885101E-5</v>
      </c>
      <c r="O117" s="1">
        <v>2.5110914288197599E-5</v>
      </c>
      <c r="P117" s="1">
        <v>-3.1334565817188298E-5</v>
      </c>
    </row>
    <row r="118" spans="1:16" x14ac:dyDescent="0.2">
      <c r="A118">
        <v>117</v>
      </c>
      <c r="B118">
        <v>777</v>
      </c>
      <c r="C118">
        <v>135</v>
      </c>
      <c r="D118">
        <v>0.46390563252868899</v>
      </c>
      <c r="E118">
        <v>9.6942442767303501</v>
      </c>
      <c r="F118">
        <v>0.44742284719852998</v>
      </c>
      <c r="G118">
        <v>-196.65112660269472</v>
      </c>
      <c r="H118">
        <v>-125.66981437292074</v>
      </c>
      <c r="I118">
        <v>67.595192650576806</v>
      </c>
      <c r="J118">
        <v>29.286050663965</v>
      </c>
      <c r="K118">
        <v>21.6668512514042</v>
      </c>
      <c r="L118">
        <v>1.7000697463134741E-3</v>
      </c>
      <c r="M118">
        <v>6.3885773964498041E-4</v>
      </c>
      <c r="N118" s="1">
        <v>-2.16604753679115E-5</v>
      </c>
      <c r="O118" s="1">
        <v>2.5167955465303801E-5</v>
      </c>
      <c r="P118" s="1">
        <v>-3.1525690337829701E-5</v>
      </c>
    </row>
    <row r="119" spans="1:16" x14ac:dyDescent="0.2">
      <c r="A119">
        <v>118</v>
      </c>
      <c r="B119">
        <v>776</v>
      </c>
      <c r="C119">
        <v>135</v>
      </c>
      <c r="D119">
        <v>0.46332793213554102</v>
      </c>
      <c r="E119">
        <v>10.131958587552701</v>
      </c>
      <c r="F119">
        <v>0.46334656404136898</v>
      </c>
      <c r="G119">
        <v>-203.83897453995169</v>
      </c>
      <c r="H119">
        <v>-131.79480267950345</v>
      </c>
      <c r="I119">
        <v>68.672701803708605</v>
      </c>
      <c r="J119">
        <v>29.912874252492099</v>
      </c>
      <c r="K119">
        <v>21.866912099618101</v>
      </c>
      <c r="L119">
        <v>1.6919282543208538E-3</v>
      </c>
      <c r="M119">
        <v>6.339061871888953E-4</v>
      </c>
      <c r="N119" s="1">
        <v>-2.1642918729165201E-5</v>
      </c>
      <c r="O119" s="1">
        <v>2.5224462867187302E-5</v>
      </c>
      <c r="P119" s="1">
        <v>-3.1717644102471101E-5</v>
      </c>
    </row>
    <row r="120" spans="1:16" x14ac:dyDescent="0.2">
      <c r="A120">
        <v>119</v>
      </c>
      <c r="B120">
        <v>775</v>
      </c>
      <c r="C120">
        <v>135</v>
      </c>
      <c r="D120">
        <v>0.46274912941850099</v>
      </c>
      <c r="E120">
        <v>10.569712877023001</v>
      </c>
      <c r="F120">
        <v>0.47899115348289101</v>
      </c>
      <c r="G120">
        <v>-211.02318775477974</v>
      </c>
      <c r="H120">
        <v>-137.91982353448103</v>
      </c>
      <c r="I120">
        <v>69.748768147339604</v>
      </c>
      <c r="J120">
        <v>30.540065317550201</v>
      </c>
      <c r="K120">
        <v>22.066613965972799</v>
      </c>
      <c r="L120">
        <v>1.6839522890288411E-3</v>
      </c>
      <c r="M120">
        <v>6.2903600598910887E-4</v>
      </c>
      <c r="N120" s="1">
        <v>-2.1621798970248301E-5</v>
      </c>
      <c r="O120" s="1">
        <v>2.52803977924331E-5</v>
      </c>
      <c r="P120" s="1">
        <v>-3.1910386242807497E-5</v>
      </c>
    </row>
    <row r="121" spans="1:16" x14ac:dyDescent="0.2">
      <c r="A121">
        <v>120</v>
      </c>
      <c r="B121">
        <v>774</v>
      </c>
      <c r="C121">
        <v>135</v>
      </c>
      <c r="D121">
        <v>0.46216922121950399</v>
      </c>
      <c r="E121">
        <v>12.8671645860558</v>
      </c>
      <c r="F121">
        <v>0.55393599148738704</v>
      </c>
      <c r="G121">
        <v>-249.021731414935</v>
      </c>
      <c r="H121">
        <v>-170.20196015063803</v>
      </c>
      <c r="I121">
        <v>75.274451255205193</v>
      </c>
      <c r="J121">
        <v>33.609998411949803</v>
      </c>
      <c r="K121">
        <v>23.228612662459099</v>
      </c>
      <c r="L121">
        <v>1.6278987146602071E-3</v>
      </c>
      <c r="M121">
        <v>6.0615615253612615E-4</v>
      </c>
      <c r="N121" s="1">
        <v>-2.1882755891070099E-5</v>
      </c>
      <c r="O121" s="1">
        <v>2.5663359972645501E-5</v>
      </c>
      <c r="P121" s="1">
        <v>-3.2519008015633003E-5</v>
      </c>
    </row>
    <row r="122" spans="1:16" x14ac:dyDescent="0.2">
      <c r="A122">
        <v>121</v>
      </c>
      <c r="B122">
        <v>773</v>
      </c>
      <c r="C122">
        <v>135</v>
      </c>
      <c r="D122">
        <v>0.46158820436839998</v>
      </c>
      <c r="E122">
        <v>15.594044883285401</v>
      </c>
      <c r="F122">
        <v>0.63365043497203399</v>
      </c>
      <c r="G122">
        <v>-294.07071805584337</v>
      </c>
      <c r="H122">
        <v>-208.47968474722325</v>
      </c>
      <c r="I122">
        <v>81.8190295645323</v>
      </c>
      <c r="J122">
        <v>37.242343569182403</v>
      </c>
      <c r="K122">
        <v>24.609854302354702</v>
      </c>
      <c r="L122">
        <v>1.5675852876297803E-3</v>
      </c>
      <c r="M122">
        <v>5.818043553907573E-4</v>
      </c>
      <c r="N122" s="1">
        <v>-2.22001769460904E-5</v>
      </c>
      <c r="O122" s="1">
        <v>2.61168125944177E-5</v>
      </c>
      <c r="P122" s="1">
        <v>-3.3222044547614202E-5</v>
      </c>
    </row>
    <row r="123" spans="1:16" x14ac:dyDescent="0.2">
      <c r="A123">
        <v>122</v>
      </c>
      <c r="B123">
        <v>772</v>
      </c>
      <c r="C123">
        <v>135</v>
      </c>
      <c r="D123">
        <v>0.46100607568291702</v>
      </c>
      <c r="E123">
        <v>18.849098603527001</v>
      </c>
      <c r="F123">
        <v>0.71781932195703202</v>
      </c>
      <c r="G123">
        <v>-347.74859542513718</v>
      </c>
      <c r="H123">
        <v>-254.09496606416261</v>
      </c>
      <c r="I123">
        <v>89.611692818292099</v>
      </c>
      <c r="J123">
        <v>41.562998062075202</v>
      </c>
      <c r="K123">
        <v>26.2588342594869</v>
      </c>
      <c r="L123">
        <v>1.5031934963449208E-3</v>
      </c>
      <c r="M123">
        <v>5.5605909346771558E-4</v>
      </c>
      <c r="N123" s="1">
        <v>-2.2584195382400799E-5</v>
      </c>
      <c r="O123" s="1">
        <v>2.6653435928309601E-5</v>
      </c>
      <c r="P123" s="1">
        <v>-3.4036790498907202E-5</v>
      </c>
    </row>
    <row r="124" spans="1:16" x14ac:dyDescent="0.2">
      <c r="A124">
        <v>123</v>
      </c>
      <c r="B124">
        <v>771</v>
      </c>
      <c r="C124">
        <v>135</v>
      </c>
      <c r="D124">
        <v>0.46042283196858502</v>
      </c>
      <c r="E124">
        <v>30.974664667590499</v>
      </c>
      <c r="F124">
        <v>0.95605022800519601</v>
      </c>
      <c r="G124">
        <v>-546.48172662377226</v>
      </c>
      <c r="H124">
        <v>-422.95376136821619</v>
      </c>
      <c r="I124">
        <v>118.30895418046001</v>
      </c>
      <c r="J124">
        <v>57.372256603137401</v>
      </c>
      <c r="K124">
        <v>32.398574635790098</v>
      </c>
      <c r="L124">
        <v>1.3115161659438186E-3</v>
      </c>
      <c r="M124">
        <v>4.8306170541719375E-4</v>
      </c>
      <c r="N124" s="1">
        <v>-2.4156513889448499E-5</v>
      </c>
      <c r="O124" s="1">
        <v>2.8580890550318199E-5</v>
      </c>
      <c r="P124" s="1">
        <v>-3.6640876361074598E-5</v>
      </c>
    </row>
    <row r="125" spans="1:16" x14ac:dyDescent="0.2">
      <c r="A125">
        <v>124</v>
      </c>
      <c r="B125">
        <v>770</v>
      </c>
      <c r="C125">
        <v>135</v>
      </c>
      <c r="D125">
        <v>0.45983847001869499</v>
      </c>
      <c r="E125">
        <v>44.904431341152801</v>
      </c>
      <c r="F125">
        <v>1.13884753157048</v>
      </c>
      <c r="G125">
        <v>-774.49799926372248</v>
      </c>
      <c r="H125">
        <v>-616.81978744125468</v>
      </c>
      <c r="I125">
        <v>151.16031097315599</v>
      </c>
      <c r="J125">
        <v>75.494401581105393</v>
      </c>
      <c r="K125">
        <v>39.429713018062202</v>
      </c>
      <c r="L125">
        <v>1.1643921502559524E-3</v>
      </c>
      <c r="M125">
        <v>4.2703004282465908E-4</v>
      </c>
      <c r="N125" s="1">
        <v>-2.5930140470051099E-5</v>
      </c>
      <c r="O125" s="1">
        <v>3.0762507370965297E-5</v>
      </c>
      <c r="P125" s="1">
        <v>-3.9592554222545999E-5</v>
      </c>
    </row>
    <row r="126" spans="1:16" x14ac:dyDescent="0.2">
      <c r="A126">
        <v>125</v>
      </c>
      <c r="B126">
        <v>769</v>
      </c>
      <c r="C126">
        <v>135</v>
      </c>
      <c r="D126">
        <v>0.45925298661421299</v>
      </c>
      <c r="E126">
        <v>63.671979708293399</v>
      </c>
      <c r="F126">
        <v>1.3027624736091901</v>
      </c>
      <c r="G126">
        <v>-1080.3752141109055</v>
      </c>
      <c r="H126">
        <v>-876.82309555805261</v>
      </c>
      <c r="I126">
        <v>195.32431822327499</v>
      </c>
      <c r="J126">
        <v>99.851572679683798</v>
      </c>
      <c r="K126">
        <v>48.874588421245797</v>
      </c>
      <c r="L126">
        <v>1.033292690606613E-3</v>
      </c>
      <c r="M126">
        <v>3.772532311734514E-4</v>
      </c>
      <c r="N126" s="1">
        <v>-2.8330525030936399E-5</v>
      </c>
      <c r="O126" s="1">
        <v>3.3699628043776697E-5</v>
      </c>
      <c r="P126" s="1">
        <v>-4.3543692701035298E-5</v>
      </c>
    </row>
    <row r="127" spans="1:16" x14ac:dyDescent="0.2">
      <c r="A127">
        <v>126</v>
      </c>
      <c r="B127">
        <v>768</v>
      </c>
      <c r="C127">
        <v>135</v>
      </c>
      <c r="D127">
        <v>0.45866637852374798</v>
      </c>
      <c r="E127">
        <v>82.018467393265496</v>
      </c>
      <c r="F127">
        <v>1.41235853121614</v>
      </c>
      <c r="G127">
        <v>-1378.5909996483774</v>
      </c>
      <c r="H127">
        <v>-1130.40399426043</v>
      </c>
      <c r="I127">
        <v>238.38310135036701</v>
      </c>
      <c r="J127">
        <v>123.63166931245399</v>
      </c>
      <c r="K127">
        <v>58.071987799472701</v>
      </c>
      <c r="L127">
        <v>9.4664057347155551E-4</v>
      </c>
      <c r="M127">
        <v>3.4416912027651175E-4</v>
      </c>
      <c r="N127" s="1">
        <v>-3.0631139142486397E-5</v>
      </c>
      <c r="O127" s="1">
        <v>3.6547438124123001E-5</v>
      </c>
      <c r="P127" s="1">
        <v>-4.7410317289862097E-5</v>
      </c>
    </row>
    <row r="128" spans="1:16" x14ac:dyDescent="0.2">
      <c r="A128">
        <v>127</v>
      </c>
      <c r="B128">
        <v>767</v>
      </c>
      <c r="C128">
        <v>135</v>
      </c>
      <c r="D128">
        <v>0.45807864250348701</v>
      </c>
      <c r="E128">
        <v>92.429890817686399</v>
      </c>
      <c r="F128">
        <v>1.4612563424585701</v>
      </c>
      <c r="G128">
        <v>-1547.6898303432242</v>
      </c>
      <c r="H128">
        <v>-1274.4321015561482</v>
      </c>
      <c r="I128">
        <v>262.71551057365502</v>
      </c>
      <c r="J128">
        <v>137.14601938736001</v>
      </c>
      <c r="K128">
        <v>63.253714034987503</v>
      </c>
      <c r="L128">
        <v>9.0926529045989239E-4</v>
      </c>
      <c r="M128">
        <v>3.2940313443280216E-4</v>
      </c>
      <c r="N128" s="1">
        <v>-3.1834898059490102E-5</v>
      </c>
      <c r="O128" s="1">
        <v>3.81266976733335E-5</v>
      </c>
      <c r="P128" s="1">
        <v>-4.9655670589682502E-5</v>
      </c>
    </row>
    <row r="129" spans="1:16" x14ac:dyDescent="0.2">
      <c r="A129">
        <v>128</v>
      </c>
      <c r="B129">
        <v>766</v>
      </c>
      <c r="C129">
        <v>135</v>
      </c>
      <c r="D129">
        <v>0.45748977529712298</v>
      </c>
      <c r="E129">
        <v>97.931723448305604</v>
      </c>
      <c r="F129">
        <v>1.48474276353898</v>
      </c>
      <c r="G129">
        <v>-1636.9076218522214</v>
      </c>
      <c r="H129">
        <v>-1350.6405705344157</v>
      </c>
      <c r="I129">
        <v>275.48765041051502</v>
      </c>
      <c r="J129">
        <v>144.31237328373501</v>
      </c>
      <c r="K129">
        <v>65.958714097301595</v>
      </c>
      <c r="L129">
        <v>8.9250916417370782E-4</v>
      </c>
      <c r="M129">
        <v>3.2228219273433518E-4</v>
      </c>
      <c r="N129" s="1">
        <v>-3.2368122356071597E-5</v>
      </c>
      <c r="O129" s="1">
        <v>3.8928366109098303E-5</v>
      </c>
      <c r="P129" s="1">
        <v>-5.0902261739050398E-5</v>
      </c>
    </row>
    <row r="130" spans="1:16" x14ac:dyDescent="0.2">
      <c r="A130">
        <v>129</v>
      </c>
      <c r="B130">
        <v>765</v>
      </c>
      <c r="C130">
        <v>135</v>
      </c>
      <c r="D130">
        <v>0.45689977363579698</v>
      </c>
      <c r="E130">
        <v>100.863076476515</v>
      </c>
      <c r="F130">
        <v>1.4971665138729799</v>
      </c>
      <c r="G130">
        <v>-1684.3028929442048</v>
      </c>
      <c r="H130">
        <v>-1391.3294504607236</v>
      </c>
      <c r="I130">
        <v>282.21302568820101</v>
      </c>
      <c r="J130">
        <v>148.15511444330701</v>
      </c>
      <c r="K130">
        <v>67.369310989728007</v>
      </c>
      <c r="L130">
        <v>8.8472152637062112E-4</v>
      </c>
      <c r="M130">
        <v>3.1847806463945348E-4</v>
      </c>
      <c r="N130" s="1">
        <v>-3.2550664812234098E-5</v>
      </c>
      <c r="O130" s="1">
        <v>3.9324556680784001E-5</v>
      </c>
      <c r="P130" s="1">
        <v>-5.16265681919078E-5</v>
      </c>
    </row>
    <row r="131" spans="1:16" x14ac:dyDescent="0.2">
      <c r="A131">
        <v>130</v>
      </c>
      <c r="B131">
        <v>797</v>
      </c>
      <c r="C131">
        <v>115</v>
      </c>
      <c r="D131">
        <v>0.49579077699387802</v>
      </c>
      <c r="E131">
        <v>6.8121275801351198</v>
      </c>
      <c r="F131">
        <v>0.26740133780309999</v>
      </c>
      <c r="G131">
        <v>-152.72717421051118</v>
      </c>
      <c r="H131">
        <v>-83.988459679563093</v>
      </c>
      <c r="I131">
        <v>64.236427462189297</v>
      </c>
      <c r="J131">
        <v>25.0755334937522</v>
      </c>
      <c r="K131">
        <v>25.4752935647284</v>
      </c>
      <c r="L131">
        <v>1.7455560605220742E-3</v>
      </c>
      <c r="M131">
        <v>8.5774214530028221E-4</v>
      </c>
      <c r="N131" s="1">
        <v>-3.9295021144178397E-5</v>
      </c>
      <c r="O131" s="1">
        <v>4.4618485147255498E-5</v>
      </c>
      <c r="P131" s="1">
        <v>-3.9073014614500701E-5</v>
      </c>
    </row>
    <row r="132" spans="1:16" x14ac:dyDescent="0.2">
      <c r="A132">
        <v>131</v>
      </c>
      <c r="B132">
        <v>796</v>
      </c>
      <c r="C132">
        <v>115</v>
      </c>
      <c r="D132">
        <v>0.49525370621521903</v>
      </c>
      <c r="E132">
        <v>6.9106441863114103</v>
      </c>
      <c r="F132">
        <v>0.27117055805492402</v>
      </c>
      <c r="G132">
        <v>-154.29947296843136</v>
      </c>
      <c r="H132">
        <v>-85.387854717455269</v>
      </c>
      <c r="I132">
        <v>64.458232403660105</v>
      </c>
      <c r="J132">
        <v>25.235163322915</v>
      </c>
      <c r="K132">
        <v>25.484492991719598</v>
      </c>
      <c r="L132">
        <v>1.7476804050546146E-3</v>
      </c>
      <c r="M132">
        <v>8.5647234922094756E-4</v>
      </c>
      <c r="N132" s="1">
        <v>-3.9379896749497599E-5</v>
      </c>
      <c r="O132" s="1">
        <v>4.4602059331581902E-5</v>
      </c>
      <c r="P132" s="1">
        <v>-3.9184569029757602E-5</v>
      </c>
    </row>
    <row r="133" spans="1:16" x14ac:dyDescent="0.2">
      <c r="A133">
        <v>132</v>
      </c>
      <c r="B133">
        <v>795</v>
      </c>
      <c r="C133">
        <v>115</v>
      </c>
      <c r="D133">
        <v>0.49471562982727202</v>
      </c>
      <c r="E133">
        <v>7.3257507987781096</v>
      </c>
      <c r="F133">
        <v>0.28536570062620698</v>
      </c>
      <c r="G133">
        <v>-161.13854794289867</v>
      </c>
      <c r="H133">
        <v>-91.200739379186672</v>
      </c>
      <c r="I133">
        <v>65.479306643137804</v>
      </c>
      <c r="J133">
        <v>25.819502230243501</v>
      </c>
      <c r="K133">
        <v>25.671448189822598</v>
      </c>
      <c r="L133">
        <v>1.741970250167124E-3</v>
      </c>
      <c r="M133">
        <v>8.5130769870549682E-4</v>
      </c>
      <c r="N133" s="1">
        <v>-3.9558864889124901E-5</v>
      </c>
      <c r="O133" s="1">
        <v>4.46917063401718E-5</v>
      </c>
      <c r="P133" s="1">
        <v>-3.9390511456788102E-5</v>
      </c>
    </row>
    <row r="134" spans="1:16" x14ac:dyDescent="0.2">
      <c r="A134">
        <v>133</v>
      </c>
      <c r="B134">
        <v>794</v>
      </c>
      <c r="C134">
        <v>115</v>
      </c>
      <c r="D134">
        <v>0.49417654500304597</v>
      </c>
      <c r="E134">
        <v>7.7415579849921397</v>
      </c>
      <c r="F134">
        <v>0.29938207636667602</v>
      </c>
      <c r="G134">
        <v>-167.98565785653153</v>
      </c>
      <c r="H134">
        <v>-97.023089259469629</v>
      </c>
      <c r="I134">
        <v>66.500954256448495</v>
      </c>
      <c r="J134">
        <v>26.405097645171502</v>
      </c>
      <c r="K134">
        <v>25.858455118436801</v>
      </c>
      <c r="L134">
        <v>1.7363543220511187E-3</v>
      </c>
      <c r="M134">
        <v>8.4620491055592084E-4</v>
      </c>
      <c r="N134" s="1">
        <v>-3.9737111427005199E-5</v>
      </c>
      <c r="O134" s="1">
        <v>4.4781079186102998E-5</v>
      </c>
      <c r="P134" s="1">
        <v>-3.9597734083594503E-5</v>
      </c>
    </row>
    <row r="135" spans="1:16" x14ac:dyDescent="0.2">
      <c r="A135">
        <v>134</v>
      </c>
      <c r="B135">
        <v>793</v>
      </c>
      <c r="C135">
        <v>115</v>
      </c>
      <c r="D135">
        <v>0.49363644890494002</v>
      </c>
      <c r="E135">
        <v>8.1579220663242893</v>
      </c>
      <c r="F135">
        <v>0.31321898904733703</v>
      </c>
      <c r="G135">
        <v>-174.83837666702348</v>
      </c>
      <c r="H135">
        <v>-102.85289186414369</v>
      </c>
      <c r="I135">
        <v>67.522788962869996</v>
      </c>
      <c r="J135">
        <v>26.991756151563301</v>
      </c>
      <c r="K135">
        <v>26.0454262084709</v>
      </c>
      <c r="L135">
        <v>1.7308340812908537E-3</v>
      </c>
      <c r="M135">
        <v>8.4116433761978449E-4</v>
      </c>
      <c r="N135" s="1">
        <v>-3.9914541167005201E-5</v>
      </c>
      <c r="O135" s="1">
        <v>4.4870117074764497E-5</v>
      </c>
      <c r="P135" s="1">
        <v>-3.9806198212496598E-5</v>
      </c>
    </row>
    <row r="136" spans="1:16" x14ac:dyDescent="0.2">
      <c r="A136">
        <v>135</v>
      </c>
      <c r="B136">
        <v>792</v>
      </c>
      <c r="C136">
        <v>115</v>
      </c>
      <c r="D136">
        <v>0.49309533868469302</v>
      </c>
      <c r="E136">
        <v>8.5747025812450506</v>
      </c>
      <c r="F136">
        <v>0.326876042899437</v>
      </c>
      <c r="G136">
        <v>-181.69433448869611</v>
      </c>
      <c r="H136">
        <v>-108.68817960282183</v>
      </c>
      <c r="I136">
        <v>68.544433595742802</v>
      </c>
      <c r="J136">
        <v>27.579288740644198</v>
      </c>
      <c r="K136">
        <v>26.2322760187201</v>
      </c>
      <c r="L136">
        <v>1.725410773901617E-3</v>
      </c>
      <c r="M136">
        <v>8.3618621883047343E-4</v>
      </c>
      <c r="N136" s="1">
        <v>-4.0091058687234203E-5</v>
      </c>
      <c r="O136" s="1">
        <v>4.4958760699905802E-5</v>
      </c>
      <c r="P136" s="1">
        <v>-4.0015865966702001E-5</v>
      </c>
    </row>
    <row r="137" spans="1:16" x14ac:dyDescent="0.2">
      <c r="A137">
        <v>136</v>
      </c>
      <c r="B137">
        <v>791</v>
      </c>
      <c r="C137">
        <v>115</v>
      </c>
      <c r="D137">
        <v>0.49255321148334702</v>
      </c>
      <c r="E137">
        <v>8.9917628037074593</v>
      </c>
      <c r="F137">
        <v>0.34035313643585602</v>
      </c>
      <c r="G137">
        <v>-188.55122614227295</v>
      </c>
      <c r="H137">
        <v>-114.52703699029043</v>
      </c>
      <c r="I137">
        <v>69.565521412398397</v>
      </c>
      <c r="J137">
        <v>28.167511519899598</v>
      </c>
      <c r="K137">
        <v>26.418921529174899</v>
      </c>
      <c r="L137">
        <v>1.7200854325154608E-3</v>
      </c>
      <c r="M137">
        <v>8.3127068124139484E-4</v>
      </c>
      <c r="N137" s="1">
        <v>-4.0266568509614002E-5</v>
      </c>
      <c r="O137" s="1">
        <v>4.5046952418224997E-5</v>
      </c>
      <c r="P137" s="1">
        <v>-4.0226700456468297E-5</v>
      </c>
    </row>
    <row r="138" spans="1:16" x14ac:dyDescent="0.2">
      <c r="A138">
        <v>137</v>
      </c>
      <c r="B138">
        <v>790</v>
      </c>
      <c r="C138">
        <v>115</v>
      </c>
      <c r="D138">
        <v>0.49201006443117301</v>
      </c>
      <c r="E138">
        <v>9.4089701971634501</v>
      </c>
      <c r="F138">
        <v>0.35365045396219502</v>
      </c>
      <c r="G138">
        <v>-195.4068186233512</v>
      </c>
      <c r="H138">
        <v>-120.36760695462317</v>
      </c>
      <c r="I138">
        <v>70.585697234629905</v>
      </c>
      <c r="J138">
        <v>28.7562463353993</v>
      </c>
      <c r="K138">
        <v>26.6052823960725</v>
      </c>
      <c r="L138">
        <v>1.7148588794010898E-3</v>
      </c>
      <c r="M138">
        <v>8.2641774295101481E-4</v>
      </c>
      <c r="N138" s="1">
        <v>-4.0440975250276301E-5</v>
      </c>
      <c r="O138" s="1">
        <v>4.5134636399690601E-5</v>
      </c>
      <c r="P138" s="1">
        <v>-4.0438665926846599E-5</v>
      </c>
    </row>
    <row r="139" spans="1:16" x14ac:dyDescent="0.2">
      <c r="A139">
        <v>138</v>
      </c>
      <c r="B139">
        <v>789</v>
      </c>
      <c r="C139">
        <v>115</v>
      </c>
      <c r="D139">
        <v>0.49146589464765</v>
      </c>
      <c r="E139">
        <v>9.8261968024040094</v>
      </c>
      <c r="F139">
        <v>0.36676845502873801</v>
      </c>
      <c r="G139">
        <v>-202.25895746402404</v>
      </c>
      <c r="H139">
        <v>-126.20809622784728</v>
      </c>
      <c r="I139">
        <v>71.604618417285096</v>
      </c>
      <c r="J139">
        <v>29.345321305634101</v>
      </c>
      <c r="K139">
        <v>26.791281168480101</v>
      </c>
      <c r="L139">
        <v>1.7097317311661291E-3</v>
      </c>
      <c r="M139">
        <v>8.2162731682700301E-4</v>
      </c>
      <c r="N139" s="1">
        <v>-4.0614183751145302E-5</v>
      </c>
      <c r="O139" s="1">
        <v>4.5221758754551403E-5</v>
      </c>
      <c r="P139" s="1">
        <v>-4.0651727887458099E-5</v>
      </c>
    </row>
    <row r="140" spans="1:16" x14ac:dyDescent="0.2">
      <c r="A140">
        <v>139</v>
      </c>
      <c r="B140">
        <v>788</v>
      </c>
      <c r="C140">
        <v>115</v>
      </c>
      <c r="D140">
        <v>0.49092069924139198</v>
      </c>
      <c r="E140">
        <v>10.243319548134499</v>
      </c>
      <c r="F140">
        <v>0.37970786180093202</v>
      </c>
      <c r="G140">
        <v>-209.10557180501294</v>
      </c>
      <c r="H140">
        <v>-132.04677966621216</v>
      </c>
      <c r="I140">
        <v>72.621955615865105</v>
      </c>
      <c r="J140">
        <v>29.9345712513433</v>
      </c>
      <c r="K140">
        <v>26.976843459471802</v>
      </c>
      <c r="L140">
        <v>1.7047044051949627E-3</v>
      </c>
      <c r="M140">
        <v>8.1689921503921565E-4</v>
      </c>
      <c r="N140" s="1">
        <v>-4.0786099187563198E-5</v>
      </c>
      <c r="O140" s="1">
        <v>4.5308267631859498E-5</v>
      </c>
      <c r="P140" s="1">
        <v>-4.0865853219222897E-5</v>
      </c>
    </row>
    <row r="141" spans="1:16" x14ac:dyDescent="0.2">
      <c r="A141">
        <v>140</v>
      </c>
      <c r="B141">
        <v>787</v>
      </c>
      <c r="C141">
        <v>115</v>
      </c>
      <c r="D141">
        <v>0.49037447531009798</v>
      </c>
      <c r="E141">
        <v>10.6602204990585</v>
      </c>
      <c r="F141">
        <v>0.39246964505194598</v>
      </c>
      <c r="G141">
        <v>-215.94467843037714</v>
      </c>
      <c r="H141">
        <v>-137.88200370719929</v>
      </c>
      <c r="I141">
        <v>73.637393394185295</v>
      </c>
      <c r="J141">
        <v>30.523838042297999</v>
      </c>
      <c r="K141">
        <v>27.161898081691302</v>
      </c>
      <c r="L141">
        <v>1.6997771273176787E-3</v>
      </c>
      <c r="M141">
        <v>8.1223315413976572E-4</v>
      </c>
      <c r="N141" s="1">
        <v>-4.0956627158619402E-5</v>
      </c>
      <c r="O141" s="1">
        <v>4.5394113297370203E-5</v>
      </c>
      <c r="P141" s="1">
        <v>-4.1081010264628999E-5</v>
      </c>
    </row>
    <row r="142" spans="1:16" x14ac:dyDescent="0.2">
      <c r="A142">
        <v>141</v>
      </c>
      <c r="B142">
        <v>786</v>
      </c>
      <c r="C142">
        <v>115</v>
      </c>
      <c r="D142">
        <v>0.48982721994052197</v>
      </c>
      <c r="E142">
        <v>11.076787025062799</v>
      </c>
      <c r="F142">
        <v>0.40505500853956899</v>
      </c>
      <c r="G142">
        <v>-222.77438449454752</v>
      </c>
      <c r="H142">
        <v>-143.71218873598028</v>
      </c>
      <c r="I142">
        <v>74.6506306304764</v>
      </c>
      <c r="J142">
        <v>31.112970838665699</v>
      </c>
      <c r="K142">
        <v>27.346377137763</v>
      </c>
      <c r="L142">
        <v>1.6949499409194728E-3</v>
      </c>
      <c r="M142">
        <v>8.0762876077969685E-4</v>
      </c>
      <c r="N142" s="1">
        <v>-4.11256737540736E-5</v>
      </c>
      <c r="O142" s="1">
        <v>4.5479248184606902E-5</v>
      </c>
      <c r="P142" s="1">
        <v>-4.12971688955245E-5</v>
      </c>
    </row>
    <row r="143" spans="1:16" x14ac:dyDescent="0.2">
      <c r="A143">
        <v>142</v>
      </c>
      <c r="B143">
        <v>785</v>
      </c>
      <c r="C143">
        <v>115</v>
      </c>
      <c r="D143">
        <v>0.48927893020838498</v>
      </c>
      <c r="E143">
        <v>11.4929119050914</v>
      </c>
      <c r="F143">
        <v>0.41746537238308901</v>
      </c>
      <c r="G143">
        <v>-229.59288917231515</v>
      </c>
      <c r="H143">
        <v>-149.5358305519685</v>
      </c>
      <c r="I143">
        <v>75.661380758383302</v>
      </c>
      <c r="J143">
        <v>31.701826245772999</v>
      </c>
      <c r="K143">
        <v>27.5302160739333</v>
      </c>
      <c r="L143">
        <v>1.6902227170430117E-3</v>
      </c>
      <c r="M143">
        <v>8.0308557783210751E-4</v>
      </c>
      <c r="N143" s="1">
        <v>-4.1293145602906399E-5</v>
      </c>
      <c r="O143" s="1">
        <v>4.5563626925058197E-5</v>
      </c>
      <c r="P143" s="1">
        <v>-4.1514300563342501E-5</v>
      </c>
    </row>
    <row r="144" spans="1:16" x14ac:dyDescent="0.2">
      <c r="A144">
        <v>143</v>
      </c>
      <c r="B144">
        <v>784</v>
      </c>
      <c r="C144">
        <v>115</v>
      </c>
      <c r="D144">
        <v>0.48872960317835601</v>
      </c>
      <c r="E144">
        <v>11.9084933534666</v>
      </c>
      <c r="F144">
        <v>0.42970235527846101</v>
      </c>
      <c r="G144">
        <v>-236.39848403312303</v>
      </c>
      <c r="H144">
        <v>-155.35150076668637</v>
      </c>
      <c r="I144">
        <v>76.669371813508505</v>
      </c>
      <c r="J144">
        <v>32.290268366147103</v>
      </c>
      <c r="K144">
        <v>27.713353690485398</v>
      </c>
      <c r="L144">
        <v>1.6855951656308136E-3</v>
      </c>
      <c r="M144">
        <v>7.9860307098294451E-4</v>
      </c>
      <c r="N144" s="1">
        <v>-4.1458949900032698E-5</v>
      </c>
      <c r="O144" s="1">
        <v>4.5647206354182099E-5</v>
      </c>
      <c r="P144" s="1">
        <v>-4.1732378328305098E-5</v>
      </c>
    </row>
    <row r="145" spans="1:16" x14ac:dyDescent="0.2">
      <c r="A145">
        <v>144</v>
      </c>
      <c r="B145">
        <v>783</v>
      </c>
      <c r="C145">
        <v>115</v>
      </c>
      <c r="D145">
        <v>0.48817923590399198</v>
      </c>
      <c r="E145">
        <v>13.3425733290445</v>
      </c>
      <c r="F145">
        <v>0.469194360242291</v>
      </c>
      <c r="G145">
        <v>-260.0846220661665</v>
      </c>
      <c r="H145">
        <v>-175.48971980079597</v>
      </c>
      <c r="I145">
        <v>80.101294179767606</v>
      </c>
      <c r="J145">
        <v>34.199580151599001</v>
      </c>
      <c r="K145">
        <v>28.4371988660615</v>
      </c>
      <c r="L145">
        <v>1.659329047555805E-3</v>
      </c>
      <c r="M145">
        <v>7.8383627154585058E-4</v>
      </c>
      <c r="N145" s="1">
        <v>-4.1879767486112102E-5</v>
      </c>
      <c r="O145" s="1">
        <v>4.6009202666710799E-5</v>
      </c>
      <c r="P145" s="1">
        <v>-4.22075463176238E-5</v>
      </c>
    </row>
    <row r="146" spans="1:16" x14ac:dyDescent="0.2">
      <c r="A146">
        <v>145</v>
      </c>
      <c r="B146">
        <v>782</v>
      </c>
      <c r="C146">
        <v>115</v>
      </c>
      <c r="D146">
        <v>0.48762782542766497</v>
      </c>
      <c r="E146">
        <v>15.930271767451799</v>
      </c>
      <c r="F146">
        <v>0.53508810390329797</v>
      </c>
      <c r="G146">
        <v>-302.84823170357498</v>
      </c>
      <c r="H146">
        <v>-211.82092971973287</v>
      </c>
      <c r="I146">
        <v>86.273464114926497</v>
      </c>
      <c r="J146">
        <v>37.603648124605698</v>
      </c>
      <c r="K146">
        <v>29.7713061666771</v>
      </c>
      <c r="L146">
        <v>1.6118726855145482E-3</v>
      </c>
      <c r="M146">
        <v>7.5908241557866524E-4</v>
      </c>
      <c r="N146" s="1">
        <v>-4.2586995699487001E-5</v>
      </c>
      <c r="O146" s="1">
        <v>4.6681822479604398E-5</v>
      </c>
      <c r="P146" s="1">
        <v>-4.2972109425881497E-5</v>
      </c>
    </row>
    <row r="147" spans="1:16" x14ac:dyDescent="0.2">
      <c r="A147">
        <v>146</v>
      </c>
      <c r="B147">
        <v>781</v>
      </c>
      <c r="C147">
        <v>115</v>
      </c>
      <c r="D147">
        <v>0.48707536878053398</v>
      </c>
      <c r="E147">
        <v>18.884341957548699</v>
      </c>
      <c r="F147">
        <v>0.603429485599979</v>
      </c>
      <c r="G147">
        <v>-351.59367722819883</v>
      </c>
      <c r="H147">
        <v>-253.23990657140911</v>
      </c>
      <c r="I147">
        <v>93.305494017196906</v>
      </c>
      <c r="J147">
        <v>41.479362468141098</v>
      </c>
      <c r="K147">
        <v>31.295026855991999</v>
      </c>
      <c r="L147">
        <v>1.5621064494560518E-3</v>
      </c>
      <c r="M147">
        <v>7.3335821541282899E-4</v>
      </c>
      <c r="N147" s="1">
        <v>-4.3378089253277299E-5</v>
      </c>
      <c r="O147" s="1">
        <v>4.74438407199321E-5</v>
      </c>
      <c r="P147" s="1">
        <v>-4.3824739745293801E-5</v>
      </c>
    </row>
    <row r="148" spans="1:16" x14ac:dyDescent="0.2">
      <c r="A148">
        <v>147</v>
      </c>
      <c r="B148">
        <v>780</v>
      </c>
      <c r="C148">
        <v>115</v>
      </c>
      <c r="D148">
        <v>0.48652186298248101</v>
      </c>
      <c r="E148">
        <v>22.6530260962844</v>
      </c>
      <c r="F148">
        <v>0.68147345861933295</v>
      </c>
      <c r="G148">
        <v>-413.65505268614902</v>
      </c>
      <c r="H148">
        <v>-305.97247528301034</v>
      </c>
      <c r="I148">
        <v>102.25218000856</v>
      </c>
      <c r="J148">
        <v>46.4015271344662</v>
      </c>
      <c r="K148">
        <v>33.241244849329199</v>
      </c>
      <c r="L148">
        <v>1.5041523016605008E-3</v>
      </c>
      <c r="M148">
        <v>7.0389441513814017E-4</v>
      </c>
      <c r="N148" s="1">
        <v>-4.4355332856062901E-5</v>
      </c>
      <c r="O148" s="1">
        <v>4.84055405057701E-5</v>
      </c>
      <c r="P148" s="1">
        <v>-4.4868586010668801E-5</v>
      </c>
    </row>
    <row r="149" spans="1:16" x14ac:dyDescent="0.2">
      <c r="A149">
        <v>148</v>
      </c>
      <c r="B149">
        <v>779</v>
      </c>
      <c r="C149">
        <v>115</v>
      </c>
      <c r="D149">
        <v>0.48596730504205599</v>
      </c>
      <c r="E149">
        <v>34.142208316218699</v>
      </c>
      <c r="F149">
        <v>0.871332361700207</v>
      </c>
      <c r="G149">
        <v>-601.96635627356238</v>
      </c>
      <c r="H149">
        <v>-465.93807949434949</v>
      </c>
      <c r="I149">
        <v>129.29034838730701</v>
      </c>
      <c r="J149">
        <v>61.200716021433301</v>
      </c>
      <c r="K149">
        <v>39.183909397784703</v>
      </c>
      <c r="L149">
        <v>1.3553509393407449E-3</v>
      </c>
      <c r="M149">
        <v>6.3177212888956564E-4</v>
      </c>
      <c r="N149" s="1">
        <v>-4.70682137184509E-5</v>
      </c>
      <c r="O149" s="1">
        <v>5.12424189618667E-5</v>
      </c>
      <c r="P149" s="1">
        <v>-4.76640889869636E-5</v>
      </c>
    </row>
    <row r="150" spans="1:16" x14ac:dyDescent="0.2">
      <c r="A150">
        <v>149</v>
      </c>
      <c r="B150">
        <v>778</v>
      </c>
      <c r="C150">
        <v>115</v>
      </c>
      <c r="D150">
        <v>0.48541169195642903</v>
      </c>
      <c r="E150">
        <v>46.213937902745798</v>
      </c>
      <c r="F150">
        <v>1.0177853689709</v>
      </c>
      <c r="G150">
        <v>-799.60686083307849</v>
      </c>
      <c r="H150">
        <v>-633.94331747273463</v>
      </c>
      <c r="I150">
        <v>157.60678665787401</v>
      </c>
      <c r="J150">
        <v>76.725422155488005</v>
      </c>
      <c r="K150">
        <v>45.406368878610799</v>
      </c>
      <c r="L150">
        <v>1.2407798167632512E-3</v>
      </c>
      <c r="M150">
        <v>5.7614068701026719E-4</v>
      </c>
      <c r="N150" s="1">
        <v>-4.9885780630489003E-5</v>
      </c>
      <c r="O150" s="1">
        <v>5.4183461829143903E-5</v>
      </c>
      <c r="P150" s="1">
        <v>-5.0576671204796602E-5</v>
      </c>
    </row>
    <row r="151" spans="1:16" x14ac:dyDescent="0.2">
      <c r="A151">
        <v>150</v>
      </c>
      <c r="B151">
        <v>777</v>
      </c>
      <c r="C151">
        <v>115</v>
      </c>
      <c r="D151">
        <v>0.48485502071132902</v>
      </c>
      <c r="E151">
        <v>55.372954760140402</v>
      </c>
      <c r="F151">
        <v>1.1051450262525</v>
      </c>
      <c r="G151">
        <v>-949.45375453070221</v>
      </c>
      <c r="H151">
        <v>-761.44626057757284</v>
      </c>
      <c r="I151">
        <v>179.03397272083501</v>
      </c>
      <c r="J151">
        <v>88.511249966812599</v>
      </c>
      <c r="K151">
        <v>50.104695261496403</v>
      </c>
      <c r="L151">
        <v>1.173535550403871E-3</v>
      </c>
      <c r="M151">
        <v>5.4299479690105262E-4</v>
      </c>
      <c r="N151" s="1">
        <v>-5.2028935180579498E-5</v>
      </c>
      <c r="O151" s="1">
        <v>5.6388487803983401E-5</v>
      </c>
      <c r="P151" s="1">
        <v>-5.2820622532834397E-5</v>
      </c>
    </row>
    <row r="152" spans="1:16" x14ac:dyDescent="0.2">
      <c r="A152">
        <v>151</v>
      </c>
      <c r="B152">
        <v>776</v>
      </c>
      <c r="C152">
        <v>115</v>
      </c>
      <c r="D152">
        <v>0.484297288280991</v>
      </c>
      <c r="E152">
        <v>79.403867337345602</v>
      </c>
      <c r="F152">
        <v>1.2716299496377199</v>
      </c>
      <c r="G152">
        <v>-1339.9517453743379</v>
      </c>
      <c r="H152">
        <v>-1093.1998582017663</v>
      </c>
      <c r="I152">
        <v>235.19749148562099</v>
      </c>
      <c r="J152">
        <v>119.26891991692401</v>
      </c>
      <c r="K152">
        <v>62.442589811577399</v>
      </c>
      <c r="L152">
        <v>1.0435334314208714E-3</v>
      </c>
      <c r="M152">
        <v>4.8070872108086472E-4</v>
      </c>
      <c r="N152" s="1">
        <v>-5.7572384247519E-5</v>
      </c>
      <c r="O152" s="1">
        <v>6.2242362669691402E-5</v>
      </c>
      <c r="P152" s="1">
        <v>-5.85106852133882E-5</v>
      </c>
    </row>
    <row r="153" spans="1:16" x14ac:dyDescent="0.2">
      <c r="A153">
        <v>152</v>
      </c>
      <c r="B153">
        <v>775</v>
      </c>
      <c r="C153">
        <v>115</v>
      </c>
      <c r="D153">
        <v>0.483738491628109</v>
      </c>
      <c r="E153">
        <v>88.660434442257596</v>
      </c>
      <c r="F153">
        <v>1.32044436735579</v>
      </c>
      <c r="G153">
        <v>-1490.2677170828151</v>
      </c>
      <c r="H153">
        <v>-1221.1999521692364</v>
      </c>
      <c r="I153">
        <v>256.71280659292</v>
      </c>
      <c r="J153">
        <v>131.141219144866</v>
      </c>
      <c r="K153">
        <v>67.144392171402998</v>
      </c>
      <c r="L153">
        <v>1.0073137147488022E-3</v>
      </c>
      <c r="M153">
        <v>4.6246391106379817E-4</v>
      </c>
      <c r="N153" s="1">
        <v>-5.9722946283896797E-5</v>
      </c>
      <c r="O153" s="1">
        <v>6.4435832091204996E-5</v>
      </c>
      <c r="P153" s="1">
        <v>-6.0788478272428397E-5</v>
      </c>
    </row>
    <row r="154" spans="1:16" x14ac:dyDescent="0.2">
      <c r="A154">
        <v>153</v>
      </c>
      <c r="B154">
        <v>774</v>
      </c>
      <c r="C154">
        <v>115</v>
      </c>
      <c r="D154">
        <v>0.48317862770377201</v>
      </c>
      <c r="E154">
        <v>96.088904956857803</v>
      </c>
      <c r="F154">
        <v>1.3554105227997999</v>
      </c>
      <c r="G154">
        <v>-1610.8414117116934</v>
      </c>
      <c r="H154">
        <v>-1324.0091879632162</v>
      </c>
      <c r="I154">
        <v>273.92269377751501</v>
      </c>
      <c r="J154">
        <v>140.68212062534599</v>
      </c>
      <c r="K154">
        <v>70.892842677930204</v>
      </c>
      <c r="L154">
        <v>9.8218041177132996E-4</v>
      </c>
      <c r="M154">
        <v>4.4946234729903911E-4</v>
      </c>
      <c r="N154" s="1">
        <v>-6.1451185002427106E-5</v>
      </c>
      <c r="O154" s="1">
        <v>6.6171061496921895E-5</v>
      </c>
      <c r="P154" s="1">
        <v>-6.2649029781085397E-5</v>
      </c>
    </row>
    <row r="155" spans="1:16" x14ac:dyDescent="0.2">
      <c r="A155">
        <v>154</v>
      </c>
      <c r="B155">
        <v>773</v>
      </c>
      <c r="C155">
        <v>115</v>
      </c>
      <c r="D155">
        <v>0.48261769344740202</v>
      </c>
      <c r="E155">
        <v>99.556664892900301</v>
      </c>
      <c r="F155">
        <v>1.3712594847510799</v>
      </c>
      <c r="G155">
        <v>-1666.9639615126587</v>
      </c>
      <c r="H155">
        <v>-1372.091389274618</v>
      </c>
      <c r="I155">
        <v>281.87026002113299</v>
      </c>
      <c r="J155">
        <v>145.16272838673299</v>
      </c>
      <c r="K155">
        <v>72.602352800478002</v>
      </c>
      <c r="L155">
        <v>9.7230637381397081E-4</v>
      </c>
      <c r="M155">
        <v>4.4359659889618887E-4</v>
      </c>
      <c r="N155" s="1">
        <v>-6.2276852225436201E-5</v>
      </c>
      <c r="O155" s="1">
        <v>6.6937394411642397E-5</v>
      </c>
      <c r="P155" s="1">
        <v>-6.3602665603360004E-5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32345-8C57-45B8-927D-860D22FB01E1}">
  <sheetPr codeName="Sheet6"/>
  <dimension ref="A1:AN1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20</v>
      </c>
      <c r="B2">
        <v>738</v>
      </c>
      <c r="C2">
        <v>275</v>
      </c>
      <c r="D2">
        <v>0.28822677149780002</v>
      </c>
      <c r="E2">
        <v>2.0752136754597399E-2</v>
      </c>
      <c r="F2">
        <v>4.6574649514603399</v>
      </c>
      <c r="G2">
        <v>-0.1965691613391041</v>
      </c>
      <c r="H2">
        <v>-0.15975892727843838</v>
      </c>
      <c r="I2">
        <v>3.6404325827686899E-2</v>
      </c>
      <c r="J2">
        <v>1.90261072914659E-2</v>
      </c>
      <c r="K2">
        <v>4.4556721244011898E-3</v>
      </c>
      <c r="L2">
        <v>3.168647580568746E-5</v>
      </c>
      <c r="M2">
        <v>5.5280077730306393E-7</v>
      </c>
      <c r="N2" s="1">
        <v>2.15470649535615E-11</v>
      </c>
      <c r="O2" s="1">
        <v>9.7307967675681896E-15</v>
      </c>
      <c r="P2" s="1">
        <v>3.5954873096332798E-14</v>
      </c>
      <c r="R2">
        <v>47.314095767961</v>
      </c>
      <c r="S2">
        <v>2.2385482713674199</v>
      </c>
      <c r="T2">
        <v>9.8023601896131396</v>
      </c>
      <c r="V2">
        <v>37.623365960461797</v>
      </c>
      <c r="W2">
        <v>0.60282536869385805</v>
      </c>
      <c r="X2">
        <v>2.41880444190262</v>
      </c>
      <c r="AJ2">
        <v>8.8841231955482006E-2</v>
      </c>
      <c r="AK2">
        <v>9.0868472539505293E-2</v>
      </c>
      <c r="AL2">
        <v>0.77520918571631203</v>
      </c>
      <c r="AM2">
        <v>1.2580054682331501E-2</v>
      </c>
      <c r="AN2">
        <v>3.2501055106367999E-2</v>
      </c>
    </row>
    <row r="3" spans="1:40" x14ac:dyDescent="0.2">
      <c r="A3">
        <v>21</v>
      </c>
      <c r="B3">
        <v>737</v>
      </c>
      <c r="C3">
        <v>275</v>
      </c>
      <c r="D3">
        <v>0.28745285353660599</v>
      </c>
      <c r="E3">
        <v>3.6959434531742802E-2</v>
      </c>
      <c r="F3">
        <v>4.6601051944896401</v>
      </c>
      <c r="G3">
        <v>-0.35054807410901956</v>
      </c>
      <c r="H3">
        <v>-0.28498970883235814</v>
      </c>
      <c r="I3">
        <v>6.4899633991646194E-2</v>
      </c>
      <c r="J3">
        <v>3.3846884251815999E-2</v>
      </c>
      <c r="K3">
        <v>7.9310300925064092E-3</v>
      </c>
      <c r="L3">
        <v>3.1588826434079228E-5</v>
      </c>
      <c r="M3">
        <v>5.5251867943452091E-7</v>
      </c>
      <c r="N3" s="1">
        <v>4.27059984051588E-11</v>
      </c>
      <c r="O3" s="1">
        <v>1.7316379161930501E-14</v>
      </c>
      <c r="P3" s="1">
        <v>5.8099758938004695E-14</v>
      </c>
      <c r="R3">
        <v>47.265698898084501</v>
      </c>
      <c r="S3">
        <v>2.3085894819286401</v>
      </c>
      <c r="T3">
        <v>9.8334773363206498</v>
      </c>
      <c r="V3">
        <v>37.203078335734098</v>
      </c>
      <c r="W3">
        <v>0.96446326475072797</v>
      </c>
      <c r="X3">
        <v>2.42469268318133</v>
      </c>
      <c r="AJ3">
        <v>8.9021122290991503E-2</v>
      </c>
      <c r="AK3">
        <v>9.1119691504633199E-2</v>
      </c>
      <c r="AL3">
        <v>0.76623623959670395</v>
      </c>
      <c r="AM3">
        <v>2.0118669088322098E-2</v>
      </c>
      <c r="AN3">
        <v>3.3504277519348702E-2</v>
      </c>
    </row>
    <row r="4" spans="1:40" x14ac:dyDescent="0.2">
      <c r="A4">
        <v>22</v>
      </c>
      <c r="B4">
        <v>736</v>
      </c>
      <c r="C4">
        <v>275</v>
      </c>
      <c r="D4">
        <v>0.28667740177377199</v>
      </c>
      <c r="E4">
        <v>4.3636627689074302E-2</v>
      </c>
      <c r="F4">
        <v>4.6621299459738204</v>
      </c>
      <c r="G4">
        <v>-0.41426465802218881</v>
      </c>
      <c r="H4">
        <v>-0.33689129063155976</v>
      </c>
      <c r="I4">
        <v>7.6671820235474406E-2</v>
      </c>
      <c r="J4">
        <v>3.9928242492025201E-2</v>
      </c>
      <c r="K4">
        <v>9.3598051094132394E-3</v>
      </c>
      <c r="L4">
        <v>3.1507911167933396E-5</v>
      </c>
      <c r="M4">
        <v>5.5225458393500016E-7</v>
      </c>
      <c r="N4" s="1">
        <v>5.3083593641938102E-11</v>
      </c>
      <c r="O4" s="1">
        <v>2.0424448089690901E-14</v>
      </c>
      <c r="P4" s="1">
        <v>6.5206488272585403E-14</v>
      </c>
      <c r="R4">
        <v>47.215168573343902</v>
      </c>
      <c r="S4">
        <v>2.3743921752283899</v>
      </c>
      <c r="T4">
        <v>9.8671704366670792</v>
      </c>
      <c r="V4">
        <v>36.884738646374501</v>
      </c>
      <c r="W4">
        <v>1.2337388546374499</v>
      </c>
      <c r="X4">
        <v>2.4247913137485502</v>
      </c>
      <c r="AJ4">
        <v>8.8995254164003501E-2</v>
      </c>
      <c r="AK4">
        <v>9.1401614335951606E-2</v>
      </c>
      <c r="AL4">
        <v>0.75942805878229802</v>
      </c>
      <c r="AM4">
        <v>2.57272233081287E-2</v>
      </c>
      <c r="AN4">
        <v>3.4447849409617398E-2</v>
      </c>
    </row>
    <row r="5" spans="1:40" x14ac:dyDescent="0.2">
      <c r="A5">
        <v>39</v>
      </c>
      <c r="B5">
        <v>741</v>
      </c>
      <c r="C5">
        <v>255</v>
      </c>
      <c r="D5">
        <v>0.31223241137898899</v>
      </c>
      <c r="E5">
        <v>1.9171286744903902E-2</v>
      </c>
      <c r="F5">
        <v>4.6551970364337203</v>
      </c>
      <c r="G5">
        <v>-0.18202706971330382</v>
      </c>
      <c r="H5">
        <v>-0.14783662434084641</v>
      </c>
      <c r="I5">
        <v>3.3713400751819098E-2</v>
      </c>
      <c r="J5">
        <v>1.7588024517338399E-2</v>
      </c>
      <c r="K5">
        <v>4.1182546291511704E-3</v>
      </c>
      <c r="L5">
        <v>3.1646177242443712E-5</v>
      </c>
      <c r="M5">
        <v>5.529643050113396E-7</v>
      </c>
      <c r="N5" s="1">
        <v>1.9978504490264799E-11</v>
      </c>
      <c r="O5" s="1">
        <v>8.9843664694345504E-15</v>
      </c>
      <c r="P5" s="1">
        <v>3.4073158944361899E-14</v>
      </c>
      <c r="R5">
        <v>47.310758785116199</v>
      </c>
      <c r="S5">
        <v>2.2237236830676999</v>
      </c>
      <c r="T5">
        <v>9.8995706093447193</v>
      </c>
      <c r="V5">
        <v>37.333985142944698</v>
      </c>
      <c r="W5">
        <v>0.71786657320551905</v>
      </c>
      <c r="X5">
        <v>2.51409520632104</v>
      </c>
      <c r="AJ5">
        <v>9.2283611692236797E-2</v>
      </c>
      <c r="AK5">
        <v>9.1712382799997799E-2</v>
      </c>
      <c r="AL5">
        <v>0.76876687488627204</v>
      </c>
      <c r="AM5">
        <v>1.49714473750904E-2</v>
      </c>
      <c r="AN5">
        <v>3.2265683246401701E-2</v>
      </c>
    </row>
    <row r="6" spans="1:40" x14ac:dyDescent="0.2">
      <c r="A6">
        <v>40</v>
      </c>
      <c r="B6">
        <v>740</v>
      </c>
      <c r="C6">
        <v>255</v>
      </c>
      <c r="D6">
        <v>0.31148447909983901</v>
      </c>
      <c r="E6">
        <v>3.3895173219253602E-2</v>
      </c>
      <c r="F6">
        <v>4.6577894174380399</v>
      </c>
      <c r="G6">
        <v>-0.32222206252270769</v>
      </c>
      <c r="H6">
        <v>-0.26177630373351857</v>
      </c>
      <c r="I6">
        <v>5.9661213827359297E-2</v>
      </c>
      <c r="J6">
        <v>3.10611608402739E-2</v>
      </c>
      <c r="K6">
        <v>7.2770943856661496E-3</v>
      </c>
      <c r="L6">
        <v>3.1548760532129085E-5</v>
      </c>
      <c r="M6">
        <v>5.5267422097010577E-7</v>
      </c>
      <c r="N6" s="1">
        <v>3.8777857186143301E-11</v>
      </c>
      <c r="O6" s="1">
        <v>1.5869329322272399E-14</v>
      </c>
      <c r="P6" s="1">
        <v>5.56435042180786E-14</v>
      </c>
      <c r="R6">
        <v>47.258952329427601</v>
      </c>
      <c r="S6">
        <v>2.2922783911662501</v>
      </c>
      <c r="T6">
        <v>9.9379460606316901</v>
      </c>
      <c r="V6">
        <v>36.923545300809103</v>
      </c>
      <c r="W6">
        <v>1.0680054298439901</v>
      </c>
      <c r="X6">
        <v>2.5192724881211901</v>
      </c>
      <c r="AJ6">
        <v>9.2437511515991805E-2</v>
      </c>
      <c r="AK6">
        <v>9.2031922233235294E-2</v>
      </c>
      <c r="AL6">
        <v>0.76001811554391996</v>
      </c>
      <c r="AM6">
        <v>2.22650541580241E-2</v>
      </c>
      <c r="AN6">
        <v>3.32473965488281E-2</v>
      </c>
    </row>
    <row r="7" spans="1:40" x14ac:dyDescent="0.2">
      <c r="A7">
        <v>54</v>
      </c>
      <c r="B7">
        <v>744</v>
      </c>
      <c r="C7">
        <v>235</v>
      </c>
      <c r="D7">
        <v>0.336096445951927</v>
      </c>
      <c r="E7">
        <v>1.9384913292167402E-2</v>
      </c>
      <c r="F7">
        <v>4.6531643866527697</v>
      </c>
      <c r="G7">
        <v>-0.18452422196249246</v>
      </c>
      <c r="H7">
        <v>-0.1497603274915186</v>
      </c>
      <c r="I7">
        <v>3.4177746124931303E-2</v>
      </c>
      <c r="J7">
        <v>1.7793458369429398E-2</v>
      </c>
      <c r="K7">
        <v>4.1659635640149597E-3</v>
      </c>
      <c r="L7">
        <v>3.1593587807543647E-5</v>
      </c>
      <c r="M7">
        <v>5.5308146139456079E-7</v>
      </c>
      <c r="N7" s="1">
        <v>2.04161547170456E-11</v>
      </c>
      <c r="O7" s="1">
        <v>9.0776504664866496E-15</v>
      </c>
      <c r="P7" s="1">
        <v>3.5182286277605902E-14</v>
      </c>
      <c r="R7">
        <v>47.299493994246099</v>
      </c>
      <c r="S7">
        <v>2.2171635108090699</v>
      </c>
      <c r="T7">
        <v>10.0058098101991</v>
      </c>
      <c r="V7">
        <v>36.993884337085397</v>
      </c>
      <c r="W7">
        <v>0.87204532529601697</v>
      </c>
      <c r="X7">
        <v>2.6116030223641098</v>
      </c>
      <c r="AJ7">
        <v>9.5797594937497704E-2</v>
      </c>
      <c r="AK7">
        <v>9.2633578897636196E-2</v>
      </c>
      <c r="AL7">
        <v>0.76124565405989397</v>
      </c>
      <c r="AM7">
        <v>1.8174551207885699E-2</v>
      </c>
      <c r="AN7">
        <v>3.2148620897085901E-2</v>
      </c>
    </row>
    <row r="8" spans="1:40" x14ac:dyDescent="0.2">
      <c r="A8">
        <v>55</v>
      </c>
      <c r="B8">
        <v>743</v>
      </c>
      <c r="C8">
        <v>235</v>
      </c>
      <c r="D8">
        <v>0.33537420656399403</v>
      </c>
      <c r="E8">
        <v>3.17377424907039E-2</v>
      </c>
      <c r="F8">
        <v>4.65562722608722</v>
      </c>
      <c r="G8">
        <v>-0.30244361373190654</v>
      </c>
      <c r="H8">
        <v>-0.24553562595180181</v>
      </c>
      <c r="I8">
        <v>5.6003530758357102E-2</v>
      </c>
      <c r="J8">
        <v>2.9101951890427E-2</v>
      </c>
      <c r="K8">
        <v>6.8170712450656501E-3</v>
      </c>
      <c r="L8">
        <v>3.1501007419962874E-5</v>
      </c>
      <c r="M8">
        <v>5.5279337830731228E-7</v>
      </c>
      <c r="N8" s="1">
        <v>3.59782290776967E-11</v>
      </c>
      <c r="O8" s="1">
        <v>1.4846169654838801E-14</v>
      </c>
      <c r="P8" s="1">
        <v>5.4346740866342498E-14</v>
      </c>
      <c r="R8">
        <v>47.245300183889903</v>
      </c>
      <c r="S8">
        <v>2.2834833187933299</v>
      </c>
      <c r="T8">
        <v>10.049598672263301</v>
      </c>
      <c r="V8">
        <v>36.606840200038597</v>
      </c>
      <c r="W8">
        <v>1.1993557108352799</v>
      </c>
      <c r="X8">
        <v>2.6154219141794699</v>
      </c>
      <c r="AJ8">
        <v>9.5902746343141401E-2</v>
      </c>
      <c r="AK8">
        <v>9.3005099313502301E-2</v>
      </c>
      <c r="AL8">
        <v>0.753006938023279</v>
      </c>
      <c r="AM8">
        <v>2.49870212937898E-2</v>
      </c>
      <c r="AN8">
        <v>3.30981950262869E-2</v>
      </c>
    </row>
    <row r="9" spans="1:40" x14ac:dyDescent="0.2">
      <c r="A9">
        <v>66</v>
      </c>
      <c r="B9">
        <v>747</v>
      </c>
      <c r="C9">
        <v>215</v>
      </c>
      <c r="D9">
        <v>0.35982012449149797</v>
      </c>
      <c r="E9">
        <v>2.1401810920954702E-2</v>
      </c>
      <c r="F9">
        <v>4.6515200033738902</v>
      </c>
      <c r="G9">
        <v>-0.20429111633626373</v>
      </c>
      <c r="H9">
        <v>-0.16568758972963377</v>
      </c>
      <c r="I9">
        <v>3.7841029855050598E-2</v>
      </c>
      <c r="J9">
        <v>1.9652325460834699E-2</v>
      </c>
      <c r="K9">
        <v>4.6010359851040702E-3</v>
      </c>
      <c r="L9">
        <v>3.1523271043546571E-5</v>
      </c>
      <c r="M9">
        <v>5.5312475064412095E-7</v>
      </c>
      <c r="N9" s="1">
        <v>2.2898512626151199E-11</v>
      </c>
      <c r="O9" s="1">
        <v>1.0011216316077799E-14</v>
      </c>
      <c r="P9" s="1">
        <v>3.9596399911809201E-14</v>
      </c>
      <c r="R9">
        <v>47.274001877091401</v>
      </c>
      <c r="S9">
        <v>2.2240683431164898</v>
      </c>
      <c r="T9">
        <v>10.128343329815999</v>
      </c>
      <c r="V9">
        <v>36.575620107867699</v>
      </c>
      <c r="W9">
        <v>1.0863405397246799</v>
      </c>
      <c r="X9">
        <v>2.7116258023836002</v>
      </c>
      <c r="AJ9">
        <v>9.9390765058595898E-2</v>
      </c>
      <c r="AK9">
        <v>9.3696516930798696E-2</v>
      </c>
      <c r="AL9">
        <v>0.75206507704928305</v>
      </c>
      <c r="AM9">
        <v>2.26234824070531E-2</v>
      </c>
      <c r="AN9">
        <v>3.2224158554268502E-2</v>
      </c>
    </row>
    <row r="10" spans="1:40" x14ac:dyDescent="0.2">
      <c r="A10">
        <v>67</v>
      </c>
      <c r="B10">
        <v>746</v>
      </c>
      <c r="C10">
        <v>215</v>
      </c>
      <c r="D10">
        <v>0.35912328901535701</v>
      </c>
      <c r="E10">
        <v>3.0838350374896701E-2</v>
      </c>
      <c r="F10">
        <v>4.65376190149696</v>
      </c>
      <c r="G10">
        <v>-0.29464468893104029</v>
      </c>
      <c r="H10">
        <v>-0.23903667117182539</v>
      </c>
      <c r="I10">
        <v>5.4563133747941701E-2</v>
      </c>
      <c r="J10">
        <v>2.8292655964529699E-2</v>
      </c>
      <c r="K10">
        <v>6.6265423602735202E-3</v>
      </c>
      <c r="L10">
        <v>3.1441274859795967E-5</v>
      </c>
      <c r="M10">
        <v>5.5285221978755634E-7</v>
      </c>
      <c r="N10" s="1">
        <v>3.4650338377506503E-11</v>
      </c>
      <c r="O10" s="1">
        <v>1.4408430355862599E-14</v>
      </c>
      <c r="P10" s="1">
        <v>5.5098879306846003E-14</v>
      </c>
      <c r="R10">
        <v>47.219159987437401</v>
      </c>
      <c r="S10">
        <v>2.2872604437239401</v>
      </c>
      <c r="T10">
        <v>10.174444076665999</v>
      </c>
      <c r="V10">
        <v>36.227152175020599</v>
      </c>
      <c r="W10">
        <v>1.3785796010711799</v>
      </c>
      <c r="X10">
        <v>2.7134037160807698</v>
      </c>
      <c r="AJ10">
        <v>9.9423316374398496E-2</v>
      </c>
      <c r="AK10">
        <v>9.4092124673117297E-2</v>
      </c>
      <c r="AL10">
        <v>0.74465562392034101</v>
      </c>
      <c r="AM10">
        <v>2.87000644209633E-2</v>
      </c>
      <c r="AN10">
        <v>3.3128870611179501E-2</v>
      </c>
    </row>
    <row r="11" spans="1:40" x14ac:dyDescent="0.2">
      <c r="A11">
        <v>76</v>
      </c>
      <c r="B11">
        <v>751</v>
      </c>
      <c r="C11">
        <v>195</v>
      </c>
      <c r="D11">
        <v>0.38407508665723</v>
      </c>
      <c r="E11">
        <v>1.2625039808924401E-2</v>
      </c>
      <c r="F11">
        <v>4.6479512234035898</v>
      </c>
      <c r="G11">
        <v>-0.12076232830784703</v>
      </c>
      <c r="H11">
        <v>-9.7846218716746744E-2</v>
      </c>
      <c r="I11">
        <v>2.2375735576917698E-2</v>
      </c>
      <c r="J11">
        <v>1.1607290130977801E-2</v>
      </c>
      <c r="K11">
        <v>2.71625910042992E-3</v>
      </c>
      <c r="L11">
        <v>3.1520219290806505E-5</v>
      </c>
      <c r="M11">
        <v>5.5335114311900641E-7</v>
      </c>
      <c r="N11" s="1">
        <v>1.2904796189697401E-11</v>
      </c>
      <c r="O11" s="1">
        <v>5.9032737583597699E-15</v>
      </c>
      <c r="P11" s="1">
        <v>2.48803539537688E-14</v>
      </c>
      <c r="R11">
        <v>47.283471424745599</v>
      </c>
      <c r="S11">
        <v>2.1873624706861601</v>
      </c>
      <c r="T11">
        <v>10.224078503796299</v>
      </c>
      <c r="V11">
        <v>36.434895643983701</v>
      </c>
      <c r="W11">
        <v>1.05972169077802</v>
      </c>
      <c r="X11">
        <v>2.8104702660101202</v>
      </c>
      <c r="AJ11">
        <v>0.10295931211205001</v>
      </c>
      <c r="AK11">
        <v>9.4532157349333706E-2</v>
      </c>
      <c r="AL11">
        <v>0.74877548273164696</v>
      </c>
      <c r="AM11">
        <v>2.2057467843917999E-2</v>
      </c>
      <c r="AN11">
        <v>3.1675579963049899E-2</v>
      </c>
    </row>
    <row r="12" spans="1:40" x14ac:dyDescent="0.2">
      <c r="A12">
        <v>77</v>
      </c>
      <c r="B12">
        <v>750</v>
      </c>
      <c r="C12">
        <v>195</v>
      </c>
      <c r="D12">
        <v>0.38340468162048602</v>
      </c>
      <c r="E12">
        <v>2.4545820507334001E-2</v>
      </c>
      <c r="F12">
        <v>4.6503613191079296</v>
      </c>
      <c r="G12">
        <v>-0.23502150643686415</v>
      </c>
      <c r="H12">
        <v>-0.19047756409798861</v>
      </c>
      <c r="I12">
        <v>4.3536082039657399E-2</v>
      </c>
      <c r="J12">
        <v>2.2545642436668199E-2</v>
      </c>
      <c r="K12">
        <v>5.2782609399569299E-3</v>
      </c>
      <c r="L12">
        <v>3.1434459048041127E-5</v>
      </c>
      <c r="M12">
        <v>5.5307105605178143E-7</v>
      </c>
      <c r="N12" s="1">
        <v>2.6549505179223501E-11</v>
      </c>
      <c r="O12" s="1">
        <v>1.14632448207972E-14</v>
      </c>
      <c r="P12" s="1">
        <v>4.6642753960059903E-14</v>
      </c>
      <c r="R12">
        <v>47.227146556499697</v>
      </c>
      <c r="S12">
        <v>2.2500064379736502</v>
      </c>
      <c r="T12">
        <v>10.274932779373399</v>
      </c>
      <c r="V12">
        <v>36.060966717796397</v>
      </c>
      <c r="W12">
        <v>1.3732735689806099</v>
      </c>
      <c r="X12">
        <v>2.8136739393760299</v>
      </c>
      <c r="AJ12">
        <v>0.10304200427395201</v>
      </c>
      <c r="AK12">
        <v>9.4970401734384494E-2</v>
      </c>
      <c r="AL12">
        <v>0.74084156922977096</v>
      </c>
      <c r="AM12">
        <v>2.85742463430937E-2</v>
      </c>
      <c r="AN12">
        <v>3.2571778418798103E-2</v>
      </c>
    </row>
    <row r="13" spans="1:40" x14ac:dyDescent="0.2">
      <c r="A13">
        <v>90</v>
      </c>
      <c r="B13">
        <v>755</v>
      </c>
      <c r="C13">
        <v>175</v>
      </c>
      <c r="D13">
        <v>0.40814132179156798</v>
      </c>
      <c r="E13">
        <v>1.0743573691053001E-2</v>
      </c>
      <c r="F13">
        <v>4.6454934376704999</v>
      </c>
      <c r="G13">
        <v>-0.10304732497556754</v>
      </c>
      <c r="H13">
        <v>-8.3410335464845206E-2</v>
      </c>
      <c r="I13">
        <v>1.9099343005127899E-2</v>
      </c>
      <c r="J13">
        <v>9.8856159564685003E-3</v>
      </c>
      <c r="K13">
        <v>2.3126873033406802E-3</v>
      </c>
      <c r="L13">
        <v>3.1473248348326098E-5</v>
      </c>
      <c r="M13">
        <v>5.5340883096974634E-7</v>
      </c>
      <c r="N13" s="1">
        <v>1.08285098892675E-11</v>
      </c>
      <c r="O13" s="1">
        <v>5.0180744267325002E-15</v>
      </c>
      <c r="P13" s="1">
        <v>2.2067964971832199E-14</v>
      </c>
      <c r="R13">
        <v>47.261625849860899</v>
      </c>
      <c r="S13">
        <v>2.18348960019074</v>
      </c>
      <c r="T13">
        <v>10.353228856869301</v>
      </c>
      <c r="V13">
        <v>36.087270909163003</v>
      </c>
      <c r="W13">
        <v>1.19913284844048</v>
      </c>
      <c r="X13">
        <v>2.9152519354752999</v>
      </c>
      <c r="AJ13">
        <v>0.106719535528603</v>
      </c>
      <c r="AK13">
        <v>9.5656041472286402E-2</v>
      </c>
      <c r="AL13">
        <v>0.74108721734915395</v>
      </c>
      <c r="AM13">
        <v>2.49409118668622E-2</v>
      </c>
      <c r="AN13">
        <v>3.1596293783093102E-2</v>
      </c>
    </row>
    <row r="14" spans="1:40" x14ac:dyDescent="0.2">
      <c r="A14">
        <v>91</v>
      </c>
      <c r="B14">
        <v>754</v>
      </c>
      <c r="C14">
        <v>175</v>
      </c>
      <c r="D14">
        <v>0.40749695760112897</v>
      </c>
      <c r="E14">
        <v>2.1597663402894401E-2</v>
      </c>
      <c r="F14">
        <v>4.6478092859541897</v>
      </c>
      <c r="G14">
        <v>-0.20734233981653816</v>
      </c>
      <c r="H14">
        <v>-0.16787801657833787</v>
      </c>
      <c r="I14">
        <v>3.8421187984423101E-2</v>
      </c>
      <c r="J14">
        <v>1.98558331804243E-2</v>
      </c>
      <c r="K14">
        <v>4.6468480254048296E-3</v>
      </c>
      <c r="L14">
        <v>3.1394326977968523E-5</v>
      </c>
      <c r="M14">
        <v>5.5314061475304405E-7</v>
      </c>
      <c r="N14" s="1">
        <v>2.2757959170444499E-11</v>
      </c>
      <c r="O14" s="1">
        <v>1.0075024796474799E-14</v>
      </c>
      <c r="P14" s="1">
        <v>4.32618818653785E-14</v>
      </c>
      <c r="R14">
        <v>47.205166555477803</v>
      </c>
      <c r="S14">
        <v>2.2437102294311502</v>
      </c>
      <c r="T14">
        <v>10.4058154003996</v>
      </c>
      <c r="V14">
        <v>35.731611995125498</v>
      </c>
      <c r="W14">
        <v>1.4961792299436201</v>
      </c>
      <c r="X14">
        <v>2.9175165896221</v>
      </c>
      <c r="AJ14">
        <v>0.106768839232316</v>
      </c>
      <c r="AK14">
        <v>9.6111656075138996E-2</v>
      </c>
      <c r="AL14">
        <v>0.73355257311511202</v>
      </c>
      <c r="AM14">
        <v>3.1109426299170798E-2</v>
      </c>
      <c r="AN14">
        <v>3.2457505278261502E-2</v>
      </c>
    </row>
    <row r="15" spans="1:40" x14ac:dyDescent="0.2">
      <c r="A15">
        <v>108</v>
      </c>
      <c r="B15">
        <v>759</v>
      </c>
      <c r="C15">
        <v>155</v>
      </c>
      <c r="D15">
        <v>0.43202102407596099</v>
      </c>
      <c r="E15">
        <v>1.55810414862802E-2</v>
      </c>
      <c r="F15">
        <v>4.6444378683812504</v>
      </c>
      <c r="G15">
        <v>-0.14997026592668883</v>
      </c>
      <c r="H15">
        <v>-0.12127012024995001</v>
      </c>
      <c r="I15">
        <v>2.7806177083504101E-2</v>
      </c>
      <c r="J15">
        <v>1.4342960439115499E-2</v>
      </c>
      <c r="K15">
        <v>3.35477444802395E-3</v>
      </c>
      <c r="L15">
        <v>3.1377347777942595E-5</v>
      </c>
      <c r="M15">
        <v>5.532456079355912E-7</v>
      </c>
      <c r="N15" s="1">
        <v>1.5758468057058398E-11</v>
      </c>
      <c r="O15" s="1">
        <v>7.2616900443895604E-15</v>
      </c>
      <c r="P15" s="1">
        <v>3.3147603050429403E-14</v>
      </c>
      <c r="R15">
        <v>47.193374802418397</v>
      </c>
      <c r="S15">
        <v>2.2226571215682802</v>
      </c>
      <c r="T15">
        <v>10.53451303672</v>
      </c>
      <c r="V15">
        <v>35.482988976228</v>
      </c>
      <c r="W15">
        <v>1.5407474258627201</v>
      </c>
      <c r="X15">
        <v>3.0257186372024498</v>
      </c>
      <c r="AJ15">
        <v>0.110654832239118</v>
      </c>
      <c r="AK15">
        <v>9.7235547744165998E-2</v>
      </c>
      <c r="AL15">
        <v>0.72796330576870705</v>
      </c>
      <c r="AM15">
        <v>3.2014777527934801E-2</v>
      </c>
      <c r="AN15">
        <v>3.2131536720073101E-2</v>
      </c>
    </row>
    <row r="16" spans="1:40" x14ac:dyDescent="0.2">
      <c r="A16">
        <v>129</v>
      </c>
      <c r="B16">
        <v>765</v>
      </c>
      <c r="C16">
        <v>135</v>
      </c>
      <c r="D16">
        <v>0.45689977363579698</v>
      </c>
      <c r="E16">
        <v>8.7234619037725707E-3</v>
      </c>
      <c r="F16">
        <v>4.6408569799035098</v>
      </c>
      <c r="G16">
        <v>-8.4207780681995997E-2</v>
      </c>
      <c r="H16">
        <v>-6.798524960462439E-2</v>
      </c>
      <c r="I16">
        <v>1.5626384508377E-2</v>
      </c>
      <c r="J16">
        <v>8.04232563143863E-3</v>
      </c>
      <c r="K16">
        <v>1.8797092738578401E-3</v>
      </c>
      <c r="L16">
        <v>3.1360696556117545E-5</v>
      </c>
      <c r="M16">
        <v>5.5328474014365147E-7</v>
      </c>
      <c r="N16" s="1">
        <v>8.41185465065027E-12</v>
      </c>
      <c r="O16" s="1">
        <v>4.0608783847469604E-15</v>
      </c>
      <c r="P16" s="1">
        <v>1.9768191925917799E-14</v>
      </c>
      <c r="R16">
        <v>47.1711640818109</v>
      </c>
      <c r="S16">
        <v>2.2075229147441999</v>
      </c>
      <c r="T16">
        <v>10.682002150710799</v>
      </c>
      <c r="V16">
        <v>35.204141590381901</v>
      </c>
      <c r="W16">
        <v>1.595119132422</v>
      </c>
      <c r="X16">
        <v>3.1400501299301098</v>
      </c>
      <c r="AJ16">
        <v>0.114752005026774</v>
      </c>
      <c r="AK16">
        <v>9.8524699391805706E-2</v>
      </c>
      <c r="AL16">
        <v>0.72171363211825501</v>
      </c>
      <c r="AM16">
        <v>3.3120281465055003E-2</v>
      </c>
      <c r="AN16">
        <v>3.1889381998109201E-2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5C865-80B1-4BC8-92FF-58910741B085}">
  <sheetPr codeName="Sheet7"/>
  <dimension ref="A1:AN35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20</v>
      </c>
      <c r="B2">
        <v>738</v>
      </c>
      <c r="C2">
        <v>275</v>
      </c>
      <c r="D2">
        <v>0.28822677149780002</v>
      </c>
      <c r="E2">
        <v>0.35956316616303902</v>
      </c>
      <c r="F2">
        <v>4.9389666382691901</v>
      </c>
      <c r="G2">
        <v>-2.4019421337321392</v>
      </c>
      <c r="H2">
        <v>-1.7624262984408325</v>
      </c>
      <c r="I2">
        <v>0.63246386321644199</v>
      </c>
      <c r="J2">
        <v>0.31863532691311602</v>
      </c>
      <c r="K2">
        <v>7.2801294784417603E-2</v>
      </c>
      <c r="L2">
        <v>3.5624469441302484E-5</v>
      </c>
      <c r="M2">
        <v>4.1448731482578491E-7</v>
      </c>
      <c r="N2" s="1">
        <v>1.41655947027984E-9</v>
      </c>
      <c r="O2" s="1">
        <v>1.7503196457730801E-13</v>
      </c>
      <c r="P2">
        <v>0</v>
      </c>
      <c r="R2">
        <v>9.0499859253700894</v>
      </c>
      <c r="S2">
        <v>1.8119175822938001</v>
      </c>
      <c r="T2">
        <v>49.860264493903998</v>
      </c>
      <c r="V2">
        <v>38.374242779024797</v>
      </c>
      <c r="X2">
        <v>0.90358921940713</v>
      </c>
      <c r="AJ2">
        <v>0</v>
      </c>
      <c r="AK2">
        <v>-1.04868784984785E-2</v>
      </c>
      <c r="AL2">
        <v>0.70437900380787</v>
      </c>
      <c r="AM2">
        <v>5.0577121476263601E-2</v>
      </c>
      <c r="AN2">
        <v>0.25553075321434399</v>
      </c>
    </row>
    <row r="3" spans="1:40" x14ac:dyDescent="0.2">
      <c r="A3">
        <v>21</v>
      </c>
      <c r="B3">
        <v>737</v>
      </c>
      <c r="C3">
        <v>275</v>
      </c>
      <c r="D3">
        <v>0.28745285353660599</v>
      </c>
      <c r="E3">
        <v>0.41313233265510602</v>
      </c>
      <c r="F3">
        <v>4.9394411065236303</v>
      </c>
      <c r="G3">
        <v>-2.7586183712707846</v>
      </c>
      <c r="H3">
        <v>-2.0249643670796496</v>
      </c>
      <c r="I3">
        <v>0.72628223946060899</v>
      </c>
      <c r="J3">
        <v>0.36612525439944898</v>
      </c>
      <c r="K3">
        <v>8.3639489518251897E-2</v>
      </c>
      <c r="L3">
        <v>3.572602532092521E-5</v>
      </c>
      <c r="M3">
        <v>4.1582561958100539E-7</v>
      </c>
      <c r="N3" s="1">
        <v>1.6331983528300299E-9</v>
      </c>
      <c r="O3" s="1">
        <v>2.0184832530442699E-13</v>
      </c>
      <c r="P3">
        <v>0</v>
      </c>
      <c r="R3">
        <v>8.9122235252482795</v>
      </c>
      <c r="S3">
        <v>1.87933471292721</v>
      </c>
      <c r="T3">
        <v>50.0435801603413</v>
      </c>
      <c r="V3">
        <v>38.2674141665306</v>
      </c>
      <c r="X3">
        <v>0.897447434952518</v>
      </c>
      <c r="AJ3">
        <v>0</v>
      </c>
      <c r="AK3">
        <v>-8.6497813753099798E-3</v>
      </c>
      <c r="AL3">
        <v>0.70683329637271197</v>
      </c>
      <c r="AM3">
        <v>5.0223721685983602E-2</v>
      </c>
      <c r="AN3">
        <v>0.25159276331661301</v>
      </c>
    </row>
    <row r="4" spans="1:40" x14ac:dyDescent="0.2">
      <c r="A4">
        <v>22</v>
      </c>
      <c r="B4">
        <v>736</v>
      </c>
      <c r="C4">
        <v>275</v>
      </c>
      <c r="D4">
        <v>0.28667740177377199</v>
      </c>
      <c r="E4">
        <v>0.43102562246548498</v>
      </c>
      <c r="F4">
        <v>4.93982171930534</v>
      </c>
      <c r="G4">
        <v>-2.8770923519411182</v>
      </c>
      <c r="H4">
        <v>-2.1128366116376083</v>
      </c>
      <c r="I4">
        <v>0.75732620552297403</v>
      </c>
      <c r="J4">
        <v>0.38199842018501701</v>
      </c>
      <c r="K4">
        <v>8.72552992714275E-2</v>
      </c>
      <c r="L4">
        <v>3.5805691182242619E-5</v>
      </c>
      <c r="M4">
        <v>4.1691964070027546E-7</v>
      </c>
      <c r="N4" s="1">
        <v>1.70873474846634E-9</v>
      </c>
      <c r="O4" s="1">
        <v>2.11227559660969E-13</v>
      </c>
      <c r="P4">
        <v>0</v>
      </c>
      <c r="R4">
        <v>8.7952906521152201</v>
      </c>
      <c r="S4">
        <v>1.94003627568423</v>
      </c>
      <c r="T4">
        <v>50.194935496911597</v>
      </c>
      <c r="V4">
        <v>38.177789232618103</v>
      </c>
      <c r="X4">
        <v>0.89194834267076195</v>
      </c>
      <c r="AJ4">
        <v>0</v>
      </c>
      <c r="AK4">
        <v>-6.9979624127684903E-3</v>
      </c>
      <c r="AL4">
        <v>0.70884379184381496</v>
      </c>
      <c r="AM4">
        <v>4.9907013989817901E-2</v>
      </c>
      <c r="AN4">
        <v>0.24824715657913499</v>
      </c>
    </row>
    <row r="5" spans="1:40" x14ac:dyDescent="0.2">
      <c r="A5">
        <v>38</v>
      </c>
      <c r="B5">
        <v>742</v>
      </c>
      <c r="C5">
        <v>255</v>
      </c>
      <c r="D5">
        <v>0.31297887011771702</v>
      </c>
      <c r="E5">
        <v>0.18919132186590501</v>
      </c>
      <c r="F5">
        <v>4.9462761565523801</v>
      </c>
      <c r="G5">
        <v>-1.2572844469410986</v>
      </c>
      <c r="H5">
        <v>-0.9193794036681735</v>
      </c>
      <c r="I5">
        <v>0.33286218122733102</v>
      </c>
      <c r="J5">
        <v>0.16759919306676899</v>
      </c>
      <c r="K5">
        <v>3.8249243648735901E-2</v>
      </c>
      <c r="L5">
        <v>3.6351731528982183E-5</v>
      </c>
      <c r="M5">
        <v>4.2165665952653551E-7</v>
      </c>
      <c r="N5" s="1">
        <v>7.5900790692848001E-10</v>
      </c>
      <c r="O5" s="1">
        <v>9.40530126994645E-14</v>
      </c>
      <c r="P5">
        <v>0</v>
      </c>
      <c r="R5">
        <v>8.4822082972213906</v>
      </c>
      <c r="S5">
        <v>1.7989237441265</v>
      </c>
      <c r="T5">
        <v>50.919473725071697</v>
      </c>
      <c r="V5">
        <v>37.992004737438599</v>
      </c>
      <c r="X5">
        <v>0.80738949614174904</v>
      </c>
      <c r="AJ5">
        <v>0</v>
      </c>
      <c r="AK5">
        <v>-5.3970512139781901E-3</v>
      </c>
      <c r="AL5">
        <v>0.72031888350516304</v>
      </c>
      <c r="AM5">
        <v>4.5253818693167101E-2</v>
      </c>
      <c r="AN5">
        <v>0.239824349015647</v>
      </c>
    </row>
    <row r="6" spans="1:40" x14ac:dyDescent="0.2">
      <c r="A6">
        <v>39</v>
      </c>
      <c r="B6">
        <v>741</v>
      </c>
      <c r="C6">
        <v>255</v>
      </c>
      <c r="D6">
        <v>0.31223241137898899</v>
      </c>
      <c r="E6">
        <v>0.389817469909708</v>
      </c>
      <c r="F6">
        <v>4.9363529986879202</v>
      </c>
      <c r="G6">
        <v>-2.6103162764365671</v>
      </c>
      <c r="H6">
        <v>-1.9136449892569938</v>
      </c>
      <c r="I6">
        <v>0.68695093149886399</v>
      </c>
      <c r="J6">
        <v>0.34559325860811502</v>
      </c>
      <c r="K6">
        <v>7.8968718406751001E-2</v>
      </c>
      <c r="L6">
        <v>3.5678293124695123E-5</v>
      </c>
      <c r="M6">
        <v>4.1521338913373928E-7</v>
      </c>
      <c r="N6" s="1">
        <v>1.5354940991303299E-9</v>
      </c>
      <c r="O6" s="1">
        <v>1.89535040054693E-13</v>
      </c>
      <c r="P6">
        <v>0</v>
      </c>
      <c r="R6">
        <v>9.0952725547104301</v>
      </c>
      <c r="S6">
        <v>1.80565493655906</v>
      </c>
      <c r="T6">
        <v>49.801293114287901</v>
      </c>
      <c r="V6">
        <v>38.355149289872301</v>
      </c>
      <c r="X6">
        <v>0.94263010457025698</v>
      </c>
      <c r="AJ6">
        <v>0</v>
      </c>
      <c r="AK6">
        <v>-1.28067708938326E-2</v>
      </c>
      <c r="AL6">
        <v>0.70332996723421104</v>
      </c>
      <c r="AM6">
        <v>5.2746184771675197E-2</v>
      </c>
      <c r="AN6">
        <v>0.25673061888794502</v>
      </c>
    </row>
    <row r="7" spans="1:40" x14ac:dyDescent="0.2">
      <c r="A7">
        <v>40</v>
      </c>
      <c r="B7">
        <v>740</v>
      </c>
      <c r="C7">
        <v>255</v>
      </c>
      <c r="D7">
        <v>0.31148447909983901</v>
      </c>
      <c r="E7">
        <v>0.42810796328025102</v>
      </c>
      <c r="F7">
        <v>4.9368507750248503</v>
      </c>
      <c r="G7">
        <v>-2.8654326229020879</v>
      </c>
      <c r="H7">
        <v>-2.1015153848542401</v>
      </c>
      <c r="I7">
        <v>0.75400211029743602</v>
      </c>
      <c r="J7">
        <v>0.37955692401502</v>
      </c>
      <c r="K7">
        <v>8.6716812557109599E-2</v>
      </c>
      <c r="L7">
        <v>3.5779686989234777E-5</v>
      </c>
      <c r="M7">
        <v>4.1654829864043476E-7</v>
      </c>
      <c r="N7" s="1">
        <v>1.6920971075561701E-9</v>
      </c>
      <c r="O7" s="1">
        <v>2.08916703749412E-13</v>
      </c>
      <c r="P7">
        <v>0</v>
      </c>
      <c r="R7">
        <v>8.9589569244617593</v>
      </c>
      <c r="S7">
        <v>1.87103631838317</v>
      </c>
      <c r="T7">
        <v>49.984144723570601</v>
      </c>
      <c r="V7">
        <v>38.2494943052426</v>
      </c>
      <c r="X7">
        <v>0.93636772834176296</v>
      </c>
      <c r="AJ7">
        <v>0</v>
      </c>
      <c r="AK7">
        <v>-1.1008185224249E-2</v>
      </c>
      <c r="AL7">
        <v>0.70578473715927703</v>
      </c>
      <c r="AM7">
        <v>5.2386294267467097E-2</v>
      </c>
      <c r="AN7">
        <v>0.25283715379750299</v>
      </c>
    </row>
    <row r="8" spans="1:40" x14ac:dyDescent="0.2">
      <c r="A8">
        <v>53</v>
      </c>
      <c r="B8">
        <v>745</v>
      </c>
      <c r="C8">
        <v>235</v>
      </c>
      <c r="D8">
        <v>0.33681726661101002</v>
      </c>
      <c r="E8">
        <v>0.29997362225817897</v>
      </c>
      <c r="F8">
        <v>4.9397748118241003</v>
      </c>
      <c r="G8">
        <v>-2.0030855143298973</v>
      </c>
      <c r="H8">
        <v>-1.4643872095065233</v>
      </c>
      <c r="I8">
        <v>0.52909522646306795</v>
      </c>
      <c r="J8">
        <v>0.26595949495326199</v>
      </c>
      <c r="K8">
        <v>6.0726173496845899E-2</v>
      </c>
      <c r="L8">
        <v>3.6433102142606583E-5</v>
      </c>
      <c r="M8">
        <v>4.2337222102466022E-7</v>
      </c>
      <c r="N8" s="1">
        <v>1.203570743633E-9</v>
      </c>
      <c r="O8" s="1">
        <v>1.4865944844672501E-13</v>
      </c>
      <c r="P8">
        <v>0</v>
      </c>
      <c r="R8">
        <v>8.6007992362058392</v>
      </c>
      <c r="S8">
        <v>1.7983823674950801</v>
      </c>
      <c r="T8">
        <v>50.760028398244501</v>
      </c>
      <c r="V8">
        <v>37.9059200114446</v>
      </c>
      <c r="X8">
        <v>0.93486998660993104</v>
      </c>
      <c r="AJ8">
        <v>0</v>
      </c>
      <c r="AK8">
        <v>-1.2540657612092901E-2</v>
      </c>
      <c r="AL8">
        <v>0.71728473992198005</v>
      </c>
      <c r="AM8">
        <v>5.2342226924129202E-2</v>
      </c>
      <c r="AN8">
        <v>0.24291369076598299</v>
      </c>
    </row>
    <row r="9" spans="1:40" x14ac:dyDescent="0.2">
      <c r="A9">
        <v>54</v>
      </c>
      <c r="B9">
        <v>744</v>
      </c>
      <c r="C9">
        <v>235</v>
      </c>
      <c r="D9">
        <v>0.336096445951927</v>
      </c>
      <c r="E9">
        <v>0.41772820943866201</v>
      </c>
      <c r="F9">
        <v>4.9337051935886702</v>
      </c>
      <c r="G9">
        <v>-2.8040119674580746</v>
      </c>
      <c r="H9">
        <v>-2.0538662855708831</v>
      </c>
      <c r="I9">
        <v>0.73749759808011695</v>
      </c>
      <c r="J9">
        <v>0.37050284946364698</v>
      </c>
      <c r="K9">
        <v>8.4668255002649601E-2</v>
      </c>
      <c r="L9">
        <v>3.5744212306312371E-5</v>
      </c>
      <c r="M9">
        <v>4.1608144205601709E-7</v>
      </c>
      <c r="N9" s="1">
        <v>1.64572485428449E-9</v>
      </c>
      <c r="O9" s="1">
        <v>2.0293340014715401E-13</v>
      </c>
      <c r="P9">
        <v>0</v>
      </c>
      <c r="R9">
        <v>9.1274477567691203</v>
      </c>
      <c r="S9">
        <v>1.8069709207587199</v>
      </c>
      <c r="T9">
        <v>49.759056184537798</v>
      </c>
      <c r="V9">
        <v>38.324227055259001</v>
      </c>
      <c r="X9">
        <v>0.98229808267522001</v>
      </c>
      <c r="AJ9">
        <v>0</v>
      </c>
      <c r="AK9">
        <v>-1.49922301679238E-2</v>
      </c>
      <c r="AL9">
        <v>0.70249404868510401</v>
      </c>
      <c r="AM9">
        <v>5.4947135308134103E-2</v>
      </c>
      <c r="AN9">
        <v>0.25755104617468499</v>
      </c>
    </row>
    <row r="10" spans="1:40" x14ac:dyDescent="0.2">
      <c r="A10">
        <v>55</v>
      </c>
      <c r="B10">
        <v>743</v>
      </c>
      <c r="C10">
        <v>235</v>
      </c>
      <c r="D10">
        <v>0.33537420656399403</v>
      </c>
      <c r="E10">
        <v>0.44282272612524698</v>
      </c>
      <c r="F10">
        <v>4.9342105404659398</v>
      </c>
      <c r="G10">
        <v>-2.9710958850579883</v>
      </c>
      <c r="H10">
        <v>-2.1771152787025825</v>
      </c>
      <c r="I10">
        <v>0.78136161625292</v>
      </c>
      <c r="J10">
        <v>0.39277588398379398</v>
      </c>
      <c r="K10">
        <v>8.9745405570681502E-2</v>
      </c>
      <c r="L10">
        <v>3.5842328483471496E-5</v>
      </c>
      <c r="M10">
        <v>4.1737827863381956E-7</v>
      </c>
      <c r="N10" s="1">
        <v>1.75039227416931E-9</v>
      </c>
      <c r="O10" s="1">
        <v>2.1589311823236001E-13</v>
      </c>
      <c r="P10">
        <v>0</v>
      </c>
      <c r="R10">
        <v>8.9954835555310009</v>
      </c>
      <c r="S10">
        <v>1.86949275009001</v>
      </c>
      <c r="T10">
        <v>49.9368684776097</v>
      </c>
      <c r="V10">
        <v>38.2221244424682</v>
      </c>
      <c r="X10">
        <v>0.97603077430100305</v>
      </c>
      <c r="AJ10">
        <v>0</v>
      </c>
      <c r="AK10">
        <v>-1.3256957709478901E-2</v>
      </c>
      <c r="AL10">
        <v>0.70488516883724905</v>
      </c>
      <c r="AM10">
        <v>5.4587326344179503E-2</v>
      </c>
      <c r="AN10">
        <v>0.25378446252804898</v>
      </c>
    </row>
    <row r="11" spans="1:40" x14ac:dyDescent="0.2">
      <c r="A11">
        <v>64</v>
      </c>
      <c r="B11">
        <v>749</v>
      </c>
      <c r="C11">
        <v>215</v>
      </c>
      <c r="D11">
        <v>0.36120970503350902</v>
      </c>
      <c r="E11">
        <v>0.18303773679804999</v>
      </c>
      <c r="F11">
        <v>4.9487488637854602</v>
      </c>
      <c r="G11">
        <v>-1.2144114112931383</v>
      </c>
      <c r="H11">
        <v>-0.88446562696215447</v>
      </c>
      <c r="I11">
        <v>0.32279585611797001</v>
      </c>
      <c r="J11">
        <v>0.16220111607110599</v>
      </c>
      <c r="K11">
        <v>3.69866691230799E-2</v>
      </c>
      <c r="L11">
        <v>3.7265314740164293E-5</v>
      </c>
      <c r="M11">
        <v>4.3144918917733745E-7</v>
      </c>
      <c r="N11" s="1">
        <v>7.4975914790848596E-10</v>
      </c>
      <c r="O11" s="1">
        <v>9.29564250323505E-14</v>
      </c>
      <c r="P11">
        <v>0</v>
      </c>
      <c r="R11">
        <v>7.8981175281630298</v>
      </c>
      <c r="S11">
        <v>1.8216360710425099</v>
      </c>
      <c r="T11">
        <v>52.017704400977102</v>
      </c>
      <c r="V11">
        <v>37.459615771625003</v>
      </c>
      <c r="X11">
        <v>0.802926228192263</v>
      </c>
      <c r="AJ11">
        <v>0</v>
      </c>
      <c r="AK11">
        <v>-4.6458838859862704E-3</v>
      </c>
      <c r="AL11">
        <v>0.73620472713006002</v>
      </c>
      <c r="AM11">
        <v>4.5025060773795401E-2</v>
      </c>
      <c r="AN11">
        <v>0.22341609598213</v>
      </c>
    </row>
    <row r="12" spans="1:40" x14ac:dyDescent="0.2">
      <c r="A12">
        <v>65</v>
      </c>
      <c r="B12">
        <v>748</v>
      </c>
      <c r="C12">
        <v>215</v>
      </c>
      <c r="D12">
        <v>0.36051559516231801</v>
      </c>
      <c r="E12">
        <v>0.39830836799147301</v>
      </c>
      <c r="F12">
        <v>4.9310230350502398</v>
      </c>
      <c r="G12">
        <v>-2.6802337477195128</v>
      </c>
      <c r="H12">
        <v>-1.9605087414200786</v>
      </c>
      <c r="I12">
        <v>0.70481810341226403</v>
      </c>
      <c r="J12">
        <v>0.35342462390843299</v>
      </c>
      <c r="K12">
        <v>8.0776010406005794E-2</v>
      </c>
      <c r="L12">
        <v>3.5799742969718389E-5</v>
      </c>
      <c r="M12">
        <v>4.16637347077024E-7</v>
      </c>
      <c r="N12" s="1">
        <v>1.5680930574512201E-9</v>
      </c>
      <c r="O12" s="1">
        <v>1.9313858938948801E-13</v>
      </c>
      <c r="P12">
        <v>0</v>
      </c>
      <c r="R12">
        <v>9.2151831871768906</v>
      </c>
      <c r="S12">
        <v>1.76178987728201</v>
      </c>
      <c r="T12">
        <v>49.666325587080301</v>
      </c>
      <c r="V12">
        <v>38.330889407386799</v>
      </c>
      <c r="X12">
        <v>1.02581194107388</v>
      </c>
      <c r="AJ12">
        <v>0</v>
      </c>
      <c r="AK12">
        <v>-1.8422216654518601E-2</v>
      </c>
      <c r="AL12">
        <v>0.701067482874702</v>
      </c>
      <c r="AM12">
        <v>5.7371576862216701E-2</v>
      </c>
      <c r="AN12">
        <v>0.25998315691759899</v>
      </c>
    </row>
    <row r="13" spans="1:40" x14ac:dyDescent="0.2">
      <c r="A13">
        <v>66</v>
      </c>
      <c r="B13">
        <v>747</v>
      </c>
      <c r="C13">
        <v>215</v>
      </c>
      <c r="D13">
        <v>0.35982012449149797</v>
      </c>
      <c r="E13">
        <v>0.44287953608945801</v>
      </c>
      <c r="F13">
        <v>4.9310207297273898</v>
      </c>
      <c r="G13">
        <v>-2.9801526818702584</v>
      </c>
      <c r="H13">
        <v>-2.1810221542701056</v>
      </c>
      <c r="I13">
        <v>0.78334610361236301</v>
      </c>
      <c r="J13">
        <v>0.39299763404104898</v>
      </c>
      <c r="K13">
        <v>8.9814981595898097E-2</v>
      </c>
      <c r="L13">
        <v>3.5828696675429114E-5</v>
      </c>
      <c r="M13">
        <v>4.1716384853293089E-7</v>
      </c>
      <c r="N13" s="1">
        <v>1.7460445119412499E-9</v>
      </c>
      <c r="O13" s="1">
        <v>2.1508356334478399E-13</v>
      </c>
      <c r="P13">
        <v>0</v>
      </c>
      <c r="R13">
        <v>9.1386343744278005</v>
      </c>
      <c r="S13">
        <v>1.8204846392382099</v>
      </c>
      <c r="T13">
        <v>49.743233882850099</v>
      </c>
      <c r="V13">
        <v>38.275225737790699</v>
      </c>
      <c r="X13">
        <v>1.0224213656930901</v>
      </c>
      <c r="AJ13">
        <v>0</v>
      </c>
      <c r="AK13">
        <v>-1.69311889781271E-2</v>
      </c>
      <c r="AL13">
        <v>0.70199612975317205</v>
      </c>
      <c r="AM13">
        <v>5.7169166689737899E-2</v>
      </c>
      <c r="AN13">
        <v>0.25776589253521698</v>
      </c>
    </row>
    <row r="14" spans="1:40" x14ac:dyDescent="0.2">
      <c r="A14">
        <v>67</v>
      </c>
      <c r="B14">
        <v>746</v>
      </c>
      <c r="C14">
        <v>215</v>
      </c>
      <c r="D14">
        <v>0.35912328901535701</v>
      </c>
      <c r="E14">
        <v>0.45737381567749003</v>
      </c>
      <c r="F14">
        <v>4.9315137213343698</v>
      </c>
      <c r="G14">
        <v>-3.0762938039502146</v>
      </c>
      <c r="H14">
        <v>-2.2522788094532706</v>
      </c>
      <c r="I14">
        <v>0.808531614087174</v>
      </c>
      <c r="J14">
        <v>0.40587281052526197</v>
      </c>
      <c r="K14">
        <v>9.2745116717171797E-2</v>
      </c>
      <c r="L14">
        <v>3.5919808999226902E-5</v>
      </c>
      <c r="M14">
        <v>4.183812432721236E-7</v>
      </c>
      <c r="N14" s="1">
        <v>1.8088169772580999E-9</v>
      </c>
      <c r="O14" s="1">
        <v>2.2286983698103701E-13</v>
      </c>
      <c r="P14">
        <v>0</v>
      </c>
      <c r="R14">
        <v>9.0144230039903093</v>
      </c>
      <c r="S14">
        <v>1.87926556633444</v>
      </c>
      <c r="T14">
        <v>49.910555557226097</v>
      </c>
      <c r="V14">
        <v>38.179463197974798</v>
      </c>
      <c r="X14">
        <v>1.01629267447419</v>
      </c>
      <c r="AJ14">
        <v>0</v>
      </c>
      <c r="AK14">
        <v>-1.5286871593419699E-2</v>
      </c>
      <c r="AL14">
        <v>0.70424686488185895</v>
      </c>
      <c r="AM14">
        <v>5.68175571007676E-2</v>
      </c>
      <c r="AN14">
        <v>0.25422244961079199</v>
      </c>
    </row>
    <row r="15" spans="1:40" x14ac:dyDescent="0.2">
      <c r="A15">
        <v>74</v>
      </c>
      <c r="B15">
        <v>753</v>
      </c>
      <c r="C15">
        <v>195</v>
      </c>
      <c r="D15">
        <v>0.38541197680651201</v>
      </c>
      <c r="E15">
        <v>0.160662310373343</v>
      </c>
      <c r="F15">
        <v>4.9506862256378801</v>
      </c>
      <c r="G15">
        <v>-1.0645407211957496</v>
      </c>
      <c r="H15">
        <v>-0.77344001741971791</v>
      </c>
      <c r="I15">
        <v>0.28368240878626999</v>
      </c>
      <c r="J15">
        <v>0.14238668006806099</v>
      </c>
      <c r="K15">
        <v>3.2452533457145598E-2</v>
      </c>
      <c r="L15">
        <v>3.7778616417242705E-5</v>
      </c>
      <c r="M15">
        <v>4.3674979820926404E-7</v>
      </c>
      <c r="N15" s="1">
        <v>6.6570222845282297E-10</v>
      </c>
      <c r="O15" s="1">
        <v>8.2588337781037798E-14</v>
      </c>
      <c r="P15">
        <v>0</v>
      </c>
      <c r="R15">
        <v>7.5547259608691002</v>
      </c>
      <c r="S15">
        <v>1.83777255599033</v>
      </c>
      <c r="T15">
        <v>52.652272944216598</v>
      </c>
      <c r="V15">
        <v>37.169409001563402</v>
      </c>
      <c r="X15">
        <v>0.78581953736046894</v>
      </c>
      <c r="AJ15">
        <v>0</v>
      </c>
      <c r="AK15">
        <v>-3.33016559032541E-3</v>
      </c>
      <c r="AL15">
        <v>0.74546522199870902</v>
      </c>
      <c r="AM15">
        <v>4.4082308459071802E-2</v>
      </c>
      <c r="AN15">
        <v>0.213782635132544</v>
      </c>
    </row>
    <row r="16" spans="1:40" x14ac:dyDescent="0.2">
      <c r="A16">
        <v>75</v>
      </c>
      <c r="B16">
        <v>752</v>
      </c>
      <c r="C16">
        <v>195</v>
      </c>
      <c r="D16">
        <v>0.38474418377798603</v>
      </c>
      <c r="E16">
        <v>0.38480967744823102</v>
      </c>
      <c r="F16">
        <v>4.9327792112912299</v>
      </c>
      <c r="G16">
        <v>-2.5853934375447061</v>
      </c>
      <c r="H16">
        <v>-1.8864971070266887</v>
      </c>
      <c r="I16">
        <v>0.68175031021608201</v>
      </c>
      <c r="J16">
        <v>0.34154372133336403</v>
      </c>
      <c r="K16">
        <v>7.8010723968223394E-2</v>
      </c>
      <c r="L16">
        <v>3.6521925130504408E-5</v>
      </c>
      <c r="M16">
        <v>4.2459850726416693E-7</v>
      </c>
      <c r="N16" s="1">
        <v>1.5416472525085401E-9</v>
      </c>
      <c r="O16" s="1">
        <v>1.89888020119778E-13</v>
      </c>
      <c r="P16">
        <v>0</v>
      </c>
      <c r="R16">
        <v>8.7505842157871108</v>
      </c>
      <c r="S16">
        <v>1.7862053293143301</v>
      </c>
      <c r="T16">
        <v>50.543345811363999</v>
      </c>
      <c r="V16">
        <v>37.877356861351799</v>
      </c>
      <c r="X16">
        <v>1.0425077821826401</v>
      </c>
      <c r="AJ16">
        <v>0</v>
      </c>
      <c r="AK16">
        <v>-1.8819748190074301E-2</v>
      </c>
      <c r="AL16">
        <v>0.71358132514503103</v>
      </c>
      <c r="AM16">
        <v>5.8316310220974603E-2</v>
      </c>
      <c r="AN16">
        <v>0.24692211282406801</v>
      </c>
    </row>
    <row r="17" spans="1:40" x14ac:dyDescent="0.2">
      <c r="A17">
        <v>76</v>
      </c>
      <c r="B17">
        <v>751</v>
      </c>
      <c r="C17">
        <v>195</v>
      </c>
      <c r="D17">
        <v>0.38407508665723</v>
      </c>
      <c r="E17">
        <v>0.44788305509794002</v>
      </c>
      <c r="F17">
        <v>4.9277253084052797</v>
      </c>
      <c r="G17">
        <v>-3.0229171682528024</v>
      </c>
      <c r="H17">
        <v>-2.209628699741585</v>
      </c>
      <c r="I17">
        <v>0.79411069522161504</v>
      </c>
      <c r="J17">
        <v>0.39763058432614701</v>
      </c>
      <c r="K17">
        <v>9.0890426528844798E-2</v>
      </c>
      <c r="L17">
        <v>3.5837595546181031E-5</v>
      </c>
      <c r="M17">
        <v>4.1721223584787751E-7</v>
      </c>
      <c r="N17" s="1">
        <v>1.7623150262237501E-9</v>
      </c>
      <c r="O17" s="1">
        <v>2.1681094284600201E-13</v>
      </c>
      <c r="P17">
        <v>0</v>
      </c>
      <c r="R17">
        <v>9.2523206837536005</v>
      </c>
      <c r="S17">
        <v>1.79210056799579</v>
      </c>
      <c r="T17">
        <v>49.582563036071498</v>
      </c>
      <c r="V17">
        <v>38.303569392336897</v>
      </c>
      <c r="X17">
        <v>1.0694463198420401</v>
      </c>
      <c r="AJ17">
        <v>0</v>
      </c>
      <c r="AK17">
        <v>-2.0181687921639099E-2</v>
      </c>
      <c r="AL17">
        <v>0.69951054743566898</v>
      </c>
      <c r="AM17">
        <v>5.9779947406311297E-2</v>
      </c>
      <c r="AN17">
        <v>0.26089119307965702</v>
      </c>
    </row>
    <row r="18" spans="1:40" x14ac:dyDescent="0.2">
      <c r="A18">
        <v>77</v>
      </c>
      <c r="B18">
        <v>750</v>
      </c>
      <c r="C18">
        <v>195</v>
      </c>
      <c r="D18">
        <v>0.38340468162048602</v>
      </c>
      <c r="E18">
        <v>0.463835880937501</v>
      </c>
      <c r="F18">
        <v>4.9282806271905901</v>
      </c>
      <c r="G18">
        <v>-3.1290015181827457</v>
      </c>
      <c r="H18">
        <v>-2.2880445410363008</v>
      </c>
      <c r="I18">
        <v>0.821929313538039</v>
      </c>
      <c r="J18">
        <v>0.41180611821192598</v>
      </c>
      <c r="K18">
        <v>9.41171812291694E-2</v>
      </c>
      <c r="L18">
        <v>3.5936421651498266E-5</v>
      </c>
      <c r="M18">
        <v>4.1851297328386392E-7</v>
      </c>
      <c r="N18" s="1">
        <v>1.83116914005822E-9</v>
      </c>
      <c r="O18" s="1">
        <v>2.2534088453445399E-13</v>
      </c>
      <c r="P18">
        <v>0</v>
      </c>
      <c r="R18">
        <v>9.1222713564437292</v>
      </c>
      <c r="S18">
        <v>1.85092509568815</v>
      </c>
      <c r="T18">
        <v>49.760880909844602</v>
      </c>
      <c r="V18">
        <v>38.203013099970903</v>
      </c>
      <c r="X18">
        <v>1.0629095380525899</v>
      </c>
      <c r="AJ18">
        <v>0</v>
      </c>
      <c r="AK18">
        <v>-1.8513759463559501E-2</v>
      </c>
      <c r="AL18">
        <v>0.70192205867756996</v>
      </c>
      <c r="AM18">
        <v>5.9405735701370803E-2</v>
      </c>
      <c r="AN18">
        <v>0.257185965084618</v>
      </c>
    </row>
    <row r="19" spans="1:40" x14ac:dyDescent="0.2">
      <c r="A19">
        <v>88</v>
      </c>
      <c r="B19">
        <v>757</v>
      </c>
      <c r="C19">
        <v>175</v>
      </c>
      <c r="D19">
        <v>0.40942629714119499</v>
      </c>
      <c r="E19">
        <v>0.28499825808696699</v>
      </c>
      <c r="F19">
        <v>4.9425511957560797</v>
      </c>
      <c r="G19">
        <v>-1.9005051907433406</v>
      </c>
      <c r="H19">
        <v>-1.3803740430379279</v>
      </c>
      <c r="I19">
        <v>0.50490816648586301</v>
      </c>
      <c r="J19">
        <v>0.25284310917118502</v>
      </c>
      <c r="K19">
        <v>5.7662176232323302E-2</v>
      </c>
      <c r="L19">
        <v>3.7701618850096273E-5</v>
      </c>
      <c r="M19">
        <v>4.3650532335065381E-7</v>
      </c>
      <c r="N19" s="1">
        <v>1.1755532178434899E-9</v>
      </c>
      <c r="O19" s="1">
        <v>1.4532972161276801E-13</v>
      </c>
      <c r="P19">
        <v>0</v>
      </c>
      <c r="R19">
        <v>7.81737516403199</v>
      </c>
      <c r="S19">
        <v>1.8290367074164999</v>
      </c>
      <c r="T19">
        <v>52.230555235452798</v>
      </c>
      <c r="V19">
        <v>37.198361887990899</v>
      </c>
      <c r="X19">
        <v>0.92467100510770295</v>
      </c>
      <c r="AJ19">
        <v>0</v>
      </c>
      <c r="AK19">
        <v>-1.12987394596651E-2</v>
      </c>
      <c r="AL19">
        <v>0.73855800792983795</v>
      </c>
      <c r="AM19">
        <v>5.1805808057944699E-2</v>
      </c>
      <c r="AN19">
        <v>0.22093492347188101</v>
      </c>
    </row>
    <row r="20" spans="1:40" x14ac:dyDescent="0.2">
      <c r="A20">
        <v>89</v>
      </c>
      <c r="B20">
        <v>756</v>
      </c>
      <c r="C20">
        <v>175</v>
      </c>
      <c r="D20">
        <v>0.40878443375601398</v>
      </c>
      <c r="E20">
        <v>0.42242896931631302</v>
      </c>
      <c r="F20">
        <v>4.9280968172209496</v>
      </c>
      <c r="G20">
        <v>-2.8503850006007045</v>
      </c>
      <c r="H20">
        <v>-2.078059431688251</v>
      </c>
      <c r="I20">
        <v>0.750449952788663</v>
      </c>
      <c r="J20">
        <v>0.37516637744095199</v>
      </c>
      <c r="K20">
        <v>8.5718480172743097E-2</v>
      </c>
      <c r="L20">
        <v>3.6385689450931375E-5</v>
      </c>
      <c r="M20">
        <v>4.2303869560745385E-7</v>
      </c>
      <c r="N20" s="1">
        <v>1.68256597286746E-9</v>
      </c>
      <c r="O20" s="1">
        <v>2.06925319172855E-13</v>
      </c>
      <c r="P20">
        <v>0</v>
      </c>
      <c r="R20">
        <v>8.9627919627432604</v>
      </c>
      <c r="S20">
        <v>1.77741975215126</v>
      </c>
      <c r="T20">
        <v>50.1732630724036</v>
      </c>
      <c r="V20">
        <v>37.989981386051497</v>
      </c>
      <c r="X20">
        <v>1.09654382665031</v>
      </c>
      <c r="AJ20">
        <v>0</v>
      </c>
      <c r="AK20">
        <v>-2.20241807847243E-2</v>
      </c>
      <c r="AL20">
        <v>0.70795369306867895</v>
      </c>
      <c r="AM20">
        <v>6.1304131307332602E-2</v>
      </c>
      <c r="AN20">
        <v>0.25276635640871198</v>
      </c>
    </row>
    <row r="21" spans="1:40" x14ac:dyDescent="0.2">
      <c r="A21">
        <v>90</v>
      </c>
      <c r="B21">
        <v>755</v>
      </c>
      <c r="C21">
        <v>175</v>
      </c>
      <c r="D21">
        <v>0.40814132179156798</v>
      </c>
      <c r="E21">
        <v>0.46305102333238202</v>
      </c>
      <c r="F21">
        <v>4.9243937745740398</v>
      </c>
      <c r="G21">
        <v>-3.1348667508249659</v>
      </c>
      <c r="H21">
        <v>-2.2887179151553725</v>
      </c>
      <c r="I21">
        <v>0.82298189531643495</v>
      </c>
      <c r="J21">
        <v>0.41132394493067398</v>
      </c>
      <c r="K21">
        <v>9.4032086898338099E-2</v>
      </c>
      <c r="L21">
        <v>3.5892617556932161E-5</v>
      </c>
      <c r="M21">
        <v>4.1778584844806837E-7</v>
      </c>
      <c r="N21" s="1">
        <v>1.8208377907675799E-9</v>
      </c>
      <c r="O21" s="1">
        <v>2.2373302233062001E-13</v>
      </c>
      <c r="P21">
        <v>0</v>
      </c>
      <c r="R21">
        <v>9.3121693892840192</v>
      </c>
      <c r="S21">
        <v>1.79447610244553</v>
      </c>
      <c r="T21">
        <v>49.4895662730883</v>
      </c>
      <c r="V21">
        <v>38.287452194908496</v>
      </c>
      <c r="X21">
        <v>1.1163360402734901</v>
      </c>
      <c r="AJ21">
        <v>0</v>
      </c>
      <c r="AK21">
        <v>-2.2740506824481501E-2</v>
      </c>
      <c r="AL21">
        <v>0.69789980059241297</v>
      </c>
      <c r="AM21">
        <v>6.2374290147687701E-2</v>
      </c>
      <c r="AN21">
        <v>0.26246641608437998</v>
      </c>
    </row>
    <row r="22" spans="1:40" x14ac:dyDescent="0.2">
      <c r="A22">
        <v>91</v>
      </c>
      <c r="B22">
        <v>754</v>
      </c>
      <c r="C22">
        <v>175</v>
      </c>
      <c r="D22">
        <v>0.40749695760112897</v>
      </c>
      <c r="E22">
        <v>0.47454020991824802</v>
      </c>
      <c r="F22">
        <v>4.9249605850584199</v>
      </c>
      <c r="G22">
        <v>-3.2109805971127923</v>
      </c>
      <c r="H22">
        <v>-2.3451706193562698</v>
      </c>
      <c r="I22">
        <v>0.84292457553085898</v>
      </c>
      <c r="J22">
        <v>0.42154050226308998</v>
      </c>
      <c r="K22">
        <v>9.6354113240607595E-2</v>
      </c>
      <c r="L22">
        <v>3.598914235334047E-5</v>
      </c>
      <c r="M22">
        <v>4.190584562510106E-7</v>
      </c>
      <c r="N22" s="1">
        <v>1.8721040950400702E-9</v>
      </c>
      <c r="O22" s="1">
        <v>2.3009352121588901E-13</v>
      </c>
      <c r="P22">
        <v>0</v>
      </c>
      <c r="R22">
        <v>9.1855081046721292</v>
      </c>
      <c r="S22">
        <v>1.85081564379839</v>
      </c>
      <c r="T22">
        <v>49.664238275825603</v>
      </c>
      <c r="V22">
        <v>38.1896910663041</v>
      </c>
      <c r="X22">
        <v>1.1097469093996599</v>
      </c>
      <c r="AJ22">
        <v>0</v>
      </c>
      <c r="AK22">
        <v>-2.1125092659226401E-2</v>
      </c>
      <c r="AL22">
        <v>0.70026667852305802</v>
      </c>
      <c r="AM22">
        <v>6.1997598944722801E-2</v>
      </c>
      <c r="AN22">
        <v>0.25886081519144399</v>
      </c>
    </row>
    <row r="23" spans="1:40" x14ac:dyDescent="0.2">
      <c r="A23">
        <v>105</v>
      </c>
      <c r="B23">
        <v>762</v>
      </c>
      <c r="C23">
        <v>155</v>
      </c>
      <c r="D23">
        <v>0.433869970535674</v>
      </c>
      <c r="E23">
        <v>0.31277446224337002</v>
      </c>
      <c r="F23">
        <v>4.9399569090459501</v>
      </c>
      <c r="G23">
        <v>-2.090480610565765</v>
      </c>
      <c r="H23">
        <v>-1.5153937820755139</v>
      </c>
      <c r="I23">
        <v>0.55555893202941697</v>
      </c>
      <c r="J23">
        <v>0.27764580438272002</v>
      </c>
      <c r="K23">
        <v>6.3315220760453206E-2</v>
      </c>
      <c r="L23">
        <v>3.7979904044276299E-5</v>
      </c>
      <c r="M23">
        <v>4.3938416944139728E-7</v>
      </c>
      <c r="N23" s="1">
        <v>1.29603823907894E-9</v>
      </c>
      <c r="O23" s="1">
        <v>1.60050123720865E-13</v>
      </c>
      <c r="P23">
        <v>0</v>
      </c>
      <c r="R23">
        <v>7.7302318793018499</v>
      </c>
      <c r="S23">
        <v>1.8393977469123799</v>
      </c>
      <c r="T23">
        <v>52.412772661332902</v>
      </c>
      <c r="V23">
        <v>37.044376513393601</v>
      </c>
      <c r="X23">
        <v>0.97322119905920901</v>
      </c>
      <c r="AJ23">
        <v>0</v>
      </c>
      <c r="AK23">
        <v>-1.37846287775689E-2</v>
      </c>
      <c r="AL23">
        <v>0.740880330351816</v>
      </c>
      <c r="AM23">
        <v>5.4507182550076902E-2</v>
      </c>
      <c r="AN23">
        <v>0.21839711587567501</v>
      </c>
    </row>
    <row r="24" spans="1:40" x14ac:dyDescent="0.2">
      <c r="A24">
        <v>106</v>
      </c>
      <c r="B24">
        <v>761</v>
      </c>
      <c r="C24">
        <v>155</v>
      </c>
      <c r="D24">
        <v>0.43325484697577799</v>
      </c>
      <c r="E24">
        <v>0.42854694139400201</v>
      </c>
      <c r="F24">
        <v>4.9267604183574703</v>
      </c>
      <c r="G24">
        <v>-2.895396859088919</v>
      </c>
      <c r="H24">
        <v>-2.1062352244181857</v>
      </c>
      <c r="I24">
        <v>0.76310171123215498</v>
      </c>
      <c r="J24">
        <v>0.38079542047896597</v>
      </c>
      <c r="K24">
        <v>8.6983515536335904E-2</v>
      </c>
      <c r="L24">
        <v>3.6771763193282983E-5</v>
      </c>
      <c r="M24">
        <v>4.2706762587382676E-7</v>
      </c>
      <c r="N24" s="1">
        <v>1.72021823166677E-9</v>
      </c>
      <c r="O24" s="1">
        <v>2.11409890771457E-13</v>
      </c>
      <c r="P24">
        <v>0</v>
      </c>
      <c r="R24">
        <v>8.7789275064501897</v>
      </c>
      <c r="S24">
        <v>1.79314312489677</v>
      </c>
      <c r="T24">
        <v>50.528837721713202</v>
      </c>
      <c r="V24">
        <v>37.766999829381398</v>
      </c>
      <c r="X24">
        <v>1.1320918175583801</v>
      </c>
      <c r="AJ24">
        <v>0</v>
      </c>
      <c r="AK24">
        <v>-2.3659829087913201E-2</v>
      </c>
      <c r="AL24">
        <v>0.71284303002740301</v>
      </c>
      <c r="AM24">
        <v>6.3280149145502104E-2</v>
      </c>
      <c r="AN24">
        <v>0.24753664991500701</v>
      </c>
    </row>
    <row r="25" spans="1:40" x14ac:dyDescent="0.2">
      <c r="A25">
        <v>107</v>
      </c>
      <c r="B25">
        <v>760</v>
      </c>
      <c r="C25">
        <v>155</v>
      </c>
      <c r="D25">
        <v>0.43263853264288998</v>
      </c>
      <c r="E25">
        <v>0.47485657221787603</v>
      </c>
      <c r="F25">
        <v>4.9190722812152501</v>
      </c>
      <c r="G25">
        <v>-3.2304463463412816</v>
      </c>
      <c r="H25">
        <v>-2.3556413147888438</v>
      </c>
      <c r="I25">
        <v>0.84673574171459798</v>
      </c>
      <c r="J25">
        <v>0.42208948653143402</v>
      </c>
      <c r="K25">
        <v>9.6533765936158006E-2</v>
      </c>
      <c r="L25">
        <v>3.5723852367550338E-5</v>
      </c>
      <c r="M25">
        <v>4.1570287746347769E-7</v>
      </c>
      <c r="N25" s="1">
        <v>1.85360440981913E-9</v>
      </c>
      <c r="O25" s="1">
        <v>2.2733910383813501E-13</v>
      </c>
      <c r="P25">
        <v>0</v>
      </c>
      <c r="R25">
        <v>9.5799991319837705</v>
      </c>
      <c r="S25">
        <v>1.7681688673389</v>
      </c>
      <c r="T25">
        <v>49.037023050105603</v>
      </c>
      <c r="V25">
        <v>38.436480711035003</v>
      </c>
      <c r="X25">
        <v>1.1783282395366299</v>
      </c>
      <c r="AJ25">
        <v>0</v>
      </c>
      <c r="AK25">
        <v>-2.6769612987781501E-2</v>
      </c>
      <c r="AL25">
        <v>0.69111300489663996</v>
      </c>
      <c r="AM25">
        <v>6.5799485519042397E-2</v>
      </c>
      <c r="AN25">
        <v>0.26985712257209798</v>
      </c>
    </row>
    <row r="26" spans="1:40" x14ac:dyDescent="0.2">
      <c r="A26">
        <v>108</v>
      </c>
      <c r="B26">
        <v>759</v>
      </c>
      <c r="C26">
        <v>155</v>
      </c>
      <c r="D26">
        <v>0.43202102407596099</v>
      </c>
      <c r="E26">
        <v>0.48261631419803502</v>
      </c>
      <c r="F26">
        <v>4.9210335242082897</v>
      </c>
      <c r="G26">
        <v>-3.2774889251421402</v>
      </c>
      <c r="H26">
        <v>-2.3900306529824582</v>
      </c>
      <c r="I26">
        <v>0.85981521305980801</v>
      </c>
      <c r="J26">
        <v>0.42897757410015802</v>
      </c>
      <c r="K26">
        <v>9.8072145175170405E-2</v>
      </c>
      <c r="L26">
        <v>3.6007921341791993E-5</v>
      </c>
      <c r="M26">
        <v>4.1904108669968097E-7</v>
      </c>
      <c r="N26" s="1">
        <v>1.89983764841107E-9</v>
      </c>
      <c r="O26" s="1">
        <v>2.3316554317376001E-13</v>
      </c>
      <c r="P26">
        <v>0</v>
      </c>
      <c r="R26">
        <v>9.3018002695633299</v>
      </c>
      <c r="S26">
        <v>1.83653019894697</v>
      </c>
      <c r="T26">
        <v>49.485137291884797</v>
      </c>
      <c r="V26">
        <v>38.213878021025202</v>
      </c>
      <c r="X26">
        <v>1.1626542185795301</v>
      </c>
      <c r="AJ26">
        <v>0</v>
      </c>
      <c r="AK26">
        <v>-2.4385664093023701E-2</v>
      </c>
      <c r="AL26">
        <v>0.69743693383423899</v>
      </c>
      <c r="AM26">
        <v>6.4925002986430197E-2</v>
      </c>
      <c r="AN26">
        <v>0.26202372727235301</v>
      </c>
    </row>
    <row r="27" spans="1:40" x14ac:dyDescent="0.2">
      <c r="A27">
        <v>125</v>
      </c>
      <c r="B27">
        <v>769</v>
      </c>
      <c r="C27">
        <v>135</v>
      </c>
      <c r="D27">
        <v>0.45925298661421299</v>
      </c>
      <c r="E27">
        <v>0.13590502362499701</v>
      </c>
      <c r="F27">
        <v>4.9518250372604697</v>
      </c>
      <c r="G27">
        <v>-0.90040360167668487</v>
      </c>
      <c r="H27">
        <v>-0.64874992973060075</v>
      </c>
      <c r="I27">
        <v>0.241475480445314</v>
      </c>
      <c r="J27">
        <v>0.12054638409745699</v>
      </c>
      <c r="K27">
        <v>2.7445441347860099E-2</v>
      </c>
      <c r="L27">
        <v>3.9205624014305989E-5</v>
      </c>
      <c r="M27">
        <v>4.5074360307564816E-7</v>
      </c>
      <c r="N27" s="1">
        <v>5.7939685866596701E-10</v>
      </c>
      <c r="O27" s="1">
        <v>7.1919498805163303E-14</v>
      </c>
      <c r="P27">
        <v>0</v>
      </c>
      <c r="R27">
        <v>6.7141203074136202</v>
      </c>
      <c r="S27">
        <v>1.8988889160869999</v>
      </c>
      <c r="T27">
        <v>54.203027967831403</v>
      </c>
      <c r="V27">
        <v>36.3978243553033</v>
      </c>
      <c r="X27">
        <v>0.78613845336456001</v>
      </c>
      <c r="AJ27">
        <v>0</v>
      </c>
      <c r="AK27">
        <v>-1.9937652522063502E-3</v>
      </c>
      <c r="AL27">
        <v>0.76778677393365202</v>
      </c>
      <c r="AM27">
        <v>4.4121204678878798E-2</v>
      </c>
      <c r="AN27">
        <v>0.19008578663967499</v>
      </c>
    </row>
    <row r="28" spans="1:40" x14ac:dyDescent="0.2">
      <c r="A28">
        <v>126</v>
      </c>
      <c r="B28">
        <v>768</v>
      </c>
      <c r="C28">
        <v>135</v>
      </c>
      <c r="D28">
        <v>0.45866637852374798</v>
      </c>
      <c r="E28">
        <v>0.34172931556538999</v>
      </c>
      <c r="F28">
        <v>4.9363939810719204</v>
      </c>
      <c r="G28">
        <v>-2.2911254798947458</v>
      </c>
      <c r="H28">
        <v>-1.6571254214442126</v>
      </c>
      <c r="I28">
        <v>0.60894209138984101</v>
      </c>
      <c r="J28">
        <v>0.30356879326869701</v>
      </c>
      <c r="K28">
        <v>6.9226507623928402E-2</v>
      </c>
      <c r="L28">
        <v>3.8247832021637644E-5</v>
      </c>
      <c r="M28">
        <v>4.419982838123366E-7</v>
      </c>
      <c r="N28" s="1">
        <v>1.42133462165593E-9</v>
      </c>
      <c r="O28" s="1">
        <v>1.75276776647342E-13</v>
      </c>
      <c r="P28">
        <v>0</v>
      </c>
      <c r="R28">
        <v>7.6744023862679498</v>
      </c>
      <c r="S28">
        <v>1.8544231162057601</v>
      </c>
      <c r="T28">
        <v>52.535702958949301</v>
      </c>
      <c r="V28">
        <v>36.901407828454197</v>
      </c>
      <c r="X28">
        <v>1.0340637101226899</v>
      </c>
      <c r="AJ28">
        <v>0</v>
      </c>
      <c r="AK28">
        <v>-1.6851278613158601E-2</v>
      </c>
      <c r="AL28">
        <v>0.74225206972359503</v>
      </c>
      <c r="AM28">
        <v>5.78862492477503E-2</v>
      </c>
      <c r="AN28">
        <v>0.216712959641813</v>
      </c>
    </row>
    <row r="29" spans="1:40" x14ac:dyDescent="0.2">
      <c r="A29">
        <v>127</v>
      </c>
      <c r="B29">
        <v>767</v>
      </c>
      <c r="C29">
        <v>135</v>
      </c>
      <c r="D29">
        <v>0.45807864250348701</v>
      </c>
      <c r="E29">
        <v>0.436257841015254</v>
      </c>
      <c r="F29">
        <v>4.9246537114621898</v>
      </c>
      <c r="G29">
        <v>-2.9534800315979788</v>
      </c>
      <c r="H29">
        <v>-2.1430917930322817</v>
      </c>
      <c r="I29">
        <v>0.77910708894457203</v>
      </c>
      <c r="J29">
        <v>0.38788903967941302</v>
      </c>
      <c r="K29">
        <v>8.8586501016276298E-2</v>
      </c>
      <c r="L29">
        <v>3.7129723493346094E-5</v>
      </c>
      <c r="M29">
        <v>4.3058039164942659E-7</v>
      </c>
      <c r="N29" s="1">
        <v>1.76245894902373E-9</v>
      </c>
      <c r="O29" s="1">
        <v>2.1641630070711501E-13</v>
      </c>
      <c r="P29">
        <v>0</v>
      </c>
      <c r="R29">
        <v>8.6320815658044108</v>
      </c>
      <c r="S29">
        <v>1.81285641116341</v>
      </c>
      <c r="T29">
        <v>50.811162363720797</v>
      </c>
      <c r="V29">
        <v>37.570906243170299</v>
      </c>
      <c r="X29">
        <v>1.1729934161408899</v>
      </c>
      <c r="AJ29">
        <v>0</v>
      </c>
      <c r="AK29">
        <v>-2.5503429177603999E-2</v>
      </c>
      <c r="AL29">
        <v>0.71662678589971196</v>
      </c>
      <c r="AM29">
        <v>6.5548193219830297E-2</v>
      </c>
      <c r="AN29">
        <v>0.24332845005806</v>
      </c>
    </row>
    <row r="30" spans="1:40" x14ac:dyDescent="0.2">
      <c r="A30">
        <v>128</v>
      </c>
      <c r="B30">
        <v>766</v>
      </c>
      <c r="C30">
        <v>135</v>
      </c>
      <c r="D30">
        <v>0.45748977529712298</v>
      </c>
      <c r="E30">
        <v>0.47780756326269902</v>
      </c>
      <c r="F30">
        <v>4.91748441578111</v>
      </c>
      <c r="G30">
        <v>-3.2557642772420028</v>
      </c>
      <c r="H30">
        <v>-2.3679059134971725</v>
      </c>
      <c r="I30">
        <v>0.85440827959854604</v>
      </c>
      <c r="J30">
        <v>0.42497700564249002</v>
      </c>
      <c r="K30">
        <v>9.7165038638318199E-2</v>
      </c>
      <c r="L30">
        <v>3.6142531071236148E-5</v>
      </c>
      <c r="M30">
        <v>4.1991673897665465E-7</v>
      </c>
      <c r="N30" s="1">
        <v>1.8807410605676399E-9</v>
      </c>
      <c r="O30" s="1">
        <v>2.3049179033332198E-13</v>
      </c>
      <c r="P30">
        <v>0</v>
      </c>
      <c r="R30">
        <v>9.3845125028610799</v>
      </c>
      <c r="S30">
        <v>1.7897568638111201</v>
      </c>
      <c r="T30">
        <v>49.409999319226003</v>
      </c>
      <c r="V30">
        <v>38.198400031938299</v>
      </c>
      <c r="X30">
        <v>1.2173312821634099</v>
      </c>
      <c r="AJ30">
        <v>0</v>
      </c>
      <c r="AK30">
        <v>-2.8464624339437999E-2</v>
      </c>
      <c r="AL30">
        <v>0.69621191716410802</v>
      </c>
      <c r="AM30">
        <v>6.7962075135928501E-2</v>
      </c>
      <c r="AN30">
        <v>0.26429063203940101</v>
      </c>
    </row>
    <row r="31" spans="1:40" x14ac:dyDescent="0.2">
      <c r="A31">
        <v>129</v>
      </c>
      <c r="B31">
        <v>765</v>
      </c>
      <c r="C31">
        <v>135</v>
      </c>
      <c r="D31">
        <v>0.45689977363579698</v>
      </c>
      <c r="E31">
        <v>0.49111468266367903</v>
      </c>
      <c r="F31">
        <v>4.9164621196756499</v>
      </c>
      <c r="G31">
        <v>-3.3494132761953264</v>
      </c>
      <c r="H31">
        <v>-2.4378770251395268</v>
      </c>
      <c r="I31">
        <v>0.87803906088310901</v>
      </c>
      <c r="J31">
        <v>0.43684524385211199</v>
      </c>
      <c r="K31">
        <v>9.9891887847206401E-2</v>
      </c>
      <c r="L31">
        <v>3.601659208066381E-5</v>
      </c>
      <c r="M31">
        <v>4.1873388325473515E-7</v>
      </c>
      <c r="N31" s="1">
        <v>1.9276108422742501E-9</v>
      </c>
      <c r="O31" s="1">
        <v>2.3618954177438302E-13</v>
      </c>
      <c r="P31">
        <v>0</v>
      </c>
      <c r="R31">
        <v>9.44094263224288</v>
      </c>
      <c r="S31">
        <v>1.8269530959276301</v>
      </c>
      <c r="T31">
        <v>49.259517311715001</v>
      </c>
      <c r="V31">
        <v>38.251246332613398</v>
      </c>
      <c r="X31">
        <v>1.2213406275010601</v>
      </c>
      <c r="AJ31">
        <v>0</v>
      </c>
      <c r="AK31">
        <v>-2.78595206094082E-2</v>
      </c>
      <c r="AL31">
        <v>0.69389052185837097</v>
      </c>
      <c r="AM31">
        <v>6.8166163370086699E-2</v>
      </c>
      <c r="AN31">
        <v>0.26580283538094901</v>
      </c>
    </row>
    <row r="32" spans="1:40" x14ac:dyDescent="0.2">
      <c r="A32">
        <v>151</v>
      </c>
      <c r="B32">
        <v>776</v>
      </c>
      <c r="C32">
        <v>115</v>
      </c>
      <c r="D32">
        <v>0.484297288280991</v>
      </c>
      <c r="E32">
        <v>0.30502125858740498</v>
      </c>
      <c r="F32">
        <v>4.9387083159160303</v>
      </c>
      <c r="G32">
        <v>-2.042759241953966</v>
      </c>
      <c r="H32">
        <v>-1.4708957431014882</v>
      </c>
      <c r="I32">
        <v>0.54507315336460704</v>
      </c>
      <c r="J32">
        <v>0.27102240846389503</v>
      </c>
      <c r="K32">
        <v>6.1761343063004903E-2</v>
      </c>
      <c r="L32">
        <v>3.8896381787468768E-5</v>
      </c>
      <c r="M32">
        <v>4.4765052699259065E-7</v>
      </c>
      <c r="N32" s="1">
        <v>1.2850281125534701E-9</v>
      </c>
      <c r="O32" s="1">
        <v>1.5868747471040801E-13</v>
      </c>
      <c r="P32">
        <v>0</v>
      </c>
      <c r="R32">
        <v>7.25111786166668</v>
      </c>
      <c r="S32">
        <v>1.8897903657621899</v>
      </c>
      <c r="T32">
        <v>53.287451066565303</v>
      </c>
      <c r="V32">
        <v>36.581382505209703</v>
      </c>
      <c r="X32">
        <v>0.990258200796028</v>
      </c>
      <c r="AJ32">
        <v>0</v>
      </c>
      <c r="AK32">
        <v>-1.36239430364996E-2</v>
      </c>
      <c r="AL32">
        <v>0.75328685200478096</v>
      </c>
      <c r="AM32">
        <v>5.5464503766190498E-2</v>
      </c>
      <c r="AN32">
        <v>0.20487258726552701</v>
      </c>
    </row>
    <row r="33" spans="1:40" x14ac:dyDescent="0.2">
      <c r="A33">
        <v>152</v>
      </c>
      <c r="B33">
        <v>775</v>
      </c>
      <c r="C33">
        <v>115</v>
      </c>
      <c r="D33">
        <v>0.483738491628109</v>
      </c>
      <c r="E33">
        <v>0.41074198915933502</v>
      </c>
      <c r="F33">
        <v>4.9262210847718304</v>
      </c>
      <c r="G33">
        <v>-2.7761011095787551</v>
      </c>
      <c r="H33">
        <v>-2.0051622301848511</v>
      </c>
      <c r="I33">
        <v>0.73552342641215795</v>
      </c>
      <c r="J33">
        <v>0.36540283005977597</v>
      </c>
      <c r="K33">
        <v>8.3378716076921502E-2</v>
      </c>
      <c r="L33">
        <v>3.8272292446290202E-5</v>
      </c>
      <c r="M33">
        <v>4.4245474494962235E-7</v>
      </c>
      <c r="N33" s="1">
        <v>1.7025436071771601E-9</v>
      </c>
      <c r="O33" s="1">
        <v>2.0904725799745E-13</v>
      </c>
      <c r="P33">
        <v>0</v>
      </c>
      <c r="R33">
        <v>7.9210626292480404</v>
      </c>
      <c r="S33">
        <v>1.8734085379624901</v>
      </c>
      <c r="T33">
        <v>52.130006612415499</v>
      </c>
      <c r="V33">
        <v>36.869716071972903</v>
      </c>
      <c r="X33">
        <v>1.2058061484009801</v>
      </c>
      <c r="AJ33">
        <v>0</v>
      </c>
      <c r="AK33">
        <v>-2.6002206984888001E-2</v>
      </c>
      <c r="AL33">
        <v>0.73530434126105304</v>
      </c>
      <c r="AM33">
        <v>6.7388856608152095E-2</v>
      </c>
      <c r="AN33">
        <v>0.223309009115681</v>
      </c>
    </row>
    <row r="34" spans="1:40" x14ac:dyDescent="0.2">
      <c r="A34">
        <v>153</v>
      </c>
      <c r="B34">
        <v>774</v>
      </c>
      <c r="C34">
        <v>115</v>
      </c>
      <c r="D34">
        <v>0.48317862770377201</v>
      </c>
      <c r="E34">
        <v>0.46474552415327403</v>
      </c>
      <c r="F34">
        <v>4.9183214840386702</v>
      </c>
      <c r="G34">
        <v>-3.1651642476139896</v>
      </c>
      <c r="H34">
        <v>-2.2922661912395728</v>
      </c>
      <c r="I34">
        <v>0.83359409480438995</v>
      </c>
      <c r="J34">
        <v>0.41361138609438602</v>
      </c>
      <c r="K34">
        <v>9.4492709689983398E-2</v>
      </c>
      <c r="L34">
        <v>3.7006222760230595E-5</v>
      </c>
      <c r="M34">
        <v>4.2860664930473698E-7</v>
      </c>
      <c r="N34" s="1">
        <v>1.8647134978212602E-9</v>
      </c>
      <c r="O34" s="1">
        <v>2.2852306082088598E-13</v>
      </c>
      <c r="P34">
        <v>0</v>
      </c>
      <c r="R34">
        <v>8.8739991349346194</v>
      </c>
      <c r="S34">
        <v>1.8268779004397</v>
      </c>
      <c r="T34">
        <v>50.364812680002203</v>
      </c>
      <c r="V34">
        <v>37.692663966398698</v>
      </c>
      <c r="X34">
        <v>1.24164631822464</v>
      </c>
      <c r="AJ34">
        <v>0</v>
      </c>
      <c r="AK34">
        <v>-2.90059172242076E-2</v>
      </c>
      <c r="AL34">
        <v>0.70973973335408203</v>
      </c>
      <c r="AM34">
        <v>6.9326782492641806E-2</v>
      </c>
      <c r="AN34">
        <v>0.24993940137748299</v>
      </c>
    </row>
    <row r="35" spans="1:40" x14ac:dyDescent="0.2">
      <c r="A35">
        <v>154</v>
      </c>
      <c r="B35">
        <v>773</v>
      </c>
      <c r="C35">
        <v>115</v>
      </c>
      <c r="D35">
        <v>0.48261769344740202</v>
      </c>
      <c r="E35">
        <v>0.49152938176180899</v>
      </c>
      <c r="F35">
        <v>4.9129052700541704</v>
      </c>
      <c r="G35">
        <v>-3.3638386435985081</v>
      </c>
      <c r="H35">
        <v>-2.4407262686083011</v>
      </c>
      <c r="I35">
        <v>0.882390073115907</v>
      </c>
      <c r="J35">
        <v>0.43755821721142402</v>
      </c>
      <c r="K35">
        <v>0.100048617822502</v>
      </c>
      <c r="L35">
        <v>3.6267874195470208E-5</v>
      </c>
      <c r="M35">
        <v>4.2071688658474406E-7</v>
      </c>
      <c r="N35" s="1">
        <v>1.9343882218137799E-9</v>
      </c>
      <c r="O35" s="1">
        <v>2.3670035489970302E-13</v>
      </c>
      <c r="P35">
        <v>0</v>
      </c>
      <c r="R35">
        <v>9.4275981817991106</v>
      </c>
      <c r="S35">
        <v>1.81884284349012</v>
      </c>
      <c r="T35">
        <v>49.324402409643803</v>
      </c>
      <c r="V35">
        <v>38.152987296607499</v>
      </c>
      <c r="X35">
        <v>1.27616926845935</v>
      </c>
      <c r="AJ35">
        <v>0</v>
      </c>
      <c r="AK35">
        <v>-3.1087406589016899E-2</v>
      </c>
      <c r="AL35">
        <v>0.69455492175911104</v>
      </c>
      <c r="AM35">
        <v>7.1200703826770101E-2</v>
      </c>
      <c r="AN35">
        <v>0.26533178100313498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7281E-3084-4251-981D-151CDDFF7535}">
  <sheetPr codeName="Sheet8"/>
  <dimension ref="A1:AP25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20</v>
      </c>
      <c r="B2">
        <v>738</v>
      </c>
      <c r="C2">
        <v>275</v>
      </c>
      <c r="D2">
        <v>0.28822677149780002</v>
      </c>
      <c r="E2">
        <v>0.115181082114363</v>
      </c>
      <c r="F2">
        <v>3.58130327880344</v>
      </c>
      <c r="G2">
        <v>-1.4699723224448467</v>
      </c>
      <c r="H2">
        <v>-1.2494792220027668</v>
      </c>
      <c r="I2">
        <v>0.21806171234938401</v>
      </c>
      <c r="J2">
        <v>0.12883133113211301</v>
      </c>
      <c r="K2">
        <v>3.21617783101706E-2</v>
      </c>
      <c r="L2">
        <v>4.4428851809869279E-5</v>
      </c>
      <c r="M2">
        <v>9.1361505462606344E-7</v>
      </c>
      <c r="N2" s="1">
        <v>1.6647448419069801E-10</v>
      </c>
      <c r="O2" s="1">
        <v>3.1660975756608702E-14</v>
      </c>
      <c r="P2" s="1">
        <v>-1.64355380502464E-13</v>
      </c>
      <c r="Q2">
        <v>49.886157769390699</v>
      </c>
      <c r="R2">
        <v>1.5820991426634699E-2</v>
      </c>
      <c r="S2">
        <v>2.0054018493098602</v>
      </c>
      <c r="T2">
        <v>0.53466158699521205</v>
      </c>
      <c r="V2">
        <v>32.038297872424302</v>
      </c>
      <c r="X2">
        <v>15.3304527881919</v>
      </c>
      <c r="AA2">
        <v>0.172097391241016</v>
      </c>
      <c r="AB2">
        <v>1.7109751020158898E-2</v>
      </c>
      <c r="AJ2">
        <v>-1.09187279103381</v>
      </c>
      <c r="AK2">
        <v>0.99151219238695498</v>
      </c>
      <c r="AL2">
        <v>1.04529683424438</v>
      </c>
      <c r="AM2">
        <v>3.8073138878254503E-2</v>
      </c>
      <c r="AN2">
        <v>-3.7144816870797903E-2</v>
      </c>
      <c r="AO2">
        <v>5.2841232389206301E-2</v>
      </c>
      <c r="AP2">
        <v>1.2942100058189201E-3</v>
      </c>
    </row>
    <row r="3" spans="1:42" x14ac:dyDescent="0.2">
      <c r="A3">
        <v>21</v>
      </c>
      <c r="B3">
        <v>737</v>
      </c>
      <c r="C3">
        <v>275</v>
      </c>
      <c r="D3">
        <v>0.28745285353660599</v>
      </c>
      <c r="E3">
        <v>0.19447616909298099</v>
      </c>
      <c r="F3">
        <v>3.5837698429682199</v>
      </c>
      <c r="G3">
        <v>-2.4794621331333535</v>
      </c>
      <c r="H3">
        <v>-2.1078378670288007</v>
      </c>
      <c r="I3">
        <v>0.36789018076973801</v>
      </c>
      <c r="J3">
        <v>0.21742638252428101</v>
      </c>
      <c r="K3">
        <v>5.4265808803142399E-2</v>
      </c>
      <c r="L3">
        <v>4.4404279816376216E-5</v>
      </c>
      <c r="M3">
        <v>9.1368228329276596E-7</v>
      </c>
      <c r="N3" s="1">
        <v>2.90420356352614E-10</v>
      </c>
      <c r="O3" s="1">
        <v>5.3519496230914498E-14</v>
      </c>
      <c r="P3" s="1">
        <v>-3.6276614935897302E-13</v>
      </c>
      <c r="Q3">
        <v>49.7887759270087</v>
      </c>
      <c r="R3">
        <v>1.6133139084792001E-2</v>
      </c>
      <c r="S3">
        <v>2.1163431158882999</v>
      </c>
      <c r="T3">
        <v>0.54888546478509104</v>
      </c>
      <c r="V3">
        <v>32.131151879721898</v>
      </c>
      <c r="X3">
        <v>15.224543070106</v>
      </c>
      <c r="AA3">
        <v>0.15734263687386199</v>
      </c>
      <c r="AB3">
        <v>1.6824766531197299E-2</v>
      </c>
      <c r="AJ3">
        <v>-1.09885868307026</v>
      </c>
      <c r="AK3">
        <v>0.99214648651926196</v>
      </c>
      <c r="AL3">
        <v>1.0488612153914501</v>
      </c>
      <c r="AM3">
        <v>4.04554614071925E-2</v>
      </c>
      <c r="AN3">
        <v>-3.95083406381493E-2</v>
      </c>
      <c r="AO3">
        <v>5.5630557746094302E-2</v>
      </c>
      <c r="AP3">
        <v>1.2733026444126101E-3</v>
      </c>
    </row>
    <row r="4" spans="1:42" x14ac:dyDescent="0.2">
      <c r="A4">
        <v>22</v>
      </c>
      <c r="B4">
        <v>736</v>
      </c>
      <c r="C4">
        <v>275</v>
      </c>
      <c r="D4">
        <v>0.28667740177377199</v>
      </c>
      <c r="E4">
        <v>0.22378348310617599</v>
      </c>
      <c r="F4">
        <v>3.5859592245081102</v>
      </c>
      <c r="G4">
        <v>-2.8505907264232788</v>
      </c>
      <c r="H4">
        <v>-2.423714487508235</v>
      </c>
      <c r="I4">
        <v>0.423005736426738</v>
      </c>
      <c r="J4">
        <v>0.250088138776209</v>
      </c>
      <c r="K4">
        <v>6.2405473430020002E-2</v>
      </c>
      <c r="L4">
        <v>4.4378173523870329E-5</v>
      </c>
      <c r="M4">
        <v>9.1372553431580111E-7</v>
      </c>
      <c r="N4" s="1">
        <v>3.4428021313657498E-10</v>
      </c>
      <c r="O4" s="1">
        <v>6.1631079409491195E-14</v>
      </c>
      <c r="P4" s="1">
        <v>-5.0388905664563098E-13</v>
      </c>
      <c r="Q4">
        <v>49.700656326015398</v>
      </c>
      <c r="R4">
        <v>1.6415278556036701E-2</v>
      </c>
      <c r="S4">
        <v>2.2184949411786001</v>
      </c>
      <c r="T4">
        <v>0.56131853277640498</v>
      </c>
      <c r="V4">
        <v>32.210810960670003</v>
      </c>
      <c r="X4">
        <v>15.1296593745755</v>
      </c>
      <c r="AA4">
        <v>0.14608015589029899</v>
      </c>
      <c r="AB4">
        <v>1.65644303376116E-2</v>
      </c>
      <c r="AJ4">
        <v>-1.1049716846003701</v>
      </c>
      <c r="AK4">
        <v>0.99263392097346903</v>
      </c>
      <c r="AL4">
        <v>1.05192922432609</v>
      </c>
      <c r="AM4">
        <v>4.2659638625343797E-2</v>
      </c>
      <c r="AN4">
        <v>-4.1695525779822003E-2</v>
      </c>
      <c r="AO4">
        <v>5.8190268522316298E-2</v>
      </c>
      <c r="AP4">
        <v>1.25415793297171E-3</v>
      </c>
    </row>
    <row r="5" spans="1:42" x14ac:dyDescent="0.2">
      <c r="A5">
        <v>39</v>
      </c>
      <c r="B5">
        <v>741</v>
      </c>
      <c r="C5">
        <v>255</v>
      </c>
      <c r="D5">
        <v>0.31223241137898899</v>
      </c>
      <c r="E5">
        <v>0.12645344061972699</v>
      </c>
      <c r="F5">
        <v>3.5735443777384202</v>
      </c>
      <c r="G5">
        <v>-1.6214431325268248</v>
      </c>
      <c r="H5">
        <v>-1.3779762365032027</v>
      </c>
      <c r="I5">
        <v>0.24006990684181001</v>
      </c>
      <c r="J5">
        <v>0.14178447321399601</v>
      </c>
      <c r="K5">
        <v>3.5385999795462399E-2</v>
      </c>
      <c r="L5">
        <v>4.4448001857651035E-5</v>
      </c>
      <c r="M5">
        <v>9.1222488091622651E-7</v>
      </c>
      <c r="N5" s="1">
        <v>1.7259154254956E-10</v>
      </c>
      <c r="O5" s="1">
        <v>3.5187224723113401E-14</v>
      </c>
      <c r="P5" s="1">
        <v>-1.24849633481047E-13</v>
      </c>
      <c r="Q5">
        <v>50.040878847685697</v>
      </c>
      <c r="R5">
        <v>1.5941784951559401E-2</v>
      </c>
      <c r="S5">
        <v>1.93751286518076</v>
      </c>
      <c r="T5">
        <v>0.52401948719068103</v>
      </c>
      <c r="V5">
        <v>31.623950736778198</v>
      </c>
      <c r="X5">
        <v>15.664087823860701</v>
      </c>
      <c r="AA5">
        <v>0.17676979731458201</v>
      </c>
      <c r="AB5">
        <v>1.6838657037614901E-2</v>
      </c>
      <c r="AJ5">
        <v>-1.07412850424379</v>
      </c>
      <c r="AK5">
        <v>0.99135612082441105</v>
      </c>
      <c r="AL5">
        <v>1.0295476247266699</v>
      </c>
      <c r="AM5">
        <v>3.66030773450189E-2</v>
      </c>
      <c r="AN5">
        <v>-3.5669689774303799E-2</v>
      </c>
      <c r="AO5">
        <v>5.10204206381175E-2</v>
      </c>
      <c r="AP5">
        <v>1.27095048388136E-3</v>
      </c>
    </row>
    <row r="6" spans="1:42" x14ac:dyDescent="0.2">
      <c r="A6">
        <v>40</v>
      </c>
      <c r="B6">
        <v>740</v>
      </c>
      <c r="C6">
        <v>255</v>
      </c>
      <c r="D6">
        <v>0.31148447909983901</v>
      </c>
      <c r="E6">
        <v>0.19010245403147499</v>
      </c>
      <c r="F6">
        <v>3.5759284588746501</v>
      </c>
      <c r="G6">
        <v>-2.4351671318131585</v>
      </c>
      <c r="H6">
        <v>-2.0698026283786852</v>
      </c>
      <c r="I6">
        <v>0.36062231992742599</v>
      </c>
      <c r="J6">
        <v>0.21305751560248701</v>
      </c>
      <c r="K6">
        <v>5.3161705055839101E-2</v>
      </c>
      <c r="L6">
        <v>4.4429684943664928E-5</v>
      </c>
      <c r="M6">
        <v>9.1233390555228856E-7</v>
      </c>
      <c r="N6" s="1">
        <v>2.6715731732643701E-10</v>
      </c>
      <c r="O6" s="1">
        <v>5.2983972336675197E-14</v>
      </c>
      <c r="P6" s="1">
        <v>-2.6680127378526302E-13</v>
      </c>
      <c r="Q6">
        <v>49.948184241292701</v>
      </c>
      <c r="R6">
        <v>1.62432291797865E-2</v>
      </c>
      <c r="S6">
        <v>2.04171114743676</v>
      </c>
      <c r="T6">
        <v>0.53745699684644299</v>
      </c>
      <c r="V6">
        <v>31.715480345551502</v>
      </c>
      <c r="X6">
        <v>15.5612717210456</v>
      </c>
      <c r="AA6">
        <v>0.16309368197629801</v>
      </c>
      <c r="AB6">
        <v>1.6558636670755099E-2</v>
      </c>
      <c r="AJ6">
        <v>-1.0808267874476201</v>
      </c>
      <c r="AK6">
        <v>0.99194364014251002</v>
      </c>
      <c r="AL6">
        <v>1.0330449921481399</v>
      </c>
      <c r="AM6">
        <v>3.8835450142369901E-2</v>
      </c>
      <c r="AN6">
        <v>-3.7883936397606198E-2</v>
      </c>
      <c r="AO6">
        <v>5.3636199898625898E-2</v>
      </c>
      <c r="AP6">
        <v>1.2504415135785401E-3</v>
      </c>
    </row>
    <row r="7" spans="1:42" x14ac:dyDescent="0.2">
      <c r="A7">
        <v>54</v>
      </c>
      <c r="B7">
        <v>744</v>
      </c>
      <c r="C7">
        <v>235</v>
      </c>
      <c r="D7">
        <v>0.336096445951927</v>
      </c>
      <c r="E7">
        <v>0.14081698072851501</v>
      </c>
      <c r="F7">
        <v>3.5660542610647199</v>
      </c>
      <c r="G7">
        <v>-1.8139270487011832</v>
      </c>
      <c r="H7">
        <v>-1.5412525273134408</v>
      </c>
      <c r="I7">
        <v>0.26807700082361602</v>
      </c>
      <c r="J7">
        <v>0.15825533340883899</v>
      </c>
      <c r="K7">
        <v>3.9488176684802097E-2</v>
      </c>
      <c r="L7">
        <v>4.4449626191092008E-5</v>
      </c>
      <c r="M7">
        <v>9.1078702634945305E-7</v>
      </c>
      <c r="N7" s="1">
        <v>1.83327394250427E-10</v>
      </c>
      <c r="O7" s="1">
        <v>3.9645000208962001E-14</v>
      </c>
      <c r="P7" s="1">
        <v>-8.3630445687924797E-14</v>
      </c>
      <c r="Q7">
        <v>50.184126724015002</v>
      </c>
      <c r="R7">
        <v>1.61192305044069E-2</v>
      </c>
      <c r="S7">
        <v>1.8825102468531301</v>
      </c>
      <c r="T7">
        <v>0.51551013874666496</v>
      </c>
      <c r="V7">
        <v>31.219154010185999</v>
      </c>
      <c r="X7">
        <v>15.985148304190201</v>
      </c>
      <c r="AA7">
        <v>0.18088234283895299</v>
      </c>
      <c r="AB7">
        <v>1.6549002665494899E-2</v>
      </c>
      <c r="AJ7">
        <v>-1.05718476659505</v>
      </c>
      <c r="AK7">
        <v>0.99122490735402302</v>
      </c>
      <c r="AL7">
        <v>1.0142360346383199</v>
      </c>
      <c r="AM7">
        <v>3.5407595193113803E-2</v>
      </c>
      <c r="AN7">
        <v>-3.4465798930131998E-2</v>
      </c>
      <c r="AO7">
        <v>4.9535561884491798E-2</v>
      </c>
      <c r="AP7">
        <v>1.24646645523116E-3</v>
      </c>
    </row>
    <row r="8" spans="1:42" x14ac:dyDescent="0.2">
      <c r="A8">
        <v>55</v>
      </c>
      <c r="B8">
        <v>743</v>
      </c>
      <c r="C8">
        <v>235</v>
      </c>
      <c r="D8">
        <v>0.33537420656399403</v>
      </c>
      <c r="E8">
        <v>0.18827739473417501</v>
      </c>
      <c r="F8">
        <v>3.5683255942816001</v>
      </c>
      <c r="G8">
        <v>-2.4229629236154313</v>
      </c>
      <c r="H8">
        <v>-2.0590280771191884</v>
      </c>
      <c r="I8">
        <v>0.35815071248953601</v>
      </c>
      <c r="J8">
        <v>0.21150528440705399</v>
      </c>
      <c r="K8">
        <v>5.27635132387856E-2</v>
      </c>
      <c r="L8">
        <v>4.4437013084402426E-5</v>
      </c>
      <c r="M8">
        <v>9.1092983046412528E-7</v>
      </c>
      <c r="N8" s="1">
        <v>2.5136299219789998E-10</v>
      </c>
      <c r="O8" s="1">
        <v>5.3112590749137897E-14</v>
      </c>
      <c r="P8" s="1">
        <v>-1.8531739980597099E-13</v>
      </c>
      <c r="Q8">
        <v>50.097094755396697</v>
      </c>
      <c r="R8">
        <v>1.6407382129298698E-2</v>
      </c>
      <c r="S8">
        <v>1.9792930562026201</v>
      </c>
      <c r="T8">
        <v>0.527988523528373</v>
      </c>
      <c r="V8">
        <v>31.3077021108049</v>
      </c>
      <c r="X8">
        <v>15.8870948716417</v>
      </c>
      <c r="AA8">
        <v>0.168138017955304</v>
      </c>
      <c r="AB8">
        <v>1.6281282340981602E-2</v>
      </c>
      <c r="AJ8">
        <v>-1.0635212701838599</v>
      </c>
      <c r="AK8">
        <v>0.99177154394113098</v>
      </c>
      <c r="AL8">
        <v>1.0176034933718301</v>
      </c>
      <c r="AM8">
        <v>3.7477352364469398E-2</v>
      </c>
      <c r="AN8">
        <v>-3.65182577769982E-2</v>
      </c>
      <c r="AO8">
        <v>5.1960244779231501E-2</v>
      </c>
      <c r="AP8">
        <v>1.22689350419694E-3</v>
      </c>
    </row>
    <row r="9" spans="1:42" x14ac:dyDescent="0.2">
      <c r="A9">
        <v>65</v>
      </c>
      <c r="B9">
        <v>748</v>
      </c>
      <c r="C9">
        <v>215</v>
      </c>
      <c r="D9">
        <v>0.36051559516231801</v>
      </c>
      <c r="E9">
        <v>7.2908232865933495E-2</v>
      </c>
      <c r="F9">
        <v>3.55709077444196</v>
      </c>
      <c r="G9">
        <v>-0.94402095626256377</v>
      </c>
      <c r="H9">
        <v>-0.8018002565546134</v>
      </c>
      <c r="I9">
        <v>0.13927503276497</v>
      </c>
      <c r="J9">
        <v>8.2139801751620806E-2</v>
      </c>
      <c r="K9">
        <v>2.0496590469320002E-2</v>
      </c>
      <c r="L9">
        <v>4.4442970154926255E-5</v>
      </c>
      <c r="M9">
        <v>9.092202578404908E-7</v>
      </c>
      <c r="N9" s="1">
        <v>8.98503210505951E-11</v>
      </c>
      <c r="O9" s="1">
        <v>2.0690080738803701E-14</v>
      </c>
      <c r="P9" s="1">
        <v>7.7085300938273202E-15</v>
      </c>
      <c r="Q9">
        <v>50.387717188605599</v>
      </c>
      <c r="R9">
        <v>1.5936934294513299E-2</v>
      </c>
      <c r="S9">
        <v>1.7542474654151701</v>
      </c>
      <c r="T9">
        <v>0.49895836431790702</v>
      </c>
      <c r="V9">
        <v>30.764588820273001</v>
      </c>
      <c r="X9">
        <v>16.3655506279196</v>
      </c>
      <c r="AA9">
        <v>0.196512123392141</v>
      </c>
      <c r="AB9">
        <v>1.6488475781897698E-2</v>
      </c>
      <c r="AJ9">
        <v>-1.0361359910971899</v>
      </c>
      <c r="AK9">
        <v>0.990601146370089</v>
      </c>
      <c r="AL9">
        <v>0.99711123752222297</v>
      </c>
      <c r="AM9">
        <v>3.2633116925066603E-2</v>
      </c>
      <c r="AN9">
        <v>-3.1704167588705597E-2</v>
      </c>
      <c r="AO9">
        <v>4.6255679084519601E-2</v>
      </c>
      <c r="AP9">
        <v>1.23897878400618E-3</v>
      </c>
    </row>
    <row r="10" spans="1:42" x14ac:dyDescent="0.2">
      <c r="A10">
        <v>66</v>
      </c>
      <c r="B10">
        <v>747</v>
      </c>
      <c r="C10">
        <v>215</v>
      </c>
      <c r="D10">
        <v>0.35982012449149797</v>
      </c>
      <c r="E10">
        <v>0.157617492860918</v>
      </c>
      <c r="F10">
        <v>3.5589573656784701</v>
      </c>
      <c r="G10">
        <v>-2.0393579493115541</v>
      </c>
      <c r="H10">
        <v>-1.7324172843459109</v>
      </c>
      <c r="I10">
        <v>0.30087797379370002</v>
      </c>
      <c r="J10">
        <v>0.177524252029928</v>
      </c>
      <c r="K10">
        <v>4.4287547353315901E-2</v>
      </c>
      <c r="L10">
        <v>4.4435355340559092E-5</v>
      </c>
      <c r="M10">
        <v>9.0931559140507989E-7</v>
      </c>
      <c r="N10" s="1">
        <v>1.9808626193284101E-10</v>
      </c>
      <c r="O10" s="1">
        <v>4.4886948592191601E-14</v>
      </c>
      <c r="P10" s="1">
        <v>-4.26092478751573E-14</v>
      </c>
      <c r="Q10">
        <v>50.310704747242603</v>
      </c>
      <c r="R10">
        <v>1.6383681855224302E-2</v>
      </c>
      <c r="S10">
        <v>1.84612401817064</v>
      </c>
      <c r="T10">
        <v>0.51002001582898004</v>
      </c>
      <c r="V10">
        <v>30.829065403859399</v>
      </c>
      <c r="X10">
        <v>16.287991038361501</v>
      </c>
      <c r="AA10">
        <v>0.18348487498632801</v>
      </c>
      <c r="AB10">
        <v>1.62262196951386E-2</v>
      </c>
      <c r="AJ10">
        <v>-1.0414147937667699</v>
      </c>
      <c r="AK10">
        <v>0.99115868582076905</v>
      </c>
      <c r="AL10">
        <v>0.99955193471257198</v>
      </c>
      <c r="AM10">
        <v>3.46051374372911E-2</v>
      </c>
      <c r="AN10">
        <v>-3.3649812175687202E-2</v>
      </c>
      <c r="AO10">
        <v>4.8529147421008903E-2</v>
      </c>
      <c r="AP10">
        <v>1.21970055081864E-3</v>
      </c>
    </row>
    <row r="11" spans="1:42" x14ac:dyDescent="0.2">
      <c r="A11">
        <v>67</v>
      </c>
      <c r="B11">
        <v>746</v>
      </c>
      <c r="C11">
        <v>215</v>
      </c>
      <c r="D11">
        <v>0.35912328901535701</v>
      </c>
      <c r="E11">
        <v>0.18970352278660599</v>
      </c>
      <c r="F11">
        <v>3.5610825968377</v>
      </c>
      <c r="G11">
        <v>-2.452278547546118</v>
      </c>
      <c r="H11">
        <v>-2.0834970040106273</v>
      </c>
      <c r="I11">
        <v>0.36185207627482702</v>
      </c>
      <c r="J11">
        <v>0.213579631485557</v>
      </c>
      <c r="K11">
        <v>5.3271306583864503E-2</v>
      </c>
      <c r="L11">
        <v>4.4427569635027841E-5</v>
      </c>
      <c r="M11">
        <v>9.0948175197672461E-7</v>
      </c>
      <c r="N11" s="1">
        <v>2.4343388353173399E-10</v>
      </c>
      <c r="O11" s="1">
        <v>5.4147473490125101E-14</v>
      </c>
      <c r="P11" s="1">
        <v>-1.1986448029507501E-13</v>
      </c>
      <c r="Q11">
        <v>50.2303262543671</v>
      </c>
      <c r="R11">
        <v>1.6655462613405999E-2</v>
      </c>
      <c r="S11">
        <v>1.93487883345728</v>
      </c>
      <c r="T11">
        <v>0.52135576673712403</v>
      </c>
      <c r="V11">
        <v>30.912728385668501</v>
      </c>
      <c r="X11">
        <v>16.196432866490301</v>
      </c>
      <c r="AA11">
        <v>0.17164457670151501</v>
      </c>
      <c r="AB11">
        <v>1.5977853964666899E-2</v>
      </c>
      <c r="AJ11">
        <v>-1.0473038734206801</v>
      </c>
      <c r="AK11">
        <v>0.99166540347925902</v>
      </c>
      <c r="AL11">
        <v>1.0027186691034</v>
      </c>
      <c r="AM11">
        <v>3.6501288118955998E-2</v>
      </c>
      <c r="AN11">
        <v>-3.55296753499348E-2</v>
      </c>
      <c r="AO11">
        <v>5.0746612544150603E-2</v>
      </c>
      <c r="AP11">
        <v>1.2015755248489001E-3</v>
      </c>
    </row>
    <row r="12" spans="1:42" x14ac:dyDescent="0.2">
      <c r="A12">
        <v>75</v>
      </c>
      <c r="B12">
        <v>752</v>
      </c>
      <c r="C12">
        <v>195</v>
      </c>
      <c r="D12">
        <v>0.38474418377798603</v>
      </c>
      <c r="E12">
        <v>4.0455567571661799E-2</v>
      </c>
      <c r="F12">
        <v>3.5525409518564102</v>
      </c>
      <c r="G12">
        <v>-0.52525156274937068</v>
      </c>
      <c r="H12">
        <v>-0.44579945284565176</v>
      </c>
      <c r="I12">
        <v>7.7502911675090505E-2</v>
      </c>
      <c r="J12">
        <v>4.5635494542478498E-2</v>
      </c>
      <c r="K12">
        <v>1.13877835948721E-2</v>
      </c>
      <c r="L12">
        <v>4.4435392742785956E-5</v>
      </c>
      <c r="M12">
        <v>9.0845508693117962E-7</v>
      </c>
      <c r="N12" s="1">
        <v>4.8608251946179797E-11</v>
      </c>
      <c r="O12" s="1">
        <v>1.14965803838902E-14</v>
      </c>
      <c r="P12" s="1">
        <v>2.30398771432071E-14</v>
      </c>
      <c r="Q12">
        <v>50.475589178291798</v>
      </c>
      <c r="R12">
        <v>1.4813644732221199E-2</v>
      </c>
      <c r="S12">
        <v>1.6906719713718099</v>
      </c>
      <c r="T12">
        <v>0.50113739513980304</v>
      </c>
      <c r="V12">
        <v>30.567959251764901</v>
      </c>
      <c r="X12">
        <v>16.5295595089096</v>
      </c>
      <c r="AA12">
        <v>0.204072628766551</v>
      </c>
      <c r="AB12">
        <v>1.6196421023104399E-2</v>
      </c>
      <c r="AJ12">
        <v>-1.0269988382365101</v>
      </c>
      <c r="AK12">
        <v>0.99031865836313004</v>
      </c>
      <c r="AL12">
        <v>0.98976651986229702</v>
      </c>
      <c r="AM12">
        <v>3.1097095318289501E-2</v>
      </c>
      <c r="AN12">
        <v>-3.0234468433700201E-2</v>
      </c>
      <c r="AO12">
        <v>4.4835193666796003E-2</v>
      </c>
      <c r="AP12">
        <v>1.21583945970088E-3</v>
      </c>
    </row>
    <row r="13" spans="1:42" x14ac:dyDescent="0.2">
      <c r="A13">
        <v>76</v>
      </c>
      <c r="B13">
        <v>751</v>
      </c>
      <c r="C13">
        <v>195</v>
      </c>
      <c r="D13">
        <v>0.38407508665723</v>
      </c>
      <c r="E13">
        <v>0.13551566039638799</v>
      </c>
      <c r="F13">
        <v>3.5502386242085802</v>
      </c>
      <c r="G13">
        <v>-1.7624563465850513</v>
      </c>
      <c r="H13">
        <v>-1.4966102184651648</v>
      </c>
      <c r="I13">
        <v>0.25957733546832601</v>
      </c>
      <c r="J13">
        <v>0.153004667760269</v>
      </c>
      <c r="K13">
        <v>3.8170859691606697E-2</v>
      </c>
      <c r="L13">
        <v>4.4409734030677347E-5</v>
      </c>
      <c r="M13">
        <v>9.0761657184516066E-7</v>
      </c>
      <c r="N13" s="1">
        <v>1.6376023080538099E-10</v>
      </c>
      <c r="O13" s="1">
        <v>3.8937069884147799E-14</v>
      </c>
      <c r="P13" s="1">
        <v>4.2435776013425501E-14</v>
      </c>
      <c r="Q13">
        <v>50.494498963378597</v>
      </c>
      <c r="R13">
        <v>1.6500148075036799E-2</v>
      </c>
      <c r="S13">
        <v>1.7486140254509901</v>
      </c>
      <c r="T13">
        <v>0.49719260486860301</v>
      </c>
      <c r="V13">
        <v>30.372196634282702</v>
      </c>
      <c r="X13">
        <v>16.659086907998201</v>
      </c>
      <c r="AA13">
        <v>0.19580244069375799</v>
      </c>
      <c r="AB13">
        <v>1.6108275251916802E-2</v>
      </c>
      <c r="AJ13">
        <v>-1.02127387149169</v>
      </c>
      <c r="AK13">
        <v>0.990677896706048</v>
      </c>
      <c r="AL13">
        <v>0.98242134679709003</v>
      </c>
      <c r="AM13">
        <v>3.2495676174344901E-2</v>
      </c>
      <c r="AN13">
        <v>-3.1535824382034998E-2</v>
      </c>
      <c r="AO13">
        <v>4.6006791331626898E-2</v>
      </c>
      <c r="AP13">
        <v>1.20798486462257E-3</v>
      </c>
    </row>
    <row r="14" spans="1:42" x14ac:dyDescent="0.2">
      <c r="A14">
        <v>77</v>
      </c>
      <c r="B14">
        <v>750</v>
      </c>
      <c r="C14">
        <v>195</v>
      </c>
      <c r="D14">
        <v>0.38340468162048602</v>
      </c>
      <c r="E14">
        <v>0.17380466970550201</v>
      </c>
      <c r="F14">
        <v>3.5523662493170902</v>
      </c>
      <c r="G14">
        <v>-2.258330538628023</v>
      </c>
      <c r="H14">
        <v>-1.9179629946338261</v>
      </c>
      <c r="I14">
        <v>0.332666318715922</v>
      </c>
      <c r="J14">
        <v>0.19615884011037399</v>
      </c>
      <c r="K14">
        <v>4.8926450007488499E-2</v>
      </c>
      <c r="L14">
        <v>4.4407646701128551E-5</v>
      </c>
      <c r="M14">
        <v>9.0782998401425074E-7</v>
      </c>
      <c r="N14" s="1">
        <v>2.1352916272893501E-10</v>
      </c>
      <c r="O14" s="1">
        <v>5.0076122628495698E-14</v>
      </c>
      <c r="P14" s="1">
        <v>-6.3676259822267497E-15</v>
      </c>
      <c r="Q14">
        <v>50.415837727758401</v>
      </c>
      <c r="R14">
        <v>1.6770006993712599E-2</v>
      </c>
      <c r="S14">
        <v>1.8336785493536001</v>
      </c>
      <c r="T14">
        <v>0.50835263932507802</v>
      </c>
      <c r="V14">
        <v>30.458371019120801</v>
      </c>
      <c r="X14">
        <v>16.567538198158299</v>
      </c>
      <c r="AA14">
        <v>0.18359263414883201</v>
      </c>
      <c r="AB14">
        <v>1.58592251411818E-2</v>
      </c>
      <c r="AJ14">
        <v>-1.02716024995263</v>
      </c>
      <c r="AK14">
        <v>0.99119848532508903</v>
      </c>
      <c r="AL14">
        <v>0.98566414852893902</v>
      </c>
      <c r="AM14">
        <v>3.4305135306226503E-2</v>
      </c>
      <c r="AN14">
        <v>-3.3329134262146801E-2</v>
      </c>
      <c r="AO14">
        <v>4.8131757108252703E-2</v>
      </c>
      <c r="AP14">
        <v>1.18985794627656E-3</v>
      </c>
    </row>
    <row r="15" spans="1:42" x14ac:dyDescent="0.2">
      <c r="A15">
        <v>89</v>
      </c>
      <c r="B15">
        <v>756</v>
      </c>
      <c r="C15">
        <v>175</v>
      </c>
      <c r="D15">
        <v>0.40878443375601398</v>
      </c>
      <c r="E15">
        <v>7.0246356429226497E-2</v>
      </c>
      <c r="F15">
        <v>3.5437745413609898</v>
      </c>
      <c r="G15">
        <v>-0.91699205411147111</v>
      </c>
      <c r="H15">
        <v>-0.77801114974359487</v>
      </c>
      <c r="I15">
        <v>0.13504436123779401</v>
      </c>
      <c r="J15">
        <v>7.94459173600853E-2</v>
      </c>
      <c r="K15">
        <v>1.9822467713267101E-2</v>
      </c>
      <c r="L15">
        <v>4.4389685945442087E-5</v>
      </c>
      <c r="M15">
        <v>9.0649033066379536E-7</v>
      </c>
      <c r="N15" s="1">
        <v>8.2591772701375499E-11</v>
      </c>
      <c r="O15" s="1">
        <v>2.0186241243540899E-14</v>
      </c>
      <c r="P15" s="1">
        <v>6.9703801029842002E-14</v>
      </c>
      <c r="Q15">
        <v>50.638394113540997</v>
      </c>
      <c r="R15">
        <v>1.54616058815308E-2</v>
      </c>
      <c r="S15">
        <v>1.6377592910168299</v>
      </c>
      <c r="T15">
        <v>0.49209584270364398</v>
      </c>
      <c r="V15">
        <v>30.081670949847499</v>
      </c>
      <c r="X15">
        <v>16.9068946760252</v>
      </c>
      <c r="AA15">
        <v>0.211717621349196</v>
      </c>
      <c r="AB15">
        <v>1.6005899634870799E-2</v>
      </c>
      <c r="AJ15">
        <v>-1.0071101344289399</v>
      </c>
      <c r="AK15">
        <v>0.99004067588053601</v>
      </c>
      <c r="AL15">
        <v>0.97159650969307099</v>
      </c>
      <c r="AM15">
        <v>2.99727902827066E-2</v>
      </c>
      <c r="AN15">
        <v>-2.9074672409416101E-2</v>
      </c>
      <c r="AO15">
        <v>4.3376284332922302E-2</v>
      </c>
      <c r="AP15">
        <v>1.1985466491217199E-3</v>
      </c>
    </row>
    <row r="16" spans="1:42" x14ac:dyDescent="0.2">
      <c r="A16">
        <v>90</v>
      </c>
      <c r="B16">
        <v>755</v>
      </c>
      <c r="C16">
        <v>175</v>
      </c>
      <c r="D16">
        <v>0.40814132179156798</v>
      </c>
      <c r="E16">
        <v>0.13751282062582099</v>
      </c>
      <c r="F16">
        <v>3.5424718450491102</v>
      </c>
      <c r="G16">
        <v>-1.7970191515033775</v>
      </c>
      <c r="H16">
        <v>-1.525294402219709</v>
      </c>
      <c r="I16">
        <v>0.26428512306926799</v>
      </c>
      <c r="J16">
        <v>0.155609921819721</v>
      </c>
      <c r="K16">
        <v>3.8818324221265701E-2</v>
      </c>
      <c r="L16">
        <v>4.4367073552961651E-5</v>
      </c>
      <c r="M16">
        <v>9.0590580018050786E-7</v>
      </c>
      <c r="N16" s="1">
        <v>1.63111730803251E-10</v>
      </c>
      <c r="O16" s="1">
        <v>3.9875519998340497E-14</v>
      </c>
      <c r="P16" s="1">
        <v>1.00110419325651E-13</v>
      </c>
      <c r="Q16">
        <v>50.637828607943597</v>
      </c>
      <c r="R16">
        <v>1.6816846133144801E-2</v>
      </c>
      <c r="S16">
        <v>1.69650357406649</v>
      </c>
      <c r="T16">
        <v>0.49141716428270898</v>
      </c>
      <c r="V16">
        <v>29.952105400107801</v>
      </c>
      <c r="X16">
        <v>16.986481975420698</v>
      </c>
      <c r="AA16">
        <v>0.202957038395675</v>
      </c>
      <c r="AB16">
        <v>1.5889393649775901E-2</v>
      </c>
      <c r="AJ16">
        <v>-1.0039815013031801</v>
      </c>
      <c r="AK16">
        <v>0.99041837163699098</v>
      </c>
      <c r="AL16">
        <v>0.96675964981262197</v>
      </c>
      <c r="AM16">
        <v>3.1342198131083798E-2</v>
      </c>
      <c r="AN16">
        <v>-3.03660168807692E-2</v>
      </c>
      <c r="AO16">
        <v>4.4638278087714901E-2</v>
      </c>
      <c r="AP16">
        <v>1.1890205155456401E-3</v>
      </c>
    </row>
    <row r="17" spans="1:42" x14ac:dyDescent="0.2">
      <c r="A17">
        <v>91</v>
      </c>
      <c r="B17">
        <v>754</v>
      </c>
      <c r="C17">
        <v>175</v>
      </c>
      <c r="D17">
        <v>0.40749695760112897</v>
      </c>
      <c r="E17">
        <v>0.16931090867045501</v>
      </c>
      <c r="F17">
        <v>3.5445007180911801</v>
      </c>
      <c r="G17">
        <v>-2.2105723261355652</v>
      </c>
      <c r="H17">
        <v>-1.8765901523653825</v>
      </c>
      <c r="I17">
        <v>0.325154236255836</v>
      </c>
      <c r="J17">
        <v>0.191521461959788</v>
      </c>
      <c r="K17">
        <v>4.7767209583648801E-2</v>
      </c>
      <c r="L17">
        <v>4.4369148184490057E-5</v>
      </c>
      <c r="M17">
        <v>9.0614556111890404E-7</v>
      </c>
      <c r="N17" s="1">
        <v>2.032445932641E-10</v>
      </c>
      <c r="O17" s="1">
        <v>4.9245817038891701E-14</v>
      </c>
      <c r="P17" s="1">
        <v>6.8111882547373696E-14</v>
      </c>
      <c r="Q17">
        <v>50.564059916319302</v>
      </c>
      <c r="R17">
        <v>1.7075422123757799E-2</v>
      </c>
      <c r="S17">
        <v>1.7753502687506</v>
      </c>
      <c r="T17">
        <v>0.50180157895864297</v>
      </c>
      <c r="V17">
        <v>30.035480615182099</v>
      </c>
      <c r="X17">
        <v>16.899522412321499</v>
      </c>
      <c r="AA17">
        <v>0.19105575181583301</v>
      </c>
      <c r="AB17">
        <v>1.5654034528073801E-2</v>
      </c>
      <c r="AJ17">
        <v>-1.0095727243111501</v>
      </c>
      <c r="AK17">
        <v>0.99092409756105604</v>
      </c>
      <c r="AL17">
        <v>0.96988076322790095</v>
      </c>
      <c r="AM17">
        <v>3.3015614531017999E-2</v>
      </c>
      <c r="AN17">
        <v>-3.2023983840805001E-2</v>
      </c>
      <c r="AO17">
        <v>4.6604304886794401E-2</v>
      </c>
      <c r="AP17">
        <v>1.17192794518504E-3</v>
      </c>
    </row>
    <row r="18" spans="1:42" x14ac:dyDescent="0.2">
      <c r="A18">
        <v>106</v>
      </c>
      <c r="B18">
        <v>761</v>
      </c>
      <c r="C18">
        <v>155</v>
      </c>
      <c r="D18">
        <v>0.43325484697577799</v>
      </c>
      <c r="E18">
        <v>6.3318612473217295E-2</v>
      </c>
      <c r="F18">
        <v>3.53738873251047</v>
      </c>
      <c r="G18">
        <v>-0.82984054059187973</v>
      </c>
      <c r="H18">
        <v>-0.70349385945716825</v>
      </c>
      <c r="I18">
        <v>0.12217442453678</v>
      </c>
      <c r="J18">
        <v>7.1743328126544798E-2</v>
      </c>
      <c r="K18">
        <v>1.7899817425007802E-2</v>
      </c>
      <c r="L18">
        <v>4.435272350933059E-5</v>
      </c>
      <c r="M18">
        <v>9.051064381229574E-7</v>
      </c>
      <c r="N18" s="1">
        <v>7.3691479336478204E-11</v>
      </c>
      <c r="O18" s="1">
        <v>1.8263362474265801E-14</v>
      </c>
      <c r="P18" s="1">
        <v>9.2763779880286106E-14</v>
      </c>
      <c r="Q18">
        <v>50.752367623195497</v>
      </c>
      <c r="R18">
        <v>1.51363508861259E-2</v>
      </c>
      <c r="S18">
        <v>1.58433172922621</v>
      </c>
      <c r="T18">
        <v>0.49254400170232099</v>
      </c>
      <c r="V18">
        <v>29.763100964085599</v>
      </c>
      <c r="X18">
        <v>17.155892196682501</v>
      </c>
      <c r="AA18">
        <v>0.220831636023891</v>
      </c>
      <c r="AB18">
        <v>1.5795498197743701E-2</v>
      </c>
      <c r="AJ18">
        <v>-0.993647348107078</v>
      </c>
      <c r="AK18">
        <v>0.98969573676907896</v>
      </c>
      <c r="AL18">
        <v>0.95977591159790998</v>
      </c>
      <c r="AM18">
        <v>2.8702956880079799E-2</v>
      </c>
      <c r="AN18">
        <v>-2.7825132565766301E-2</v>
      </c>
      <c r="AO18">
        <v>4.21169679833013E-2</v>
      </c>
      <c r="AP18">
        <v>1.18090744247273E-3</v>
      </c>
    </row>
    <row r="19" spans="1:42" x14ac:dyDescent="0.2">
      <c r="A19">
        <v>107</v>
      </c>
      <c r="B19">
        <v>760</v>
      </c>
      <c r="C19">
        <v>155</v>
      </c>
      <c r="D19">
        <v>0.43263853264288998</v>
      </c>
      <c r="E19">
        <v>0.122569496645102</v>
      </c>
      <c r="F19">
        <v>3.5328288817986899</v>
      </c>
      <c r="G19">
        <v>-1.6111298344981564</v>
      </c>
      <c r="H19">
        <v>-1.3667497708853322</v>
      </c>
      <c r="I19">
        <v>0.23653880231604699</v>
      </c>
      <c r="J19">
        <v>0.139074854189813</v>
      </c>
      <c r="K19">
        <v>3.4694433482636497E-2</v>
      </c>
      <c r="L19">
        <v>4.4298107778732331E-5</v>
      </c>
      <c r="M19">
        <v>9.0370470536551562E-7</v>
      </c>
      <c r="N19" s="1">
        <v>1.4424610548935301E-10</v>
      </c>
      <c r="O19" s="1">
        <v>3.5853908617260299E-14</v>
      </c>
      <c r="P19" s="1">
        <v>1.56282213556794E-13</v>
      </c>
      <c r="Q19">
        <v>50.827290259110697</v>
      </c>
      <c r="R19">
        <v>1.7493079842272E-2</v>
      </c>
      <c r="S19">
        <v>1.61576241782759</v>
      </c>
      <c r="T19">
        <v>0.48053685791668099</v>
      </c>
      <c r="V19">
        <v>29.4287514104557</v>
      </c>
      <c r="X19">
        <v>17.398195184786498</v>
      </c>
      <c r="AA19">
        <v>0.216146746615727</v>
      </c>
      <c r="AB19">
        <v>1.5824043444743498E-2</v>
      </c>
      <c r="AJ19">
        <v>-0.98194975093459003</v>
      </c>
      <c r="AK19">
        <v>0.98990480020638305</v>
      </c>
      <c r="AL19">
        <v>0.94733800840973303</v>
      </c>
      <c r="AM19">
        <v>2.9606865962985E-2</v>
      </c>
      <c r="AN19">
        <v>-2.85941348445467E-2</v>
      </c>
      <c r="AO19">
        <v>4.2513234157203601E-2</v>
      </c>
      <c r="AP19">
        <v>1.1809770428315601E-3</v>
      </c>
    </row>
    <row r="20" spans="1:42" x14ac:dyDescent="0.2">
      <c r="A20">
        <v>108</v>
      </c>
      <c r="B20">
        <v>759</v>
      </c>
      <c r="C20">
        <v>155</v>
      </c>
      <c r="D20">
        <v>0.43202102407596099</v>
      </c>
      <c r="E20">
        <v>0.15743443971020299</v>
      </c>
      <c r="F20">
        <v>3.53586861378521</v>
      </c>
      <c r="G20">
        <v>-2.0662904495436281</v>
      </c>
      <c r="H20">
        <v>-1.7529780812609927</v>
      </c>
      <c r="I20">
        <v>0.30355313499262199</v>
      </c>
      <c r="J20">
        <v>0.17851809043429301</v>
      </c>
      <c r="K20">
        <v>4.4524968800146301E-2</v>
      </c>
      <c r="L20">
        <v>4.4314663678276259E-5</v>
      </c>
      <c r="M20">
        <v>9.0425371945373258E-7</v>
      </c>
      <c r="N20" s="1">
        <v>1.8640683755284801E-10</v>
      </c>
      <c r="O20" s="1">
        <v>4.6131026240908698E-14</v>
      </c>
      <c r="P20" s="1">
        <v>1.4999664680388501E-13</v>
      </c>
      <c r="Q20">
        <v>50.7328786569241</v>
      </c>
      <c r="R20">
        <v>1.7399860388991599E-2</v>
      </c>
      <c r="S20">
        <v>1.6972311116326499</v>
      </c>
      <c r="T20">
        <v>0.494103453498342</v>
      </c>
      <c r="V20">
        <v>29.5792475389282</v>
      </c>
      <c r="X20">
        <v>17.260478963719901</v>
      </c>
      <c r="AA20">
        <v>0.20311313913123</v>
      </c>
      <c r="AB20">
        <v>1.5547275776464401E-2</v>
      </c>
      <c r="AJ20">
        <v>-0.99016721674394104</v>
      </c>
      <c r="AK20">
        <v>0.99045543171848605</v>
      </c>
      <c r="AL20">
        <v>0.952936420381569</v>
      </c>
      <c r="AM20">
        <v>3.1290728771605797E-2</v>
      </c>
      <c r="AN20">
        <v>-3.0282596962048599E-2</v>
      </c>
      <c r="AO20">
        <v>4.4605992882749801E-2</v>
      </c>
      <c r="AP20">
        <v>1.1612399515774799E-3</v>
      </c>
    </row>
    <row r="21" spans="1:42" x14ac:dyDescent="0.2">
      <c r="A21">
        <v>127</v>
      </c>
      <c r="B21">
        <v>767</v>
      </c>
      <c r="C21">
        <v>135</v>
      </c>
      <c r="D21">
        <v>0.45807864250348701</v>
      </c>
      <c r="E21">
        <v>5.9587673967865497E-2</v>
      </c>
      <c r="F21">
        <v>3.5306839669430801</v>
      </c>
      <c r="G21">
        <v>-0.78425660406735465</v>
      </c>
      <c r="H21">
        <v>-0.66415420264546088</v>
      </c>
      <c r="I21">
        <v>0.115466424479059</v>
      </c>
      <c r="J21">
        <v>6.7649735807987901E-2</v>
      </c>
      <c r="K21">
        <v>1.6877090820297098E-2</v>
      </c>
      <c r="L21">
        <v>4.4306062736107141E-5</v>
      </c>
      <c r="M21">
        <v>9.0356117489177206E-7</v>
      </c>
      <c r="N21" s="1">
        <v>6.9351961675816499E-11</v>
      </c>
      <c r="O21" s="1">
        <v>1.7236051556085601E-14</v>
      </c>
      <c r="P21" s="1">
        <v>1.1698721609475599E-13</v>
      </c>
      <c r="Q21">
        <v>50.865772366157898</v>
      </c>
      <c r="R21">
        <v>1.4970834683721099E-2</v>
      </c>
      <c r="S21">
        <v>1.53645306786375</v>
      </c>
      <c r="T21">
        <v>0.49531249850877301</v>
      </c>
      <c r="V21">
        <v>29.4275516800306</v>
      </c>
      <c r="X21">
        <v>17.413109182880302</v>
      </c>
      <c r="AA21">
        <v>0.23120777290172101</v>
      </c>
      <c r="AB21">
        <v>1.56225969731036E-2</v>
      </c>
      <c r="AJ21">
        <v>-0.97972239544700201</v>
      </c>
      <c r="AK21">
        <v>0.98929778929176204</v>
      </c>
      <c r="AL21">
        <v>0.94737953989633406</v>
      </c>
      <c r="AM21">
        <v>2.7530724479034999E-2</v>
      </c>
      <c r="AN21">
        <v>-2.66639409787746E-2</v>
      </c>
      <c r="AO21">
        <v>4.1012241379599197E-2</v>
      </c>
      <c r="AP21">
        <v>1.1660413790453401E-3</v>
      </c>
    </row>
    <row r="22" spans="1:42" x14ac:dyDescent="0.2">
      <c r="A22">
        <v>128</v>
      </c>
      <c r="B22">
        <v>766</v>
      </c>
      <c r="C22">
        <v>135</v>
      </c>
      <c r="D22">
        <v>0.45748977529712298</v>
      </c>
      <c r="E22">
        <v>0.114432311775614</v>
      </c>
      <c r="F22">
        <v>3.5264196613094798</v>
      </c>
      <c r="G22">
        <v>-1.5102462043711917</v>
      </c>
      <c r="H22">
        <v>-1.2797942216647584</v>
      </c>
      <c r="I22">
        <v>0.22176969899093699</v>
      </c>
      <c r="J22">
        <v>0.13008331420681801</v>
      </c>
      <c r="K22">
        <v>3.2449998232235898E-2</v>
      </c>
      <c r="L22">
        <v>4.4248952054072582E-5</v>
      </c>
      <c r="M22">
        <v>9.0222776800021467E-7</v>
      </c>
      <c r="N22" s="1">
        <v>1.35022628048613E-10</v>
      </c>
      <c r="O22" s="1">
        <v>3.35385204344739E-14</v>
      </c>
      <c r="P22" s="1">
        <v>2.0369229212975801E-13</v>
      </c>
      <c r="Q22">
        <v>50.936134253745898</v>
      </c>
      <c r="R22">
        <v>1.71902221590726E-2</v>
      </c>
      <c r="S22">
        <v>1.5658091817106701</v>
      </c>
      <c r="T22">
        <v>0.48414574759717</v>
      </c>
      <c r="V22">
        <v>29.1135392765439</v>
      </c>
      <c r="X22">
        <v>17.640606658379902</v>
      </c>
      <c r="AA22">
        <v>0.22693402521463499</v>
      </c>
      <c r="AB22">
        <v>1.5640634648626601E-2</v>
      </c>
      <c r="AJ22">
        <v>-0.96877019998481095</v>
      </c>
      <c r="AK22">
        <v>0.98948993150879605</v>
      </c>
      <c r="AL22">
        <v>0.935737407746702</v>
      </c>
      <c r="AM22">
        <v>2.83755004030176E-2</v>
      </c>
      <c r="AN22">
        <v>-2.7381846307915202E-2</v>
      </c>
      <c r="AO22">
        <v>4.1383728255751498E-2</v>
      </c>
      <c r="AP22">
        <v>1.1654783784580799E-3</v>
      </c>
    </row>
    <row r="23" spans="1:42" x14ac:dyDescent="0.2">
      <c r="A23">
        <v>129</v>
      </c>
      <c r="B23">
        <v>765</v>
      </c>
      <c r="C23">
        <v>135</v>
      </c>
      <c r="D23">
        <v>0.45689977363579698</v>
      </c>
      <c r="E23">
        <v>0.14569008426036101</v>
      </c>
      <c r="F23">
        <v>3.5270212026219401</v>
      </c>
      <c r="G23">
        <v>-1.922572233506763</v>
      </c>
      <c r="H23">
        <v>-1.629615006903286</v>
      </c>
      <c r="I23">
        <v>0.28219161643642698</v>
      </c>
      <c r="J23">
        <v>0.16561415460373899</v>
      </c>
      <c r="K23">
        <v>4.13068353975466E-2</v>
      </c>
      <c r="L23">
        <v>4.4243889207436581E-5</v>
      </c>
      <c r="M23">
        <v>9.0218401140621947E-7</v>
      </c>
      <c r="N23" s="1">
        <v>1.7284743010663501E-10</v>
      </c>
      <c r="O23" s="1">
        <v>4.2941131526887598E-14</v>
      </c>
      <c r="P23" s="1">
        <v>2.2137503840817999E-13</v>
      </c>
      <c r="Q23">
        <v>50.898722317224802</v>
      </c>
      <c r="R23">
        <v>1.7868035669617002E-2</v>
      </c>
      <c r="S23">
        <v>1.62579618569566</v>
      </c>
      <c r="T23">
        <v>0.48919290847976998</v>
      </c>
      <c r="V23">
        <v>29.111526446435899</v>
      </c>
      <c r="X23">
        <v>17.624898922629999</v>
      </c>
      <c r="AA23">
        <v>0.21652110102333</v>
      </c>
      <c r="AB23">
        <v>1.5474082840808199E-2</v>
      </c>
      <c r="AJ23">
        <v>-0.97058217658366197</v>
      </c>
      <c r="AK23">
        <v>0.98993121936878803</v>
      </c>
      <c r="AL23">
        <v>0.93566358473965205</v>
      </c>
      <c r="AM23">
        <v>2.9686604286243298E-2</v>
      </c>
      <c r="AN23">
        <v>-2.8653780310451599E-2</v>
      </c>
      <c r="AO23">
        <v>4.2801492154163998E-2</v>
      </c>
      <c r="AP23">
        <v>1.1530563452661899E-3</v>
      </c>
    </row>
    <row r="24" spans="1:42" x14ac:dyDescent="0.2">
      <c r="A24">
        <v>153</v>
      </c>
      <c r="B24">
        <v>774</v>
      </c>
      <c r="C24">
        <v>115</v>
      </c>
      <c r="D24">
        <v>0.48317862770377201</v>
      </c>
      <c r="E24">
        <v>8.5557956565344304E-2</v>
      </c>
      <c r="F24">
        <v>3.5215964272161902</v>
      </c>
      <c r="G24">
        <v>-1.1326669952826076</v>
      </c>
      <c r="H24">
        <v>-0.95816161086155538</v>
      </c>
      <c r="I24">
        <v>0.16664793431795999</v>
      </c>
      <c r="J24">
        <v>9.7400829824758797E-2</v>
      </c>
      <c r="K24">
        <v>2.4295219038763399E-2</v>
      </c>
      <c r="L24">
        <v>4.4221329468675875E-5</v>
      </c>
      <c r="M24">
        <v>9.0119752648797004E-7</v>
      </c>
      <c r="N24" s="1">
        <v>1.01518642211305E-10</v>
      </c>
      <c r="O24" s="1">
        <v>2.4930490468187601E-14</v>
      </c>
      <c r="P24" s="1">
        <v>2.0758596630387001E-13</v>
      </c>
      <c r="Q24">
        <v>51.011497632222401</v>
      </c>
      <c r="R24">
        <v>1.5996645191600802E-2</v>
      </c>
      <c r="S24">
        <v>1.5067715768205401</v>
      </c>
      <c r="T24">
        <v>0.49626127165369999</v>
      </c>
      <c r="V24">
        <v>28.927517639158399</v>
      </c>
      <c r="X24">
        <v>17.7844022981986</v>
      </c>
      <c r="AA24">
        <v>0.242047577974002</v>
      </c>
      <c r="AB24">
        <v>1.5505358780553801E-2</v>
      </c>
      <c r="AJ24">
        <v>-0.96015902435588496</v>
      </c>
      <c r="AK24">
        <v>0.98888714667496302</v>
      </c>
      <c r="AL24">
        <v>0.92896650560432403</v>
      </c>
      <c r="AM24">
        <v>2.6810911068233301E-2</v>
      </c>
      <c r="AN24">
        <v>-2.5887037480317999E-2</v>
      </c>
      <c r="AO24">
        <v>4.0227084524521402E-2</v>
      </c>
      <c r="AP24">
        <v>1.15441396416133E-3</v>
      </c>
    </row>
    <row r="25" spans="1:42" x14ac:dyDescent="0.2">
      <c r="A25">
        <v>154</v>
      </c>
      <c r="B25">
        <v>773</v>
      </c>
      <c r="C25">
        <v>115</v>
      </c>
      <c r="D25">
        <v>0.48261769344740202</v>
      </c>
      <c r="E25">
        <v>0.121442871802332</v>
      </c>
      <c r="F25">
        <v>3.5186517113401998</v>
      </c>
      <c r="G25">
        <v>-1.6108726717654569</v>
      </c>
      <c r="H25">
        <v>-1.3634267091859673</v>
      </c>
      <c r="I25">
        <v>0.23653009853222701</v>
      </c>
      <c r="J25">
        <v>0.13837815958164601</v>
      </c>
      <c r="K25">
        <v>3.4514035990244801E-2</v>
      </c>
      <c r="L25">
        <v>4.4174002886912579E-5</v>
      </c>
      <c r="M25">
        <v>9.0021066364755744E-7</v>
      </c>
      <c r="N25" s="1">
        <v>1.4604104794204701E-10</v>
      </c>
      <c r="O25" s="1">
        <v>3.5770521549791997E-14</v>
      </c>
      <c r="P25" s="1">
        <v>2.7115440085244302E-13</v>
      </c>
      <c r="Q25">
        <v>51.055049199015002</v>
      </c>
      <c r="R25">
        <v>1.7805662780130301E-2</v>
      </c>
      <c r="S25">
        <v>1.53980430131551</v>
      </c>
      <c r="T25">
        <v>0.48928399213516</v>
      </c>
      <c r="V25">
        <v>28.6999497620018</v>
      </c>
      <c r="X25">
        <v>17.9465185487085</v>
      </c>
      <c r="AA25">
        <v>0.236105349172925</v>
      </c>
      <c r="AB25">
        <v>1.54831848708666E-2</v>
      </c>
      <c r="AJ25">
        <v>-0.95266530025045204</v>
      </c>
      <c r="AK25">
        <v>0.98914614901823605</v>
      </c>
      <c r="AL25">
        <v>0.92056663225891999</v>
      </c>
      <c r="AM25">
        <v>2.76794403375244E-2</v>
      </c>
      <c r="AN25">
        <v>-2.6652306616684999E-2</v>
      </c>
      <c r="AO25">
        <v>4.0773987824608303E-2</v>
      </c>
      <c r="AP25">
        <v>1.1513974278481501E-3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53A91-FC61-4740-82EC-83A7E021E1BF}">
  <sheetPr codeName="Sheet9"/>
  <dimension ref="A1:AL107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17</v>
      </c>
      <c r="B2">
        <v>741</v>
      </c>
      <c r="C2">
        <v>275</v>
      </c>
      <c r="D2">
        <v>0.29053936794360102</v>
      </c>
      <c r="E2">
        <v>3.0790317243724901</v>
      </c>
      <c r="F2">
        <v>2.5261136156472399</v>
      </c>
      <c r="G2">
        <v>-48.506380469634749</v>
      </c>
      <c r="H2">
        <v>-42.094129832419036</v>
      </c>
      <c r="I2">
        <v>6.3227832541692104</v>
      </c>
      <c r="J2">
        <v>3.6743415473034702</v>
      </c>
      <c r="K2">
        <v>1.21888093445218</v>
      </c>
      <c r="L2">
        <v>2.8934863455451451E-5</v>
      </c>
      <c r="M2">
        <v>1.7948490639157055E-6</v>
      </c>
      <c r="N2" s="1">
        <v>-3.4813580159792403E-8</v>
      </c>
      <c r="O2" s="1">
        <v>1.15346720123645E-11</v>
      </c>
      <c r="P2" s="1">
        <v>1.25124731374236E-10</v>
      </c>
      <c r="Q2">
        <v>66.047934694530795</v>
      </c>
      <c r="S2">
        <v>18.991755023342002</v>
      </c>
      <c r="AA2">
        <v>0.257009726414344</v>
      </c>
      <c r="AB2">
        <v>4.6385588649736196</v>
      </c>
      <c r="AC2">
        <v>10.064741690739099</v>
      </c>
      <c r="AJ2">
        <v>0.40680386043411099</v>
      </c>
      <c r="AK2">
        <v>1.2455533751610799E-2</v>
      </c>
      <c r="AL2">
        <v>0.580740605814277</v>
      </c>
    </row>
    <row r="3" spans="1:38" x14ac:dyDescent="0.2">
      <c r="A3">
        <v>18</v>
      </c>
      <c r="B3">
        <v>740</v>
      </c>
      <c r="C3">
        <v>275</v>
      </c>
      <c r="D3">
        <v>0.28977002418201098</v>
      </c>
      <c r="E3">
        <v>13.0050069723597</v>
      </c>
      <c r="F3">
        <v>2.52622993828858</v>
      </c>
      <c r="G3">
        <v>-204.88648196588116</v>
      </c>
      <c r="H3">
        <v>-177.83916878296441</v>
      </c>
      <c r="I3">
        <v>26.696257398131301</v>
      </c>
      <c r="J3">
        <v>15.5282974000281</v>
      </c>
      <c r="K3">
        <v>5.1479902028118998</v>
      </c>
      <c r="L3">
        <v>2.9000712081669661E-5</v>
      </c>
      <c r="M3">
        <v>1.7955147379422471E-6</v>
      </c>
      <c r="N3" s="1">
        <v>-1.53973951123503E-7</v>
      </c>
      <c r="O3" s="1">
        <v>4.8651205458653599E-11</v>
      </c>
      <c r="P3" s="1">
        <v>5.4834664580884597E-10</v>
      </c>
      <c r="Q3">
        <v>66.063117242140805</v>
      </c>
      <c r="S3">
        <v>18.9943620734288</v>
      </c>
      <c r="AA3">
        <v>0.25561792950388801</v>
      </c>
      <c r="AB3">
        <v>4.6792270790089097</v>
      </c>
      <c r="AC3">
        <v>10.007675675917501</v>
      </c>
      <c r="AJ3">
        <v>0.41028578575170499</v>
      </c>
      <c r="AK3">
        <v>1.2385525922973E-2</v>
      </c>
      <c r="AL3">
        <v>0.57732868832532003</v>
      </c>
    </row>
    <row r="4" spans="1:38" x14ac:dyDescent="0.2">
      <c r="A4">
        <v>19</v>
      </c>
      <c r="B4">
        <v>739</v>
      </c>
      <c r="C4">
        <v>275</v>
      </c>
      <c r="D4">
        <v>0.28899916020352701</v>
      </c>
      <c r="E4">
        <v>19.125864476742699</v>
      </c>
      <c r="F4">
        <v>2.5262732454233601</v>
      </c>
      <c r="G4">
        <v>-301.29168761163351</v>
      </c>
      <c r="H4">
        <v>-261.57401132037859</v>
      </c>
      <c r="I4">
        <v>39.2408993639825</v>
      </c>
      <c r="J4">
        <v>22.845631071071299</v>
      </c>
      <c r="K4">
        <v>7.5707821833570197</v>
      </c>
      <c r="L4">
        <v>2.9044387575785978E-5</v>
      </c>
      <c r="M4">
        <v>1.7958938767568079E-6</v>
      </c>
      <c r="N4" s="1">
        <v>-2.3535006985343399E-7</v>
      </c>
      <c r="O4" s="1">
        <v>7.1475353929912303E-11</v>
      </c>
      <c r="P4" s="1">
        <v>8.3183274245596502E-10</v>
      </c>
      <c r="Q4">
        <v>66.0710740824168</v>
      </c>
      <c r="S4">
        <v>18.992511725606899</v>
      </c>
      <c r="AA4">
        <v>0.25223475370339199</v>
      </c>
      <c r="AB4">
        <v>4.6921075435588104</v>
      </c>
      <c r="AC4">
        <v>9.9920718947138703</v>
      </c>
      <c r="AJ4">
        <v>0.41138831038302298</v>
      </c>
      <c r="AK4">
        <v>1.22208019099021E-2</v>
      </c>
      <c r="AL4">
        <v>0.57639088770707303</v>
      </c>
    </row>
    <row r="5" spans="1:38" x14ac:dyDescent="0.2">
      <c r="A5">
        <v>20</v>
      </c>
      <c r="B5">
        <v>738</v>
      </c>
      <c r="C5">
        <v>275</v>
      </c>
      <c r="D5">
        <v>0.28822677149780002</v>
      </c>
      <c r="E5">
        <v>33.725308974201802</v>
      </c>
      <c r="F5">
        <v>2.52638179291089</v>
      </c>
      <c r="G5">
        <v>-531.35489576636508</v>
      </c>
      <c r="H5">
        <v>-461.40424960014929</v>
      </c>
      <c r="I5">
        <v>69.179297004614298</v>
      </c>
      <c r="J5">
        <v>40.316571882523398</v>
      </c>
      <c r="K5">
        <v>13.349252701565501</v>
      </c>
      <c r="L5">
        <v>2.913806632154512E-5</v>
      </c>
      <c r="M5">
        <v>1.7969589360717037E-6</v>
      </c>
      <c r="N5" s="1">
        <v>-4.3725460250709601E-7</v>
      </c>
      <c r="O5" s="1">
        <v>1.2581302964958399E-10</v>
      </c>
      <c r="P5" s="1">
        <v>1.5305611765786801E-9</v>
      </c>
      <c r="Q5">
        <v>66.099091547114398</v>
      </c>
      <c r="S5">
        <v>18.994239820871002</v>
      </c>
      <c r="AA5">
        <v>0.24712295762661801</v>
      </c>
      <c r="AB5">
        <v>4.7590733878031299</v>
      </c>
      <c r="AC5">
        <v>9.9004722865847796</v>
      </c>
      <c r="AJ5">
        <v>0.41711792881029802</v>
      </c>
      <c r="AK5">
        <v>1.19690681229158E-2</v>
      </c>
      <c r="AL5">
        <v>0.57091300306678505</v>
      </c>
    </row>
    <row r="6" spans="1:38" x14ac:dyDescent="0.2">
      <c r="A6">
        <v>21</v>
      </c>
      <c r="B6">
        <v>737</v>
      </c>
      <c r="C6">
        <v>275</v>
      </c>
      <c r="D6">
        <v>0.28745285353660599</v>
      </c>
      <c r="E6">
        <v>37.218069773087997</v>
      </c>
      <c r="F6">
        <v>2.5264175025140601</v>
      </c>
      <c r="G6">
        <v>-586.31779883403397</v>
      </c>
      <c r="H6">
        <v>-509.24154914291171</v>
      </c>
      <c r="I6">
        <v>76.301786557563005</v>
      </c>
      <c r="J6">
        <v>44.508434262125398</v>
      </c>
      <c r="K6">
        <v>14.731559505130001</v>
      </c>
      <c r="L6">
        <v>2.9178513381144397E-5</v>
      </c>
      <c r="M6">
        <v>1.7972601811000615E-6</v>
      </c>
      <c r="N6" s="1">
        <v>-5.0045860743367197E-7</v>
      </c>
      <c r="O6" s="1">
        <v>1.38700741795765E-10</v>
      </c>
      <c r="P6" s="1">
        <v>1.7400251717581E-9</v>
      </c>
      <c r="Q6">
        <v>66.104489441314101</v>
      </c>
      <c r="S6">
        <v>18.991893806692101</v>
      </c>
      <c r="AA6">
        <v>0.24392794709024901</v>
      </c>
      <c r="AB6">
        <v>4.7649519244310898</v>
      </c>
      <c r="AC6">
        <v>9.8947368804723705</v>
      </c>
      <c r="AJ6">
        <v>0.41762073754169199</v>
      </c>
      <c r="AK6">
        <v>1.1813970549586999E-2</v>
      </c>
      <c r="AL6">
        <v>0.57056529190871996</v>
      </c>
    </row>
    <row r="7" spans="1:38" x14ac:dyDescent="0.2">
      <c r="A7">
        <v>22</v>
      </c>
      <c r="B7">
        <v>736</v>
      </c>
      <c r="C7">
        <v>275</v>
      </c>
      <c r="D7">
        <v>0.28667740177377199</v>
      </c>
      <c r="E7">
        <v>38.410344579679297</v>
      </c>
      <c r="F7">
        <v>2.5264388662072501</v>
      </c>
      <c r="G7">
        <v>-605.00125204014944</v>
      </c>
      <c r="H7">
        <v>-525.58345867524804</v>
      </c>
      <c r="I7">
        <v>78.697709324581297</v>
      </c>
      <c r="J7">
        <v>45.947865557054101</v>
      </c>
      <c r="K7">
        <v>15.203354054373699</v>
      </c>
      <c r="L7">
        <v>2.920939571939931E-5</v>
      </c>
      <c r="M7">
        <v>1.7974148596724863E-6</v>
      </c>
      <c r="N7" s="1">
        <v>-5.3404455191212502E-7</v>
      </c>
      <c r="O7" s="1">
        <v>1.4301489432949401E-10</v>
      </c>
      <c r="P7" s="1">
        <v>1.8455276239193799E-9</v>
      </c>
      <c r="Q7">
        <v>66.105485717086594</v>
      </c>
      <c r="S7">
        <v>18.988781201877501</v>
      </c>
      <c r="AA7">
        <v>0.241127548916092</v>
      </c>
      <c r="AB7">
        <v>4.75901197338416</v>
      </c>
      <c r="AC7">
        <v>9.9055935587355695</v>
      </c>
      <c r="AJ7">
        <v>0.41711273081257599</v>
      </c>
      <c r="AK7">
        <v>1.1678693738376201E-2</v>
      </c>
      <c r="AL7">
        <v>0.57120857544904702</v>
      </c>
    </row>
    <row r="8" spans="1:38" x14ac:dyDescent="0.2">
      <c r="A8">
        <v>36</v>
      </c>
      <c r="B8">
        <v>744</v>
      </c>
      <c r="C8">
        <v>255</v>
      </c>
      <c r="D8">
        <v>0.31446738435825899</v>
      </c>
      <c r="E8">
        <v>5.14501295657589</v>
      </c>
      <c r="F8">
        <v>2.5254471628421298</v>
      </c>
      <c r="G8">
        <v>-81.191194703858471</v>
      </c>
      <c r="H8">
        <v>-70.414514834073643</v>
      </c>
      <c r="I8">
        <v>10.5949760308556</v>
      </c>
      <c r="J8">
        <v>6.1413654313248003</v>
      </c>
      <c r="K8">
        <v>2.0372681053384998</v>
      </c>
      <c r="L8">
        <v>2.8969340340669743E-5</v>
      </c>
      <c r="M8">
        <v>1.7975615633424825E-6</v>
      </c>
      <c r="N8" s="1">
        <v>-5.3740232647993497E-8</v>
      </c>
      <c r="O8" s="1">
        <v>1.92850496665289E-11</v>
      </c>
      <c r="P8" s="1">
        <v>1.9654648212727599E-10</v>
      </c>
      <c r="Q8">
        <v>66.096809159483698</v>
      </c>
      <c r="S8">
        <v>19.018589446029399</v>
      </c>
      <c r="AA8">
        <v>0.267744211653896</v>
      </c>
      <c r="AB8">
        <v>4.8178229173647997</v>
      </c>
      <c r="AC8">
        <v>9.7990342654681601</v>
      </c>
      <c r="AJ8">
        <v>0.42214112039736401</v>
      </c>
      <c r="AK8">
        <v>1.29639607137279E-2</v>
      </c>
      <c r="AL8">
        <v>0.56489491888890597</v>
      </c>
    </row>
    <row r="9" spans="1:38" x14ac:dyDescent="0.2">
      <c r="A9">
        <v>37</v>
      </c>
      <c r="B9">
        <v>743</v>
      </c>
      <c r="C9">
        <v>255</v>
      </c>
      <c r="D9">
        <v>0.31372385966638899</v>
      </c>
      <c r="E9">
        <v>14.3787025880073</v>
      </c>
      <c r="F9">
        <v>2.5254757064860001</v>
      </c>
      <c r="G9">
        <v>-226.87368235365722</v>
      </c>
      <c r="H9">
        <v>-196.80294118973762</v>
      </c>
      <c r="I9">
        <v>29.592817166677701</v>
      </c>
      <c r="J9">
        <v>17.167752460413801</v>
      </c>
      <c r="K9">
        <v>5.6934630379058904</v>
      </c>
      <c r="L9">
        <v>2.899912806764678E-5</v>
      </c>
      <c r="M9">
        <v>1.7977879624976559E-6</v>
      </c>
      <c r="N9" s="1">
        <v>-1.5563891404830299E-7</v>
      </c>
      <c r="O9" s="1">
        <v>5.3853736779790303E-11</v>
      </c>
      <c r="P9" s="1">
        <v>5.6486658422385697E-10</v>
      </c>
      <c r="Q9">
        <v>66.100605453541903</v>
      </c>
      <c r="S9">
        <v>19.015876973374201</v>
      </c>
      <c r="AA9">
        <v>0.26462058062008798</v>
      </c>
      <c r="AB9">
        <v>4.8191716554133901</v>
      </c>
      <c r="AC9">
        <v>9.7997253370502992</v>
      </c>
      <c r="AJ9">
        <v>0.42225643802813401</v>
      </c>
      <c r="AK9">
        <v>1.28126302211591E-2</v>
      </c>
      <c r="AL9">
        <v>0.56493093175070597</v>
      </c>
    </row>
    <row r="10" spans="1:38" x14ac:dyDescent="0.2">
      <c r="A10">
        <v>38</v>
      </c>
      <c r="B10">
        <v>742</v>
      </c>
      <c r="C10">
        <v>255</v>
      </c>
      <c r="D10">
        <v>0.31297887011771702</v>
      </c>
      <c r="E10">
        <v>25.253569646809002</v>
      </c>
      <c r="F10">
        <v>2.52552174808618</v>
      </c>
      <c r="G10">
        <v>-398.42998981506207</v>
      </c>
      <c r="H10">
        <v>-345.69479222582498</v>
      </c>
      <c r="I10">
        <v>51.948182622506103</v>
      </c>
      <c r="J10">
        <v>30.1629346802236</v>
      </c>
      <c r="K10">
        <v>9.9993475272767007</v>
      </c>
      <c r="L10">
        <v>2.9040627344742028E-5</v>
      </c>
      <c r="M10">
        <v>1.7981720554407216E-6</v>
      </c>
      <c r="N10" s="1">
        <v>-2.8415673855220597E-7</v>
      </c>
      <c r="O10" s="1">
        <v>9.4493880545826403E-11</v>
      </c>
      <c r="P10" s="1">
        <v>1.0229947990255801E-9</v>
      </c>
      <c r="Q10">
        <v>66.108933312690098</v>
      </c>
      <c r="S10">
        <v>19.014046667341798</v>
      </c>
      <c r="AA10">
        <v>0.26116736731936702</v>
      </c>
      <c r="AB10">
        <v>4.8329314577832001</v>
      </c>
      <c r="AC10">
        <v>9.7829211948654198</v>
      </c>
      <c r="AJ10">
        <v>0.423432553653252</v>
      </c>
      <c r="AK10">
        <v>1.2644547998511901E-2</v>
      </c>
      <c r="AL10">
        <v>0.56392289834823495</v>
      </c>
    </row>
    <row r="11" spans="1:38" x14ac:dyDescent="0.2">
      <c r="A11">
        <v>39</v>
      </c>
      <c r="B11">
        <v>741</v>
      </c>
      <c r="C11">
        <v>255</v>
      </c>
      <c r="D11">
        <v>0.31223241137898899</v>
      </c>
      <c r="E11">
        <v>35.090605049328502</v>
      </c>
      <c r="F11">
        <v>2.5255682325477098</v>
      </c>
      <c r="G11">
        <v>-553.58606405969476</v>
      </c>
      <c r="H11">
        <v>-480.41803974124656</v>
      </c>
      <c r="I11">
        <v>72.147142255532302</v>
      </c>
      <c r="J11">
        <v>41.928050927341701</v>
      </c>
      <c r="K11">
        <v>13.894142552597</v>
      </c>
      <c r="L11">
        <v>2.9083434041021931E-5</v>
      </c>
      <c r="M11">
        <v>1.7985613948578633E-6</v>
      </c>
      <c r="N11" s="1">
        <v>-4.1041753313520101E-7</v>
      </c>
      <c r="O11" s="1">
        <v>1.3117206458358301E-10</v>
      </c>
      <c r="P11" s="1">
        <v>1.4659905695894999E-9</v>
      </c>
      <c r="Q11">
        <v>66.117308841245006</v>
      </c>
      <c r="S11">
        <v>19.0122195553921</v>
      </c>
      <c r="AA11">
        <v>0.25770566616532697</v>
      </c>
      <c r="AB11">
        <v>4.8468058625730803</v>
      </c>
      <c r="AC11">
        <v>9.7659600746243598</v>
      </c>
      <c r="AJ11">
        <v>0.42461829868330297</v>
      </c>
      <c r="AK11">
        <v>1.24760710448858E-2</v>
      </c>
      <c r="AL11">
        <v>0.56290563027180995</v>
      </c>
    </row>
    <row r="12" spans="1:38" x14ac:dyDescent="0.2">
      <c r="A12">
        <v>40</v>
      </c>
      <c r="B12">
        <v>740</v>
      </c>
      <c r="C12">
        <v>255</v>
      </c>
      <c r="D12">
        <v>0.31148447909983901</v>
      </c>
      <c r="E12">
        <v>37.866714580375103</v>
      </c>
      <c r="F12">
        <v>2.5255877095618802</v>
      </c>
      <c r="G12">
        <v>-597.28473254710434</v>
      </c>
      <c r="H12">
        <v>-518.45395623440083</v>
      </c>
      <c r="I12">
        <v>77.807606289990105</v>
      </c>
      <c r="J12">
        <v>45.256503453312497</v>
      </c>
      <c r="K12">
        <v>14.993228877782199</v>
      </c>
      <c r="L12">
        <v>2.9110457000518138E-5</v>
      </c>
      <c r="M12">
        <v>1.7987111827041228E-6</v>
      </c>
      <c r="N12" s="1">
        <v>-4.5807352366746E-7</v>
      </c>
      <c r="O12" s="1">
        <v>1.4143826261146201E-10</v>
      </c>
      <c r="P12" s="1">
        <v>1.62520304987977E-9</v>
      </c>
      <c r="Q12">
        <v>66.118584050911295</v>
      </c>
      <c r="S12">
        <v>19.0090456655238</v>
      </c>
      <c r="AA12">
        <v>0.25478962178345499</v>
      </c>
      <c r="AB12">
        <v>4.8413268340167397</v>
      </c>
      <c r="AC12">
        <v>9.7762538277645792</v>
      </c>
      <c r="AJ12">
        <v>0.42415010545769999</v>
      </c>
      <c r="AK12">
        <v>1.23352427704028E-2</v>
      </c>
      <c r="AL12">
        <v>0.56351465177189597</v>
      </c>
    </row>
    <row r="13" spans="1:38" x14ac:dyDescent="0.2">
      <c r="A13">
        <v>51</v>
      </c>
      <c r="B13">
        <v>747</v>
      </c>
      <c r="C13">
        <v>235</v>
      </c>
      <c r="D13">
        <v>0.33825466843111501</v>
      </c>
      <c r="E13">
        <v>5.11592443473271</v>
      </c>
      <c r="F13">
        <v>2.5673381527741301</v>
      </c>
      <c r="G13">
        <v>-82.665355163960896</v>
      </c>
      <c r="H13">
        <v>-71.733873013215884</v>
      </c>
      <c r="I13">
        <v>10.715563545307001</v>
      </c>
      <c r="J13">
        <v>6.2688984443179496</v>
      </c>
      <c r="K13">
        <v>1.9926959871665899</v>
      </c>
      <c r="L13">
        <v>3.1912425992009715E-5</v>
      </c>
      <c r="M13">
        <v>1.8210213733010844E-6</v>
      </c>
      <c r="N13" s="1">
        <v>-9.94643637024685E-8</v>
      </c>
      <c r="O13" s="1">
        <v>1.75467901210634E-11</v>
      </c>
      <c r="P13" s="1">
        <v>3.3120865188771701E-10</v>
      </c>
      <c r="Q13">
        <v>65.6555475484749</v>
      </c>
      <c r="S13">
        <v>20.991161837106901</v>
      </c>
      <c r="AA13">
        <v>1.9980989963148601</v>
      </c>
      <c r="AB13">
        <v>9.0058500518496292</v>
      </c>
      <c r="AC13">
        <v>2.3493415662535502</v>
      </c>
      <c r="AJ13">
        <v>0.77265669454275199</v>
      </c>
      <c r="AK13">
        <v>9.4730461299350394E-2</v>
      </c>
      <c r="AL13">
        <v>0.13261284415789601</v>
      </c>
    </row>
    <row r="14" spans="1:38" x14ac:dyDescent="0.2">
      <c r="A14">
        <v>52</v>
      </c>
      <c r="B14">
        <v>746</v>
      </c>
      <c r="C14">
        <v>235</v>
      </c>
      <c r="D14">
        <v>0.33753667271746202</v>
      </c>
      <c r="E14">
        <v>8.5322633060255999</v>
      </c>
      <c r="F14">
        <v>2.5675981221300699</v>
      </c>
      <c r="G14">
        <v>-137.85797826329755</v>
      </c>
      <c r="H14">
        <v>-119.65496715759942</v>
      </c>
      <c r="I14">
        <v>17.860973463865101</v>
      </c>
      <c r="J14">
        <v>10.460521500240199</v>
      </c>
      <c r="K14">
        <v>3.3230524794695002</v>
      </c>
      <c r="L14">
        <v>3.1966618853760512E-5</v>
      </c>
      <c r="M14">
        <v>1.8211260511643635E-6</v>
      </c>
      <c r="N14" s="1">
        <v>-1.7134658167914601E-7</v>
      </c>
      <c r="O14" s="1">
        <v>2.9210009630223003E-11</v>
      </c>
      <c r="P14" s="1">
        <v>5.6801233718677897E-10</v>
      </c>
      <c r="Q14">
        <v>65.646614961415196</v>
      </c>
      <c r="S14">
        <v>21.001222610288298</v>
      </c>
      <c r="AA14">
        <v>2.0084835342776302</v>
      </c>
      <c r="AB14">
        <v>9.0123198854178099</v>
      </c>
      <c r="AC14">
        <v>2.3313590086009901</v>
      </c>
      <c r="AJ14">
        <v>0.77318675718887597</v>
      </c>
      <c r="AK14">
        <v>9.5219714451376197E-2</v>
      </c>
      <c r="AL14">
        <v>0.131593528359746</v>
      </c>
    </row>
    <row r="15" spans="1:38" x14ac:dyDescent="0.2">
      <c r="A15">
        <v>53</v>
      </c>
      <c r="B15">
        <v>745</v>
      </c>
      <c r="C15">
        <v>235</v>
      </c>
      <c r="D15">
        <v>0.33681726661101002</v>
      </c>
      <c r="E15">
        <v>14.685293494315999</v>
      </c>
      <c r="F15">
        <v>2.5676884342072199</v>
      </c>
      <c r="G15">
        <v>-237.24932437486947</v>
      </c>
      <c r="H15">
        <v>-205.96751838908386</v>
      </c>
      <c r="I15">
        <v>30.724162437544202</v>
      </c>
      <c r="J15">
        <v>18.013772958829399</v>
      </c>
      <c r="K15">
        <v>5.7192661300630601</v>
      </c>
      <c r="L15">
        <v>3.2027904812466532E-5</v>
      </c>
      <c r="M15">
        <v>1.8215314121640939E-6</v>
      </c>
      <c r="N15" s="1">
        <v>-3.0469486166301003E-7</v>
      </c>
      <c r="O15" s="1">
        <v>5.0194078258247498E-11</v>
      </c>
      <c r="P15" s="1">
        <v>1.0055930264265399E-9</v>
      </c>
      <c r="Q15">
        <v>65.652177807326794</v>
      </c>
      <c r="S15">
        <v>20.999474860401499</v>
      </c>
      <c r="AA15">
        <v>2.0057436086810201</v>
      </c>
      <c r="AB15">
        <v>9.0201344357129507</v>
      </c>
      <c r="AC15">
        <v>2.3224692878775599</v>
      </c>
      <c r="AJ15">
        <v>0.77382719821557799</v>
      </c>
      <c r="AK15">
        <v>9.5086133309531196E-2</v>
      </c>
      <c r="AL15">
        <v>0.13108666847489001</v>
      </c>
    </row>
    <row r="16" spans="1:38" x14ac:dyDescent="0.2">
      <c r="A16">
        <v>54</v>
      </c>
      <c r="B16">
        <v>744</v>
      </c>
      <c r="C16">
        <v>235</v>
      </c>
      <c r="D16">
        <v>0.336096445951927</v>
      </c>
      <c r="E16">
        <v>18.198910629640402</v>
      </c>
      <c r="F16">
        <v>2.5678056637289899</v>
      </c>
      <c r="G16">
        <v>-293.98458541745453</v>
      </c>
      <c r="H16">
        <v>-255.27819665844143</v>
      </c>
      <c r="I16">
        <v>38.053766660780703</v>
      </c>
      <c r="J16">
        <v>22.3361249059794</v>
      </c>
      <c r="K16">
        <v>7.0873395470324603</v>
      </c>
      <c r="L16">
        <v>3.2090110375222206E-5</v>
      </c>
      <c r="M16">
        <v>1.8218947816952005E-6</v>
      </c>
      <c r="N16" s="1">
        <v>-3.90129179967241E-7</v>
      </c>
      <c r="O16" s="1">
        <v>6.2097260814369296E-11</v>
      </c>
      <c r="P16" s="1">
        <v>1.2819865590740199E-9</v>
      </c>
      <c r="Q16">
        <v>65.655434772603101</v>
      </c>
      <c r="S16">
        <v>20.999593743679601</v>
      </c>
      <c r="AA16">
        <v>2.0050817202811002</v>
      </c>
      <c r="AB16">
        <v>9.0277040761689893</v>
      </c>
      <c r="AC16">
        <v>2.3121856872670898</v>
      </c>
      <c r="AJ16">
        <v>0.77444748724920698</v>
      </c>
      <c r="AK16">
        <v>9.5051183416950694E-2</v>
      </c>
      <c r="AL16">
        <v>0.13050132933384101</v>
      </c>
    </row>
    <row r="17" spans="1:38" x14ac:dyDescent="0.2">
      <c r="A17">
        <v>55</v>
      </c>
      <c r="B17">
        <v>743</v>
      </c>
      <c r="C17">
        <v>235</v>
      </c>
      <c r="D17">
        <v>0.33537420656399403</v>
      </c>
      <c r="E17">
        <v>19.2664276863702</v>
      </c>
      <c r="F17">
        <v>2.5679294448732302</v>
      </c>
      <c r="G17">
        <v>-311.19862589932831</v>
      </c>
      <c r="H17">
        <v>-270.28525572983602</v>
      </c>
      <c r="I17">
        <v>40.263120769071797</v>
      </c>
      <c r="J17">
        <v>23.659856226694298</v>
      </c>
      <c r="K17">
        <v>7.5027091281011797</v>
      </c>
      <c r="L17">
        <v>3.2153943301010059E-5</v>
      </c>
      <c r="M17">
        <v>1.8222518716851905E-6</v>
      </c>
      <c r="N17" s="1">
        <v>-4.26740033149686E-7</v>
      </c>
      <c r="O17" s="1">
        <v>6.5622865567408401E-11</v>
      </c>
      <c r="P17" s="1">
        <v>1.39635774223557E-9</v>
      </c>
      <c r="Q17">
        <v>65.658127209085606</v>
      </c>
      <c r="S17">
        <v>21.000161974891899</v>
      </c>
      <c r="AA17">
        <v>2.0049222736042198</v>
      </c>
      <c r="AB17">
        <v>9.0351937185058997</v>
      </c>
      <c r="AC17">
        <v>2.3015948239121702</v>
      </c>
      <c r="AJ17">
        <v>0.77506116677554304</v>
      </c>
      <c r="AK17">
        <v>9.5040090307465797E-2</v>
      </c>
      <c r="AL17">
        <v>0.12989874291699</v>
      </c>
    </row>
    <row r="18" spans="1:38" x14ac:dyDescent="0.2">
      <c r="A18">
        <v>60</v>
      </c>
      <c r="B18">
        <v>753</v>
      </c>
      <c r="C18">
        <v>215</v>
      </c>
      <c r="D18">
        <v>0.36397261608926701</v>
      </c>
      <c r="E18">
        <v>0.23329870177304099</v>
      </c>
      <c r="F18">
        <v>2.5681004981653199</v>
      </c>
      <c r="G18">
        <v>-3.7774519126638388</v>
      </c>
      <c r="H18">
        <v>-3.2742286822829483</v>
      </c>
      <c r="I18">
        <v>0.49039928897421398</v>
      </c>
      <c r="J18">
        <v>0.28528039083471002</v>
      </c>
      <c r="K18">
        <v>9.0844848922272195E-2</v>
      </c>
      <c r="L18">
        <v>3.164875345440319E-5</v>
      </c>
      <c r="M18">
        <v>1.8200236160142344E-6</v>
      </c>
      <c r="N18" s="1">
        <v>-3.7423148171973504E-9</v>
      </c>
      <c r="O18" s="1">
        <v>8.0400377151606002E-13</v>
      </c>
      <c r="P18" s="1">
        <v>1.28305433425807E-11</v>
      </c>
      <c r="Q18">
        <v>65.568319346917406</v>
      </c>
      <c r="S18">
        <v>21.106838365438001</v>
      </c>
      <c r="AA18">
        <v>2.1138868249684299</v>
      </c>
      <c r="AB18">
        <v>9.1147277396626993</v>
      </c>
      <c r="AC18">
        <v>2.0962277230133002</v>
      </c>
      <c r="AJ18">
        <v>0.781573283922256</v>
      </c>
      <c r="AK18">
        <v>0.100165583982362</v>
      </c>
      <c r="AL18">
        <v>0.11826113209538</v>
      </c>
    </row>
    <row r="19" spans="1:38" x14ac:dyDescent="0.2">
      <c r="A19">
        <v>61</v>
      </c>
      <c r="B19">
        <v>752</v>
      </c>
      <c r="C19">
        <v>215</v>
      </c>
      <c r="D19">
        <v>0.363283909671757</v>
      </c>
      <c r="E19">
        <v>1.6648441832556999</v>
      </c>
      <c r="F19">
        <v>2.5658642243721901</v>
      </c>
      <c r="G19">
        <v>-26.934333849360069</v>
      </c>
      <c r="H19">
        <v>-23.348566667208239</v>
      </c>
      <c r="I19">
        <v>3.4977975731861899</v>
      </c>
      <c r="J19">
        <v>2.0356917442282998</v>
      </c>
      <c r="K19">
        <v>0.64884344519946402</v>
      </c>
      <c r="L19">
        <v>3.1679840588917916E-5</v>
      </c>
      <c r="M19">
        <v>1.8222464820066297E-6</v>
      </c>
      <c r="N19" s="1">
        <v>-2.7318635058370699E-8</v>
      </c>
      <c r="O19" s="1">
        <v>5.75493839950162E-12</v>
      </c>
      <c r="P19" s="1">
        <v>9.3290168837664301E-11</v>
      </c>
      <c r="Q19">
        <v>65.698676477959793</v>
      </c>
      <c r="S19">
        <v>20.970254559400399</v>
      </c>
      <c r="AA19">
        <v>1.97078673204848</v>
      </c>
      <c r="AB19">
        <v>9.0471494120866698</v>
      </c>
      <c r="AC19">
        <v>2.3131328185045299</v>
      </c>
      <c r="AJ19">
        <v>0.77604125099629995</v>
      </c>
      <c r="AK19">
        <v>9.3416472647432205E-2</v>
      </c>
      <c r="AL19">
        <v>0.130542276356267</v>
      </c>
    </row>
    <row r="20" spans="1:38" x14ac:dyDescent="0.2">
      <c r="A20">
        <v>62</v>
      </c>
      <c r="B20">
        <v>751</v>
      </c>
      <c r="C20">
        <v>215</v>
      </c>
      <c r="D20">
        <v>0.36259385832153801</v>
      </c>
      <c r="E20">
        <v>4.3839378725772997</v>
      </c>
      <c r="F20">
        <v>2.56434889146102</v>
      </c>
      <c r="G20">
        <v>-70.877573839927777</v>
      </c>
      <c r="H20">
        <v>-61.450070081535223</v>
      </c>
      <c r="I20">
        <v>9.2051982213470094</v>
      </c>
      <c r="J20">
        <v>5.3602733208572397</v>
      </c>
      <c r="K20">
        <v>1.7095715357513499</v>
      </c>
      <c r="L20">
        <v>3.1693601053848961E-5</v>
      </c>
      <c r="M20">
        <v>1.8232996459099066E-6</v>
      </c>
      <c r="N20" s="1">
        <v>-7.3583873571133096E-8</v>
      </c>
      <c r="O20" s="1">
        <v>1.5179777844377601E-11</v>
      </c>
      <c r="P20" s="1">
        <v>2.50316152143517E-10</v>
      </c>
      <c r="Q20">
        <v>65.770388672948201</v>
      </c>
      <c r="S20">
        <v>20.883421504271801</v>
      </c>
      <c r="AA20">
        <v>1.88241551213604</v>
      </c>
      <c r="AB20">
        <v>8.9793120504771302</v>
      </c>
      <c r="AC20">
        <v>2.4844622601667101</v>
      </c>
      <c r="AJ20">
        <v>0.77048332990321</v>
      </c>
      <c r="AK20">
        <v>8.9257859062487496E-2</v>
      </c>
      <c r="AL20">
        <v>0.14025881103430199</v>
      </c>
    </row>
    <row r="21" spans="1:38" x14ac:dyDescent="0.2">
      <c r="A21">
        <v>63</v>
      </c>
      <c r="B21">
        <v>750</v>
      </c>
      <c r="C21">
        <v>215</v>
      </c>
      <c r="D21">
        <v>0.36190245809509802</v>
      </c>
      <c r="E21">
        <v>7.9893463818266799</v>
      </c>
      <c r="F21">
        <v>2.5650463373420802</v>
      </c>
      <c r="G21">
        <v>-129.17003551993278</v>
      </c>
      <c r="H21">
        <v>-112.01636334807711</v>
      </c>
      <c r="I21">
        <v>16.765549696384301</v>
      </c>
      <c r="J21">
        <v>9.7728902427695594</v>
      </c>
      <c r="K21">
        <v>3.1146986569081898</v>
      </c>
      <c r="L21">
        <v>3.1729655420503421E-5</v>
      </c>
      <c r="M21">
        <v>1.8226950694191389E-6</v>
      </c>
      <c r="N21" s="1">
        <v>-1.38460523664035E-7</v>
      </c>
      <c r="O21" s="1">
        <v>2.7597421891607001E-11</v>
      </c>
      <c r="P21" s="1">
        <v>4.6871380691636905E-10</v>
      </c>
      <c r="Q21">
        <v>65.726540849707305</v>
      </c>
      <c r="S21">
        <v>20.922838410112501</v>
      </c>
      <c r="AA21">
        <v>1.9251661531665201</v>
      </c>
      <c r="AB21">
        <v>8.9849360706199093</v>
      </c>
      <c r="AC21">
        <v>2.4405185163936398</v>
      </c>
      <c r="AJ21">
        <v>0.77094366355115995</v>
      </c>
      <c r="AK21">
        <v>9.1282317991145598E-2</v>
      </c>
      <c r="AL21">
        <v>0.13777401845769399</v>
      </c>
    </row>
    <row r="22" spans="1:38" x14ac:dyDescent="0.2">
      <c r="A22">
        <v>64</v>
      </c>
      <c r="B22">
        <v>749</v>
      </c>
      <c r="C22">
        <v>215</v>
      </c>
      <c r="D22">
        <v>0.36120970503350902</v>
      </c>
      <c r="E22">
        <v>12.6436028608058</v>
      </c>
      <c r="F22">
        <v>2.5656912008272399</v>
      </c>
      <c r="G22">
        <v>-204.4193771467707</v>
      </c>
      <c r="H22">
        <v>-177.3155972757533</v>
      </c>
      <c r="I22">
        <v>26.516440709306298</v>
      </c>
      <c r="J22">
        <v>15.4730656940909</v>
      </c>
      <c r="K22">
        <v>4.9279519128136497</v>
      </c>
      <c r="L22">
        <v>3.1767696577332744E-5</v>
      </c>
      <c r="M22">
        <v>1.8221559361012403E-6</v>
      </c>
      <c r="N22" s="1">
        <v>-2.2624203588751701E-7</v>
      </c>
      <c r="O22" s="1">
        <v>4.35715576361821E-11</v>
      </c>
      <c r="P22" s="1">
        <v>7.6221405193540498E-10</v>
      </c>
      <c r="Q22">
        <v>65.686182272226702</v>
      </c>
      <c r="S22">
        <v>20.959043736890699</v>
      </c>
      <c r="AA22">
        <v>1.9644530407893901</v>
      </c>
      <c r="AB22">
        <v>8.9899161158073397</v>
      </c>
      <c r="AC22">
        <v>2.4004048342858</v>
      </c>
      <c r="AJ22">
        <v>0.77135124111386999</v>
      </c>
      <c r="AK22">
        <v>9.3142734801637803E-2</v>
      </c>
      <c r="AL22">
        <v>0.135506024084491</v>
      </c>
    </row>
    <row r="23" spans="1:38" x14ac:dyDescent="0.2">
      <c r="A23">
        <v>65</v>
      </c>
      <c r="B23">
        <v>748</v>
      </c>
      <c r="C23">
        <v>215</v>
      </c>
      <c r="D23">
        <v>0.36051559516231801</v>
      </c>
      <c r="E23">
        <v>16.763867540897198</v>
      </c>
      <c r="F23">
        <v>2.5661973495500501</v>
      </c>
      <c r="G23">
        <v>-271.02792561860588</v>
      </c>
      <c r="H23">
        <v>-235.14813570539229</v>
      </c>
      <c r="I23">
        <v>35.136649770566102</v>
      </c>
      <c r="J23">
        <v>20.524860666689602</v>
      </c>
      <c r="K23">
        <v>6.5325714500626901</v>
      </c>
      <c r="L23">
        <v>3.1810636107032596E-5</v>
      </c>
      <c r="M23">
        <v>1.8218367132346397E-6</v>
      </c>
      <c r="N23" s="1">
        <v>-3.0974613620802498E-7</v>
      </c>
      <c r="O23" s="1">
        <v>5.7645675291448901E-11</v>
      </c>
      <c r="P23" s="1">
        <v>1.0386456413986E-9</v>
      </c>
      <c r="Q23">
        <v>65.656806016059406</v>
      </c>
      <c r="S23">
        <v>20.9859862123296</v>
      </c>
      <c r="AA23">
        <v>1.9935354066729201</v>
      </c>
      <c r="AB23">
        <v>8.9950859061543902</v>
      </c>
      <c r="AC23">
        <v>2.3685864587835899</v>
      </c>
      <c r="AJ23">
        <v>0.77177451954112597</v>
      </c>
      <c r="AK23">
        <v>9.45191624200548E-2</v>
      </c>
      <c r="AL23">
        <v>0.133706318038818</v>
      </c>
    </row>
    <row r="24" spans="1:38" x14ac:dyDescent="0.2">
      <c r="A24">
        <v>66</v>
      </c>
      <c r="B24">
        <v>747</v>
      </c>
      <c r="C24">
        <v>215</v>
      </c>
      <c r="D24">
        <v>0.35982012449149797</v>
      </c>
      <c r="E24">
        <v>18.4541863495492</v>
      </c>
      <c r="F24">
        <v>2.5664994704923298</v>
      </c>
      <c r="G24">
        <v>-298.33657391261016</v>
      </c>
      <c r="H24">
        <v>-258.90046031630072</v>
      </c>
      <c r="I24">
        <v>38.657171588795201</v>
      </c>
      <c r="J24">
        <v>22.605323160988299</v>
      </c>
      <c r="K24">
        <v>7.1904111267979696</v>
      </c>
      <c r="L24">
        <v>3.1861026409965651E-5</v>
      </c>
      <c r="M24">
        <v>1.8218631797111469E-6</v>
      </c>
      <c r="N24" s="1">
        <v>-3.52168188662312E-7</v>
      </c>
      <c r="O24" s="1">
        <v>6.3340846952141801E-11</v>
      </c>
      <c r="P24" s="1">
        <v>1.1754292217167399E-9</v>
      </c>
      <c r="Q24">
        <v>65.644374808683907</v>
      </c>
      <c r="S24">
        <v>20.998948651486099</v>
      </c>
      <c r="AA24">
        <v>2.0071302039973502</v>
      </c>
      <c r="AB24">
        <v>9.0013663465336702</v>
      </c>
      <c r="AC24">
        <v>2.34817998929885</v>
      </c>
      <c r="AJ24">
        <v>0.77228906304226197</v>
      </c>
      <c r="AK24">
        <v>9.5160734138046696E-2</v>
      </c>
      <c r="AL24">
        <v>0.13255020281968999</v>
      </c>
    </row>
    <row r="25" spans="1:38" x14ac:dyDescent="0.2">
      <c r="A25">
        <v>67</v>
      </c>
      <c r="B25">
        <v>746</v>
      </c>
      <c r="C25">
        <v>215</v>
      </c>
      <c r="D25">
        <v>0.35912328901535701</v>
      </c>
      <c r="E25">
        <v>19.121809325831101</v>
      </c>
      <c r="F25">
        <v>2.5666828115337998</v>
      </c>
      <c r="G25">
        <v>-309.10264624420375</v>
      </c>
      <c r="H25">
        <v>-268.30307798270582</v>
      </c>
      <c r="I25">
        <v>40.032937508215497</v>
      </c>
      <c r="J25">
        <v>23.434933816505001</v>
      </c>
      <c r="K25">
        <v>7.4500087193884097</v>
      </c>
      <c r="L25">
        <v>3.1916641977028643E-5</v>
      </c>
      <c r="M25">
        <v>1.8220975363161553E-6</v>
      </c>
      <c r="N25" s="1">
        <v>-3.7694701766413998E-7</v>
      </c>
      <c r="O25" s="1">
        <v>6.5521575807101496E-11</v>
      </c>
      <c r="P25" s="1">
        <v>1.25240317826534E-9</v>
      </c>
      <c r="Q25">
        <v>65.641958663964203</v>
      </c>
      <c r="S25">
        <v>21.003700610410199</v>
      </c>
      <c r="AA25">
        <v>2.0116143931054</v>
      </c>
      <c r="AB25">
        <v>9.0084399756905302</v>
      </c>
      <c r="AC25">
        <v>2.33428635682959</v>
      </c>
      <c r="AJ25">
        <v>0.772868731608643</v>
      </c>
      <c r="AK25">
        <v>9.5369975855296704E-2</v>
      </c>
      <c r="AL25">
        <v>0.131761292536059</v>
      </c>
    </row>
    <row r="26" spans="1:38" x14ac:dyDescent="0.2">
      <c r="A26">
        <v>69</v>
      </c>
      <c r="B26">
        <v>758</v>
      </c>
      <c r="C26">
        <v>195</v>
      </c>
      <c r="D26">
        <v>0.38873151335887302</v>
      </c>
      <c r="E26">
        <v>0.28243718750793401</v>
      </c>
      <c r="F26">
        <v>2.5671299109248902</v>
      </c>
      <c r="G26">
        <v>-4.5792592797083156</v>
      </c>
      <c r="H26">
        <v>-3.9652416414078506</v>
      </c>
      <c r="I26">
        <v>0.59546878562814598</v>
      </c>
      <c r="J26">
        <v>0.34480270446074601</v>
      </c>
      <c r="K26">
        <v>0.110020605621075</v>
      </c>
      <c r="L26">
        <v>3.1453771842179287E-5</v>
      </c>
      <c r="M26">
        <v>1.8207428347880906E-6</v>
      </c>
      <c r="N26" s="1">
        <v>-3.8357538408664203E-9</v>
      </c>
      <c r="O26" s="1">
        <v>9.7879424186726194E-13</v>
      </c>
      <c r="P26" s="1">
        <v>1.35299080912991E-11</v>
      </c>
      <c r="Q26">
        <v>65.576974210916006</v>
      </c>
      <c r="S26">
        <v>21.1177601022403</v>
      </c>
      <c r="AA26">
        <v>2.12087787546549</v>
      </c>
      <c r="AB26">
        <v>9.1626473929781493</v>
      </c>
      <c r="AC26">
        <v>2.0217404183998999</v>
      </c>
      <c r="AJ26">
        <v>0.785495359190439</v>
      </c>
      <c r="AK26">
        <v>0.10047293792090201</v>
      </c>
      <c r="AL26">
        <v>0.11403170288865699</v>
      </c>
    </row>
    <row r="27" spans="1:38" x14ac:dyDescent="0.2">
      <c r="A27">
        <v>70</v>
      </c>
      <c r="B27">
        <v>757</v>
      </c>
      <c r="C27">
        <v>195</v>
      </c>
      <c r="D27">
        <v>0.388070183953793</v>
      </c>
      <c r="E27">
        <v>1.6195457289097701</v>
      </c>
      <c r="F27">
        <v>2.5652277914400901</v>
      </c>
      <c r="G27">
        <v>-26.239950124273204</v>
      </c>
      <c r="H27">
        <v>-22.724178733892298</v>
      </c>
      <c r="I27">
        <v>3.4128732615453101</v>
      </c>
      <c r="J27">
        <v>1.9771400328689299</v>
      </c>
      <c r="K27">
        <v>0.63134577533973302</v>
      </c>
      <c r="L27">
        <v>3.1487410624197824E-5</v>
      </c>
      <c r="M27">
        <v>1.8228080068276373E-6</v>
      </c>
      <c r="N27" s="1">
        <v>-2.2534772748397201E-8</v>
      </c>
      <c r="O27" s="1">
        <v>5.6269962798435202E-12</v>
      </c>
      <c r="P27" s="1">
        <v>7.9116322306493E-11</v>
      </c>
      <c r="Q27">
        <v>65.693371968085003</v>
      </c>
      <c r="S27">
        <v>20.998914265847802</v>
      </c>
      <c r="AA27">
        <v>1.99566901818148</v>
      </c>
      <c r="AB27">
        <v>9.1104637427150106</v>
      </c>
      <c r="AC27">
        <v>2.20158100517058</v>
      </c>
      <c r="AJ27">
        <v>0.78122616857142702</v>
      </c>
      <c r="AK27">
        <v>9.4566127232962705E-2</v>
      </c>
      <c r="AL27">
        <v>0.124207704195609</v>
      </c>
    </row>
    <row r="28" spans="1:38" x14ac:dyDescent="0.2">
      <c r="A28">
        <v>71</v>
      </c>
      <c r="B28">
        <v>756</v>
      </c>
      <c r="C28">
        <v>195</v>
      </c>
      <c r="D28">
        <v>0.38740756935335302</v>
      </c>
      <c r="E28">
        <v>3.1158342008345201</v>
      </c>
      <c r="F28">
        <v>2.56294207085522</v>
      </c>
      <c r="G28">
        <v>-50.439210496248791</v>
      </c>
      <c r="H28">
        <v>-43.685438409948702</v>
      </c>
      <c r="I28">
        <v>6.5624759134237802</v>
      </c>
      <c r="J28">
        <v>3.80312218692566</v>
      </c>
      <c r="K28">
        <v>1.2157255664365401</v>
      </c>
      <c r="L28">
        <v>3.1500694903842815E-5</v>
      </c>
      <c r="M28">
        <v>1.8246968976041616E-6</v>
      </c>
      <c r="N28" s="1">
        <v>-4.4246215274721502E-8</v>
      </c>
      <c r="O28" s="1">
        <v>1.0860492872962801E-11</v>
      </c>
      <c r="P28" s="1">
        <v>1.5472111531339401E-10</v>
      </c>
      <c r="Q28">
        <v>65.814202471614493</v>
      </c>
      <c r="S28">
        <v>20.8647650632861</v>
      </c>
      <c r="AA28">
        <v>1.8568004063503101</v>
      </c>
      <c r="AB28">
        <v>9.0280384660559605</v>
      </c>
      <c r="AC28">
        <v>2.43619359269307</v>
      </c>
      <c r="AJ28">
        <v>0.77447735072011004</v>
      </c>
      <c r="AK28">
        <v>8.8022020533078199E-2</v>
      </c>
      <c r="AL28">
        <v>0.13750062874681099</v>
      </c>
    </row>
    <row r="29" spans="1:38" x14ac:dyDescent="0.2">
      <c r="A29">
        <v>72</v>
      </c>
      <c r="B29">
        <v>755</v>
      </c>
      <c r="C29">
        <v>195</v>
      </c>
      <c r="D29">
        <v>0.38674366580751801</v>
      </c>
      <c r="E29">
        <v>5.5188590773373596</v>
      </c>
      <c r="F29">
        <v>2.56139703474325</v>
      </c>
      <c r="G29">
        <v>-89.275349901103112</v>
      </c>
      <c r="H29">
        <v>-77.331940912736215</v>
      </c>
      <c r="I29">
        <v>11.6164071277215</v>
      </c>
      <c r="J29">
        <v>6.73498533532588</v>
      </c>
      <c r="K29">
        <v>2.1546285103318801</v>
      </c>
      <c r="L29">
        <v>3.1494347649171271E-5</v>
      </c>
      <c r="M29">
        <v>1.8253574257005966E-6</v>
      </c>
      <c r="N29" s="1">
        <v>-7.9953353530844705E-8</v>
      </c>
      <c r="O29" s="1">
        <v>1.9272063471602099E-11</v>
      </c>
      <c r="P29" s="1">
        <v>2.7851636888628702E-10</v>
      </c>
      <c r="Q29">
        <v>65.873892053607193</v>
      </c>
      <c r="S29">
        <v>20.7817284554712</v>
      </c>
      <c r="AA29">
        <v>1.77436660672707</v>
      </c>
      <c r="AB29">
        <v>8.94336223621697</v>
      </c>
      <c r="AC29">
        <v>2.62665064797749</v>
      </c>
      <c r="AJ29">
        <v>0.76753743960779897</v>
      </c>
      <c r="AK29">
        <v>8.4149762276357704E-2</v>
      </c>
      <c r="AL29">
        <v>0.148312798115842</v>
      </c>
    </row>
    <row r="30" spans="1:38" x14ac:dyDescent="0.2">
      <c r="A30">
        <v>73</v>
      </c>
      <c r="B30">
        <v>754</v>
      </c>
      <c r="C30">
        <v>195</v>
      </c>
      <c r="D30">
        <v>0.38607846955167302</v>
      </c>
      <c r="E30">
        <v>8.5297763094993506</v>
      </c>
      <c r="F30">
        <v>2.5624836919787102</v>
      </c>
      <c r="G30">
        <v>-137.99511127132354</v>
      </c>
      <c r="H30">
        <v>-119.56505722219678</v>
      </c>
      <c r="I30">
        <v>17.942904200094201</v>
      </c>
      <c r="J30">
        <v>10.4134758984175</v>
      </c>
      <c r="K30">
        <v>3.3287143782416702</v>
      </c>
      <c r="L30">
        <v>3.1518218723065517E-5</v>
      </c>
      <c r="M30">
        <v>1.824223174264237E-6</v>
      </c>
      <c r="N30" s="1">
        <v>-1.2760680442660501E-7</v>
      </c>
      <c r="O30" s="1">
        <v>2.9700599638296403E-11</v>
      </c>
      <c r="P30" s="1">
        <v>4.4211888382351602E-10</v>
      </c>
      <c r="Q30">
        <v>65.802364218051594</v>
      </c>
      <c r="S30">
        <v>20.8457648081176</v>
      </c>
      <c r="AA30">
        <v>1.8438872959188499</v>
      </c>
      <c r="AB30">
        <v>8.9518459136070891</v>
      </c>
      <c r="AC30">
        <v>2.5561377643047298</v>
      </c>
      <c r="AJ30">
        <v>0.76823200076236098</v>
      </c>
      <c r="AK30">
        <v>8.7442981689023896E-2</v>
      </c>
      <c r="AL30">
        <v>0.14432501754861399</v>
      </c>
    </row>
    <row r="31" spans="1:38" x14ac:dyDescent="0.2">
      <c r="A31">
        <v>74</v>
      </c>
      <c r="B31">
        <v>753</v>
      </c>
      <c r="C31">
        <v>195</v>
      </c>
      <c r="D31">
        <v>0.38541197680651201</v>
      </c>
      <c r="E31">
        <v>12.391401364163</v>
      </c>
      <c r="F31">
        <v>2.5635806131601799</v>
      </c>
      <c r="G31">
        <v>-200.48795531929088</v>
      </c>
      <c r="H31">
        <v>-173.75702199763822</v>
      </c>
      <c r="I31">
        <v>26.049732808704899</v>
      </c>
      <c r="J31">
        <v>15.133809542779799</v>
      </c>
      <c r="K31">
        <v>4.8336304700353798</v>
      </c>
      <c r="L31">
        <v>3.1540497235904015E-5</v>
      </c>
      <c r="M31">
        <v>1.8230048653996008E-6</v>
      </c>
      <c r="N31" s="1">
        <v>-1.913731376048E-7</v>
      </c>
      <c r="O31" s="1">
        <v>4.3019630496294703E-11</v>
      </c>
      <c r="P31" s="1">
        <v>6.5958150165330303E-10</v>
      </c>
      <c r="Q31">
        <v>65.727656004847802</v>
      </c>
      <c r="S31">
        <v>20.911540038899201</v>
      </c>
      <c r="AA31">
        <v>1.91558467502259</v>
      </c>
      <c r="AB31">
        <v>8.9578009850340798</v>
      </c>
      <c r="AC31">
        <v>2.4874182961962301</v>
      </c>
      <c r="AJ31">
        <v>0.76871913025013106</v>
      </c>
      <c r="AK31">
        <v>9.0840271546032497E-2</v>
      </c>
      <c r="AL31">
        <v>0.140440598203835</v>
      </c>
    </row>
    <row r="32" spans="1:38" x14ac:dyDescent="0.2">
      <c r="A32">
        <v>75</v>
      </c>
      <c r="B32">
        <v>752</v>
      </c>
      <c r="C32">
        <v>195</v>
      </c>
      <c r="D32">
        <v>0.38474418377798603</v>
      </c>
      <c r="E32">
        <v>16.077969899298701</v>
      </c>
      <c r="F32">
        <v>2.5645147276533198</v>
      </c>
      <c r="G32">
        <v>-260.15049624414132</v>
      </c>
      <c r="H32">
        <v>-225.52220112698893</v>
      </c>
      <c r="I32">
        <v>33.778759320248099</v>
      </c>
      <c r="J32">
        <v>19.643992826941499</v>
      </c>
      <c r="K32">
        <v>6.2694004935627801</v>
      </c>
      <c r="L32">
        <v>3.1566159184624218E-5</v>
      </c>
      <c r="M32">
        <v>1.821991727383869E-6</v>
      </c>
      <c r="N32" s="1">
        <v>-2.5630500676095099E-7</v>
      </c>
      <c r="O32" s="1">
        <v>5.5667155061575602E-11</v>
      </c>
      <c r="P32" s="1">
        <v>8.7885911664047399E-10</v>
      </c>
      <c r="Q32">
        <v>65.664128253748004</v>
      </c>
      <c r="S32">
        <v>20.9672130633199</v>
      </c>
      <c r="AA32">
        <v>1.9763388224549601</v>
      </c>
      <c r="AB32">
        <v>8.9621868694359303</v>
      </c>
      <c r="AC32">
        <v>2.43013299104111</v>
      </c>
      <c r="AJ32">
        <v>0.76907774842728505</v>
      </c>
      <c r="AK32">
        <v>9.3719172058759403E-2</v>
      </c>
      <c r="AL32">
        <v>0.137203079513955</v>
      </c>
    </row>
    <row r="33" spans="1:38" x14ac:dyDescent="0.2">
      <c r="A33">
        <v>76</v>
      </c>
      <c r="B33">
        <v>751</v>
      </c>
      <c r="C33">
        <v>195</v>
      </c>
      <c r="D33">
        <v>0.38407508665723</v>
      </c>
      <c r="E33">
        <v>17.835572705890101</v>
      </c>
      <c r="F33">
        <v>2.5650305175869899</v>
      </c>
      <c r="G33">
        <v>-288.58267577553789</v>
      </c>
      <c r="H33">
        <v>-250.2290436418684</v>
      </c>
      <c r="I33">
        <v>37.449233153023798</v>
      </c>
      <c r="J33">
        <v>21.8003500168087</v>
      </c>
      <c r="K33">
        <v>6.9533569225010998</v>
      </c>
      <c r="L33">
        <v>3.1603890049417058E-5</v>
      </c>
      <c r="M33">
        <v>1.8216474219083804E-6</v>
      </c>
      <c r="N33" s="1">
        <v>-2.9354894028130202E-7</v>
      </c>
      <c r="O33" s="1">
        <v>6.1628048147109298E-11</v>
      </c>
      <c r="P33" s="1">
        <v>1.00146620618916E-9</v>
      </c>
      <c r="Q33">
        <v>65.634180812745498</v>
      </c>
      <c r="S33">
        <v>20.994749413952199</v>
      </c>
      <c r="AA33">
        <v>2.0060444196264702</v>
      </c>
      <c r="AB33">
        <v>8.9676407260319202</v>
      </c>
      <c r="AC33">
        <v>2.39738462764379</v>
      </c>
      <c r="AJ33">
        <v>0.76952442481432304</v>
      </c>
      <c r="AK33">
        <v>9.5125191479130095E-2</v>
      </c>
      <c r="AL33">
        <v>0.13535038370654501</v>
      </c>
    </row>
    <row r="34" spans="1:38" x14ac:dyDescent="0.2">
      <c r="A34">
        <v>77</v>
      </c>
      <c r="B34">
        <v>750</v>
      </c>
      <c r="C34">
        <v>195</v>
      </c>
      <c r="D34">
        <v>0.38340468162048602</v>
      </c>
      <c r="E34">
        <v>18.5457133600204</v>
      </c>
      <c r="F34">
        <v>2.56530324262889</v>
      </c>
      <c r="G34">
        <v>-300.05186063745498</v>
      </c>
      <c r="H34">
        <v>-260.23281817566362</v>
      </c>
      <c r="I34">
        <v>38.9180887081965</v>
      </c>
      <c r="J34">
        <v>22.678079615282702</v>
      </c>
      <c r="K34">
        <v>7.2294429180290498</v>
      </c>
      <c r="L34">
        <v>3.1649871174358287E-5</v>
      </c>
      <c r="M34">
        <v>1.8217106168613968E-6</v>
      </c>
      <c r="N34" s="1">
        <v>-3.1521367711477003E-7</v>
      </c>
      <c r="O34" s="1">
        <v>6.3977454996126901E-11</v>
      </c>
      <c r="P34" s="1">
        <v>1.06999325308923E-9</v>
      </c>
      <c r="Q34">
        <v>65.624306606209203</v>
      </c>
      <c r="S34">
        <v>21.005678713096099</v>
      </c>
      <c r="AA34">
        <v>2.0173652144334602</v>
      </c>
      <c r="AB34">
        <v>8.97428916481112</v>
      </c>
      <c r="AC34">
        <v>2.3783603014499999</v>
      </c>
      <c r="AJ34">
        <v>0.77006931651305699</v>
      </c>
      <c r="AK34">
        <v>9.5658833037147298E-2</v>
      </c>
      <c r="AL34">
        <v>0.13427185044979401</v>
      </c>
    </row>
    <row r="35" spans="1:38" x14ac:dyDescent="0.2">
      <c r="A35">
        <v>79</v>
      </c>
      <c r="B35">
        <v>766</v>
      </c>
      <c r="C35">
        <v>175</v>
      </c>
      <c r="D35">
        <v>0.41514747630275201</v>
      </c>
      <c r="E35">
        <v>6.8627879627855701E-2</v>
      </c>
      <c r="F35">
        <v>2.56613681553495</v>
      </c>
      <c r="G35">
        <v>-1.1145811129251089</v>
      </c>
      <c r="H35">
        <v>-0.96354057031833695</v>
      </c>
      <c r="I35">
        <v>0.14535008671199701</v>
      </c>
      <c r="J35">
        <v>8.3601090719147994E-2</v>
      </c>
      <c r="K35">
        <v>2.6743655760049199E-2</v>
      </c>
      <c r="L35">
        <v>3.116995202906558E-5</v>
      </c>
      <c r="M35">
        <v>1.8200247433037321E-6</v>
      </c>
      <c r="N35" s="1">
        <v>-7.1800557622000602E-10</v>
      </c>
      <c r="O35" s="1">
        <v>2.3943856958551999E-13</v>
      </c>
      <c r="P35" s="1">
        <v>2.6677807847602601E-12</v>
      </c>
      <c r="Q35">
        <v>65.544676775100896</v>
      </c>
      <c r="S35">
        <v>21.152186221942401</v>
      </c>
      <c r="AA35">
        <v>2.15681594182819</v>
      </c>
      <c r="AB35">
        <v>9.1809268374833497</v>
      </c>
      <c r="AC35">
        <v>1.9653942236450499</v>
      </c>
      <c r="AJ35">
        <v>0.78699042205910996</v>
      </c>
      <c r="AK35">
        <v>0.10216609535718001</v>
      </c>
      <c r="AL35">
        <v>0.110843482583709</v>
      </c>
    </row>
    <row r="36" spans="1:38" x14ac:dyDescent="0.2">
      <c r="A36">
        <v>80</v>
      </c>
      <c r="B36">
        <v>765</v>
      </c>
      <c r="C36">
        <v>175</v>
      </c>
      <c r="D36">
        <v>0.41451668833983701</v>
      </c>
      <c r="E36">
        <v>0.50986374189198502</v>
      </c>
      <c r="F36">
        <v>2.5656055943371001</v>
      </c>
      <c r="G36">
        <v>-8.2784421126088201</v>
      </c>
      <c r="H36">
        <v>-7.1579453888261986</v>
      </c>
      <c r="I36">
        <v>1.0793206413163901</v>
      </c>
      <c r="J36">
        <v>0.621227110533074</v>
      </c>
      <c r="K36">
        <v>0.19873036721519999</v>
      </c>
      <c r="L36">
        <v>3.1209693440375229E-5</v>
      </c>
      <c r="M36">
        <v>1.821072537643401E-6</v>
      </c>
      <c r="N36" s="1">
        <v>-5.49802485157346E-9</v>
      </c>
      <c r="O36" s="1">
        <v>1.77941360818713E-12</v>
      </c>
      <c r="P36" s="1">
        <v>2.0293013583617601E-11</v>
      </c>
      <c r="Q36">
        <v>65.590888887732106</v>
      </c>
      <c r="S36">
        <v>21.111558285107801</v>
      </c>
      <c r="AA36">
        <v>2.1125145132203902</v>
      </c>
      <c r="AB36">
        <v>9.1773966342833493</v>
      </c>
      <c r="AC36">
        <v>2.0076416796562899</v>
      </c>
      <c r="AJ36">
        <v>0.78670234061911004</v>
      </c>
      <c r="AK36">
        <v>0.100069431421207</v>
      </c>
      <c r="AL36">
        <v>0.113228227959682</v>
      </c>
    </row>
    <row r="37" spans="1:38" x14ac:dyDescent="0.2">
      <c r="A37">
        <v>81</v>
      </c>
      <c r="B37">
        <v>764</v>
      </c>
      <c r="C37">
        <v>175</v>
      </c>
      <c r="D37">
        <v>0.41388468398978101</v>
      </c>
      <c r="E37">
        <v>0.95299566867432794</v>
      </c>
      <c r="F37">
        <v>2.5650784962522399</v>
      </c>
      <c r="G37">
        <v>-15.469196282770604</v>
      </c>
      <c r="H37">
        <v>-13.377935064903616</v>
      </c>
      <c r="I37">
        <v>2.01635367870316</v>
      </c>
      <c r="J37">
        <v>1.16137694052757</v>
      </c>
      <c r="K37">
        <v>0.37152690261398202</v>
      </c>
      <c r="L37">
        <v>3.1248956815318832E-5</v>
      </c>
      <c r="M37">
        <v>1.8220827282723202E-6</v>
      </c>
      <c r="N37" s="1">
        <v>-1.05901478706142E-8</v>
      </c>
      <c r="O37" s="1">
        <v>3.32681044910171E-12</v>
      </c>
      <c r="P37" s="1">
        <v>3.8835982905160802E-11</v>
      </c>
      <c r="Q37">
        <v>65.635657695302498</v>
      </c>
      <c r="S37">
        <v>21.0716974081502</v>
      </c>
      <c r="AA37">
        <v>2.06918269236987</v>
      </c>
      <c r="AB37">
        <v>9.1726610503347406</v>
      </c>
      <c r="AC37">
        <v>2.0508011538425399</v>
      </c>
      <c r="AJ37">
        <v>0.78631560631272401</v>
      </c>
      <c r="AK37">
        <v>9.8019205301787607E-2</v>
      </c>
      <c r="AL37">
        <v>0.11566518838548701</v>
      </c>
    </row>
    <row r="38" spans="1:38" x14ac:dyDescent="0.2">
      <c r="A38">
        <v>82</v>
      </c>
      <c r="B38">
        <v>763</v>
      </c>
      <c r="C38">
        <v>175</v>
      </c>
      <c r="D38">
        <v>0.41325145973073701</v>
      </c>
      <c r="E38">
        <v>1.39785586102833</v>
      </c>
      <c r="F38">
        <v>2.5645553089089699</v>
      </c>
      <c r="G38">
        <v>-22.684043429849009</v>
      </c>
      <c r="H38">
        <v>-19.621106692800815</v>
      </c>
      <c r="I38">
        <v>2.9560746388536301</v>
      </c>
      <c r="J38">
        <v>1.70385173305811</v>
      </c>
      <c r="K38">
        <v>0.54506754296635296</v>
      </c>
      <c r="L38">
        <v>3.1287755779631418E-5</v>
      </c>
      <c r="M38">
        <v>1.8230556791127399E-6</v>
      </c>
      <c r="N38" s="1">
        <v>-1.6005460513337701E-8</v>
      </c>
      <c r="O38" s="1">
        <v>4.8808894381571097E-12</v>
      </c>
      <c r="P38" s="1">
        <v>5.8326385404299201E-11</v>
      </c>
      <c r="Q38">
        <v>65.678999109936498</v>
      </c>
      <c r="S38">
        <v>21.032588071830801</v>
      </c>
      <c r="AA38">
        <v>2.02680396286903</v>
      </c>
      <c r="AB38">
        <v>9.1667148592506997</v>
      </c>
      <c r="AC38">
        <v>2.0948939961128898</v>
      </c>
      <c r="AJ38">
        <v>0.78582977761404404</v>
      </c>
      <c r="AK38">
        <v>9.6014603840546803E-2</v>
      </c>
      <c r="AL38">
        <v>0.118155618545409</v>
      </c>
    </row>
    <row r="39" spans="1:38" x14ac:dyDescent="0.2">
      <c r="A39">
        <v>83</v>
      </c>
      <c r="B39">
        <v>762</v>
      </c>
      <c r="C39">
        <v>175</v>
      </c>
      <c r="D39">
        <v>0.41261701202724399</v>
      </c>
      <c r="E39">
        <v>2.4087606376604498</v>
      </c>
      <c r="F39">
        <v>2.5632086757772998</v>
      </c>
      <c r="G39">
        <v>-39.067626328595658</v>
      </c>
      <c r="H39">
        <v>-33.797402098551672</v>
      </c>
      <c r="I39">
        <v>5.0912662223291196</v>
      </c>
      <c r="J39">
        <v>2.9361122416563599</v>
      </c>
      <c r="K39">
        <v>0.93974425899209602</v>
      </c>
      <c r="L39">
        <v>3.131638407821921E-5</v>
      </c>
      <c r="M39">
        <v>1.8245399730692624E-6</v>
      </c>
      <c r="N39" s="1">
        <v>-2.8297785759805502E-8</v>
      </c>
      <c r="O39" s="1">
        <v>8.4246904054878603E-12</v>
      </c>
      <c r="P39" s="1">
        <v>1.02559734752547E-10</v>
      </c>
      <c r="Q39">
        <v>65.761417336222294</v>
      </c>
      <c r="S39">
        <v>20.947854452736799</v>
      </c>
      <c r="AA39">
        <v>1.9376666931392099</v>
      </c>
      <c r="AB39">
        <v>9.1282392588631698</v>
      </c>
      <c r="AC39">
        <v>2.2248222590383402</v>
      </c>
      <c r="AJ39">
        <v>0.78268233942534504</v>
      </c>
      <c r="AK39">
        <v>9.1809661075096693E-2</v>
      </c>
      <c r="AL39">
        <v>0.12550799949955799</v>
      </c>
    </row>
    <row r="40" spans="1:38" x14ac:dyDescent="0.2">
      <c r="A40">
        <v>84</v>
      </c>
      <c r="B40">
        <v>761</v>
      </c>
      <c r="C40">
        <v>175</v>
      </c>
      <c r="D40">
        <v>0.411981337330175</v>
      </c>
      <c r="E40">
        <v>3.8904339269371002</v>
      </c>
      <c r="F40">
        <v>2.5610736930940501</v>
      </c>
      <c r="G40">
        <v>-63.046591544374664</v>
      </c>
      <c r="H40">
        <v>-54.547433790953832</v>
      </c>
      <c r="I40">
        <v>8.2184961112225796</v>
      </c>
      <c r="J40">
        <v>4.7411476256573399</v>
      </c>
      <c r="K40">
        <v>1.51906364015517</v>
      </c>
      <c r="L40">
        <v>3.1323405057972134E-5</v>
      </c>
      <c r="M40">
        <v>1.8261964682567648E-6</v>
      </c>
      <c r="N40" s="1">
        <v>-4.6629595779225301E-8</v>
      </c>
      <c r="O40" s="1">
        <v>1.3647980624895099E-11</v>
      </c>
      <c r="P40" s="1">
        <v>1.6825618764347E-10</v>
      </c>
      <c r="Q40">
        <v>65.870663545514702</v>
      </c>
      <c r="S40">
        <v>20.823988821229602</v>
      </c>
      <c r="AA40">
        <v>1.80998516941611</v>
      </c>
      <c r="AB40">
        <v>9.0469587220965906</v>
      </c>
      <c r="AC40">
        <v>2.4484037417428799</v>
      </c>
      <c r="AJ40">
        <v>0.77602830569429004</v>
      </c>
      <c r="AK40">
        <v>8.5794759346238703E-2</v>
      </c>
      <c r="AL40">
        <v>0.13817693495947</v>
      </c>
    </row>
    <row r="41" spans="1:38" x14ac:dyDescent="0.2">
      <c r="A41">
        <v>85</v>
      </c>
      <c r="B41">
        <v>760</v>
      </c>
      <c r="C41">
        <v>175</v>
      </c>
      <c r="D41">
        <v>0.41134443207665999</v>
      </c>
      <c r="E41">
        <v>5.6077260700017098</v>
      </c>
      <c r="F41">
        <v>2.5583532331739298</v>
      </c>
      <c r="G41">
        <v>-90.777439675926047</v>
      </c>
      <c r="H41">
        <v>-78.546346347467662</v>
      </c>
      <c r="I41">
        <v>11.8386423350514</v>
      </c>
      <c r="J41">
        <v>6.8306582694970697</v>
      </c>
      <c r="K41">
        <v>2.1919279938699701</v>
      </c>
      <c r="L41">
        <v>3.1298400610974519E-5</v>
      </c>
      <c r="M41">
        <v>1.8275569747769959E-6</v>
      </c>
      <c r="N41" s="1">
        <v>-6.8133093672282796E-8</v>
      </c>
      <c r="O41" s="1">
        <v>1.9750976884650302E-11</v>
      </c>
      <c r="P41" s="1">
        <v>2.45054301267228E-10</v>
      </c>
      <c r="Q41">
        <v>65.985670694597204</v>
      </c>
      <c r="S41">
        <v>20.677009545535501</v>
      </c>
      <c r="AA41">
        <v>1.6618904160311001</v>
      </c>
      <c r="AB41">
        <v>8.9179207075483102</v>
      </c>
      <c r="AC41">
        <v>2.7575086362878301</v>
      </c>
      <c r="AJ41">
        <v>0.76545259321222203</v>
      </c>
      <c r="AK41">
        <v>7.8825705379639802E-2</v>
      </c>
      <c r="AL41">
        <v>0.15572170140813699</v>
      </c>
    </row>
    <row r="42" spans="1:38" x14ac:dyDescent="0.2">
      <c r="A42">
        <v>86</v>
      </c>
      <c r="B42">
        <v>759</v>
      </c>
      <c r="C42">
        <v>175</v>
      </c>
      <c r="D42">
        <v>0.41070629269001901</v>
      </c>
      <c r="E42">
        <v>8.1301885389997697</v>
      </c>
      <c r="F42">
        <v>2.5591637921700698</v>
      </c>
      <c r="G42">
        <v>-131.60663180340927</v>
      </c>
      <c r="H42">
        <v>-113.90223826414176</v>
      </c>
      <c r="I42">
        <v>17.1529269382042</v>
      </c>
      <c r="J42">
        <v>9.9050741024473297</v>
      </c>
      <c r="K42">
        <v>3.17689260995119</v>
      </c>
      <c r="L42">
        <v>3.1299167241996957E-5</v>
      </c>
      <c r="M42">
        <v>1.8262591983529965E-6</v>
      </c>
      <c r="N42" s="1">
        <v>-1.0164448598565099E-7</v>
      </c>
      <c r="O42" s="1">
        <v>2.8573284324505E-11</v>
      </c>
      <c r="P42" s="1">
        <v>3.6357238537273698E-10</v>
      </c>
      <c r="Q42">
        <v>65.916616075644797</v>
      </c>
      <c r="S42">
        <v>20.7294891099964</v>
      </c>
      <c r="AA42">
        <v>1.7212995453545601</v>
      </c>
      <c r="AB42">
        <v>8.9016181928169296</v>
      </c>
      <c r="AC42">
        <v>2.7309770761871701</v>
      </c>
      <c r="AJ42">
        <v>0.76411421869065599</v>
      </c>
      <c r="AK42">
        <v>8.1650070277179507E-2</v>
      </c>
      <c r="AL42">
        <v>0.15423571103216399</v>
      </c>
    </row>
    <row r="43" spans="1:38" x14ac:dyDescent="0.2">
      <c r="A43">
        <v>87</v>
      </c>
      <c r="B43">
        <v>758</v>
      </c>
      <c r="C43">
        <v>175</v>
      </c>
      <c r="D43">
        <v>0.41006691557969399</v>
      </c>
      <c r="E43">
        <v>10.0613485023246</v>
      </c>
      <c r="F43">
        <v>2.5603384435243299</v>
      </c>
      <c r="G43">
        <v>-162.88796969590163</v>
      </c>
      <c r="H43">
        <v>-141.01272331952038</v>
      </c>
      <c r="I43">
        <v>21.214417278166302</v>
      </c>
      <c r="J43">
        <v>12.2622347367119</v>
      </c>
      <c r="K43">
        <v>3.9296947353862599</v>
      </c>
      <c r="L43">
        <v>3.1319158494126802E-5</v>
      </c>
      <c r="M43">
        <v>1.8250701200075739E-6</v>
      </c>
      <c r="N43" s="1">
        <v>-1.29937004770456E-7</v>
      </c>
      <c r="O43" s="1">
        <v>3.52594204798282E-11</v>
      </c>
      <c r="P43" s="1">
        <v>4.6196856581106101E-10</v>
      </c>
      <c r="Q43">
        <v>65.841434255135496</v>
      </c>
      <c r="S43">
        <v>20.7979982372755</v>
      </c>
      <c r="AA43">
        <v>1.79536292685167</v>
      </c>
      <c r="AB43">
        <v>8.9136851208565009</v>
      </c>
      <c r="AC43">
        <v>2.6515194598806699</v>
      </c>
      <c r="AJ43">
        <v>0.76510294960274505</v>
      </c>
      <c r="AK43">
        <v>8.5158034909893404E-2</v>
      </c>
      <c r="AL43">
        <v>0.14973901548735999</v>
      </c>
    </row>
    <row r="44" spans="1:38" x14ac:dyDescent="0.2">
      <c r="A44">
        <v>88</v>
      </c>
      <c r="B44">
        <v>757</v>
      </c>
      <c r="C44">
        <v>175</v>
      </c>
      <c r="D44">
        <v>0.40942629714119499</v>
      </c>
      <c r="E44">
        <v>14.1680277829416</v>
      </c>
      <c r="F44">
        <v>2.56212672074335</v>
      </c>
      <c r="G44">
        <v>-229.42869022192113</v>
      </c>
      <c r="H44">
        <v>-198.67502654091408</v>
      </c>
      <c r="I44">
        <v>29.853578295400698</v>
      </c>
      <c r="J44">
        <v>17.273367008425399</v>
      </c>
      <c r="K44">
        <v>5.5297919764214498</v>
      </c>
      <c r="L44">
        <v>3.132225865897031E-5</v>
      </c>
      <c r="M44">
        <v>1.8228438417478672E-6</v>
      </c>
      <c r="N44" s="1">
        <v>-1.88900513335202E-7</v>
      </c>
      <c r="O44" s="1">
        <v>4.9453827676524799E-11</v>
      </c>
      <c r="P44" s="1">
        <v>6.6774767523150798E-10</v>
      </c>
      <c r="Q44">
        <v>65.714880740139904</v>
      </c>
      <c r="S44">
        <v>20.9087084496824</v>
      </c>
      <c r="AA44">
        <v>1.91622951829614</v>
      </c>
      <c r="AB44">
        <v>8.9219086133513592</v>
      </c>
      <c r="AC44">
        <v>2.5382726785300598</v>
      </c>
      <c r="AJ44">
        <v>0.76577553319276803</v>
      </c>
      <c r="AK44">
        <v>9.0887055180797496E-2</v>
      </c>
      <c r="AL44">
        <v>0.14333741162643401</v>
      </c>
    </row>
    <row r="45" spans="1:38" x14ac:dyDescent="0.2">
      <c r="A45">
        <v>89</v>
      </c>
      <c r="B45">
        <v>756</v>
      </c>
      <c r="C45">
        <v>175</v>
      </c>
      <c r="D45">
        <v>0.40878443375601398</v>
      </c>
      <c r="E45">
        <v>16.4653661470347</v>
      </c>
      <c r="F45">
        <v>2.56312392182826</v>
      </c>
      <c r="G45">
        <v>-266.65019074070887</v>
      </c>
      <c r="H45">
        <v>-230.96664256095093</v>
      </c>
      <c r="I45">
        <v>34.672835038388797</v>
      </c>
      <c r="J45">
        <v>20.081099636000801</v>
      </c>
      <c r="K45">
        <v>6.4239446274177903</v>
      </c>
      <c r="L45">
        <v>3.1341736128589959E-5</v>
      </c>
      <c r="M45">
        <v>1.8217403513149641E-6</v>
      </c>
      <c r="N45" s="1">
        <v>-2.26585893202929E-7</v>
      </c>
      <c r="O45" s="1">
        <v>5.7320823388794203E-11</v>
      </c>
      <c r="P45" s="1">
        <v>7.9643504290427696E-10</v>
      </c>
      <c r="Q45">
        <v>65.647221678379793</v>
      </c>
      <c r="S45">
        <v>20.9682641024548</v>
      </c>
      <c r="AA45">
        <v>1.9811508587375199</v>
      </c>
      <c r="AB45">
        <v>8.9272669084587193</v>
      </c>
      <c r="AC45">
        <v>2.4760964519690898</v>
      </c>
      <c r="AJ45">
        <v>0.76621397386615897</v>
      </c>
      <c r="AK45">
        <v>9.3963651616364399E-2</v>
      </c>
      <c r="AL45">
        <v>0.13982237451747601</v>
      </c>
    </row>
    <row r="46" spans="1:38" x14ac:dyDescent="0.2">
      <c r="A46">
        <v>90</v>
      </c>
      <c r="B46">
        <v>755</v>
      </c>
      <c r="C46">
        <v>175</v>
      </c>
      <c r="D46">
        <v>0.40814132179156798</v>
      </c>
      <c r="E46">
        <v>17.584036320435398</v>
      </c>
      <c r="F46">
        <v>2.5636649327065402</v>
      </c>
      <c r="G46">
        <v>-284.76165386696954</v>
      </c>
      <c r="H46">
        <v>-246.71309521668562</v>
      </c>
      <c r="I46">
        <v>37.006816758531201</v>
      </c>
      <c r="J46">
        <v>21.452980345482398</v>
      </c>
      <c r="K46">
        <v>6.8589448239132302</v>
      </c>
      <c r="L46">
        <v>3.1373423326385101E-5</v>
      </c>
      <c r="M46">
        <v>1.82134909864647E-6</v>
      </c>
      <c r="N46" s="1">
        <v>-2.4979821672352402E-7</v>
      </c>
      <c r="O46" s="1">
        <v>6.1100099185027404E-11</v>
      </c>
      <c r="P46" s="1">
        <v>8.7310874859965499E-10</v>
      </c>
      <c r="Q46">
        <v>65.615612104978595</v>
      </c>
      <c r="S46">
        <v>20.997378747707</v>
      </c>
      <c r="AA46">
        <v>2.0125464010033198</v>
      </c>
      <c r="AB46">
        <v>8.9331544966625192</v>
      </c>
      <c r="AC46">
        <v>2.4413082496484799</v>
      </c>
      <c r="AJ46">
        <v>0.76669635266207903</v>
      </c>
      <c r="AK46">
        <v>9.5449848779825305E-2</v>
      </c>
      <c r="AL46">
        <v>0.13785379855809399</v>
      </c>
    </row>
    <row r="47" spans="1:38" x14ac:dyDescent="0.2">
      <c r="A47">
        <v>91</v>
      </c>
      <c r="B47">
        <v>754</v>
      </c>
      <c r="C47">
        <v>175</v>
      </c>
      <c r="D47">
        <v>0.40749695760112897</v>
      </c>
      <c r="E47">
        <v>18.1264686556623</v>
      </c>
      <c r="F47">
        <v>2.5639729490902798</v>
      </c>
      <c r="G47">
        <v>-293.52755903013696</v>
      </c>
      <c r="H47">
        <v>-254.36569738212472</v>
      </c>
      <c r="I47">
        <v>38.126721168293102</v>
      </c>
      <c r="J47">
        <v>22.122878078848</v>
      </c>
      <c r="K47">
        <v>7.0696801470131501</v>
      </c>
      <c r="L47">
        <v>3.1412519295946003E-5</v>
      </c>
      <c r="M47">
        <v>1.8213392062665096E-6</v>
      </c>
      <c r="N47" s="1">
        <v>-2.65869643211281E-7</v>
      </c>
      <c r="O47" s="1">
        <v>6.2889999198534199E-11</v>
      </c>
      <c r="P47" s="1">
        <v>9.2414931750903795E-10</v>
      </c>
      <c r="Q47">
        <v>65.602935507334394</v>
      </c>
      <c r="S47">
        <v>21.0107069667499</v>
      </c>
      <c r="AA47">
        <v>2.0265002289438701</v>
      </c>
      <c r="AB47">
        <v>8.9398470375121999</v>
      </c>
      <c r="AC47">
        <v>2.4200102594595099</v>
      </c>
      <c r="AJ47">
        <v>0.76724500525181405</v>
      </c>
      <c r="AK47">
        <v>9.6108418169529197E-2</v>
      </c>
      <c r="AL47">
        <v>0.136646576578655</v>
      </c>
    </row>
    <row r="48" spans="1:38" x14ac:dyDescent="0.2">
      <c r="A48">
        <v>93</v>
      </c>
      <c r="B48">
        <v>774</v>
      </c>
      <c r="C48">
        <v>155</v>
      </c>
      <c r="D48">
        <v>0.44115981473524002</v>
      </c>
      <c r="E48">
        <v>0.27974491811415098</v>
      </c>
      <c r="F48">
        <v>2.5644549045849301</v>
      </c>
      <c r="G48">
        <v>-4.5503287485922463</v>
      </c>
      <c r="H48">
        <v>-3.9270815624087834</v>
      </c>
      <c r="I48">
        <v>0.59518424885017696</v>
      </c>
      <c r="J48">
        <v>0.34024703338030998</v>
      </c>
      <c r="K48">
        <v>0.109085528317928</v>
      </c>
      <c r="L48">
        <v>3.0958641456254952E-5</v>
      </c>
      <c r="M48">
        <v>1.8204744477856152E-6</v>
      </c>
      <c r="N48" s="1">
        <v>-2.2543397839868602E-9</v>
      </c>
      <c r="O48" s="1">
        <v>9.8213474451478208E-13</v>
      </c>
      <c r="P48" s="1">
        <v>8.9149060583851102E-12</v>
      </c>
      <c r="Q48">
        <v>65.5642177528714</v>
      </c>
      <c r="S48">
        <v>21.140689461121902</v>
      </c>
      <c r="AA48">
        <v>2.1427713764133798</v>
      </c>
      <c r="AB48">
        <v>9.1943326055277694</v>
      </c>
      <c r="AC48">
        <v>1.9579888040654201</v>
      </c>
      <c r="AJ48">
        <v>0.78808737901047898</v>
      </c>
      <c r="AK48">
        <v>0.10149409812930101</v>
      </c>
      <c r="AL48">
        <v>0.110418522860218</v>
      </c>
    </row>
    <row r="49" spans="1:38" x14ac:dyDescent="0.2">
      <c r="A49">
        <v>94</v>
      </c>
      <c r="B49">
        <v>773</v>
      </c>
      <c r="C49">
        <v>155</v>
      </c>
      <c r="D49">
        <v>0.440558715289395</v>
      </c>
      <c r="E49">
        <v>0.70508355125946698</v>
      </c>
      <c r="F49">
        <v>2.5639631069828299</v>
      </c>
      <c r="G49">
        <v>-11.465917054660064</v>
      </c>
      <c r="H49">
        <v>-9.8973347288869427</v>
      </c>
      <c r="I49">
        <v>1.4993856767892899</v>
      </c>
      <c r="J49">
        <v>0.85768988067720198</v>
      </c>
      <c r="K49">
        <v>0.27499754163357698</v>
      </c>
      <c r="L49">
        <v>3.0991639705272575E-5</v>
      </c>
      <c r="M49">
        <v>1.8214505778010996E-6</v>
      </c>
      <c r="N49" s="1">
        <v>-5.8573656077535103E-9</v>
      </c>
      <c r="O49" s="1">
        <v>2.4763973705168801E-12</v>
      </c>
      <c r="P49" s="1">
        <v>2.29790269935778E-11</v>
      </c>
      <c r="Q49">
        <v>65.607549862734402</v>
      </c>
      <c r="S49">
        <v>21.1026871220087</v>
      </c>
      <c r="AA49">
        <v>2.1013081020835198</v>
      </c>
      <c r="AB49">
        <v>9.1912678163561008</v>
      </c>
      <c r="AC49">
        <v>1.9971870968171801</v>
      </c>
      <c r="AJ49">
        <v>0.78783736303840601</v>
      </c>
      <c r="AK49">
        <v>9.9531758664583303E-2</v>
      </c>
      <c r="AL49">
        <v>0.112630878297009</v>
      </c>
    </row>
    <row r="50" spans="1:38" x14ac:dyDescent="0.2">
      <c r="A50">
        <v>95</v>
      </c>
      <c r="B50">
        <v>772</v>
      </c>
      <c r="C50">
        <v>155</v>
      </c>
      <c r="D50">
        <v>0.43995646557910401</v>
      </c>
      <c r="E50">
        <v>1.13181392407924</v>
      </c>
      <c r="F50">
        <v>2.5634759955206898</v>
      </c>
      <c r="G50">
        <v>-18.400519437145483</v>
      </c>
      <c r="H50">
        <v>-15.886272104577957</v>
      </c>
      <c r="I50">
        <v>2.4056330025044401</v>
      </c>
      <c r="J50">
        <v>1.3769654819548101</v>
      </c>
      <c r="K50">
        <v>0.44151531984575998</v>
      </c>
      <c r="L50">
        <v>3.10241602884933E-5</v>
      </c>
      <c r="M50">
        <v>1.8223923905678374E-6</v>
      </c>
      <c r="N50" s="1">
        <v>-9.6908014575521699E-9</v>
      </c>
      <c r="O50" s="1">
        <v>3.9766085721441904E-12</v>
      </c>
      <c r="P50" s="1">
        <v>3.7723593874110401E-11</v>
      </c>
      <c r="Q50">
        <v>65.649547206524304</v>
      </c>
      <c r="S50">
        <v>21.065422794193001</v>
      </c>
      <c r="AA50">
        <v>2.0607651440464498</v>
      </c>
      <c r="AB50">
        <v>9.1871633651223004</v>
      </c>
      <c r="AC50">
        <v>2.03710149011384</v>
      </c>
      <c r="AJ50">
        <v>0.78750226908513798</v>
      </c>
      <c r="AK50">
        <v>9.7613450597149196E-2</v>
      </c>
      <c r="AL50">
        <v>0.114884280317712</v>
      </c>
    </row>
    <row r="51" spans="1:38" x14ac:dyDescent="0.2">
      <c r="A51">
        <v>96</v>
      </c>
      <c r="B51">
        <v>771</v>
      </c>
      <c r="C51">
        <v>155</v>
      </c>
      <c r="D51">
        <v>0.43935306229947801</v>
      </c>
      <c r="E51">
        <v>1.55977814660251</v>
      </c>
      <c r="F51">
        <v>2.5629934194143802</v>
      </c>
      <c r="G51">
        <v>-25.351513994849693</v>
      </c>
      <c r="H51">
        <v>-21.891645043798178</v>
      </c>
      <c r="I51">
        <v>3.3135746310889398</v>
      </c>
      <c r="J51">
        <v>1.8978853542348799</v>
      </c>
      <c r="K51">
        <v>0.60857672703619503</v>
      </c>
      <c r="L51">
        <v>3.1056219222793702E-5</v>
      </c>
      <c r="M51">
        <v>1.823300308245431E-6</v>
      </c>
      <c r="N51" s="1">
        <v>-1.3762362795362199E-8</v>
      </c>
      <c r="O51" s="1">
        <v>5.4820865089192504E-12</v>
      </c>
      <c r="P51" s="1">
        <v>5.3169065650978798E-11</v>
      </c>
      <c r="Q51">
        <v>65.690226344103607</v>
      </c>
      <c r="S51">
        <v>21.028883041205599</v>
      </c>
      <c r="AA51">
        <v>2.0211275530600301</v>
      </c>
      <c r="AB51">
        <v>9.1820209291411405</v>
      </c>
      <c r="AC51">
        <v>2.0777421324895</v>
      </c>
      <c r="AJ51">
        <v>0.78708222404476003</v>
      </c>
      <c r="AK51">
        <v>9.5738438262102502E-2</v>
      </c>
      <c r="AL51">
        <v>0.117179337693136</v>
      </c>
    </row>
    <row r="52" spans="1:38" x14ac:dyDescent="0.2">
      <c r="A52">
        <v>97</v>
      </c>
      <c r="B52">
        <v>770</v>
      </c>
      <c r="C52">
        <v>155</v>
      </c>
      <c r="D52">
        <v>0.43874850213296301</v>
      </c>
      <c r="E52">
        <v>1.98882268679035</v>
      </c>
      <c r="F52">
        <v>2.5625152123899499</v>
      </c>
      <c r="G52">
        <v>-32.316351188383592</v>
      </c>
      <c r="H52">
        <v>-27.911265509211248</v>
      </c>
      <c r="I52">
        <v>4.2228688867107698</v>
      </c>
      <c r="J52">
        <v>2.4202664705551098</v>
      </c>
      <c r="K52">
        <v>0.77612131907519699</v>
      </c>
      <c r="L52">
        <v>3.1087833443831442E-5</v>
      </c>
      <c r="M52">
        <v>1.8241747880590107E-6</v>
      </c>
      <c r="N52" s="1">
        <v>-1.80799992969188E-8</v>
      </c>
      <c r="O52" s="1">
        <v>6.9921630862514001E-12</v>
      </c>
      <c r="P52" s="1">
        <v>6.9336564590681297E-11</v>
      </c>
      <c r="Q52">
        <v>65.729605450041703</v>
      </c>
      <c r="S52">
        <v>20.993053172880401</v>
      </c>
      <c r="AA52">
        <v>1.9823789687994799</v>
      </c>
      <c r="AB52">
        <v>9.1758424972858101</v>
      </c>
      <c r="AC52">
        <v>2.1191199109924499</v>
      </c>
      <c r="AJ52">
        <v>0.78657737773534098</v>
      </c>
      <c r="AK52">
        <v>9.3905920332458301E-2</v>
      </c>
      <c r="AL52">
        <v>0.119516701932199</v>
      </c>
    </row>
    <row r="53" spans="1:38" x14ac:dyDescent="0.2">
      <c r="A53">
        <v>98</v>
      </c>
      <c r="B53">
        <v>769</v>
      </c>
      <c r="C53">
        <v>155</v>
      </c>
      <c r="D53">
        <v>0.43814278174927401</v>
      </c>
      <c r="E53">
        <v>2.4187992062844801</v>
      </c>
      <c r="F53">
        <v>2.5620411942101602</v>
      </c>
      <c r="G53">
        <v>-39.29256727159904</v>
      </c>
      <c r="H53">
        <v>-33.943017715525443</v>
      </c>
      <c r="I53">
        <v>5.13318577563075</v>
      </c>
      <c r="J53">
        <v>2.9439322886447599</v>
      </c>
      <c r="K53">
        <v>0.944090677289115</v>
      </c>
      <c r="L53">
        <v>3.1119020695516981E-5</v>
      </c>
      <c r="M53">
        <v>1.8250163174285681E-6</v>
      </c>
      <c r="N53" s="1">
        <v>-2.2651913141996999E-8</v>
      </c>
      <c r="O53" s="1">
        <v>8.5061871996930507E-12</v>
      </c>
      <c r="P53" s="1">
        <v>8.6247933857434099E-11</v>
      </c>
      <c r="Q53">
        <v>65.7677041087221</v>
      </c>
      <c r="S53">
        <v>20.957917387732099</v>
      </c>
      <c r="AA53">
        <v>1.9445017851294299</v>
      </c>
      <c r="AB53">
        <v>9.1686302866566507</v>
      </c>
      <c r="AC53">
        <v>2.1612464317595701</v>
      </c>
      <c r="AJ53">
        <v>0.78598789609950703</v>
      </c>
      <c r="AK53">
        <v>9.2115037646582701E-2</v>
      </c>
      <c r="AL53">
        <v>0.121897066253909</v>
      </c>
    </row>
    <row r="54" spans="1:38" x14ac:dyDescent="0.2">
      <c r="A54">
        <v>99</v>
      </c>
      <c r="B54">
        <v>768</v>
      </c>
      <c r="C54">
        <v>155</v>
      </c>
      <c r="D54">
        <v>0.43753589780531399</v>
      </c>
      <c r="E54">
        <v>2.9720813299845701</v>
      </c>
      <c r="F54">
        <v>2.5613992412196498</v>
      </c>
      <c r="G54">
        <v>-48.2647958121443</v>
      </c>
      <c r="H54">
        <v>-41.701301558141395</v>
      </c>
      <c r="I54">
        <v>6.30408130817165</v>
      </c>
      <c r="J54">
        <v>3.6177104318941899</v>
      </c>
      <c r="K54">
        <v>1.1603350552135501</v>
      </c>
      <c r="L54">
        <v>3.1147574312623749E-5</v>
      </c>
      <c r="M54">
        <v>1.8259294177414681E-6</v>
      </c>
      <c r="N54" s="1">
        <v>-2.8641576366394299E-8</v>
      </c>
      <c r="O54" s="1">
        <v>1.04576095492769E-11</v>
      </c>
      <c r="P54" s="1">
        <v>1.08312507486922E-10</v>
      </c>
      <c r="Q54">
        <v>65.812601647317095</v>
      </c>
      <c r="S54">
        <v>20.9139804677794</v>
      </c>
      <c r="AA54">
        <v>1.8977771494478299</v>
      </c>
      <c r="AB54">
        <v>9.15349569626032</v>
      </c>
      <c r="AC54">
        <v>2.2221450391952402</v>
      </c>
      <c r="AJ54">
        <v>0.78475019650623201</v>
      </c>
      <c r="AK54">
        <v>8.9908438468235402E-2</v>
      </c>
      <c r="AL54">
        <v>0.125341365025532</v>
      </c>
    </row>
    <row r="55" spans="1:38" x14ac:dyDescent="0.2">
      <c r="A55">
        <v>100</v>
      </c>
      <c r="B55">
        <v>767</v>
      </c>
      <c r="C55">
        <v>155</v>
      </c>
      <c r="D55">
        <v>0.43692784694515202</v>
      </c>
      <c r="E55">
        <v>4.4082171378419002</v>
      </c>
      <c r="F55">
        <v>2.5594645679524199</v>
      </c>
      <c r="G55">
        <v>-71.531819275912639</v>
      </c>
      <c r="H55">
        <v>-61.811454877998536</v>
      </c>
      <c r="I55">
        <v>9.3451563696717805</v>
      </c>
      <c r="J55">
        <v>5.3646183557845504</v>
      </c>
      <c r="K55">
        <v>1.7223200481218099</v>
      </c>
      <c r="L55">
        <v>3.115179060273773E-5</v>
      </c>
      <c r="M55">
        <v>1.8274000403400094E-6</v>
      </c>
      <c r="N55" s="1">
        <v>-4.3357917627082903E-8</v>
      </c>
      <c r="O55" s="1">
        <v>1.55535255439796E-11</v>
      </c>
      <c r="P55" s="1">
        <v>1.63132499007779E-10</v>
      </c>
      <c r="Q55">
        <v>65.910510501403806</v>
      </c>
      <c r="S55">
        <v>20.8020128168044</v>
      </c>
      <c r="AA55">
        <v>1.78255699833508</v>
      </c>
      <c r="AB55">
        <v>9.0781425741107995</v>
      </c>
      <c r="AC55">
        <v>2.4267771093458399</v>
      </c>
      <c r="AJ55">
        <v>0.77858308801035203</v>
      </c>
      <c r="AK55">
        <v>8.4481610179517094E-2</v>
      </c>
      <c r="AL55">
        <v>0.13693530181013</v>
      </c>
    </row>
    <row r="56" spans="1:38" x14ac:dyDescent="0.2">
      <c r="A56">
        <v>101</v>
      </c>
      <c r="B56">
        <v>766</v>
      </c>
      <c r="C56">
        <v>155</v>
      </c>
      <c r="D56">
        <v>0.43631862579993802</v>
      </c>
      <c r="E56">
        <v>6.0321218735249396</v>
      </c>
      <c r="F56">
        <v>2.5571075868653299</v>
      </c>
      <c r="G56">
        <v>-97.788827998222189</v>
      </c>
      <c r="H56">
        <v>-84.508721183908946</v>
      </c>
      <c r="I56">
        <v>12.779778486564201</v>
      </c>
      <c r="J56">
        <v>7.3377658481786803</v>
      </c>
      <c r="K56">
        <v>2.3589628784135299</v>
      </c>
      <c r="L56">
        <v>3.1131886179901525E-5</v>
      </c>
      <c r="M56">
        <v>1.8286059480886318E-6</v>
      </c>
      <c r="N56" s="1">
        <v>-6.0246672539607499E-8</v>
      </c>
      <c r="O56" s="1">
        <v>2.1356017447140499E-11</v>
      </c>
      <c r="P56" s="1">
        <v>2.25774585617441E-10</v>
      </c>
      <c r="Q56">
        <v>66.0107352212042</v>
      </c>
      <c r="S56">
        <v>20.674141460106</v>
      </c>
      <c r="AA56">
        <v>1.6536757515551701</v>
      </c>
      <c r="AB56">
        <v>8.9662566023558394</v>
      </c>
      <c r="AC56">
        <v>2.69519096477871</v>
      </c>
      <c r="AJ56">
        <v>0.76941675965214495</v>
      </c>
      <c r="AK56">
        <v>7.8417253408984602E-2</v>
      </c>
      <c r="AL56">
        <v>0.15216598693887001</v>
      </c>
    </row>
    <row r="57" spans="1:38" x14ac:dyDescent="0.2">
      <c r="A57">
        <v>102</v>
      </c>
      <c r="B57">
        <v>765</v>
      </c>
      <c r="C57">
        <v>155</v>
      </c>
      <c r="D57">
        <v>0.43570823098781702</v>
      </c>
      <c r="E57">
        <v>7.9702277168928903</v>
      </c>
      <c r="F57">
        <v>2.5546528087148102</v>
      </c>
      <c r="G57">
        <v>-129.06648834448052</v>
      </c>
      <c r="H57">
        <v>-111.54943647385814</v>
      </c>
      <c r="I57">
        <v>16.873334171962</v>
      </c>
      <c r="J57">
        <v>9.6892697229758902</v>
      </c>
      <c r="K57">
        <v>3.1198868549587901</v>
      </c>
      <c r="L57">
        <v>3.107762357661435E-5</v>
      </c>
      <c r="M57">
        <v>1.8289957954830509E-6</v>
      </c>
      <c r="N57" s="1">
        <v>-8.0374482489319304E-8</v>
      </c>
      <c r="O57" s="1">
        <v>2.83176055180842E-11</v>
      </c>
      <c r="P57" s="1">
        <v>3.0037598743688401E-10</v>
      </c>
      <c r="Q57">
        <v>66.086051428924705</v>
      </c>
      <c r="S57">
        <v>20.552431370197802</v>
      </c>
      <c r="AA57">
        <v>1.53568967373626</v>
      </c>
      <c r="AB57">
        <v>8.8150159088819091</v>
      </c>
      <c r="AC57">
        <v>3.0108116182591802</v>
      </c>
      <c r="AJ57">
        <v>0.75700906865308903</v>
      </c>
      <c r="AK57">
        <v>7.2877293594720005E-2</v>
      </c>
      <c r="AL57">
        <v>0.17011363775218999</v>
      </c>
    </row>
    <row r="58" spans="1:38" x14ac:dyDescent="0.2">
      <c r="A58">
        <v>103</v>
      </c>
      <c r="B58">
        <v>764</v>
      </c>
      <c r="C58">
        <v>155</v>
      </c>
      <c r="D58">
        <v>0.43509665911391998</v>
      </c>
      <c r="E58">
        <v>9.5250340251170904</v>
      </c>
      <c r="F58">
        <v>2.5565733469461498</v>
      </c>
      <c r="G58">
        <v>-154.29493680655432</v>
      </c>
      <c r="H58">
        <v>-133.39313982075598</v>
      </c>
      <c r="I58">
        <v>20.153108986933699</v>
      </c>
      <c r="J58">
        <v>11.5840321346171</v>
      </c>
      <c r="K58">
        <v>3.7257034054957998</v>
      </c>
      <c r="L58">
        <v>3.1090916793167806E-5</v>
      </c>
      <c r="M58">
        <v>1.8271303063612505E-6</v>
      </c>
      <c r="N58" s="1">
        <v>-9.9459228456602094E-8</v>
      </c>
      <c r="O58" s="1">
        <v>3.3710545695421298E-11</v>
      </c>
      <c r="P58" s="1">
        <v>3.68947402437929E-10</v>
      </c>
      <c r="Q58">
        <v>65.968748572488906</v>
      </c>
      <c r="S58">
        <v>20.663471247521802</v>
      </c>
      <c r="AA58">
        <v>1.65466972740246</v>
      </c>
      <c r="AB58">
        <v>8.8447182574161598</v>
      </c>
      <c r="AC58">
        <v>2.8683921951706299</v>
      </c>
      <c r="AJ58">
        <v>0.75944574520782804</v>
      </c>
      <c r="AK58">
        <v>7.8511786886891893E-2</v>
      </c>
      <c r="AL58">
        <v>0.16204246790527899</v>
      </c>
    </row>
    <row r="59" spans="1:38" x14ac:dyDescent="0.2">
      <c r="A59">
        <v>104</v>
      </c>
      <c r="B59">
        <v>763</v>
      </c>
      <c r="C59">
        <v>155</v>
      </c>
      <c r="D59">
        <v>0.43448390677026</v>
      </c>
      <c r="E59">
        <v>10.815780484021801</v>
      </c>
      <c r="F59">
        <v>2.5579006623043501</v>
      </c>
      <c r="G59">
        <v>-175.23414510514058</v>
      </c>
      <c r="H59">
        <v>-151.53679575843131</v>
      </c>
      <c r="I59">
        <v>22.8705779536836</v>
      </c>
      <c r="J59">
        <v>13.1582155335868</v>
      </c>
      <c r="K59">
        <v>4.2283817520411802</v>
      </c>
      <c r="L59">
        <v>3.1107176395088415E-5</v>
      </c>
      <c r="M59">
        <v>1.8258414169382584E-6</v>
      </c>
      <c r="N59" s="1">
        <v>-1.16749152387583E-7</v>
      </c>
      <c r="O59" s="1">
        <v>3.8166649363207601E-11</v>
      </c>
      <c r="P59" s="1">
        <v>4.30065042682638E-10</v>
      </c>
      <c r="Q59">
        <v>65.886707339152395</v>
      </c>
      <c r="S59">
        <v>20.7399756974031</v>
      </c>
      <c r="AA59">
        <v>1.736929882121</v>
      </c>
      <c r="AB59">
        <v>8.8624601294219492</v>
      </c>
      <c r="AC59">
        <v>2.77392695190145</v>
      </c>
      <c r="AJ59">
        <v>0.76090069422754003</v>
      </c>
      <c r="AK59">
        <v>8.2407504550897306E-2</v>
      </c>
      <c r="AL59">
        <v>0.15669180122156101</v>
      </c>
    </row>
    <row r="60" spans="1:38" x14ac:dyDescent="0.2">
      <c r="A60">
        <v>105</v>
      </c>
      <c r="B60">
        <v>762</v>
      </c>
      <c r="C60">
        <v>155</v>
      </c>
      <c r="D60">
        <v>0.433869970535674</v>
      </c>
      <c r="E60">
        <v>14.301787158745499</v>
      </c>
      <c r="F60">
        <v>2.5603008497423199</v>
      </c>
      <c r="G60">
        <v>-231.80280184353981</v>
      </c>
      <c r="H60">
        <v>-200.51902927255225</v>
      </c>
      <c r="I60">
        <v>30.221487292650799</v>
      </c>
      <c r="J60">
        <v>17.405181953073601</v>
      </c>
      <c r="K60">
        <v>5.5859791477962002</v>
      </c>
      <c r="L60">
        <v>3.1097153334894787E-5</v>
      </c>
      <c r="M60">
        <v>1.8228506770924006E-6</v>
      </c>
      <c r="N60" s="1">
        <v>-1.5950473785291699E-7</v>
      </c>
      <c r="O60" s="1">
        <v>5.0224356576855903E-11</v>
      </c>
      <c r="P60" s="1">
        <v>5.8369170348933796E-10</v>
      </c>
      <c r="Q60">
        <v>65.718703759803205</v>
      </c>
      <c r="S60">
        <v>20.888569228576401</v>
      </c>
      <c r="AA60">
        <v>1.8987224053001199</v>
      </c>
      <c r="AB60">
        <v>8.8776304212822108</v>
      </c>
      <c r="AC60">
        <v>2.6163741850379201</v>
      </c>
      <c r="AJ60">
        <v>0.76214305292543605</v>
      </c>
      <c r="AK60">
        <v>9.0076540783485301E-2</v>
      </c>
      <c r="AL60">
        <v>0.147780406291078</v>
      </c>
    </row>
    <row r="61" spans="1:38" x14ac:dyDescent="0.2">
      <c r="A61">
        <v>106</v>
      </c>
      <c r="B61">
        <v>761</v>
      </c>
      <c r="C61">
        <v>155</v>
      </c>
      <c r="D61">
        <v>0.43325484697577799</v>
      </c>
      <c r="E61">
        <v>16.043115767050601</v>
      </c>
      <c r="F61">
        <v>2.5614627354624302</v>
      </c>
      <c r="G61">
        <v>-260.05529719613435</v>
      </c>
      <c r="H61">
        <v>-225.01816796569329</v>
      </c>
      <c r="I61">
        <v>33.8801230290007</v>
      </c>
      <c r="J61">
        <v>19.5301156708009</v>
      </c>
      <c r="K61">
        <v>6.2632633865564902</v>
      </c>
      <c r="L61">
        <v>3.1108615178233435E-5</v>
      </c>
      <c r="M61">
        <v>1.8215214451834743E-6</v>
      </c>
      <c r="N61" s="1">
        <v>-1.8469333516691999E-7</v>
      </c>
      <c r="O61" s="1">
        <v>5.6184693059333202E-11</v>
      </c>
      <c r="P61" s="1">
        <v>6.71536556364154E-10</v>
      </c>
      <c r="Q61">
        <v>65.639672302052404</v>
      </c>
      <c r="S61">
        <v>20.958453953624101</v>
      </c>
      <c r="AA61">
        <v>1.9748189292637499</v>
      </c>
      <c r="AB61">
        <v>8.8847249475285697</v>
      </c>
      <c r="AC61">
        <v>2.5423298675310702</v>
      </c>
      <c r="AJ61">
        <v>0.76272397904228295</v>
      </c>
      <c r="AK61">
        <v>9.3683149887720404E-2</v>
      </c>
      <c r="AL61">
        <v>0.14359287106999599</v>
      </c>
    </row>
    <row r="62" spans="1:38" x14ac:dyDescent="0.2">
      <c r="A62">
        <v>107</v>
      </c>
      <c r="B62">
        <v>760</v>
      </c>
      <c r="C62">
        <v>155</v>
      </c>
      <c r="D62">
        <v>0.43263853264288998</v>
      </c>
      <c r="E62">
        <v>16.9615461611996</v>
      </c>
      <c r="F62">
        <v>2.5620949939360398</v>
      </c>
      <c r="G62">
        <v>-274.94353161513953</v>
      </c>
      <c r="H62">
        <v>-237.95810567659922</v>
      </c>
      <c r="I62">
        <v>35.798699064550298</v>
      </c>
      <c r="J62">
        <v>20.6542518900612</v>
      </c>
      <c r="K62">
        <v>6.6201862933826403</v>
      </c>
      <c r="L62">
        <v>3.1132652280605024E-5</v>
      </c>
      <c r="M62">
        <v>1.8209849431998514E-6</v>
      </c>
      <c r="N62" s="1">
        <v>-2.01561910119248E-7</v>
      </c>
      <c r="O62" s="1">
        <v>5.9290734869487495E-11</v>
      </c>
      <c r="P62" s="1">
        <v>7.2823216298203996E-10</v>
      </c>
      <c r="Q62">
        <v>65.601357122083101</v>
      </c>
      <c r="S62">
        <v>20.9934857454694</v>
      </c>
      <c r="AA62">
        <v>2.01266083967672</v>
      </c>
      <c r="AB62">
        <v>8.8911820201108096</v>
      </c>
      <c r="AC62">
        <v>2.5013142726599198</v>
      </c>
      <c r="AJ62">
        <v>0.76325318561241695</v>
      </c>
      <c r="AK62">
        <v>9.5475185609315005E-2</v>
      </c>
      <c r="AL62">
        <v>0.14127162877826699</v>
      </c>
    </row>
    <row r="63" spans="1:38" x14ac:dyDescent="0.2">
      <c r="A63">
        <v>108</v>
      </c>
      <c r="B63">
        <v>759</v>
      </c>
      <c r="C63">
        <v>155</v>
      </c>
      <c r="D63">
        <v>0.43202102407596099</v>
      </c>
      <c r="E63">
        <v>17.4777797677433</v>
      </c>
      <c r="F63">
        <v>2.5624919109097202</v>
      </c>
      <c r="G63">
        <v>-283.29892945520538</v>
      </c>
      <c r="H63">
        <v>-245.24638915562406</v>
      </c>
      <c r="I63">
        <v>36.867257956286601</v>
      </c>
      <c r="J63">
        <v>21.289337565083098</v>
      </c>
      <c r="K63">
        <v>6.8206185133042903</v>
      </c>
      <c r="L63">
        <v>3.116340948827002E-5</v>
      </c>
      <c r="M63">
        <v>1.8208184634783531E-6</v>
      </c>
      <c r="N63" s="1">
        <v>-2.1441130474017399E-7</v>
      </c>
      <c r="O63" s="1">
        <v>6.1005034646594994E-11</v>
      </c>
      <c r="P63" s="1">
        <v>7.69829532298001E-10</v>
      </c>
      <c r="Q63">
        <v>65.581666177186705</v>
      </c>
      <c r="S63">
        <v>21.012788123155001</v>
      </c>
      <c r="AA63">
        <v>2.0331801117070101</v>
      </c>
      <c r="AB63">
        <v>8.8979054977786909</v>
      </c>
      <c r="AC63">
        <v>2.47446009017251</v>
      </c>
      <c r="AJ63">
        <v>0.76380449874620604</v>
      </c>
      <c r="AK63">
        <v>9.64452995398902E-2</v>
      </c>
      <c r="AL63">
        <v>0.13975020171390201</v>
      </c>
    </row>
    <row r="64" spans="1:38" x14ac:dyDescent="0.2">
      <c r="A64">
        <v>110</v>
      </c>
      <c r="B64">
        <v>784</v>
      </c>
      <c r="C64">
        <v>135</v>
      </c>
      <c r="D64">
        <v>0.467918932980182</v>
      </c>
      <c r="E64">
        <v>0.209245663848692</v>
      </c>
      <c r="F64">
        <v>2.56288137210462</v>
      </c>
      <c r="G64">
        <v>-3.4099334036944695</v>
      </c>
      <c r="H64">
        <v>-2.9366866420904167</v>
      </c>
      <c r="I64">
        <v>0.44766283082254499</v>
      </c>
      <c r="J64">
        <v>0.25417774261896497</v>
      </c>
      <c r="K64">
        <v>8.16446934010297E-2</v>
      </c>
      <c r="L64">
        <v>3.0755477107059494E-5</v>
      </c>
      <c r="M64">
        <v>1.820411072239245E-6</v>
      </c>
      <c r="N64" s="1">
        <v>-1.21563503112829E-9</v>
      </c>
      <c r="O64" s="1">
        <v>7.3864017596936901E-13</v>
      </c>
      <c r="P64" s="1">
        <v>5.2887023535646896E-12</v>
      </c>
      <c r="Q64">
        <v>65.563147231719199</v>
      </c>
      <c r="S64">
        <v>21.146901967875401</v>
      </c>
      <c r="AA64">
        <v>2.1481465495719401</v>
      </c>
      <c r="AB64">
        <v>9.2082339006744203</v>
      </c>
      <c r="AC64">
        <v>1.9335703501589201</v>
      </c>
      <c r="AJ64">
        <v>0.78922439287153101</v>
      </c>
      <c r="AK64">
        <v>0.10174166811273801</v>
      </c>
      <c r="AL64">
        <v>0.10903393901573</v>
      </c>
    </row>
    <row r="65" spans="1:38" x14ac:dyDescent="0.2">
      <c r="A65">
        <v>111</v>
      </c>
      <c r="B65">
        <v>783</v>
      </c>
      <c r="C65">
        <v>135</v>
      </c>
      <c r="D65">
        <v>0.46734886143066801</v>
      </c>
      <c r="E65">
        <v>0.61842558177000495</v>
      </c>
      <c r="F65">
        <v>2.5624247193389098</v>
      </c>
      <c r="G65">
        <v>-10.075551571363427</v>
      </c>
      <c r="H65">
        <v>-8.6788797399007827</v>
      </c>
      <c r="I65">
        <v>1.32241805753221</v>
      </c>
      <c r="J65">
        <v>0.75127917757554696</v>
      </c>
      <c r="K65">
        <v>0.24134390255552601</v>
      </c>
      <c r="L65">
        <v>3.0782603059689186E-5</v>
      </c>
      <c r="M65">
        <v>1.8213349768754724E-6</v>
      </c>
      <c r="N65" s="1">
        <v>-3.70729226718529E-9</v>
      </c>
      <c r="O65" s="1">
        <v>2.1841011389576302E-12</v>
      </c>
      <c r="P65" s="1">
        <v>1.5965204212205701E-11</v>
      </c>
      <c r="Q65">
        <v>65.604336344939796</v>
      </c>
      <c r="S65">
        <v>21.111057315126999</v>
      </c>
      <c r="AA65">
        <v>2.1089634275557998</v>
      </c>
      <c r="AB65">
        <v>9.2060502137115598</v>
      </c>
      <c r="AC65">
        <v>1.9695926986658201</v>
      </c>
      <c r="AJ65">
        <v>0.78904644368815302</v>
      </c>
      <c r="AK65">
        <v>9.9887022187124197E-2</v>
      </c>
      <c r="AL65">
        <v>0.11106653412472101</v>
      </c>
    </row>
    <row r="66" spans="1:38" x14ac:dyDescent="0.2">
      <c r="A66">
        <v>112</v>
      </c>
      <c r="B66">
        <v>782</v>
      </c>
      <c r="C66">
        <v>135</v>
      </c>
      <c r="D66">
        <v>0.466777709330429</v>
      </c>
      <c r="E66">
        <v>1.0286313786699399</v>
      </c>
      <c r="F66">
        <v>2.5619731473296898</v>
      </c>
      <c r="G66">
        <v>-16.754539819134607</v>
      </c>
      <c r="H66">
        <v>-14.434794715059182</v>
      </c>
      <c r="I66">
        <v>2.19849794254411</v>
      </c>
      <c r="J66">
        <v>1.24970341765349</v>
      </c>
      <c r="K66">
        <v>0.40149967213437399</v>
      </c>
      <c r="L66">
        <v>3.0809245384864774E-5</v>
      </c>
      <c r="M66">
        <v>1.8222274692709306E-6</v>
      </c>
      <c r="N66" s="1">
        <v>-6.3611742896283702E-9</v>
      </c>
      <c r="O66" s="1">
        <v>3.6344856230664699E-12</v>
      </c>
      <c r="P66" s="1">
        <v>2.7123835647774702E-11</v>
      </c>
      <c r="Q66">
        <v>65.644290229867906</v>
      </c>
      <c r="S66">
        <v>21.0759203409355</v>
      </c>
      <c r="AA66">
        <v>2.0706523712306102</v>
      </c>
      <c r="AB66">
        <v>9.2029691580711805</v>
      </c>
      <c r="AC66">
        <v>2.0061678998946202</v>
      </c>
      <c r="AJ66">
        <v>0.78879507365889701</v>
      </c>
      <c r="AK66">
        <v>9.80740719948478E-2</v>
      </c>
      <c r="AL66">
        <v>0.113130854346254</v>
      </c>
    </row>
    <row r="67" spans="1:38" x14ac:dyDescent="0.2">
      <c r="A67">
        <v>113</v>
      </c>
      <c r="B67">
        <v>781</v>
      </c>
      <c r="C67">
        <v>135</v>
      </c>
      <c r="D67">
        <v>0.46620547360432502</v>
      </c>
      <c r="E67">
        <v>1.43971605537541</v>
      </c>
      <c r="F67">
        <v>2.56152654889206</v>
      </c>
      <c r="G67">
        <v>-23.444465102855492</v>
      </c>
      <c r="H67">
        <v>-20.202347599403861</v>
      </c>
      <c r="I67">
        <v>3.07557511118116</v>
      </c>
      <c r="J67">
        <v>1.7492738051605301</v>
      </c>
      <c r="K67">
        <v>0.56205392678757504</v>
      </c>
      <c r="L67">
        <v>3.0835419906304361E-5</v>
      </c>
      <c r="M67">
        <v>1.8230889833970583E-6</v>
      </c>
      <c r="N67" s="1">
        <v>-9.1823574899438203E-9</v>
      </c>
      <c r="O67" s="1">
        <v>5.0891703628257E-12</v>
      </c>
      <c r="P67" s="1">
        <v>3.87778155309386E-11</v>
      </c>
      <c r="Q67">
        <v>65.6830250217849</v>
      </c>
      <c r="S67">
        <v>21.041479508721899</v>
      </c>
      <c r="AA67">
        <v>2.0332000978532099</v>
      </c>
      <c r="AB67">
        <v>9.1989964457198692</v>
      </c>
      <c r="AC67">
        <v>2.0432989259200198</v>
      </c>
      <c r="AJ67">
        <v>0.78847074335840195</v>
      </c>
      <c r="AK67">
        <v>9.6302163599385301E-2</v>
      </c>
      <c r="AL67">
        <v>0.115227093042212</v>
      </c>
    </row>
    <row r="68" spans="1:38" x14ac:dyDescent="0.2">
      <c r="A68">
        <v>114</v>
      </c>
      <c r="B68">
        <v>780</v>
      </c>
      <c r="C68">
        <v>135</v>
      </c>
      <c r="D68">
        <v>0.46563215116555001</v>
      </c>
      <c r="E68">
        <v>1.85153609434953</v>
      </c>
      <c r="F68">
        <v>2.5610848054252902</v>
      </c>
      <c r="G68">
        <v>-30.142953072424042</v>
      </c>
      <c r="H68">
        <v>-25.979503267985336</v>
      </c>
      <c r="I68">
        <v>3.9533302990444898</v>
      </c>
      <c r="J68">
        <v>2.2498180763642002</v>
      </c>
      <c r="K68">
        <v>0.72294993528809204</v>
      </c>
      <c r="L68">
        <v>3.0861143339810014E-5</v>
      </c>
      <c r="M68">
        <v>1.8239199840225202E-6</v>
      </c>
      <c r="N68" s="1">
        <v>-1.2176063836127201E-8</v>
      </c>
      <c r="O68" s="1">
        <v>6.5475431691964996E-12</v>
      </c>
      <c r="P68" s="1">
        <v>5.0940783264552497E-11</v>
      </c>
      <c r="Q68">
        <v>65.720558215182507</v>
      </c>
      <c r="S68">
        <v>21.0077222928815</v>
      </c>
      <c r="AA68">
        <v>1.99659219157088</v>
      </c>
      <c r="AB68">
        <v>9.1941382246938108</v>
      </c>
      <c r="AC68">
        <v>2.0809890756712299</v>
      </c>
      <c r="AJ68">
        <v>0.78807394719021495</v>
      </c>
      <c r="AK68">
        <v>9.4570590429263302E-2</v>
      </c>
      <c r="AL68">
        <v>0.117355462380521</v>
      </c>
    </row>
    <row r="69" spans="1:38" x14ac:dyDescent="0.2">
      <c r="A69">
        <v>115</v>
      </c>
      <c r="B69">
        <v>779</v>
      </c>
      <c r="C69">
        <v>135</v>
      </c>
      <c r="D69">
        <v>0.46505773891555402</v>
      </c>
      <c r="E69">
        <v>2.2639520977263898</v>
      </c>
      <c r="F69">
        <v>2.5606477881584202</v>
      </c>
      <c r="G69">
        <v>-36.847698370529422</v>
      </c>
      <c r="H69">
        <v>-31.764284350327895</v>
      </c>
      <c r="I69">
        <v>4.8314537092634202</v>
      </c>
      <c r="J69">
        <v>2.7511691479475799</v>
      </c>
      <c r="K69">
        <v>0.88413256528130002</v>
      </c>
      <c r="L69">
        <v>3.088643321501312E-5</v>
      </c>
      <c r="M69">
        <v>1.8247209628796514E-6</v>
      </c>
      <c r="N69" s="1">
        <v>-1.5347672986369001E-8</v>
      </c>
      <c r="O69" s="1">
        <v>8.0090054196690199E-12</v>
      </c>
      <c r="P69" s="1">
        <v>6.3626837991876997E-11</v>
      </c>
      <c r="Q69">
        <v>65.7569085005575</v>
      </c>
      <c r="S69">
        <v>20.9746352939943</v>
      </c>
      <c r="AA69">
        <v>1.9608132365532001</v>
      </c>
      <c r="AB69">
        <v>9.1884010174414996</v>
      </c>
      <c r="AC69">
        <v>2.11924195145341</v>
      </c>
      <c r="AJ69">
        <v>0.78760520839100001</v>
      </c>
      <c r="AK69">
        <v>9.2878599582573704E-2</v>
      </c>
      <c r="AL69">
        <v>0.11951619202642499</v>
      </c>
    </row>
    <row r="70" spans="1:38" x14ac:dyDescent="0.2">
      <c r="A70">
        <v>116</v>
      </c>
      <c r="B70">
        <v>778</v>
      </c>
      <c r="C70">
        <v>135</v>
      </c>
      <c r="D70">
        <v>0.464482233743996</v>
      </c>
      <c r="E70">
        <v>2.6768293429729701</v>
      </c>
      <c r="F70">
        <v>2.5602153595221</v>
      </c>
      <c r="G70">
        <v>-43.556473580772895</v>
      </c>
      <c r="H70">
        <v>-37.554778990599765</v>
      </c>
      <c r="I70">
        <v>5.7096461876736102</v>
      </c>
      <c r="J70">
        <v>3.2531658032484798</v>
      </c>
      <c r="K70">
        <v>1.0455485055259599</v>
      </c>
      <c r="L70">
        <v>3.091130780301857E-5</v>
      </c>
      <c r="M70">
        <v>1.8254924349124652E-6</v>
      </c>
      <c r="N70" s="1">
        <v>-1.87027348735614E-8</v>
      </c>
      <c r="O70" s="1">
        <v>9.4729742293031593E-12</v>
      </c>
      <c r="P70" s="1">
        <v>7.6850578431815598E-11</v>
      </c>
      <c r="Q70">
        <v>65.792095600396706</v>
      </c>
      <c r="S70">
        <v>20.9422043583793</v>
      </c>
      <c r="AA70">
        <v>1.92584695389556</v>
      </c>
      <c r="AB70">
        <v>9.1817916687523198</v>
      </c>
      <c r="AC70">
        <v>2.1580614185759899</v>
      </c>
      <c r="AJ70">
        <v>0.78706507482119104</v>
      </c>
      <c r="AK70">
        <v>9.1225398299780505E-2</v>
      </c>
      <c r="AL70">
        <v>0.121709526879027</v>
      </c>
    </row>
    <row r="71" spans="1:38" x14ac:dyDescent="0.2">
      <c r="A71">
        <v>117</v>
      </c>
      <c r="B71">
        <v>777</v>
      </c>
      <c r="C71">
        <v>135</v>
      </c>
      <c r="D71">
        <v>0.46390563252868899</v>
      </c>
      <c r="E71">
        <v>3.09003825673526</v>
      </c>
      <c r="F71">
        <v>2.55978737461131</v>
      </c>
      <c r="G71">
        <v>-50.267136838526135</v>
      </c>
      <c r="H71">
        <v>-43.349147466795408</v>
      </c>
      <c r="I71">
        <v>6.5876202178076699</v>
      </c>
      <c r="J71">
        <v>3.7556532790722499</v>
      </c>
      <c r="K71">
        <v>1.2071464557498399</v>
      </c>
      <c r="L71">
        <v>3.0935786051078998E-5</v>
      </c>
      <c r="M71">
        <v>1.8262349346695038E-6</v>
      </c>
      <c r="N71" s="1">
        <v>-2.2246982732110599E-8</v>
      </c>
      <c r="O71" s="1">
        <v>1.0938884301507099E-11</v>
      </c>
      <c r="P71" s="1">
        <v>9.0627143254412206E-11</v>
      </c>
      <c r="Q71">
        <v>65.826140107429694</v>
      </c>
      <c r="S71">
        <v>20.9104146994136</v>
      </c>
      <c r="AA71">
        <v>1.89167633945082</v>
      </c>
      <c r="AB71">
        <v>9.1743173033655605</v>
      </c>
      <c r="AC71">
        <v>2.1974515503402099</v>
      </c>
      <c r="AJ71">
        <v>0.786454115549302</v>
      </c>
      <c r="AK71">
        <v>8.9610160471579201E-2</v>
      </c>
      <c r="AL71">
        <v>0.12393572397911801</v>
      </c>
    </row>
    <row r="72" spans="1:38" x14ac:dyDescent="0.2">
      <c r="A72">
        <v>118</v>
      </c>
      <c r="B72">
        <v>776</v>
      </c>
      <c r="C72">
        <v>135</v>
      </c>
      <c r="D72">
        <v>0.46332793213554102</v>
      </c>
      <c r="E72">
        <v>3.5034547848301099</v>
      </c>
      <c r="F72">
        <v>2.5593636828367798</v>
      </c>
      <c r="G72">
        <v>-56.977637752816698</v>
      </c>
      <c r="H72">
        <v>-49.145627364408497</v>
      </c>
      <c r="I72">
        <v>7.46510068951837</v>
      </c>
      <c r="J72">
        <v>4.2584837265768503</v>
      </c>
      <c r="K72">
        <v>1.3688772753651399</v>
      </c>
      <c r="L72">
        <v>3.0959887528736159E-5</v>
      </c>
      <c r="M72">
        <v>1.8269490128683182E-6</v>
      </c>
      <c r="N72" s="1">
        <v>-2.5986346397261599E-8</v>
      </c>
      <c r="O72" s="1">
        <v>1.24061893755831E-11</v>
      </c>
      <c r="P72" s="1">
        <v>1.04972251312289E-10</v>
      </c>
      <c r="Q72">
        <v>65.859063323501601</v>
      </c>
      <c r="S72">
        <v>20.879251024845701</v>
      </c>
      <c r="AA72">
        <v>1.8582838064606599</v>
      </c>
      <c r="AB72">
        <v>9.1659853006755796</v>
      </c>
      <c r="AC72">
        <v>2.2374165445163801</v>
      </c>
      <c r="AJ72">
        <v>0.78577291883627598</v>
      </c>
      <c r="AK72">
        <v>8.8032033363396101E-2</v>
      </c>
      <c r="AL72">
        <v>0.126195047800327</v>
      </c>
    </row>
    <row r="73" spans="1:38" x14ac:dyDescent="0.2">
      <c r="A73">
        <v>119</v>
      </c>
      <c r="B73">
        <v>775</v>
      </c>
      <c r="C73">
        <v>135</v>
      </c>
      <c r="D73">
        <v>0.46274912941850099</v>
      </c>
      <c r="E73">
        <v>3.9169606758236299</v>
      </c>
      <c r="F73">
        <v>2.5589441296131001</v>
      </c>
      <c r="G73">
        <v>-63.686021926552598</v>
      </c>
      <c r="H73">
        <v>-54.942537550353883</v>
      </c>
      <c r="I73">
        <v>8.3418254793671807</v>
      </c>
      <c r="J73">
        <v>4.7615165675214097</v>
      </c>
      <c r="K73">
        <v>1.5306940978097301</v>
      </c>
      <c r="L73">
        <v>3.0983632383744394E-5</v>
      </c>
      <c r="M73">
        <v>1.8276352332235573E-6</v>
      </c>
      <c r="N73" s="1">
        <v>-2.9926965939632898E-8</v>
      </c>
      <c r="O73" s="1">
        <v>1.38743633319453E-11</v>
      </c>
      <c r="P73" s="1">
        <v>1.1990224204584099E-10</v>
      </c>
      <c r="Q73">
        <v>65.890887106159298</v>
      </c>
      <c r="S73">
        <v>20.848697661642699</v>
      </c>
      <c r="AA73">
        <v>1.82565132435261</v>
      </c>
      <c r="AB73">
        <v>9.1568032801604193</v>
      </c>
      <c r="AC73">
        <v>2.2779606276848599</v>
      </c>
      <c r="AJ73">
        <v>0.78502209099876397</v>
      </c>
      <c r="AK73">
        <v>8.6490144152058704E-2</v>
      </c>
      <c r="AL73">
        <v>0.12848776484917601</v>
      </c>
    </row>
    <row r="74" spans="1:38" x14ac:dyDescent="0.2">
      <c r="A74">
        <v>120</v>
      </c>
      <c r="B74">
        <v>774</v>
      </c>
      <c r="C74">
        <v>135</v>
      </c>
      <c r="D74">
        <v>0.46216922121950399</v>
      </c>
      <c r="E74">
        <v>5.2520405297746198</v>
      </c>
      <c r="F74">
        <v>2.5572437580974499</v>
      </c>
      <c r="G74">
        <v>-85.332963378989135</v>
      </c>
      <c r="H74">
        <v>-73.627009107040209</v>
      </c>
      <c r="I74">
        <v>11.1788705266188</v>
      </c>
      <c r="J74">
        <v>6.3829289489496501</v>
      </c>
      <c r="K74">
        <v>2.0537895588342501</v>
      </c>
      <c r="L74">
        <v>3.0982640998903949E-5</v>
      </c>
      <c r="M74">
        <v>1.8288210315444691E-6</v>
      </c>
      <c r="N74" s="1">
        <v>-4.0968010276278897E-8</v>
      </c>
      <c r="O74" s="1">
        <v>1.8648353427358799E-11</v>
      </c>
      <c r="P74" s="1">
        <v>1.6316143031906899E-10</v>
      </c>
      <c r="Q74">
        <v>65.973256126976494</v>
      </c>
      <c r="S74">
        <v>20.751588628875002</v>
      </c>
      <c r="AA74">
        <v>1.72631569305122</v>
      </c>
      <c r="AB74">
        <v>9.0857742721650006</v>
      </c>
      <c r="AC74">
        <v>2.4630652789321701</v>
      </c>
      <c r="AJ74">
        <v>0.779209033628528</v>
      </c>
      <c r="AK74">
        <v>8.1813136877559103E-2</v>
      </c>
      <c r="AL74">
        <v>0.13897782949391199</v>
      </c>
    </row>
    <row r="75" spans="1:38" x14ac:dyDescent="0.2">
      <c r="A75">
        <v>121</v>
      </c>
      <c r="B75">
        <v>773</v>
      </c>
      <c r="C75">
        <v>135</v>
      </c>
      <c r="D75">
        <v>0.46158820436839998</v>
      </c>
      <c r="E75">
        <v>6.8395904750845604</v>
      </c>
      <c r="F75">
        <v>2.5550808188478702</v>
      </c>
      <c r="G75">
        <v>-111.02610963421763</v>
      </c>
      <c r="H75">
        <v>-95.805871137326221</v>
      </c>
      <c r="I75">
        <v>14.5488108750097</v>
      </c>
      <c r="J75">
        <v>8.30874242103204</v>
      </c>
      <c r="K75">
        <v>2.6768587610346701</v>
      </c>
      <c r="L75">
        <v>3.0959291266082379E-5</v>
      </c>
      <c r="M75">
        <v>1.8298096970595711E-6</v>
      </c>
      <c r="N75" s="1">
        <v>-5.4176160236354697E-8</v>
      </c>
      <c r="O75" s="1">
        <v>2.4361522778523901E-11</v>
      </c>
      <c r="P75" s="1">
        <v>2.1477747888116701E-10</v>
      </c>
      <c r="Q75">
        <v>66.061160660662196</v>
      </c>
      <c r="S75">
        <v>20.6357553279922</v>
      </c>
      <c r="AA75">
        <v>1.61024071258117</v>
      </c>
      <c r="AB75">
        <v>8.9779927546102094</v>
      </c>
      <c r="AC75">
        <v>2.71485054415403</v>
      </c>
      <c r="AJ75">
        <v>0.77037967348745096</v>
      </c>
      <c r="AK75">
        <v>7.6353185022036002E-2</v>
      </c>
      <c r="AL75">
        <v>0.15326714149051199</v>
      </c>
    </row>
    <row r="76" spans="1:38" x14ac:dyDescent="0.2">
      <c r="A76">
        <v>122</v>
      </c>
      <c r="B76">
        <v>772</v>
      </c>
      <c r="C76">
        <v>135</v>
      </c>
      <c r="D76">
        <v>0.46100607568291702</v>
      </c>
      <c r="E76">
        <v>8.7648871280972607</v>
      </c>
      <c r="F76">
        <v>2.55222423888288</v>
      </c>
      <c r="G76">
        <v>-142.10492600713599</v>
      </c>
      <c r="H76">
        <v>-122.63380497679728</v>
      </c>
      <c r="I76">
        <v>18.629977544217201</v>
      </c>
      <c r="J76">
        <v>10.639642324870699</v>
      </c>
      <c r="K76">
        <v>3.4342151424491001</v>
      </c>
      <c r="L76">
        <v>3.0897403166578002E-5</v>
      </c>
      <c r="M76">
        <v>1.8303818282048738E-6</v>
      </c>
      <c r="N76" s="1">
        <v>-6.9864034173377705E-8</v>
      </c>
      <c r="O76" s="1">
        <v>3.1351218772937002E-11</v>
      </c>
      <c r="P76" s="1">
        <v>2.7631678927081201E-10</v>
      </c>
      <c r="Q76">
        <v>66.153318222492601</v>
      </c>
      <c r="S76">
        <v>20.493296686250702</v>
      </c>
      <c r="AA76">
        <v>1.47120716730606</v>
      </c>
      <c r="AB76">
        <v>8.8098870896455708</v>
      </c>
      <c r="AC76">
        <v>3.0722908343050501</v>
      </c>
      <c r="AJ76">
        <v>0.75658895812528404</v>
      </c>
      <c r="AK76">
        <v>6.9819105218330499E-2</v>
      </c>
      <c r="AL76">
        <v>0.173591936656384</v>
      </c>
    </row>
    <row r="77" spans="1:38" x14ac:dyDescent="0.2">
      <c r="A77">
        <v>123</v>
      </c>
      <c r="B77">
        <v>771</v>
      </c>
      <c r="C77">
        <v>135</v>
      </c>
      <c r="D77">
        <v>0.46042283196858502</v>
      </c>
      <c r="E77">
        <v>9.9780755167145703</v>
      </c>
      <c r="F77">
        <v>2.5520187627431601</v>
      </c>
      <c r="G77">
        <v>-161.70650650195159</v>
      </c>
      <c r="H77">
        <v>-139.57721260972895</v>
      </c>
      <c r="I77">
        <v>21.193596602233999</v>
      </c>
      <c r="J77">
        <v>12.109460279972</v>
      </c>
      <c r="K77">
        <v>3.9098754532623801</v>
      </c>
      <c r="L77">
        <v>3.085826793366322E-5</v>
      </c>
      <c r="M77">
        <v>1.8292024149681772E-6</v>
      </c>
      <c r="N77" s="1">
        <v>-8.1107587648420805E-8</v>
      </c>
      <c r="O77" s="1">
        <v>3.5684934046256798E-11</v>
      </c>
      <c r="P77" s="1">
        <v>3.1909567578824799E-10</v>
      </c>
      <c r="Q77">
        <v>66.116050961158905</v>
      </c>
      <c r="S77">
        <v>20.4960214371897</v>
      </c>
      <c r="AA77">
        <v>1.4821509206860599</v>
      </c>
      <c r="AB77">
        <v>8.73398228478273</v>
      </c>
      <c r="AC77">
        <v>3.1717943961824999</v>
      </c>
      <c r="AJ77">
        <v>0.75035325996311697</v>
      </c>
      <c r="AK77">
        <v>7.0364998939043799E-2</v>
      </c>
      <c r="AL77">
        <v>0.17928174109783801</v>
      </c>
    </row>
    <row r="78" spans="1:38" x14ac:dyDescent="0.2">
      <c r="A78">
        <v>124</v>
      </c>
      <c r="B78">
        <v>770</v>
      </c>
      <c r="C78">
        <v>135</v>
      </c>
      <c r="D78">
        <v>0.45983847001869499</v>
      </c>
      <c r="E78">
        <v>10.6506843086645</v>
      </c>
      <c r="F78">
        <v>2.5539695271101199</v>
      </c>
      <c r="G78">
        <v>-172.66898089703068</v>
      </c>
      <c r="H78">
        <v>-149.08355098666578</v>
      </c>
      <c r="I78">
        <v>22.6098163354885</v>
      </c>
      <c r="J78">
        <v>12.9307989999939</v>
      </c>
      <c r="K78">
        <v>4.1702472154066896</v>
      </c>
      <c r="L78">
        <v>3.0873539699220035E-5</v>
      </c>
      <c r="M78">
        <v>1.8275049905808954E-6</v>
      </c>
      <c r="N78" s="1">
        <v>-8.9802047346299598E-8</v>
      </c>
      <c r="O78" s="1">
        <v>3.7948258306823298E-11</v>
      </c>
      <c r="P78" s="1">
        <v>3.5011925171744801E-10</v>
      </c>
      <c r="Q78">
        <v>66.004263902603896</v>
      </c>
      <c r="S78">
        <v>20.605899861832899</v>
      </c>
      <c r="AA78">
        <v>1.5988857279686199</v>
      </c>
      <c r="AB78">
        <v>8.7729313939475499</v>
      </c>
      <c r="AC78">
        <v>3.0180191136468699</v>
      </c>
      <c r="AJ78">
        <v>0.75355159721063103</v>
      </c>
      <c r="AK78">
        <v>7.58920838433291E-2</v>
      </c>
      <c r="AL78">
        <v>0.17055631894603901</v>
      </c>
    </row>
    <row r="79" spans="1:38" x14ac:dyDescent="0.2">
      <c r="A79">
        <v>125</v>
      </c>
      <c r="B79">
        <v>769</v>
      </c>
      <c r="C79">
        <v>135</v>
      </c>
      <c r="D79">
        <v>0.45925298661421299</v>
      </c>
      <c r="E79">
        <v>12.2356307001765</v>
      </c>
      <c r="F79">
        <v>2.55629069656506</v>
      </c>
      <c r="G79">
        <v>-198.44651838953934</v>
      </c>
      <c r="H79">
        <v>-171.39357379202278</v>
      </c>
      <c r="I79">
        <v>25.9587819387962</v>
      </c>
      <c r="J79">
        <v>14.8605235166653</v>
      </c>
      <c r="K79">
        <v>4.7864785944015704</v>
      </c>
      <c r="L79">
        <v>3.0874666358856646E-5</v>
      </c>
      <c r="M79">
        <v>1.8250626137695696E-6</v>
      </c>
      <c r="N79" s="1">
        <v>-1.0688000539653E-7</v>
      </c>
      <c r="O79" s="1">
        <v>4.34025869808922E-11</v>
      </c>
      <c r="P79" s="1">
        <v>4.1318166512314598E-10</v>
      </c>
      <c r="Q79">
        <v>65.857494116531598</v>
      </c>
      <c r="S79">
        <v>20.742876543270601</v>
      </c>
      <c r="AA79">
        <v>1.74613961579222</v>
      </c>
      <c r="AB79">
        <v>8.8049649737393096</v>
      </c>
      <c r="AC79">
        <v>2.8485247506661402</v>
      </c>
      <c r="AJ79">
        <v>0.75618028769847401</v>
      </c>
      <c r="AK79">
        <v>8.2868117867722801E-2</v>
      </c>
      <c r="AL79">
        <v>0.160951594433802</v>
      </c>
    </row>
    <row r="80" spans="1:38" x14ac:dyDescent="0.2">
      <c r="A80">
        <v>126</v>
      </c>
      <c r="B80">
        <v>768</v>
      </c>
      <c r="C80">
        <v>135</v>
      </c>
      <c r="D80">
        <v>0.45866637852374798</v>
      </c>
      <c r="E80">
        <v>14.219131859299701</v>
      </c>
      <c r="F80">
        <v>2.55844052685763</v>
      </c>
      <c r="G80">
        <v>-230.69575222798244</v>
      </c>
      <c r="H80">
        <v>-199.30757476183416</v>
      </c>
      <c r="I80">
        <v>30.147603578877401</v>
      </c>
      <c r="J80">
        <v>17.2748005755906</v>
      </c>
      <c r="K80">
        <v>5.5577339828822101</v>
      </c>
      <c r="L80">
        <v>3.0867913004042629E-5</v>
      </c>
      <c r="M80">
        <v>1.8225209821711583E-6</v>
      </c>
      <c r="N80" s="1">
        <v>-1.2842008554339E-7</v>
      </c>
      <c r="O80" s="1">
        <v>5.0226069085860097E-11</v>
      </c>
      <c r="P80" s="1">
        <v>4.9257125734611603E-10</v>
      </c>
      <c r="Q80">
        <v>65.711983539050394</v>
      </c>
      <c r="S80">
        <v>20.8737322825272</v>
      </c>
      <c r="AA80">
        <v>1.8880498445327301</v>
      </c>
      <c r="AB80">
        <v>8.8237577866559107</v>
      </c>
      <c r="AC80">
        <v>2.7024765472336001</v>
      </c>
      <c r="AJ80">
        <v>0.757721133852995</v>
      </c>
      <c r="AK80">
        <v>8.9594235524090404E-2</v>
      </c>
      <c r="AL80">
        <v>0.15268463062291401</v>
      </c>
    </row>
    <row r="81" spans="1:38" x14ac:dyDescent="0.2">
      <c r="A81">
        <v>127</v>
      </c>
      <c r="B81">
        <v>767</v>
      </c>
      <c r="C81">
        <v>135</v>
      </c>
      <c r="D81">
        <v>0.45807864250348701</v>
      </c>
      <c r="E81">
        <v>15.5024572351712</v>
      </c>
      <c r="F81">
        <v>2.5597082522264598</v>
      </c>
      <c r="G81">
        <v>-251.55200585487444</v>
      </c>
      <c r="H81">
        <v>-217.3847538714808</v>
      </c>
      <c r="I81">
        <v>32.848389158672902</v>
      </c>
      <c r="J81">
        <v>18.838657983128002</v>
      </c>
      <c r="K81">
        <v>6.0563375617854103</v>
      </c>
      <c r="L81">
        <v>3.0873504804714144E-5</v>
      </c>
      <c r="M81">
        <v>1.8210747183996594E-6</v>
      </c>
      <c r="N81" s="1">
        <v>-1.4458299197048499E-7</v>
      </c>
      <c r="O81" s="1">
        <v>5.4608356335932303E-11</v>
      </c>
      <c r="P81" s="1">
        <v>5.5041096090179696E-10</v>
      </c>
      <c r="Q81">
        <v>65.626819336145601</v>
      </c>
      <c r="S81">
        <v>20.9497874236657</v>
      </c>
      <c r="AA81">
        <v>1.97066801719297</v>
      </c>
      <c r="AB81">
        <v>8.8333623671421293</v>
      </c>
      <c r="AC81">
        <v>2.6193628558534701</v>
      </c>
      <c r="AJ81">
        <v>0.75850834622837304</v>
      </c>
      <c r="AK81">
        <v>9.3510111716414795E-2</v>
      </c>
      <c r="AL81">
        <v>0.147981542055211</v>
      </c>
    </row>
    <row r="82" spans="1:38" x14ac:dyDescent="0.2">
      <c r="A82">
        <v>128</v>
      </c>
      <c r="B82">
        <v>766</v>
      </c>
      <c r="C82">
        <v>135</v>
      </c>
      <c r="D82">
        <v>0.45748977529712298</v>
      </c>
      <c r="E82">
        <v>16.253600201502799</v>
      </c>
      <c r="F82">
        <v>2.5604356940889801</v>
      </c>
      <c r="G82">
        <v>-263.74690289060982</v>
      </c>
      <c r="H82">
        <v>-227.97944412279918</v>
      </c>
      <c r="I82">
        <v>34.419918941260299</v>
      </c>
      <c r="J82">
        <v>19.756219684484002</v>
      </c>
      <c r="K82">
        <v>6.3479821965558001</v>
      </c>
      <c r="L82">
        <v>3.0890345523842018E-5</v>
      </c>
      <c r="M82">
        <v>1.8203979140757195E-6</v>
      </c>
      <c r="N82" s="1">
        <v>-1.5650174883170501E-7</v>
      </c>
      <c r="O82" s="1">
        <v>5.7148355616170003E-11</v>
      </c>
      <c r="P82" s="1">
        <v>5.9140400562108805E-10</v>
      </c>
      <c r="Q82">
        <v>65.581860281989407</v>
      </c>
      <c r="S82">
        <v>20.9908498917275</v>
      </c>
      <c r="AA82">
        <v>2.0150355544476501</v>
      </c>
      <c r="AB82">
        <v>8.8408241240721903</v>
      </c>
      <c r="AC82">
        <v>2.57143014776315</v>
      </c>
      <c r="AJ82">
        <v>0.75912019734900604</v>
      </c>
      <c r="AK82">
        <v>9.56117570750082E-2</v>
      </c>
      <c r="AL82">
        <v>0.14526804557598499</v>
      </c>
    </row>
    <row r="83" spans="1:38" x14ac:dyDescent="0.2">
      <c r="A83">
        <v>129</v>
      </c>
      <c r="B83">
        <v>765</v>
      </c>
      <c r="C83">
        <v>135</v>
      </c>
      <c r="D83">
        <v>0.45689977363579698</v>
      </c>
      <c r="E83">
        <v>16.701052652464099</v>
      </c>
      <c r="F83">
        <v>2.5608857022829801</v>
      </c>
      <c r="G83">
        <v>-270.99882900173742</v>
      </c>
      <c r="H83">
        <v>-234.30282738184147</v>
      </c>
      <c r="I83">
        <v>35.347494697197803</v>
      </c>
      <c r="J83">
        <v>20.305063670624101</v>
      </c>
      <c r="K83">
        <v>6.5215923684432502</v>
      </c>
      <c r="L83">
        <v>3.0914191037084727E-5</v>
      </c>
      <c r="M83">
        <v>1.8201412867580346E-6</v>
      </c>
      <c r="N83" s="1">
        <v>-1.6602087552045201E-7</v>
      </c>
      <c r="O83" s="1">
        <v>5.8639798570268606E-11</v>
      </c>
      <c r="P83" s="1">
        <v>6.2284120789529105E-10</v>
      </c>
      <c r="Q83">
        <v>65.558337276638895</v>
      </c>
      <c r="S83">
        <v>21.0135897562105</v>
      </c>
      <c r="AA83">
        <v>2.0392849472021699</v>
      </c>
      <c r="AB83">
        <v>8.8480198790281008</v>
      </c>
      <c r="AC83">
        <v>2.5407681409201799</v>
      </c>
      <c r="AJ83">
        <v>0.75971049505870902</v>
      </c>
      <c r="AK83">
        <v>9.6758859393858296E-2</v>
      </c>
      <c r="AL83">
        <v>0.143530645547432</v>
      </c>
    </row>
    <row r="84" spans="1:38" x14ac:dyDescent="0.2">
      <c r="A84">
        <v>131</v>
      </c>
      <c r="B84">
        <v>796</v>
      </c>
      <c r="C84">
        <v>115</v>
      </c>
      <c r="D84">
        <v>0.49525370621521903</v>
      </c>
      <c r="E84">
        <v>9.3963296755130904E-2</v>
      </c>
      <c r="F84">
        <v>2.5610492000666798</v>
      </c>
      <c r="G84">
        <v>-1.5344816780668384</v>
      </c>
      <c r="H84">
        <v>-1.3181494326734948</v>
      </c>
      <c r="I84">
        <v>0.202340406297847</v>
      </c>
      <c r="J84">
        <v>0.114046562597999</v>
      </c>
      <c r="K84">
        <v>3.6689375882620397E-2</v>
      </c>
      <c r="L84">
        <v>3.0584449519753002E-5</v>
      </c>
      <c r="M84">
        <v>1.8204361144775562E-6</v>
      </c>
      <c r="N84" s="1">
        <v>-3.62453397419248E-10</v>
      </c>
      <c r="O84" s="1">
        <v>3.3334219691085501E-13</v>
      </c>
      <c r="P84" s="1">
        <v>1.8330447386644998E-12</v>
      </c>
      <c r="Q84">
        <v>65.569794782213904</v>
      </c>
      <c r="S84">
        <v>21.146130746235301</v>
      </c>
      <c r="AA84">
        <v>2.1459591687920798</v>
      </c>
      <c r="AB84">
        <v>9.2210257527292203</v>
      </c>
      <c r="AC84">
        <v>1.9170895500294001</v>
      </c>
      <c r="AJ84">
        <v>0.79027064526892998</v>
      </c>
      <c r="AK84">
        <v>0.101631622766158</v>
      </c>
      <c r="AL84">
        <v>0.108097731964911</v>
      </c>
    </row>
    <row r="85" spans="1:38" x14ac:dyDescent="0.2">
      <c r="A85">
        <v>132</v>
      </c>
      <c r="B85">
        <v>795</v>
      </c>
      <c r="C85">
        <v>115</v>
      </c>
      <c r="D85">
        <v>0.49471562982727202</v>
      </c>
      <c r="E85">
        <v>0.48826864882933302</v>
      </c>
      <c r="F85">
        <v>2.5606261344484298</v>
      </c>
      <c r="G85">
        <v>-7.9718309041321218</v>
      </c>
      <c r="H85">
        <v>-6.8492811302002794</v>
      </c>
      <c r="I85">
        <v>1.05092896496919</v>
      </c>
      <c r="J85">
        <v>0.59264408360606402</v>
      </c>
      <c r="K85">
        <v>0.19068330290806201</v>
      </c>
      <c r="L85">
        <v>3.0606239047413339E-5</v>
      </c>
      <c r="M85">
        <v>1.821305619367975E-6</v>
      </c>
      <c r="N85" s="1">
        <v>-1.94843506572606E-9</v>
      </c>
      <c r="O85" s="1">
        <v>1.7331129018815E-12</v>
      </c>
      <c r="P85" s="1">
        <v>9.7163263582555004E-12</v>
      </c>
      <c r="Q85">
        <v>65.608746844294998</v>
      </c>
      <c r="S85">
        <v>21.112430160827099</v>
      </c>
      <c r="AA85">
        <v>2.1090669095860499</v>
      </c>
      <c r="AB85">
        <v>9.2194778685280792</v>
      </c>
      <c r="AC85">
        <v>1.95027821676372</v>
      </c>
      <c r="AJ85">
        <v>0.79014467930018795</v>
      </c>
      <c r="AK85">
        <v>9.9885268650263398E-2</v>
      </c>
      <c r="AL85">
        <v>0.109970052049547</v>
      </c>
    </row>
    <row r="86" spans="1:38" x14ac:dyDescent="0.2">
      <c r="A86">
        <v>133</v>
      </c>
      <c r="B86">
        <v>794</v>
      </c>
      <c r="C86">
        <v>115</v>
      </c>
      <c r="D86">
        <v>0.49417654500304597</v>
      </c>
      <c r="E86">
        <v>0.883262704345113</v>
      </c>
      <c r="F86">
        <v>2.5602083596469698</v>
      </c>
      <c r="G86">
        <v>-14.417317669732679</v>
      </c>
      <c r="H86">
        <v>-12.389548899694553</v>
      </c>
      <c r="I86">
        <v>1.90017220637972</v>
      </c>
      <c r="J86">
        <v>1.0721025161086599</v>
      </c>
      <c r="K86">
        <v>0.34499641445858897</v>
      </c>
      <c r="L86">
        <v>3.0627543936477128E-5</v>
      </c>
      <c r="M86">
        <v>1.8221464362927807E-6</v>
      </c>
      <c r="N86" s="1">
        <v>-3.6447428461898002E-9</v>
      </c>
      <c r="O86" s="1">
        <v>3.1367833257550299E-12</v>
      </c>
      <c r="P86" s="1">
        <v>1.7929535011954501E-11</v>
      </c>
      <c r="Q86">
        <v>65.646560173436001</v>
      </c>
      <c r="S86">
        <v>21.079401776611601</v>
      </c>
      <c r="AA86">
        <v>2.0729949310109701</v>
      </c>
      <c r="AB86">
        <v>9.2171546418455392</v>
      </c>
      <c r="AC86">
        <v>1.9838884770957299</v>
      </c>
      <c r="AJ86">
        <v>0.78995528561449202</v>
      </c>
      <c r="AK86">
        <v>9.8178109648607695E-2</v>
      </c>
      <c r="AL86">
        <v>0.11186660473689999</v>
      </c>
    </row>
    <row r="87" spans="1:38" x14ac:dyDescent="0.2">
      <c r="A87">
        <v>134</v>
      </c>
      <c r="B87">
        <v>793</v>
      </c>
      <c r="C87">
        <v>115</v>
      </c>
      <c r="D87">
        <v>0.49363644890494002</v>
      </c>
      <c r="E87">
        <v>1.27881081452234</v>
      </c>
      <c r="F87">
        <v>2.5597957933519999</v>
      </c>
      <c r="G87">
        <v>-20.868718110441392</v>
      </c>
      <c r="H87">
        <v>-17.937051137913677</v>
      </c>
      <c r="I87">
        <v>2.74976970644629</v>
      </c>
      <c r="J87">
        <v>1.5522591144773601</v>
      </c>
      <c r="K87">
        <v>0.49957532465812998</v>
      </c>
      <c r="L87">
        <v>3.0648378941450872E-5</v>
      </c>
      <c r="M87">
        <v>1.822958999568866E-6</v>
      </c>
      <c r="N87" s="1">
        <v>-5.4545653229322799E-9</v>
      </c>
      <c r="O87" s="1">
        <v>4.5437897310632999E-12</v>
      </c>
      <c r="P87" s="1">
        <v>2.6480716905877999E-11</v>
      </c>
      <c r="Q87">
        <v>65.683250573152606</v>
      </c>
      <c r="S87">
        <v>21.047035232558098</v>
      </c>
      <c r="AA87">
        <v>2.0377309975759599</v>
      </c>
      <c r="AB87">
        <v>9.2140641271794301</v>
      </c>
      <c r="AC87">
        <v>2.0179190695336802</v>
      </c>
      <c r="AJ87">
        <v>0.78970311866644205</v>
      </c>
      <c r="AK87">
        <v>9.6509544276608794E-2</v>
      </c>
      <c r="AL87">
        <v>0.113787337056948</v>
      </c>
    </row>
    <row r="88" spans="1:38" x14ac:dyDescent="0.2">
      <c r="A88">
        <v>135</v>
      </c>
      <c r="B88">
        <v>792</v>
      </c>
      <c r="C88">
        <v>115</v>
      </c>
      <c r="D88">
        <v>0.49309533868469302</v>
      </c>
      <c r="E88">
        <v>1.67478135175591</v>
      </c>
      <c r="F88">
        <v>2.5593883443782799</v>
      </c>
      <c r="G88">
        <v>-27.323859793934265</v>
      </c>
      <c r="H88">
        <v>-23.489928856402276</v>
      </c>
      <c r="I88">
        <v>3.5994281908951602</v>
      </c>
      <c r="J88">
        <v>2.0329549572677901</v>
      </c>
      <c r="K88">
        <v>0.65436781230741503</v>
      </c>
      <c r="L88">
        <v>3.0668759564896459E-5</v>
      </c>
      <c r="M88">
        <v>1.8237437691261415E-6</v>
      </c>
      <c r="N88" s="1">
        <v>-7.3811730021624501E-9</v>
      </c>
      <c r="O88" s="1">
        <v>5.9535783079017999E-12</v>
      </c>
      <c r="P88" s="1">
        <v>3.5378163240261101E-11</v>
      </c>
      <c r="Q88">
        <v>65.718834964761996</v>
      </c>
      <c r="S88">
        <v>21.0153193795616</v>
      </c>
      <c r="AA88">
        <v>2.0032619627971902</v>
      </c>
      <c r="AB88">
        <v>9.21021480394921</v>
      </c>
      <c r="AC88">
        <v>2.0523688889299398</v>
      </c>
      <c r="AJ88">
        <v>0.78938886632589</v>
      </c>
      <c r="AK88">
        <v>9.4878928816302693E-2</v>
      </c>
      <c r="AL88">
        <v>0.115732204857806</v>
      </c>
    </row>
    <row r="89" spans="1:38" x14ac:dyDescent="0.2">
      <c r="A89">
        <v>136</v>
      </c>
      <c r="B89">
        <v>791</v>
      </c>
      <c r="C89">
        <v>115</v>
      </c>
      <c r="D89">
        <v>0.49255321148334702</v>
      </c>
      <c r="E89">
        <v>2.0710462001579599</v>
      </c>
      <c r="F89">
        <v>2.55898591367191</v>
      </c>
      <c r="G89">
        <v>-33.780629656679793</v>
      </c>
      <c r="H89">
        <v>-29.046372535763521</v>
      </c>
      <c r="I89">
        <v>4.4488625860228996</v>
      </c>
      <c r="J89">
        <v>2.5140355511596399</v>
      </c>
      <c r="K89">
        <v>0.80932301701739195</v>
      </c>
      <c r="L89">
        <v>3.0688701989947578E-5</v>
      </c>
      <c r="M89">
        <v>1.8245012272465634E-6</v>
      </c>
      <c r="N89" s="1">
        <v>-9.4279254867644596E-9</v>
      </c>
      <c r="O89" s="1">
        <v>7.3656071114749501E-12</v>
      </c>
      <c r="P89" s="1">
        <v>4.4630434494117803E-11</v>
      </c>
      <c r="Q89">
        <v>65.7533312496695</v>
      </c>
      <c r="S89">
        <v>20.9842423760008</v>
      </c>
      <c r="AA89">
        <v>1.9695738801677201</v>
      </c>
      <c r="AB89">
        <v>9.2056155201279797</v>
      </c>
      <c r="AC89">
        <v>2.0872369740339298</v>
      </c>
      <c r="AJ89">
        <v>0.78901324532274697</v>
      </c>
      <c r="AK89">
        <v>9.3285582571905903E-2</v>
      </c>
      <c r="AL89">
        <v>0.117701172105346</v>
      </c>
    </row>
    <row r="90" spans="1:38" x14ac:dyDescent="0.2">
      <c r="A90">
        <v>137</v>
      </c>
      <c r="B90">
        <v>790</v>
      </c>
      <c r="C90">
        <v>115</v>
      </c>
      <c r="D90">
        <v>0.49201006443117301</v>
      </c>
      <c r="E90">
        <v>2.4674811852863301</v>
      </c>
      <c r="F90">
        <v>2.5585883953397102</v>
      </c>
      <c r="G90">
        <v>-40.236980940308307</v>
      </c>
      <c r="H90">
        <v>-34.604628129914957</v>
      </c>
      <c r="I90">
        <v>5.2977969340105702</v>
      </c>
      <c r="J90">
        <v>2.9953513607281801</v>
      </c>
      <c r="K90">
        <v>0.96439161132000695</v>
      </c>
      <c r="L90">
        <v>3.0708223021676367E-5</v>
      </c>
      <c r="M90">
        <v>1.8252318755537978E-6</v>
      </c>
      <c r="N90" s="1">
        <v>-1.1598278984006801E-8</v>
      </c>
      <c r="O90" s="1">
        <v>8.7793477631522195E-12</v>
      </c>
      <c r="P90" s="1">
        <v>5.4246385167833603E-11</v>
      </c>
      <c r="Q90">
        <v>65.786758179376406</v>
      </c>
      <c r="S90">
        <v>20.953791780776999</v>
      </c>
      <c r="AA90">
        <v>1.93665211024728</v>
      </c>
      <c r="AB90">
        <v>9.2002754464730305</v>
      </c>
      <c r="AC90">
        <v>2.1225224831261298</v>
      </c>
      <c r="AJ90">
        <v>0.78857699756056698</v>
      </c>
      <c r="AK90">
        <v>9.17287929320562E-2</v>
      </c>
      <c r="AL90">
        <v>0.119694209507376</v>
      </c>
    </row>
    <row r="91" spans="1:38" x14ac:dyDescent="0.2">
      <c r="A91">
        <v>138</v>
      </c>
      <c r="B91">
        <v>789</v>
      </c>
      <c r="C91">
        <v>115</v>
      </c>
      <c r="D91">
        <v>0.49146589464765</v>
      </c>
      <c r="E91">
        <v>2.8639664411264598</v>
      </c>
      <c r="F91">
        <v>2.5581956777500001</v>
      </c>
      <c r="G91">
        <v>-46.690939099122296</v>
      </c>
      <c r="H91">
        <v>-40.163002194730204</v>
      </c>
      <c r="I91">
        <v>6.1459651691306201</v>
      </c>
      <c r="J91">
        <v>3.4767582617753301</v>
      </c>
      <c r="K91">
        <v>1.1195259479311499</v>
      </c>
      <c r="L91">
        <v>3.0727340032280652E-5</v>
      </c>
      <c r="M91">
        <v>1.8259362320691044E-6</v>
      </c>
      <c r="N91" s="1">
        <v>-1.38957941206661E-8</v>
      </c>
      <c r="O91" s="1">
        <v>1.01942869056706E-11</v>
      </c>
      <c r="P91" s="1">
        <v>6.4235188888210506E-11</v>
      </c>
      <c r="Q91">
        <v>65.819135225670394</v>
      </c>
      <c r="S91">
        <v>20.923954648416899</v>
      </c>
      <c r="AA91">
        <v>1.9044814294122101</v>
      </c>
      <c r="AB91">
        <v>9.1942040365772808</v>
      </c>
      <c r="AC91">
        <v>2.1582246599231198</v>
      </c>
      <c r="AJ91">
        <v>0.78808088690754097</v>
      </c>
      <c r="AK91">
        <v>9.0207820504519698E-2</v>
      </c>
      <c r="AL91">
        <v>0.121711292587938</v>
      </c>
    </row>
    <row r="92" spans="1:38" x14ac:dyDescent="0.2">
      <c r="A92">
        <v>139</v>
      </c>
      <c r="B92">
        <v>788</v>
      </c>
      <c r="C92">
        <v>115</v>
      </c>
      <c r="D92">
        <v>0.49092069924139198</v>
      </c>
      <c r="E92">
        <v>3.2603867040613999</v>
      </c>
      <c r="F92">
        <v>2.5578076446698002</v>
      </c>
      <c r="G92">
        <v>-53.140606514274118</v>
      </c>
      <c r="H92">
        <v>-45.719865998383312</v>
      </c>
      <c r="I92">
        <v>6.9931117333937696</v>
      </c>
      <c r="J92">
        <v>3.95811790585971</v>
      </c>
      <c r="K92">
        <v>1.27468017810318</v>
      </c>
      <c r="L92">
        <v>3.0746070912028067E-5</v>
      </c>
      <c r="M92">
        <v>1.8266148284184451E-6</v>
      </c>
      <c r="N92" s="1">
        <v>-1.6324143998352498E-8</v>
      </c>
      <c r="O92" s="1">
        <v>1.1609927374401301E-11</v>
      </c>
      <c r="P92" s="1">
        <v>7.4606363589745503E-11</v>
      </c>
      <c r="Q92">
        <v>65.850482454817694</v>
      </c>
      <c r="S92">
        <v>20.8947176234464</v>
      </c>
      <c r="AA92">
        <v>1.87304613707089</v>
      </c>
      <c r="AB92">
        <v>9.1874109939280704</v>
      </c>
      <c r="AC92">
        <v>2.1943427907368198</v>
      </c>
      <c r="AJ92">
        <v>0.78752569656161697</v>
      </c>
      <c r="AK92">
        <v>8.8721904172492802E-2</v>
      </c>
      <c r="AL92">
        <v>0.123752399265889</v>
      </c>
    </row>
    <row r="93" spans="1:38" x14ac:dyDescent="0.2">
      <c r="A93">
        <v>140</v>
      </c>
      <c r="B93">
        <v>787</v>
      </c>
      <c r="C93">
        <v>115</v>
      </c>
      <c r="D93">
        <v>0.49037447531009798</v>
      </c>
      <c r="E93">
        <v>3.6566315474193898</v>
      </c>
      <c r="F93">
        <v>2.55742417645732</v>
      </c>
      <c r="G93">
        <v>-59.584166239963558</v>
      </c>
      <c r="H93">
        <v>-51.273658806004256</v>
      </c>
      <c r="I93">
        <v>7.8389920614623501</v>
      </c>
      <c r="J93">
        <v>4.4392980126881803</v>
      </c>
      <c r="K93">
        <v>1.4298103463167899</v>
      </c>
      <c r="L93">
        <v>3.0764434028131427E-5</v>
      </c>
      <c r="M93">
        <v>1.8272682072315378E-6</v>
      </c>
      <c r="N93" s="1">
        <v>-1.8887122539714E-8</v>
      </c>
      <c r="O93" s="1">
        <v>1.30257891311784E-11</v>
      </c>
      <c r="P93" s="1">
        <v>8.5369797027891694E-11</v>
      </c>
      <c r="Q93">
        <v>65.8808204066613</v>
      </c>
      <c r="S93">
        <v>20.8660670343988</v>
      </c>
      <c r="AA93">
        <v>1.8423301614318</v>
      </c>
      <c r="AB93">
        <v>9.1799062489366303</v>
      </c>
      <c r="AC93">
        <v>2.2308761485713502</v>
      </c>
      <c r="AJ93">
        <v>0.78691222723190901</v>
      </c>
      <c r="AK93">
        <v>8.72702660762842E-2</v>
      </c>
      <c r="AL93">
        <v>0.125817506691806</v>
      </c>
    </row>
    <row r="94" spans="1:38" x14ac:dyDescent="0.2">
      <c r="A94">
        <v>141</v>
      </c>
      <c r="B94">
        <v>786</v>
      </c>
      <c r="C94">
        <v>115</v>
      </c>
      <c r="D94">
        <v>0.48982721994052197</v>
      </c>
      <c r="E94">
        <v>4.0525955411750099</v>
      </c>
      <c r="F94">
        <v>2.5570451512902301</v>
      </c>
      <c r="G94">
        <v>-66.01988453313966</v>
      </c>
      <c r="H94">
        <v>-56.822890123591179</v>
      </c>
      <c r="I94">
        <v>8.6833729023730992</v>
      </c>
      <c r="J94">
        <v>4.9201725717611202</v>
      </c>
      <c r="K94">
        <v>1.5848744552399201</v>
      </c>
      <c r="L94">
        <v>3.0782448190740236E-5</v>
      </c>
      <c r="M94">
        <v>1.8278969197254927E-6</v>
      </c>
      <c r="N94" s="1">
        <v>-2.1588653030609399E-8</v>
      </c>
      <c r="O94" s="1">
        <v>1.44414099046739E-11</v>
      </c>
      <c r="P94" s="1">
        <v>9.65357722142766E-11</v>
      </c>
      <c r="Q94">
        <v>65.910169978886501</v>
      </c>
      <c r="S94">
        <v>20.837988986592698</v>
      </c>
      <c r="AA94">
        <v>1.8123171630511099</v>
      </c>
      <c r="AB94">
        <v>9.1716999442603999</v>
      </c>
      <c r="AC94">
        <v>2.2678239272091298</v>
      </c>
      <c r="AJ94">
        <v>0.78624129599915704</v>
      </c>
      <c r="AK94">
        <v>8.5852116485513996E-2</v>
      </c>
      <c r="AL94">
        <v>0.12790658751532799</v>
      </c>
    </row>
    <row r="95" spans="1:38" x14ac:dyDescent="0.2">
      <c r="A95">
        <v>142</v>
      </c>
      <c r="B95">
        <v>785</v>
      </c>
      <c r="C95">
        <v>115</v>
      </c>
      <c r="D95">
        <v>0.48927893020838498</v>
      </c>
      <c r="E95">
        <v>4.4481783494960601</v>
      </c>
      <c r="F95">
        <v>2.5566704464235799</v>
      </c>
      <c r="G95">
        <v>-72.446112377101969</v>
      </c>
      <c r="H95">
        <v>-62.366141080852934</v>
      </c>
      <c r="I95">
        <v>9.5260325060237392</v>
      </c>
      <c r="J95">
        <v>5.4006219688585002</v>
      </c>
      <c r="K95">
        <v>1.73983250587436</v>
      </c>
      <c r="L95">
        <v>3.0800132627854198E-5</v>
      </c>
      <c r="M95">
        <v>1.8285015235244655E-6</v>
      </c>
      <c r="N95" s="1">
        <v>-2.4432796905787499E-8</v>
      </c>
      <c r="O95" s="1">
        <v>1.5856345581596299E-11</v>
      </c>
      <c r="P95" s="1">
        <v>1.0811499301237E-10</v>
      </c>
      <c r="Q95">
        <v>65.938552318372203</v>
      </c>
      <c r="S95">
        <v>20.810469452740499</v>
      </c>
      <c r="AA95">
        <v>1.78299063493802</v>
      </c>
      <c r="AB95">
        <v>9.1628024302269306</v>
      </c>
      <c r="AC95">
        <v>2.30518516372224</v>
      </c>
      <c r="AJ95">
        <v>0.78551373600333296</v>
      </c>
      <c r="AK95">
        <v>8.4466658504044695E-2</v>
      </c>
      <c r="AL95">
        <v>0.13001960549262101</v>
      </c>
    </row>
    <row r="96" spans="1:38" x14ac:dyDescent="0.2">
      <c r="A96">
        <v>143</v>
      </c>
      <c r="B96">
        <v>784</v>
      </c>
      <c r="C96">
        <v>115</v>
      </c>
      <c r="D96">
        <v>0.48872960317835601</v>
      </c>
      <c r="E96">
        <v>4.8432847544350501</v>
      </c>
      <c r="F96">
        <v>2.5562999394959598</v>
      </c>
      <c r="G96">
        <v>-78.86128581218324</v>
      </c>
      <c r="H96">
        <v>-67.902064790969916</v>
      </c>
      <c r="I96">
        <v>10.366760650062201</v>
      </c>
      <c r="J96">
        <v>5.8805330233554303</v>
      </c>
      <c r="K96">
        <v>1.8946465082614701</v>
      </c>
      <c r="L96">
        <v>3.0817506969622288E-5</v>
      </c>
      <c r="M96">
        <v>1.8290825807066765E-6</v>
      </c>
      <c r="N96" s="1">
        <v>-2.7423762704759799E-8</v>
      </c>
      <c r="O96" s="1">
        <v>1.72701703056776E-11</v>
      </c>
      <c r="P96" s="1">
        <v>1.2011860957816599E-10</v>
      </c>
      <c r="Q96">
        <v>65.965988718848905</v>
      </c>
      <c r="S96">
        <v>20.783494362378502</v>
      </c>
      <c r="AA96">
        <v>1.7543340002149199</v>
      </c>
      <c r="AB96">
        <v>9.1532242712233494</v>
      </c>
      <c r="AC96">
        <v>2.3429586473341701</v>
      </c>
      <c r="AJ96">
        <v>0.78473039702943803</v>
      </c>
      <c r="AK96">
        <v>8.3113092655413695E-2</v>
      </c>
      <c r="AL96">
        <v>0.132156510315147</v>
      </c>
    </row>
    <row r="97" spans="1:38" x14ac:dyDescent="0.2">
      <c r="A97">
        <v>144</v>
      </c>
      <c r="B97">
        <v>783</v>
      </c>
      <c r="C97">
        <v>115</v>
      </c>
      <c r="D97">
        <v>0.48817923590399198</v>
      </c>
      <c r="E97">
        <v>5.7442757235478901</v>
      </c>
      <c r="F97">
        <v>2.5552645298469101</v>
      </c>
      <c r="G97">
        <v>-93.486287139396268</v>
      </c>
      <c r="H97">
        <v>-80.507723610083929</v>
      </c>
      <c r="I97">
        <v>12.2885608382448</v>
      </c>
      <c r="J97">
        <v>6.9735315904441997</v>
      </c>
      <c r="K97">
        <v>2.2480160689633299</v>
      </c>
      <c r="L97">
        <v>3.082141049117055E-5</v>
      </c>
      <c r="M97">
        <v>1.8298800984650885E-6</v>
      </c>
      <c r="N97" s="1">
        <v>-3.3350019830933002E-8</v>
      </c>
      <c r="O97" s="1">
        <v>2.0511332151322701E-11</v>
      </c>
      <c r="P97" s="1">
        <v>1.4484755388011601E-10</v>
      </c>
      <c r="Q97">
        <v>66.018089302110099</v>
      </c>
      <c r="S97">
        <v>20.722634595922301</v>
      </c>
      <c r="AA97">
        <v>1.6919671108909999</v>
      </c>
      <c r="AB97">
        <v>9.1097758374248698</v>
      </c>
      <c r="AC97">
        <v>2.4575331536515899</v>
      </c>
      <c r="AJ97">
        <v>0.78117493540971505</v>
      </c>
      <c r="AK97">
        <v>8.0175802724359799E-2</v>
      </c>
      <c r="AL97">
        <v>0.138649261865924</v>
      </c>
    </row>
    <row r="98" spans="1:38" x14ac:dyDescent="0.2">
      <c r="A98">
        <v>145</v>
      </c>
      <c r="B98">
        <v>782</v>
      </c>
      <c r="C98">
        <v>115</v>
      </c>
      <c r="D98">
        <v>0.48762782542766497</v>
      </c>
      <c r="E98">
        <v>7.2444470861803403</v>
      </c>
      <c r="F98">
        <v>2.5533759481777301</v>
      </c>
      <c r="G98">
        <v>-117.80527024077183</v>
      </c>
      <c r="H98">
        <v>-101.46274259325475</v>
      </c>
      <c r="I98">
        <v>15.4883453987746</v>
      </c>
      <c r="J98">
        <v>8.7912096657548204</v>
      </c>
      <c r="K98">
        <v>2.83720346443714</v>
      </c>
      <c r="L98">
        <v>3.0799860401340711E-5</v>
      </c>
      <c r="M98">
        <v>1.8307290790129402E-6</v>
      </c>
      <c r="N98" s="1">
        <v>-4.2773826189691897E-8</v>
      </c>
      <c r="O98" s="1">
        <v>2.5939006456737198E-11</v>
      </c>
      <c r="P98" s="1">
        <v>1.8468127814654001E-10</v>
      </c>
      <c r="Q98">
        <v>66.094218015879704</v>
      </c>
      <c r="S98">
        <v>20.621453423063102</v>
      </c>
      <c r="AA98">
        <v>1.59072801265786</v>
      </c>
      <c r="AB98">
        <v>9.0141649951013996</v>
      </c>
      <c r="AC98">
        <v>2.67943555329789</v>
      </c>
      <c r="AJ98">
        <v>0.773344898087857</v>
      </c>
      <c r="AK98">
        <v>7.5414427934162601E-2</v>
      </c>
      <c r="AL98">
        <v>0.15124067397797999</v>
      </c>
    </row>
    <row r="99" spans="1:38" x14ac:dyDescent="0.2">
      <c r="A99">
        <v>146</v>
      </c>
      <c r="B99">
        <v>781</v>
      </c>
      <c r="C99">
        <v>115</v>
      </c>
      <c r="D99">
        <v>0.48707536878053398</v>
      </c>
      <c r="E99">
        <v>8.9796518304162394</v>
      </c>
      <c r="F99">
        <v>2.5510489369385998</v>
      </c>
      <c r="G99">
        <v>-145.87313967342084</v>
      </c>
      <c r="H99">
        <v>-125.64971504666637</v>
      </c>
      <c r="I99">
        <v>19.184579639287001</v>
      </c>
      <c r="J99">
        <v>10.8903119958276</v>
      </c>
      <c r="K99">
        <v>3.5199841525550299</v>
      </c>
      <c r="L99">
        <v>3.0752815355672085E-5</v>
      </c>
      <c r="M99">
        <v>1.8312560043604424E-6</v>
      </c>
      <c r="N99" s="1">
        <v>-5.3566191690038603E-8</v>
      </c>
      <c r="O99" s="1">
        <v>3.2261198406602298E-11</v>
      </c>
      <c r="P99" s="1">
        <v>2.3037796513165499E-10</v>
      </c>
      <c r="Q99">
        <v>66.170912986962506</v>
      </c>
      <c r="S99">
        <v>20.504303426750401</v>
      </c>
      <c r="AA99">
        <v>1.4761823431651599</v>
      </c>
      <c r="AB99">
        <v>8.8779516800672003</v>
      </c>
      <c r="AC99">
        <v>2.9706495630546401</v>
      </c>
      <c r="AJ99">
        <v>0.76217633022407005</v>
      </c>
      <c r="AK99">
        <v>7.0031507830620995E-2</v>
      </c>
      <c r="AL99">
        <v>0.16779216194530799</v>
      </c>
    </row>
    <row r="100" spans="1:38" x14ac:dyDescent="0.2">
      <c r="A100">
        <v>147</v>
      </c>
      <c r="B100">
        <v>780</v>
      </c>
      <c r="C100">
        <v>115</v>
      </c>
      <c r="D100">
        <v>0.48652186298248101</v>
      </c>
      <c r="E100">
        <v>11.2299266241528</v>
      </c>
      <c r="F100">
        <v>2.54780915845055</v>
      </c>
      <c r="G100">
        <v>-182.16351230448566</v>
      </c>
      <c r="H100">
        <v>-156.91917002059603</v>
      </c>
      <c r="I100">
        <v>23.970319787199902</v>
      </c>
      <c r="J100">
        <v>13.605406196980899</v>
      </c>
      <c r="K100">
        <v>4.4076796674136496</v>
      </c>
      <c r="L100">
        <v>3.0654114075428691E-5</v>
      </c>
      <c r="M100">
        <v>1.8311781317354644E-6</v>
      </c>
      <c r="N100" s="1">
        <v>-6.6755437091936203E-8</v>
      </c>
      <c r="O100" s="1">
        <v>4.0539254747293201E-11</v>
      </c>
      <c r="P100" s="1">
        <v>2.8716249362246001E-10</v>
      </c>
      <c r="Q100">
        <v>66.251029964980702</v>
      </c>
      <c r="S100">
        <v>20.352567218866199</v>
      </c>
      <c r="AA100">
        <v>1.33230421645482</v>
      </c>
      <c r="AB100">
        <v>8.6586918738587801</v>
      </c>
      <c r="AC100">
        <v>3.4054067258393799</v>
      </c>
      <c r="AJ100">
        <v>0.74416595579511202</v>
      </c>
      <c r="AK100">
        <v>6.3274934670005306E-2</v>
      </c>
      <c r="AL100">
        <v>0.19255910953488201</v>
      </c>
    </row>
    <row r="101" spans="1:38" x14ac:dyDescent="0.2">
      <c r="A101">
        <v>148</v>
      </c>
      <c r="B101">
        <v>779</v>
      </c>
      <c r="C101">
        <v>115</v>
      </c>
      <c r="D101">
        <v>0.48596730504205599</v>
      </c>
      <c r="E101">
        <v>11.457345635530499</v>
      </c>
      <c r="F101">
        <v>2.5480026728487202</v>
      </c>
      <c r="G101">
        <v>-185.79554377741761</v>
      </c>
      <c r="H101">
        <v>-160.08244168051931</v>
      </c>
      <c r="I101">
        <v>24.438627664209701</v>
      </c>
      <c r="J101">
        <v>13.878033770148001</v>
      </c>
      <c r="K101">
        <v>4.4965987507073297</v>
      </c>
      <c r="L101">
        <v>3.0613461376805643E-5</v>
      </c>
      <c r="M101">
        <v>1.8297060470668096E-6</v>
      </c>
      <c r="N101" s="1">
        <v>-6.9565058455024405E-8</v>
      </c>
      <c r="O101" s="1">
        <v>4.1331508776265403E-11</v>
      </c>
      <c r="P101" s="1">
        <v>2.9723160791238298E-10</v>
      </c>
      <c r="Q101">
        <v>66.1935893195662</v>
      </c>
      <c r="S101">
        <v>20.376967922543901</v>
      </c>
      <c r="AA101">
        <v>1.3658380361757401</v>
      </c>
      <c r="AB101">
        <v>8.5946580923961502</v>
      </c>
      <c r="AC101">
        <v>3.4689466293178199</v>
      </c>
      <c r="AJ101">
        <v>0.73889747479971102</v>
      </c>
      <c r="AK101">
        <v>6.4888176700021796E-2</v>
      </c>
      <c r="AL101">
        <v>0.19621434850026601</v>
      </c>
    </row>
    <row r="102" spans="1:38" x14ac:dyDescent="0.2">
      <c r="A102">
        <v>149</v>
      </c>
      <c r="B102">
        <v>778</v>
      </c>
      <c r="C102">
        <v>115</v>
      </c>
      <c r="D102">
        <v>0.48541169195642903</v>
      </c>
      <c r="E102">
        <v>11.1957060862844</v>
      </c>
      <c r="F102">
        <v>2.5502826590493801</v>
      </c>
      <c r="G102">
        <v>-181.64252995951497</v>
      </c>
      <c r="H102">
        <v>-156.55238694552531</v>
      </c>
      <c r="I102">
        <v>23.8692318070586</v>
      </c>
      <c r="J102">
        <v>13.567320280435499</v>
      </c>
      <c r="K102">
        <v>4.3899863595737898</v>
      </c>
      <c r="L102">
        <v>3.0636354418913464E-5</v>
      </c>
      <c r="M102">
        <v>1.8280935765436381E-6</v>
      </c>
      <c r="N102" s="1">
        <v>-7.0873346834134104E-8</v>
      </c>
      <c r="O102" s="1">
        <v>4.0224478010342903E-11</v>
      </c>
      <c r="P102" s="1">
        <v>2.9907258519039601E-10</v>
      </c>
      <c r="Q102">
        <v>66.076664848383103</v>
      </c>
      <c r="S102">
        <v>20.5004157364375</v>
      </c>
      <c r="AA102">
        <v>1.4949664735330901</v>
      </c>
      <c r="AB102">
        <v>8.6577326710368698</v>
      </c>
      <c r="AC102">
        <v>3.27022027060932</v>
      </c>
      <c r="AJ102">
        <v>0.74408446722321397</v>
      </c>
      <c r="AK102">
        <v>7.1000320714831797E-2</v>
      </c>
      <c r="AL102">
        <v>0.18491521206195299</v>
      </c>
    </row>
    <row r="103" spans="1:38" x14ac:dyDescent="0.2">
      <c r="A103">
        <v>150</v>
      </c>
      <c r="B103">
        <v>777</v>
      </c>
      <c r="C103">
        <v>115</v>
      </c>
      <c r="D103">
        <v>0.48485502071132902</v>
      </c>
      <c r="E103">
        <v>11.440821203949801</v>
      </c>
      <c r="F103">
        <v>2.5519742280494402</v>
      </c>
      <c r="G103">
        <v>-185.67644716867224</v>
      </c>
      <c r="H103">
        <v>-160.07477425004546</v>
      </c>
      <c r="I103">
        <v>24.379062913514002</v>
      </c>
      <c r="J103">
        <v>13.8690196804931</v>
      </c>
      <c r="K103">
        <v>4.4831256829323003</v>
      </c>
      <c r="L103">
        <v>3.0651921873695831E-5</v>
      </c>
      <c r="M103">
        <v>1.8267597703035343E-6</v>
      </c>
      <c r="N103" s="1">
        <v>-7.52044541666404E-8</v>
      </c>
      <c r="O103" s="1">
        <v>4.09758866949296E-11</v>
      </c>
      <c r="P103" s="1">
        <v>3.1386095861985802E-10</v>
      </c>
      <c r="Q103">
        <v>65.984707344062599</v>
      </c>
      <c r="S103">
        <v>20.593527064921499</v>
      </c>
      <c r="AA103">
        <v>1.59324129940972</v>
      </c>
      <c r="AB103">
        <v>8.6969137561422105</v>
      </c>
      <c r="AC103">
        <v>3.1316105354639201</v>
      </c>
      <c r="AJ103">
        <v>0.74730461416425498</v>
      </c>
      <c r="AK103">
        <v>7.5652772098494803E-2</v>
      </c>
      <c r="AL103">
        <v>0.177042613737249</v>
      </c>
    </row>
    <row r="104" spans="1:38" x14ac:dyDescent="0.2">
      <c r="A104">
        <v>151</v>
      </c>
      <c r="B104">
        <v>776</v>
      </c>
      <c r="C104">
        <v>115</v>
      </c>
      <c r="D104">
        <v>0.484297288280991</v>
      </c>
      <c r="E104">
        <v>13.2257909393145</v>
      </c>
      <c r="F104">
        <v>2.5555848701999802</v>
      </c>
      <c r="G104">
        <v>-214.80089555206376</v>
      </c>
      <c r="H104">
        <v>-185.25152944786674</v>
      </c>
      <c r="I104">
        <v>28.165053714146701</v>
      </c>
      <c r="J104">
        <v>16.039648115073899</v>
      </c>
      <c r="K104">
        <v>5.1752501329684097</v>
      </c>
      <c r="L104">
        <v>3.0633615015782099E-5</v>
      </c>
      <c r="M104">
        <v>1.82278086807515E-6</v>
      </c>
      <c r="N104" s="1">
        <v>-9.0362947640863996E-8</v>
      </c>
      <c r="O104" s="1">
        <v>4.7065083924834897E-11</v>
      </c>
      <c r="P104" s="1">
        <v>3.7309969265131502E-10</v>
      </c>
      <c r="Q104">
        <v>65.7526673966522</v>
      </c>
      <c r="S104">
        <v>20.809710555376899</v>
      </c>
      <c r="AA104">
        <v>1.82573824211623</v>
      </c>
      <c r="AB104">
        <v>8.7465783008232005</v>
      </c>
      <c r="AC104">
        <v>2.8653055050313698</v>
      </c>
      <c r="AJ104">
        <v>0.75138279234358096</v>
      </c>
      <c r="AK104">
        <v>8.6670711004221607E-2</v>
      </c>
      <c r="AL104">
        <v>0.16194649665219699</v>
      </c>
    </row>
    <row r="105" spans="1:38" x14ac:dyDescent="0.2">
      <c r="A105">
        <v>152</v>
      </c>
      <c r="B105">
        <v>775</v>
      </c>
      <c r="C105">
        <v>115</v>
      </c>
      <c r="D105">
        <v>0.483738491628109</v>
      </c>
      <c r="E105">
        <v>14.186978406820201</v>
      </c>
      <c r="F105">
        <v>2.5570520415963398</v>
      </c>
      <c r="G105">
        <v>-230.45703637710344</v>
      </c>
      <c r="H105">
        <v>-198.80925944891194</v>
      </c>
      <c r="I105">
        <v>30.1939387761212</v>
      </c>
      <c r="J105">
        <v>17.2092717450228</v>
      </c>
      <c r="K105">
        <v>5.5481774230779601</v>
      </c>
      <c r="L105">
        <v>3.0634383124641494E-5</v>
      </c>
      <c r="M105">
        <v>1.8211750264099767E-6</v>
      </c>
      <c r="N105" s="1">
        <v>-1.00244918357382E-7</v>
      </c>
      <c r="O105" s="1">
        <v>5.0339089813682403E-11</v>
      </c>
      <c r="P105" s="1">
        <v>4.1000765497201298E-10</v>
      </c>
      <c r="Q105">
        <v>65.657483911651795</v>
      </c>
      <c r="S105">
        <v>20.896707576273698</v>
      </c>
      <c r="AA105">
        <v>1.9197214401175999</v>
      </c>
      <c r="AB105">
        <v>8.7625410086996691</v>
      </c>
      <c r="AC105">
        <v>2.76354606325713</v>
      </c>
      <c r="AJ105">
        <v>0.75269281402516197</v>
      </c>
      <c r="AK105">
        <v>9.1124825978699295E-2</v>
      </c>
      <c r="AL105">
        <v>0.156182359996138</v>
      </c>
    </row>
    <row r="106" spans="1:38" x14ac:dyDescent="0.2">
      <c r="A106">
        <v>153</v>
      </c>
      <c r="B106">
        <v>774</v>
      </c>
      <c r="C106">
        <v>115</v>
      </c>
      <c r="D106">
        <v>0.48317862770377201</v>
      </c>
      <c r="E106">
        <v>15.053095033333999</v>
      </c>
      <c r="F106">
        <v>2.5582359364062399</v>
      </c>
      <c r="G106">
        <v>-244.55728901446568</v>
      </c>
      <c r="H106">
        <v>-211.02943101401468</v>
      </c>
      <c r="I106">
        <v>32.0181998762841</v>
      </c>
      <c r="J106">
        <v>18.263646306317199</v>
      </c>
      <c r="K106">
        <v>5.8841699544258299</v>
      </c>
      <c r="L106">
        <v>3.063767849738661E-5</v>
      </c>
      <c r="M106">
        <v>1.8198684895012784E-6</v>
      </c>
      <c r="N106" s="1">
        <v>-1.09912407494091E-7</v>
      </c>
      <c r="O106" s="1">
        <v>5.3281172464555903E-11</v>
      </c>
      <c r="P106" s="1">
        <v>4.4548697874461499E-10</v>
      </c>
      <c r="Q106">
        <v>65.579862304031593</v>
      </c>
      <c r="S106">
        <v>20.966866854645701</v>
      </c>
      <c r="AA106">
        <v>1.9957155041308401</v>
      </c>
      <c r="AB106">
        <v>8.7734970876030793</v>
      </c>
      <c r="AC106">
        <v>2.68405824958867</v>
      </c>
      <c r="AJ106">
        <v>0.75359164413669799</v>
      </c>
      <c r="AK106">
        <v>9.4726776695472595E-2</v>
      </c>
      <c r="AL106">
        <v>0.15168157916782901</v>
      </c>
    </row>
    <row r="107" spans="1:38" x14ac:dyDescent="0.2">
      <c r="A107">
        <v>154</v>
      </c>
      <c r="B107">
        <v>773</v>
      </c>
      <c r="C107">
        <v>115</v>
      </c>
      <c r="D107">
        <v>0.48261769344740202</v>
      </c>
      <c r="E107">
        <v>15.5293711737402</v>
      </c>
      <c r="F107">
        <v>2.5588545832740901</v>
      </c>
      <c r="G107">
        <v>-252.29614587740684</v>
      </c>
      <c r="H107">
        <v>-217.76003652554937</v>
      </c>
      <c r="I107">
        <v>33.012578838462403</v>
      </c>
      <c r="J107">
        <v>18.845077629692</v>
      </c>
      <c r="K107">
        <v>6.0688760022737203</v>
      </c>
      <c r="L107">
        <v>3.0652364294355455E-5</v>
      </c>
      <c r="M107">
        <v>1.8193619217111711E-6</v>
      </c>
      <c r="N107" s="1">
        <v>-1.17130759990194E-7</v>
      </c>
      <c r="O107" s="1">
        <v>5.4884124010057797E-11</v>
      </c>
      <c r="P107" s="1">
        <v>4.7054496175271401E-10</v>
      </c>
      <c r="Q107">
        <v>65.544098012656804</v>
      </c>
      <c r="S107">
        <v>21.000469267542002</v>
      </c>
      <c r="AA107">
        <v>2.0317829472946198</v>
      </c>
      <c r="AB107">
        <v>8.7818913758983292</v>
      </c>
      <c r="AC107">
        <v>2.6417583966081701</v>
      </c>
      <c r="AJ107">
        <v>0.754280597229946</v>
      </c>
      <c r="AK107">
        <v>9.6434620692868997E-2</v>
      </c>
      <c r="AL107">
        <v>0.14928478207718399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69162-6DF7-471A-B82C-210858160CA2}">
  <sheetPr codeName="Sheet10"/>
  <dimension ref="A1:AL55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18</v>
      </c>
      <c r="B2">
        <v>740</v>
      </c>
      <c r="C2">
        <v>275</v>
      </c>
      <c r="D2">
        <v>0.28977002418201098</v>
      </c>
      <c r="E2">
        <v>5.3085946061643101</v>
      </c>
      <c r="F2">
        <v>2.5724490391194998</v>
      </c>
      <c r="G2">
        <v>-85.674206877370295</v>
      </c>
      <c r="H2">
        <v>-74.458930806083885</v>
      </c>
      <c r="I2">
        <v>11.069709392771401</v>
      </c>
      <c r="J2">
        <v>6.53562961276109</v>
      </c>
      <c r="K2">
        <v>2.0636345075979898</v>
      </c>
      <c r="L2">
        <v>3.2387454792733807E-5</v>
      </c>
      <c r="M2">
        <v>1.8171448535542826E-6</v>
      </c>
      <c r="N2" s="1">
        <v>-1.34184625851616E-7</v>
      </c>
      <c r="O2" s="1">
        <v>1.78629639290246E-11</v>
      </c>
      <c r="P2" s="1">
        <v>4.3229903173103401E-10</v>
      </c>
      <c r="Q2">
        <v>65.468501670245104</v>
      </c>
      <c r="S2">
        <v>21.162115965227201</v>
      </c>
      <c r="AA2">
        <v>2.1827825010482398</v>
      </c>
      <c r="AB2">
        <v>9.0372068136340005</v>
      </c>
      <c r="AC2">
        <v>2.1493930498453402</v>
      </c>
      <c r="AJ2">
        <v>0.77522314760215805</v>
      </c>
      <c r="AK2">
        <v>0.103469836937817</v>
      </c>
      <c r="AL2">
        <v>0.121307015460024</v>
      </c>
    </row>
    <row r="3" spans="1:38" x14ac:dyDescent="0.2">
      <c r="A3">
        <v>19</v>
      </c>
      <c r="B3">
        <v>739</v>
      </c>
      <c r="C3">
        <v>275</v>
      </c>
      <c r="D3">
        <v>0.28899916020352701</v>
      </c>
      <c r="E3">
        <v>8.6970169864784506</v>
      </c>
      <c r="F3">
        <v>2.5721053390216801</v>
      </c>
      <c r="G3">
        <v>-140.3341326471166</v>
      </c>
      <c r="H3">
        <v>-121.98792183310698</v>
      </c>
      <c r="I3">
        <v>18.1259801551249</v>
      </c>
      <c r="J3">
        <v>10.7149610652626</v>
      </c>
      <c r="K3">
        <v>3.38128336135191</v>
      </c>
      <c r="L3">
        <v>3.247953715626133E-5</v>
      </c>
      <c r="M3">
        <v>1.8184196742476538E-6</v>
      </c>
      <c r="N3" s="1">
        <v>-2.2736478884110599E-7</v>
      </c>
      <c r="O3" s="1">
        <v>2.92277188069982E-11</v>
      </c>
      <c r="P3" s="1">
        <v>7.2963039590293505E-10</v>
      </c>
      <c r="Q3">
        <v>65.513545137716207</v>
      </c>
      <c r="S3">
        <v>21.1290022723406</v>
      </c>
      <c r="AA3">
        <v>2.14495308800901</v>
      </c>
      <c r="AB3">
        <v>9.0507719147829704</v>
      </c>
      <c r="AC3">
        <v>2.1617275871511499</v>
      </c>
      <c r="AJ3">
        <v>0.77633511527520604</v>
      </c>
      <c r="AK3">
        <v>0.101669853714788</v>
      </c>
      <c r="AL3">
        <v>0.121995031010004</v>
      </c>
    </row>
    <row r="4" spans="1:38" x14ac:dyDescent="0.2">
      <c r="A4">
        <v>20</v>
      </c>
      <c r="B4">
        <v>738</v>
      </c>
      <c r="C4">
        <v>275</v>
      </c>
      <c r="D4">
        <v>0.28822677149780002</v>
      </c>
      <c r="E4">
        <v>17.361435686362899</v>
      </c>
      <c r="F4">
        <v>2.5707768884008502</v>
      </c>
      <c r="G4">
        <v>-280.04437380458097</v>
      </c>
      <c r="H4">
        <v>-243.47200372257572</v>
      </c>
      <c r="I4">
        <v>36.169084786634201</v>
      </c>
      <c r="J4">
        <v>21.407411861989601</v>
      </c>
      <c r="K4">
        <v>6.7533809583773703</v>
      </c>
      <c r="L4">
        <v>3.2610371916644178E-5</v>
      </c>
      <c r="M4">
        <v>1.8215351601963019E-6</v>
      </c>
      <c r="N4" s="1">
        <v>-4.7014928680596102E-7</v>
      </c>
      <c r="O4" s="1">
        <v>5.8371844476479096E-11</v>
      </c>
      <c r="P4" s="1">
        <v>1.50268818491395E-9</v>
      </c>
      <c r="Q4">
        <v>65.646651100814694</v>
      </c>
      <c r="S4">
        <v>21.025612858525299</v>
      </c>
      <c r="AA4">
        <v>2.0285973061745199</v>
      </c>
      <c r="AB4">
        <v>9.0763426268339504</v>
      </c>
      <c r="AC4">
        <v>2.22279610765138</v>
      </c>
      <c r="AJ4">
        <v>0.77843156473909203</v>
      </c>
      <c r="AK4">
        <v>9.6142672636957402E-2</v>
      </c>
      <c r="AL4">
        <v>0.12542576262395</v>
      </c>
    </row>
    <row r="5" spans="1:38" x14ac:dyDescent="0.2">
      <c r="A5">
        <v>21</v>
      </c>
      <c r="B5">
        <v>737</v>
      </c>
      <c r="C5">
        <v>275</v>
      </c>
      <c r="D5">
        <v>0.28745285353660599</v>
      </c>
      <c r="E5">
        <v>19.525526407280701</v>
      </c>
      <c r="F5">
        <v>2.5705642656075098</v>
      </c>
      <c r="G5">
        <v>-314.90194905883021</v>
      </c>
      <c r="H5">
        <v>-273.83371587377803</v>
      </c>
      <c r="I5">
        <v>40.655579057617302</v>
      </c>
      <c r="J5">
        <v>24.093988390488501</v>
      </c>
      <c r="K5">
        <v>7.5958133661622798</v>
      </c>
      <c r="L5">
        <v>3.2701467711968965E-5</v>
      </c>
      <c r="M5">
        <v>1.8225537226240265E-6</v>
      </c>
      <c r="N5" s="1">
        <v>-5.4672200811846401E-7</v>
      </c>
      <c r="O5" s="1">
        <v>6.5539786965075802E-11</v>
      </c>
      <c r="P5" s="1">
        <v>1.7409634847121301E-9</v>
      </c>
      <c r="Q5">
        <v>65.679151569805796</v>
      </c>
      <c r="S5">
        <v>21.0022372099296</v>
      </c>
      <c r="AA5">
        <v>2.0017286166063801</v>
      </c>
      <c r="AB5">
        <v>9.0874858775398994</v>
      </c>
      <c r="AC5">
        <v>2.22939672611815</v>
      </c>
      <c r="AJ5">
        <v>0.77934459757677599</v>
      </c>
      <c r="AK5">
        <v>9.4864073276699601E-2</v>
      </c>
      <c r="AL5">
        <v>0.125791329146523</v>
      </c>
    </row>
    <row r="6" spans="1:38" x14ac:dyDescent="0.2">
      <c r="A6">
        <v>22</v>
      </c>
      <c r="B6">
        <v>736</v>
      </c>
      <c r="C6">
        <v>275</v>
      </c>
      <c r="D6">
        <v>0.28667740177377199</v>
      </c>
      <c r="E6">
        <v>20.339415715037699</v>
      </c>
      <c r="F6">
        <v>2.57056457195036</v>
      </c>
      <c r="G6">
        <v>-327.98857126008681</v>
      </c>
      <c r="H6">
        <v>-285.27492090134331</v>
      </c>
      <c r="I6">
        <v>42.326364126981602</v>
      </c>
      <c r="J6">
        <v>25.117464690211801</v>
      </c>
      <c r="K6">
        <v>7.9124313533993904</v>
      </c>
      <c r="L6">
        <v>3.2787398885455282E-5</v>
      </c>
      <c r="M6">
        <v>1.8231894074650888E-6</v>
      </c>
      <c r="N6" s="1">
        <v>-5.8869676147930903E-7</v>
      </c>
      <c r="O6" s="1">
        <v>6.8127990808851303E-11</v>
      </c>
      <c r="P6" s="1">
        <v>1.8679068270286202E-9</v>
      </c>
      <c r="Q6">
        <v>65.692829491375093</v>
      </c>
      <c r="S6">
        <v>20.993944070315798</v>
      </c>
      <c r="AA6">
        <v>1.99169513550096</v>
      </c>
      <c r="AB6">
        <v>9.0962248486968509</v>
      </c>
      <c r="AC6">
        <v>2.2253064541111298</v>
      </c>
      <c r="AJ6">
        <v>0.78006037889268398</v>
      </c>
      <c r="AK6">
        <v>9.4384501305402504E-2</v>
      </c>
      <c r="AL6">
        <v>0.125555119801913</v>
      </c>
    </row>
    <row r="7" spans="1:38" x14ac:dyDescent="0.2">
      <c r="A7">
        <v>36</v>
      </c>
      <c r="B7">
        <v>744</v>
      </c>
      <c r="C7">
        <v>255</v>
      </c>
      <c r="D7">
        <v>0.31446738435825899</v>
      </c>
      <c r="E7">
        <v>2.2634496757782601</v>
      </c>
      <c r="F7">
        <v>2.5700546891400302</v>
      </c>
      <c r="G7">
        <v>-36.555034394068066</v>
      </c>
      <c r="H7">
        <v>-31.742209779019888</v>
      </c>
      <c r="I7">
        <v>4.7316763653818796</v>
      </c>
      <c r="J7">
        <v>2.77884705159039</v>
      </c>
      <c r="K7">
        <v>0.88070097704249095</v>
      </c>
      <c r="L7">
        <v>3.2097220427550237E-5</v>
      </c>
      <c r="M7">
        <v>1.8185243430118362E-6</v>
      </c>
      <c r="N7" s="1">
        <v>-4.9344178962474299E-8</v>
      </c>
      <c r="O7" s="1">
        <v>7.69717887009075E-12</v>
      </c>
      <c r="P7" s="1">
        <v>1.61849607191918E-10</v>
      </c>
      <c r="Q7">
        <v>65.543441723896905</v>
      </c>
      <c r="S7">
        <v>21.091109537755301</v>
      </c>
      <c r="AA7">
        <v>2.10671523431277</v>
      </c>
      <c r="AB7">
        <v>9.0180541239888701</v>
      </c>
      <c r="AC7">
        <v>2.2406793800460698</v>
      </c>
      <c r="AJ7">
        <v>0.77365504740450397</v>
      </c>
      <c r="AK7">
        <v>9.9873702871943998E-2</v>
      </c>
      <c r="AL7">
        <v>0.126471249723551</v>
      </c>
    </row>
    <row r="8" spans="1:38" x14ac:dyDescent="0.2">
      <c r="A8">
        <v>37</v>
      </c>
      <c r="B8">
        <v>743</v>
      </c>
      <c r="C8">
        <v>255</v>
      </c>
      <c r="D8">
        <v>0.31372385966638899</v>
      </c>
      <c r="E8">
        <v>6.839940257436</v>
      </c>
      <c r="F8">
        <v>2.5699290192132</v>
      </c>
      <c r="G8">
        <v>-110.45024449877056</v>
      </c>
      <c r="H8">
        <v>-95.928475414674566</v>
      </c>
      <c r="I8">
        <v>14.290969919889699</v>
      </c>
      <c r="J8">
        <v>8.40244910301071</v>
      </c>
      <c r="K8">
        <v>2.6615288618088302</v>
      </c>
      <c r="L8">
        <v>3.2170703110473169E-5</v>
      </c>
      <c r="M8">
        <v>1.8193370579487901E-6</v>
      </c>
      <c r="N8" s="1">
        <v>-1.5412547098830099E-7</v>
      </c>
      <c r="O8" s="1">
        <v>2.3228440500005601E-11</v>
      </c>
      <c r="P8" s="1">
        <v>5.0338893175297195E-10</v>
      </c>
      <c r="Q8">
        <v>65.568035396121402</v>
      </c>
      <c r="S8">
        <v>21.074045824535201</v>
      </c>
      <c r="AA8">
        <v>2.08689889899125</v>
      </c>
      <c r="AB8">
        <v>9.0281250612406296</v>
      </c>
      <c r="AC8">
        <v>2.2428948191114202</v>
      </c>
      <c r="AJ8">
        <v>0.77448062321435596</v>
      </c>
      <c r="AK8">
        <v>9.8929357916730298E-2</v>
      </c>
      <c r="AL8">
        <v>0.126590018868913</v>
      </c>
    </row>
    <row r="9" spans="1:38" x14ac:dyDescent="0.2">
      <c r="A9">
        <v>38</v>
      </c>
      <c r="B9">
        <v>742</v>
      </c>
      <c r="C9">
        <v>255</v>
      </c>
      <c r="D9">
        <v>0.31297887011771702</v>
      </c>
      <c r="E9">
        <v>12.523863317219</v>
      </c>
      <c r="F9">
        <v>2.5695812201998298</v>
      </c>
      <c r="G9">
        <v>-202.19650356700055</v>
      </c>
      <c r="H9">
        <v>-175.6472242169535</v>
      </c>
      <c r="I9">
        <v>26.153060483718601</v>
      </c>
      <c r="J9">
        <v>15.3945535945558</v>
      </c>
      <c r="K9">
        <v>4.8738927646136299</v>
      </c>
      <c r="L9">
        <v>3.2253941417761263E-5</v>
      </c>
      <c r="M9">
        <v>1.8205603903113838E-6</v>
      </c>
      <c r="N9" s="1">
        <v>-2.9179110751605799E-7</v>
      </c>
      <c r="O9" s="1">
        <v>4.2487438144709E-11</v>
      </c>
      <c r="P9" s="1">
        <v>9.4901879309654409E-10</v>
      </c>
      <c r="Q9">
        <v>65.612200863031603</v>
      </c>
      <c r="S9">
        <v>21.041256461356699</v>
      </c>
      <c r="AA9">
        <v>2.0495419307098599</v>
      </c>
      <c r="AB9">
        <v>9.0405838577118303</v>
      </c>
      <c r="AC9">
        <v>2.2564168871898902</v>
      </c>
      <c r="AJ9">
        <v>0.77550204667814104</v>
      </c>
      <c r="AK9">
        <v>9.7152519429047096E-2</v>
      </c>
      <c r="AL9">
        <v>0.12734543389281</v>
      </c>
    </row>
    <row r="10" spans="1:38" x14ac:dyDescent="0.2">
      <c r="A10">
        <v>39</v>
      </c>
      <c r="B10">
        <v>741</v>
      </c>
      <c r="C10">
        <v>255</v>
      </c>
      <c r="D10">
        <v>0.31223241137898899</v>
      </c>
      <c r="E10">
        <v>17.829533572905898</v>
      </c>
      <c r="F10">
        <v>2.5692319965043602</v>
      </c>
      <c r="G10">
        <v>-287.80338147699757</v>
      </c>
      <c r="H10">
        <v>-250.06352318348485</v>
      </c>
      <c r="I10">
        <v>37.213290236663802</v>
      </c>
      <c r="J10">
        <v>21.930717856613899</v>
      </c>
      <c r="K10">
        <v>6.9396355008673298</v>
      </c>
      <c r="L10">
        <v>3.2339058641601073E-5</v>
      </c>
      <c r="M10">
        <v>1.8217857821141271E-6</v>
      </c>
      <c r="N10" s="1">
        <v>-4.2952858935623403E-7</v>
      </c>
      <c r="O10" s="1">
        <v>6.0421330409542202E-11</v>
      </c>
      <c r="P10" s="1">
        <v>1.39126470285765E-9</v>
      </c>
      <c r="Q10">
        <v>65.656287533567095</v>
      </c>
      <c r="S10">
        <v>21.008458722420201</v>
      </c>
      <c r="AA10">
        <v>2.0121964383992199</v>
      </c>
      <c r="AB10">
        <v>9.0528451025483196</v>
      </c>
      <c r="AC10">
        <v>2.2702122030650602</v>
      </c>
      <c r="AJ10">
        <v>0.776507161933783</v>
      </c>
      <c r="AK10">
        <v>9.5376535414628302E-2</v>
      </c>
      <c r="AL10">
        <v>0.12811630265158799</v>
      </c>
    </row>
    <row r="11" spans="1:38" x14ac:dyDescent="0.2">
      <c r="A11">
        <v>40</v>
      </c>
      <c r="B11">
        <v>740</v>
      </c>
      <c r="C11">
        <v>255</v>
      </c>
      <c r="D11">
        <v>0.31148447909983901</v>
      </c>
      <c r="E11">
        <v>19.402325823578401</v>
      </c>
      <c r="F11">
        <v>2.5692264063497601</v>
      </c>
      <c r="G11">
        <v>-313.15320014534632</v>
      </c>
      <c r="H11">
        <v>-272.1475749809477</v>
      </c>
      <c r="I11">
        <v>40.473399954990398</v>
      </c>
      <c r="J11">
        <v>23.880896573022898</v>
      </c>
      <c r="K11">
        <v>7.5518162882127502</v>
      </c>
      <c r="L11">
        <v>3.2414452884505192E-5</v>
      </c>
      <c r="M11">
        <v>1.8223964838647564E-6</v>
      </c>
      <c r="N11" s="1">
        <v>-4.8310614195172899E-7</v>
      </c>
      <c r="O11" s="1">
        <v>6.5634932425991205E-11</v>
      </c>
      <c r="P11" s="1">
        <v>1.5586276988127999E-9</v>
      </c>
      <c r="Q11">
        <v>65.670289698365593</v>
      </c>
      <c r="S11">
        <v>20.999880993623901</v>
      </c>
      <c r="AA11">
        <v>2.0018525105794298</v>
      </c>
      <c r="AB11">
        <v>9.0615605448153094</v>
      </c>
      <c r="AC11">
        <v>2.2664162526156799</v>
      </c>
      <c r="AJ11">
        <v>0.77722126657708901</v>
      </c>
      <c r="AK11">
        <v>9.4882156361886003E-2</v>
      </c>
      <c r="AL11">
        <v>0.127896577061024</v>
      </c>
    </row>
    <row r="12" spans="1:38" x14ac:dyDescent="0.2">
      <c r="A12">
        <v>51</v>
      </c>
      <c r="B12">
        <v>747</v>
      </c>
      <c r="C12">
        <v>235</v>
      </c>
      <c r="D12">
        <v>0.33825466843111501</v>
      </c>
      <c r="E12">
        <v>8.8628524569822105</v>
      </c>
      <c r="F12">
        <v>2.5247587947685299</v>
      </c>
      <c r="G12">
        <v>-140.08275112779896</v>
      </c>
      <c r="H12">
        <v>-121.41472340188797</v>
      </c>
      <c r="I12">
        <v>18.299296893506799</v>
      </c>
      <c r="J12">
        <v>10.580617511730299</v>
      </c>
      <c r="K12">
        <v>3.51037591208578</v>
      </c>
      <c r="L12">
        <v>2.8987000511819413E-5</v>
      </c>
      <c r="M12">
        <v>1.8000227212158177E-6</v>
      </c>
      <c r="N12" s="1">
        <v>-8.4910373130564597E-8</v>
      </c>
      <c r="O12" s="1">
        <v>3.3245988634455801E-11</v>
      </c>
      <c r="P12" s="1">
        <v>3.1677441421755198E-10</v>
      </c>
      <c r="Q12">
        <v>66.138210443532799</v>
      </c>
      <c r="S12">
        <v>19.042174778300101</v>
      </c>
      <c r="AA12">
        <v>0.27754192863067301</v>
      </c>
      <c r="AB12">
        <v>4.9719154738703102</v>
      </c>
      <c r="AC12">
        <v>9.5701573756659499</v>
      </c>
      <c r="AJ12">
        <v>0.43530250224007999</v>
      </c>
      <c r="AK12">
        <v>1.3427860447684599E-2</v>
      </c>
      <c r="AL12">
        <v>0.551269637312234</v>
      </c>
    </row>
    <row r="13" spans="1:38" x14ac:dyDescent="0.2">
      <c r="A13">
        <v>52</v>
      </c>
      <c r="B13">
        <v>746</v>
      </c>
      <c r="C13">
        <v>235</v>
      </c>
      <c r="D13">
        <v>0.33753667271746202</v>
      </c>
      <c r="E13">
        <v>16.526781128816101</v>
      </c>
      <c r="F13">
        <v>2.5247496557481002</v>
      </c>
      <c r="G13">
        <v>-261.15642408582136</v>
      </c>
      <c r="H13">
        <v>-226.40341800434399</v>
      </c>
      <c r="I13">
        <v>34.099991249057901</v>
      </c>
      <c r="J13">
        <v>19.7318239200264</v>
      </c>
      <c r="K13">
        <v>6.5459088552362301</v>
      </c>
      <c r="L13">
        <v>2.8996256015092425E-5</v>
      </c>
      <c r="M13">
        <v>1.7999723848389151E-6</v>
      </c>
      <c r="N13" s="1">
        <v>-1.6315548415151801E-7</v>
      </c>
      <c r="O13" s="1">
        <v>6.1966104887445005E-11</v>
      </c>
      <c r="P13" s="1">
        <v>6.0445636399888702E-10</v>
      </c>
      <c r="Q13">
        <v>66.134207132000597</v>
      </c>
      <c r="S13">
        <v>19.037716323704</v>
      </c>
      <c r="AA13">
        <v>0.27479777595523203</v>
      </c>
      <c r="AB13">
        <v>4.9513058904073004</v>
      </c>
      <c r="AC13">
        <v>9.60197287793277</v>
      </c>
      <c r="AJ13">
        <v>0.43354339764544902</v>
      </c>
      <c r="AK13">
        <v>1.3296484231598699E-2</v>
      </c>
      <c r="AL13">
        <v>0.55316011812295096</v>
      </c>
    </row>
    <row r="14" spans="1:38" x14ac:dyDescent="0.2">
      <c r="A14">
        <v>53</v>
      </c>
      <c r="B14">
        <v>745</v>
      </c>
      <c r="C14">
        <v>235</v>
      </c>
      <c r="D14">
        <v>0.33681726661101002</v>
      </c>
      <c r="E14">
        <v>29.409903579922801</v>
      </c>
      <c r="F14">
        <v>2.5247573937755599</v>
      </c>
      <c r="G14">
        <v>-464.64945364543092</v>
      </c>
      <c r="H14">
        <v>-402.90500038941514</v>
      </c>
      <c r="I14">
        <v>60.643768851363397</v>
      </c>
      <c r="J14">
        <v>35.119249072558198</v>
      </c>
      <c r="K14">
        <v>11.648605783838301</v>
      </c>
      <c r="L14">
        <v>2.9014338724602099E-5</v>
      </c>
      <c r="M14">
        <v>1.8000449656151573E-6</v>
      </c>
      <c r="N14" s="1">
        <v>-2.9992483535648897E-7</v>
      </c>
      <c r="O14" s="1">
        <v>1.1020529700807001E-10</v>
      </c>
      <c r="P14" s="1">
        <v>1.10303514415035E-9</v>
      </c>
      <c r="Q14">
        <v>66.133694560082503</v>
      </c>
      <c r="S14">
        <v>19.034022535036001</v>
      </c>
      <c r="AA14">
        <v>0.27186996413253001</v>
      </c>
      <c r="AB14">
        <v>4.94047990415232</v>
      </c>
      <c r="AC14">
        <v>9.6199330365965707</v>
      </c>
      <c r="AJ14">
        <v>0.43261922621038201</v>
      </c>
      <c r="AK14">
        <v>1.3155540602820899E-2</v>
      </c>
      <c r="AL14">
        <v>0.55422523318679595</v>
      </c>
    </row>
    <row r="15" spans="1:38" x14ac:dyDescent="0.2">
      <c r="A15">
        <v>54</v>
      </c>
      <c r="B15">
        <v>744</v>
      </c>
      <c r="C15">
        <v>235</v>
      </c>
      <c r="D15">
        <v>0.336096445951927</v>
      </c>
      <c r="E15">
        <v>36.596251692283701</v>
      </c>
      <c r="F15">
        <v>2.52476327297147</v>
      </c>
      <c r="G15">
        <v>-578.07610921061712</v>
      </c>
      <c r="H15">
        <v>-501.36878958566393</v>
      </c>
      <c r="I15">
        <v>75.413970038787895</v>
      </c>
      <c r="J15">
        <v>43.707907017284299</v>
      </c>
      <c r="K15">
        <v>14.4949239732929</v>
      </c>
      <c r="L15">
        <v>2.9031865279059795E-5</v>
      </c>
      <c r="M15">
        <v>1.8001000216424854E-6</v>
      </c>
      <c r="N15" s="1">
        <v>-3.8537165329629898E-7</v>
      </c>
      <c r="O15" s="1">
        <v>1.3705231586979301E-10</v>
      </c>
      <c r="P15" s="1">
        <v>1.4072680720189199E-9</v>
      </c>
      <c r="Q15">
        <v>66.132591459194103</v>
      </c>
      <c r="S15">
        <v>19.030237772107402</v>
      </c>
      <c r="AA15">
        <v>0.26900488947551798</v>
      </c>
      <c r="AB15">
        <v>4.9280994548982999</v>
      </c>
      <c r="AC15">
        <v>9.6400664243246297</v>
      </c>
      <c r="AJ15">
        <v>0.43156222740202599</v>
      </c>
      <c r="AK15">
        <v>1.30177200094665E-2</v>
      </c>
      <c r="AL15">
        <v>0.55542005258850602</v>
      </c>
    </row>
    <row r="16" spans="1:38" x14ac:dyDescent="0.2">
      <c r="A16">
        <v>55</v>
      </c>
      <c r="B16">
        <v>743</v>
      </c>
      <c r="C16">
        <v>235</v>
      </c>
      <c r="D16">
        <v>0.33537420656399403</v>
      </c>
      <c r="E16">
        <v>38.628929123100498</v>
      </c>
      <c r="F16">
        <v>2.5247692409508602</v>
      </c>
      <c r="G16">
        <v>-610.066292293826</v>
      </c>
      <c r="H16">
        <v>-529.22989240027186</v>
      </c>
      <c r="I16">
        <v>79.551640893130099</v>
      </c>
      <c r="J16">
        <v>46.143487575903798</v>
      </c>
      <c r="K16">
        <v>15.299984052622699</v>
      </c>
      <c r="L16">
        <v>2.9049831962102718E-5</v>
      </c>
      <c r="M16">
        <v>1.8001521827711188E-6</v>
      </c>
      <c r="N16" s="1">
        <v>-4.1998158263873198E-7</v>
      </c>
      <c r="O16" s="1">
        <v>1.4457569810337699E-10</v>
      </c>
      <c r="P16" s="1">
        <v>1.5230854816675501E-9</v>
      </c>
      <c r="Q16">
        <v>66.131321015566698</v>
      </c>
      <c r="S16">
        <v>19.0264507444769</v>
      </c>
      <c r="AA16">
        <v>0.26617699355666702</v>
      </c>
      <c r="AB16">
        <v>4.9153401541125801</v>
      </c>
      <c r="AC16">
        <v>9.6607110922870998</v>
      </c>
      <c r="AJ16">
        <v>0.43047274344179798</v>
      </c>
      <c r="AK16">
        <v>1.28817061004519E-2</v>
      </c>
      <c r="AL16">
        <v>0.55664555045774899</v>
      </c>
    </row>
    <row r="17" spans="1:38" x14ac:dyDescent="0.2">
      <c r="A17">
        <v>62</v>
      </c>
      <c r="B17">
        <v>751</v>
      </c>
      <c r="C17">
        <v>215</v>
      </c>
      <c r="D17">
        <v>0.36259385832153801</v>
      </c>
      <c r="E17">
        <v>4.3494155878203999</v>
      </c>
      <c r="F17">
        <v>2.5241485936669599</v>
      </c>
      <c r="G17">
        <v>-68.871609543234811</v>
      </c>
      <c r="H17">
        <v>-59.643872023907697</v>
      </c>
      <c r="I17">
        <v>9.0101425761139602</v>
      </c>
      <c r="J17">
        <v>5.1931659582921101</v>
      </c>
      <c r="K17">
        <v>1.72312184739559</v>
      </c>
      <c r="L17">
        <v>2.9005671175725635E-5</v>
      </c>
      <c r="M17">
        <v>1.8026050173975979E-6</v>
      </c>
      <c r="N17" s="1">
        <v>-3.7126566240840702E-8</v>
      </c>
      <c r="O17" s="1">
        <v>1.63305428198722E-11</v>
      </c>
      <c r="P17" s="1">
        <v>1.4248488860356501E-10</v>
      </c>
      <c r="Q17">
        <v>66.183804609016605</v>
      </c>
      <c r="S17">
        <v>19.072022835463201</v>
      </c>
      <c r="AA17">
        <v>0.291528106206416</v>
      </c>
      <c r="AB17">
        <v>5.1517701893544103</v>
      </c>
      <c r="AC17">
        <v>9.3008742599593202</v>
      </c>
      <c r="AJ17">
        <v>0.45063827769778703</v>
      </c>
      <c r="AK17">
        <v>1.40916814903243E-2</v>
      </c>
      <c r="AL17">
        <v>0.535270040811888</v>
      </c>
    </row>
    <row r="18" spans="1:38" x14ac:dyDescent="0.2">
      <c r="A18">
        <v>63</v>
      </c>
      <c r="B18">
        <v>750</v>
      </c>
      <c r="C18">
        <v>215</v>
      </c>
      <c r="D18">
        <v>0.36190245809509802</v>
      </c>
      <c r="E18">
        <v>13.7020452674432</v>
      </c>
      <c r="F18">
        <v>2.5240784622024499</v>
      </c>
      <c r="G18">
        <v>-216.89343398526282</v>
      </c>
      <c r="H18">
        <v>-187.87495161056862</v>
      </c>
      <c r="I18">
        <v>28.361904290371999</v>
      </c>
      <c r="J18">
        <v>16.3585442909481</v>
      </c>
      <c r="K18">
        <v>5.4285338085279298</v>
      </c>
      <c r="L18">
        <v>2.8991332661451931E-5</v>
      </c>
      <c r="M18">
        <v>1.8022216187288237E-6</v>
      </c>
      <c r="N18" s="1">
        <v>-1.1970980474706099E-7</v>
      </c>
      <c r="O18" s="1">
        <v>5.1441270172637197E-11</v>
      </c>
      <c r="P18" s="1">
        <v>4.5668835186930798E-10</v>
      </c>
      <c r="Q18">
        <v>66.170663040730901</v>
      </c>
      <c r="S18">
        <v>19.065161844947799</v>
      </c>
      <c r="AA18">
        <v>0.28893412408303198</v>
      </c>
      <c r="AB18">
        <v>5.1044979304270299</v>
      </c>
      <c r="AC18">
        <v>9.3707430598110601</v>
      </c>
      <c r="AJ18">
        <v>0.44661018384071199</v>
      </c>
      <c r="AK18">
        <v>1.39696400708054E-2</v>
      </c>
      <c r="AL18">
        <v>0.53942017608848103</v>
      </c>
    </row>
    <row r="19" spans="1:38" x14ac:dyDescent="0.2">
      <c r="A19">
        <v>64</v>
      </c>
      <c r="B19">
        <v>749</v>
      </c>
      <c r="C19">
        <v>215</v>
      </c>
      <c r="D19">
        <v>0.36120970503350902</v>
      </c>
      <c r="E19">
        <v>24.930849619906901</v>
      </c>
      <c r="F19">
        <v>2.52401942724899</v>
      </c>
      <c r="G19">
        <v>-394.50861613830261</v>
      </c>
      <c r="H19">
        <v>-341.80289054993756</v>
      </c>
      <c r="I19">
        <v>51.563592025010998</v>
      </c>
      <c r="J19">
        <v>29.762232661895599</v>
      </c>
      <c r="K19">
        <v>9.8774396705336809</v>
      </c>
      <c r="L19">
        <v>2.8980147811622659E-5</v>
      </c>
      <c r="M19">
        <v>1.8018832114659539E-6</v>
      </c>
      <c r="N19" s="1">
        <v>-2.2313097274545299E-7</v>
      </c>
      <c r="O19" s="1">
        <v>9.3583247293097099E-11</v>
      </c>
      <c r="P19" s="1">
        <v>8.4607116992798596E-10</v>
      </c>
      <c r="Q19">
        <v>66.158684764959503</v>
      </c>
      <c r="S19">
        <v>19.058676216469401</v>
      </c>
      <c r="AA19">
        <v>0.286378381078502</v>
      </c>
      <c r="AB19">
        <v>5.0608020668744302</v>
      </c>
      <c r="AC19">
        <v>9.4354585706180494</v>
      </c>
      <c r="AJ19">
        <v>0.44288512176448702</v>
      </c>
      <c r="AK19">
        <v>1.38491385135512E-2</v>
      </c>
      <c r="AL19">
        <v>0.54326573972196102</v>
      </c>
    </row>
    <row r="20" spans="1:38" x14ac:dyDescent="0.2">
      <c r="A20">
        <v>65</v>
      </c>
      <c r="B20">
        <v>748</v>
      </c>
      <c r="C20">
        <v>215</v>
      </c>
      <c r="D20">
        <v>0.36051559516231801</v>
      </c>
      <c r="E20">
        <v>34.438456796204498</v>
      </c>
      <c r="F20">
        <v>2.52397940224858</v>
      </c>
      <c r="G20">
        <v>-544.80024689338507</v>
      </c>
      <c r="H20">
        <v>-472.12050690610988</v>
      </c>
      <c r="I20">
        <v>71.174401397713595</v>
      </c>
      <c r="J20">
        <v>41.111799146802198</v>
      </c>
      <c r="K20">
        <v>13.644507861484</v>
      </c>
      <c r="L20">
        <v>2.8976199435083152E-5</v>
      </c>
      <c r="M20">
        <v>1.8016505036587976E-6</v>
      </c>
      <c r="N20" s="1">
        <v>-3.1643384691422798E-7</v>
      </c>
      <c r="O20" s="1">
        <v>1.2923896704284001E-10</v>
      </c>
      <c r="P20" s="1">
        <v>1.1921188386081301E-9</v>
      </c>
      <c r="Q20">
        <v>66.149638775531699</v>
      </c>
      <c r="S20">
        <v>19.052938333056101</v>
      </c>
      <c r="AA20">
        <v>0.28375532647769602</v>
      </c>
      <c r="AB20">
        <v>5.0256009571174403</v>
      </c>
      <c r="AC20">
        <v>9.48806660781697</v>
      </c>
      <c r="AJ20">
        <v>0.43988304094966302</v>
      </c>
      <c r="AK20">
        <v>1.37247369624397E-2</v>
      </c>
      <c r="AL20">
        <v>0.54639222208789595</v>
      </c>
    </row>
    <row r="21" spans="1:38" x14ac:dyDescent="0.2">
      <c r="A21">
        <v>66</v>
      </c>
      <c r="B21">
        <v>747</v>
      </c>
      <c r="C21">
        <v>215</v>
      </c>
      <c r="D21">
        <v>0.35982012449149797</v>
      </c>
      <c r="E21">
        <v>38.208125795922797</v>
      </c>
      <c r="F21">
        <v>2.5239630112565701</v>
      </c>
      <c r="G21">
        <v>-604.29071825496339</v>
      </c>
      <c r="H21">
        <v>-523.78991960630538</v>
      </c>
      <c r="I21">
        <v>78.9107470946999</v>
      </c>
      <c r="J21">
        <v>45.615124853516797</v>
      </c>
      <c r="K21">
        <v>15.1381480732955</v>
      </c>
      <c r="L21">
        <v>2.8982586237172296E-5</v>
      </c>
      <c r="M21">
        <v>1.8015678144226326E-6</v>
      </c>
      <c r="N21" s="1">
        <v>-3.6153457845454702E-7</v>
      </c>
      <c r="O21" s="1">
        <v>1.4332748610199599E-10</v>
      </c>
      <c r="P21" s="1">
        <v>1.3524887786429499E-9</v>
      </c>
      <c r="Q21">
        <v>66.144832639518398</v>
      </c>
      <c r="S21">
        <v>19.0482018519888</v>
      </c>
      <c r="AA21">
        <v>0.28096912723416501</v>
      </c>
      <c r="AB21">
        <v>5.0024734398042003</v>
      </c>
      <c r="AC21">
        <v>9.5235229414542797</v>
      </c>
      <c r="AJ21">
        <v>0.437910067753641</v>
      </c>
      <c r="AK21">
        <v>1.3591567028307199E-2</v>
      </c>
      <c r="AL21">
        <v>0.54849836521805095</v>
      </c>
    </row>
    <row r="22" spans="1:38" x14ac:dyDescent="0.2">
      <c r="A22">
        <v>67</v>
      </c>
      <c r="B22">
        <v>746</v>
      </c>
      <c r="C22">
        <v>215</v>
      </c>
      <c r="D22">
        <v>0.35912328901535701</v>
      </c>
      <c r="E22">
        <v>39.534140359711202</v>
      </c>
      <c r="F22">
        <v>2.52395989228545</v>
      </c>
      <c r="G22">
        <v>-625.13231559021426</v>
      </c>
      <c r="H22">
        <v>-541.97392290290873</v>
      </c>
      <c r="I22">
        <v>81.595832495025704</v>
      </c>
      <c r="J22">
        <v>47.203934912860703</v>
      </c>
      <c r="K22">
        <v>15.663537475594699</v>
      </c>
      <c r="L22">
        <v>2.8995286417506248E-5</v>
      </c>
      <c r="M22">
        <v>1.8015722161977598E-6</v>
      </c>
      <c r="N22" s="1">
        <v>-3.8591079581402901E-7</v>
      </c>
      <c r="O22" s="1">
        <v>1.48227268554981E-10</v>
      </c>
      <c r="P22" s="1">
        <v>1.4332286859796499E-9</v>
      </c>
      <c r="Q22">
        <v>66.142464012109599</v>
      </c>
      <c r="S22">
        <v>19.0440425029918</v>
      </c>
      <c r="AA22">
        <v>0.27809030854788303</v>
      </c>
      <c r="AB22">
        <v>4.9862908064762204</v>
      </c>
      <c r="AC22">
        <v>9.5491123698744609</v>
      </c>
      <c r="AJ22">
        <v>0.43652928572334199</v>
      </c>
      <c r="AK22">
        <v>1.34534114826149E-2</v>
      </c>
      <c r="AL22">
        <v>0.55001730279404204</v>
      </c>
    </row>
    <row r="23" spans="1:38" x14ac:dyDescent="0.2">
      <c r="A23">
        <v>72</v>
      </c>
      <c r="B23">
        <v>755</v>
      </c>
      <c r="C23">
        <v>195</v>
      </c>
      <c r="D23">
        <v>0.38674366580751801</v>
      </c>
      <c r="E23">
        <v>3.9145646851907698</v>
      </c>
      <c r="F23">
        <v>2.5236167875731002</v>
      </c>
      <c r="G23">
        <v>-62.100865688973741</v>
      </c>
      <c r="H23">
        <v>-53.735788579415868</v>
      </c>
      <c r="I23">
        <v>8.1360473759255605</v>
      </c>
      <c r="J23">
        <v>4.6751054738461502</v>
      </c>
      <c r="K23">
        <v>1.5511723905416299</v>
      </c>
      <c r="L23">
        <v>2.9033110250669811E-5</v>
      </c>
      <c r="M23">
        <v>1.8052227028512853E-6</v>
      </c>
      <c r="N23" s="1">
        <v>-2.9781852396337698E-8</v>
      </c>
      <c r="O23" s="1">
        <v>1.4707096012205299E-11</v>
      </c>
      <c r="P23" s="1">
        <v>1.1783006100446701E-10</v>
      </c>
      <c r="Q23">
        <v>66.228132753164601</v>
      </c>
      <c r="S23">
        <v>19.1039421045535</v>
      </c>
      <c r="AA23">
        <v>0.30751846360070401</v>
      </c>
      <c r="AB23">
        <v>5.3342335955163804</v>
      </c>
      <c r="AC23">
        <v>9.0261730831647604</v>
      </c>
      <c r="AJ23">
        <v>0.46616794470483602</v>
      </c>
      <c r="AK23">
        <v>1.4850885950882801E-2</v>
      </c>
      <c r="AL23">
        <v>0.51898116934427996</v>
      </c>
    </row>
    <row r="24" spans="1:38" x14ac:dyDescent="0.2">
      <c r="A24">
        <v>73</v>
      </c>
      <c r="B24">
        <v>754</v>
      </c>
      <c r="C24">
        <v>195</v>
      </c>
      <c r="D24">
        <v>0.38607846955167302</v>
      </c>
      <c r="E24">
        <v>13.2471450295944</v>
      </c>
      <c r="F24">
        <v>2.5234701096026102</v>
      </c>
      <c r="G24">
        <v>-210.05843603545227</v>
      </c>
      <c r="H24">
        <v>-181.80415467487711</v>
      </c>
      <c r="I24">
        <v>27.507453984885501</v>
      </c>
      <c r="J24">
        <v>15.8166411770338</v>
      </c>
      <c r="K24">
        <v>5.2495747737152998</v>
      </c>
      <c r="L24">
        <v>2.8997520396128456E-5</v>
      </c>
      <c r="M24">
        <v>1.8045238651336253E-6</v>
      </c>
      <c r="N24" s="1">
        <v>-1.0249298648971101E-7</v>
      </c>
      <c r="O24" s="1">
        <v>4.9780736063730001E-11</v>
      </c>
      <c r="P24" s="1">
        <v>4.0355941041478399E-10</v>
      </c>
      <c r="Q24">
        <v>66.206661143241405</v>
      </c>
      <c r="S24">
        <v>19.094388765632001</v>
      </c>
      <c r="AA24">
        <v>0.30464696781193801</v>
      </c>
      <c r="AB24">
        <v>5.26133994406272</v>
      </c>
      <c r="AC24">
        <v>9.1329631792519006</v>
      </c>
      <c r="AJ24">
        <v>0.45996728967782502</v>
      </c>
      <c r="AK24">
        <v>1.47176420164459E-2</v>
      </c>
      <c r="AL24">
        <v>0.52531506830572805</v>
      </c>
    </row>
    <row r="25" spans="1:38" x14ac:dyDescent="0.2">
      <c r="A25">
        <v>74</v>
      </c>
      <c r="B25">
        <v>753</v>
      </c>
      <c r="C25">
        <v>195</v>
      </c>
      <c r="D25">
        <v>0.38541197680651201</v>
      </c>
      <c r="E25">
        <v>24.073262611507001</v>
      </c>
      <c r="F25">
        <v>2.5233346791076898</v>
      </c>
      <c r="G25">
        <v>-381.55551718240224</v>
      </c>
      <c r="H25">
        <v>-330.30817663931498</v>
      </c>
      <c r="I25">
        <v>49.941373622849703</v>
      </c>
      <c r="J25">
        <v>28.735093753360399</v>
      </c>
      <c r="K25">
        <v>9.5402575056036003</v>
      </c>
      <c r="L25">
        <v>2.8962382747155684E-5</v>
      </c>
      <c r="M25">
        <v>1.8038332983159648E-6</v>
      </c>
      <c r="N25" s="1">
        <v>-1.8942173840192999E-7</v>
      </c>
      <c r="O25" s="1">
        <v>9.0482383532502695E-11</v>
      </c>
      <c r="P25" s="1">
        <v>7.4228070045068497E-10</v>
      </c>
      <c r="Q25">
        <v>66.185181256354497</v>
      </c>
      <c r="S25">
        <v>19.085066938148699</v>
      </c>
      <c r="AA25">
        <v>0.30196840264658098</v>
      </c>
      <c r="AB25">
        <v>5.1890347851731597</v>
      </c>
      <c r="AC25">
        <v>9.2387486176769809</v>
      </c>
      <c r="AJ25">
        <v>0.45381217072943802</v>
      </c>
      <c r="AK25">
        <v>1.4593580192798701E-2</v>
      </c>
      <c r="AL25">
        <v>0.53159424907776198</v>
      </c>
    </row>
    <row r="26" spans="1:38" x14ac:dyDescent="0.2">
      <c r="A26">
        <v>75</v>
      </c>
      <c r="B26">
        <v>752</v>
      </c>
      <c r="C26">
        <v>195</v>
      </c>
      <c r="D26">
        <v>0.38474418377798603</v>
      </c>
      <c r="E26">
        <v>33.761284320395397</v>
      </c>
      <c r="F26">
        <v>2.5232306321973401</v>
      </c>
      <c r="G26">
        <v>-534.8931115685599</v>
      </c>
      <c r="H26">
        <v>-463.15476988322831</v>
      </c>
      <c r="I26">
        <v>69.978385295158404</v>
      </c>
      <c r="J26">
        <v>40.291317503594598</v>
      </c>
      <c r="K26">
        <v>13.3801816962703</v>
      </c>
      <c r="L26">
        <v>2.8935839442741569E-5</v>
      </c>
      <c r="M26">
        <v>1.803276979489649E-6</v>
      </c>
      <c r="N26" s="1">
        <v>-2.7090221563562402E-7</v>
      </c>
      <c r="O26" s="1">
        <v>1.2690702331305901E-10</v>
      </c>
      <c r="P26" s="1">
        <v>1.05586310086494E-9</v>
      </c>
      <c r="Q26">
        <v>66.1673127110096</v>
      </c>
      <c r="S26">
        <v>19.076823871064999</v>
      </c>
      <c r="AA26">
        <v>0.29933716867780602</v>
      </c>
      <c r="AB26">
        <v>5.1276054179135997</v>
      </c>
      <c r="AC26">
        <v>9.3289208313338392</v>
      </c>
      <c r="AJ26">
        <v>0.44857933627520302</v>
      </c>
      <c r="AK26">
        <v>1.4470918683641599E-2</v>
      </c>
      <c r="AL26">
        <v>0.536949745041154</v>
      </c>
    </row>
    <row r="27" spans="1:38" x14ac:dyDescent="0.2">
      <c r="A27">
        <v>76</v>
      </c>
      <c r="B27">
        <v>751</v>
      </c>
      <c r="C27">
        <v>195</v>
      </c>
      <c r="D27">
        <v>0.38407508665723</v>
      </c>
      <c r="E27">
        <v>38.1728268486807</v>
      </c>
      <c r="F27">
        <v>2.5231825778726802</v>
      </c>
      <c r="G27">
        <v>-604.60939498593234</v>
      </c>
      <c r="H27">
        <v>-523.63696593103612</v>
      </c>
      <c r="I27">
        <v>79.063056246542104</v>
      </c>
      <c r="J27">
        <v>45.554456230187299</v>
      </c>
      <c r="K27">
        <v>15.128840529988301</v>
      </c>
      <c r="L27">
        <v>2.8929653617648605E-5</v>
      </c>
      <c r="M27">
        <v>1.8030329154606955E-6</v>
      </c>
      <c r="N27" s="1">
        <v>-3.1440533023929699E-7</v>
      </c>
      <c r="O27" s="1">
        <v>1.4346225796192401E-10</v>
      </c>
      <c r="P27" s="1">
        <v>1.21697889000127E-9</v>
      </c>
      <c r="Q27">
        <v>66.158241680362096</v>
      </c>
      <c r="S27">
        <v>19.070815706579602</v>
      </c>
      <c r="AA27">
        <v>0.29649697245135997</v>
      </c>
      <c r="AB27">
        <v>5.0916399281715696</v>
      </c>
      <c r="AC27">
        <v>9.3828057124352906</v>
      </c>
      <c r="AJ27">
        <v>0.44551413237693599</v>
      </c>
      <c r="AK27">
        <v>1.4336226537412801E-2</v>
      </c>
      <c r="AL27">
        <v>0.540149641085651</v>
      </c>
    </row>
    <row r="28" spans="1:38" x14ac:dyDescent="0.2">
      <c r="A28">
        <v>77</v>
      </c>
      <c r="B28">
        <v>750</v>
      </c>
      <c r="C28">
        <v>195</v>
      </c>
      <c r="D28">
        <v>0.38340468162048602</v>
      </c>
      <c r="E28">
        <v>39.781672723530299</v>
      </c>
      <c r="F28">
        <v>2.5231647246994</v>
      </c>
      <c r="G28">
        <v>-629.94561789786508</v>
      </c>
      <c r="H28">
        <v>-545.69999339842866</v>
      </c>
      <c r="I28">
        <v>82.339465864669407</v>
      </c>
      <c r="J28">
        <v>47.477170930822602</v>
      </c>
      <c r="K28">
        <v>15.7665777165102</v>
      </c>
      <c r="L28">
        <v>2.8935439010239853E-5</v>
      </c>
      <c r="M28">
        <v>1.8029671559607822E-6</v>
      </c>
      <c r="N28" s="1">
        <v>-3.3758658663837803E-7</v>
      </c>
      <c r="O28" s="1">
        <v>1.4945472956930299E-10</v>
      </c>
      <c r="P28" s="1">
        <v>1.2967129982844201E-9</v>
      </c>
      <c r="Q28">
        <v>66.154201320041594</v>
      </c>
      <c r="S28">
        <v>19.066064427803799</v>
      </c>
      <c r="AA28">
        <v>0.29351988165762299</v>
      </c>
      <c r="AB28">
        <v>5.0701801068136696</v>
      </c>
      <c r="AC28">
        <v>9.4160342636832297</v>
      </c>
      <c r="AJ28">
        <v>0.44368467246406401</v>
      </c>
      <c r="AK28">
        <v>1.4193821943697499E-2</v>
      </c>
      <c r="AL28">
        <v>0.54212150559223704</v>
      </c>
    </row>
    <row r="29" spans="1:38" x14ac:dyDescent="0.2">
      <c r="A29">
        <v>86</v>
      </c>
      <c r="B29">
        <v>759</v>
      </c>
      <c r="C29">
        <v>175</v>
      </c>
      <c r="D29">
        <v>0.41070629269001901</v>
      </c>
      <c r="E29">
        <v>9.0599672303817709</v>
      </c>
      <c r="F29">
        <v>2.5230501992837699</v>
      </c>
      <c r="G29">
        <v>-143.96931230086753</v>
      </c>
      <c r="H29">
        <v>-124.47424453062634</v>
      </c>
      <c r="I29">
        <v>18.887824221519299</v>
      </c>
      <c r="J29">
        <v>10.821020950153301</v>
      </c>
      <c r="K29">
        <v>3.5908787042579</v>
      </c>
      <c r="L29">
        <v>2.9034731759960599E-5</v>
      </c>
      <c r="M29">
        <v>1.8073252100569983E-6</v>
      </c>
      <c r="N29" s="1">
        <v>-6.0764149849335896E-8</v>
      </c>
      <c r="O29" s="1">
        <v>3.4065516547695801E-11</v>
      </c>
      <c r="P29" s="1">
        <v>2.49183517658131E-10</v>
      </c>
      <c r="Q29">
        <v>66.255904425385296</v>
      </c>
      <c r="S29">
        <v>19.133968467962902</v>
      </c>
      <c r="AA29">
        <v>0.32581038080918301</v>
      </c>
      <c r="AB29">
        <v>5.4748392933739298</v>
      </c>
      <c r="AC29">
        <v>8.8094774324686096</v>
      </c>
      <c r="AJ29">
        <v>0.47811544014266899</v>
      </c>
      <c r="AK29">
        <v>1.5723061065891601E-2</v>
      </c>
      <c r="AL29">
        <v>0.50616149879143801</v>
      </c>
    </row>
    <row r="30" spans="1:38" x14ac:dyDescent="0.2">
      <c r="A30">
        <v>87</v>
      </c>
      <c r="B30">
        <v>758</v>
      </c>
      <c r="C30">
        <v>175</v>
      </c>
      <c r="D30">
        <v>0.41006691557969399</v>
      </c>
      <c r="E30">
        <v>16.312133141725401</v>
      </c>
      <c r="F30">
        <v>2.5228613925631902</v>
      </c>
      <c r="G30">
        <v>-259.08566249498421</v>
      </c>
      <c r="H30">
        <v>-224.05285044198976</v>
      </c>
      <c r="I30">
        <v>33.974506185321601</v>
      </c>
      <c r="J30">
        <v>19.476612897184999</v>
      </c>
      <c r="K30">
        <v>6.4657270469990404</v>
      </c>
      <c r="L30">
        <v>2.8992908461473013E-5</v>
      </c>
      <c r="M30">
        <v>1.8065407380845429E-6</v>
      </c>
      <c r="N30" s="1">
        <v>-1.11054495222396E-7</v>
      </c>
      <c r="O30" s="1">
        <v>6.1354472681227899E-11</v>
      </c>
      <c r="P30" s="1">
        <v>4.5328541724223501E-10</v>
      </c>
      <c r="Q30">
        <v>66.232716960977001</v>
      </c>
      <c r="S30">
        <v>19.123084961275499</v>
      </c>
      <c r="AA30">
        <v>0.32224185418069101</v>
      </c>
      <c r="AB30">
        <v>5.39463474446889</v>
      </c>
      <c r="AC30">
        <v>8.9273214790978095</v>
      </c>
      <c r="AJ30">
        <v>0.47130234112478198</v>
      </c>
      <c r="AK30">
        <v>1.5557158987666899E-2</v>
      </c>
      <c r="AL30">
        <v>0.51314049988754995</v>
      </c>
    </row>
    <row r="31" spans="1:38" x14ac:dyDescent="0.2">
      <c r="A31">
        <v>88</v>
      </c>
      <c r="B31">
        <v>757</v>
      </c>
      <c r="C31">
        <v>175</v>
      </c>
      <c r="D31">
        <v>0.40942629714119499</v>
      </c>
      <c r="E31">
        <v>29.4100275376701</v>
      </c>
      <c r="F31">
        <v>2.5225998221313799</v>
      </c>
      <c r="G31">
        <v>-466.82057546161832</v>
      </c>
      <c r="H31">
        <v>-403.79095819283418</v>
      </c>
      <c r="I31">
        <v>61.184892752302098</v>
      </c>
      <c r="J31">
        <v>35.096680545781503</v>
      </c>
      <c r="K31">
        <v>11.6586179383859</v>
      </c>
      <c r="L31">
        <v>2.8923199479407155E-5</v>
      </c>
      <c r="M31">
        <v>1.8053149495538581E-6</v>
      </c>
      <c r="N31" s="1">
        <v>-2.0130112734326499E-7</v>
      </c>
      <c r="O31" s="1">
        <v>1.10696609793771E-10</v>
      </c>
      <c r="P31" s="1">
        <v>8.1999489193609196E-10</v>
      </c>
      <c r="Q31">
        <v>66.196808415989494</v>
      </c>
      <c r="S31">
        <v>19.1091238303365</v>
      </c>
      <c r="AA31">
        <v>0.31910254627699097</v>
      </c>
      <c r="AB31">
        <v>5.2780135574761804</v>
      </c>
      <c r="AC31">
        <v>9.0969516499206708</v>
      </c>
      <c r="AJ31">
        <v>0.46138588506369799</v>
      </c>
      <c r="AK31">
        <v>1.54146923992494E-2</v>
      </c>
      <c r="AL31">
        <v>0.52319942253705098</v>
      </c>
    </row>
    <row r="32" spans="1:38" x14ac:dyDescent="0.2">
      <c r="A32">
        <v>89</v>
      </c>
      <c r="B32">
        <v>756</v>
      </c>
      <c r="C32">
        <v>175</v>
      </c>
      <c r="D32">
        <v>0.40878443375601398</v>
      </c>
      <c r="E32">
        <v>36.167695349576903</v>
      </c>
      <c r="F32">
        <v>2.52247170696476</v>
      </c>
      <c r="G32">
        <v>-573.84123893926517</v>
      </c>
      <c r="H32">
        <v>-496.4732968636917</v>
      </c>
      <c r="I32">
        <v>75.176545766480501</v>
      </c>
      <c r="J32">
        <v>43.150726196174503</v>
      </c>
      <c r="K32">
        <v>14.338196638525099</v>
      </c>
      <c r="L32">
        <v>2.8892027175880812E-5</v>
      </c>
      <c r="M32">
        <v>1.8047055733750294E-6</v>
      </c>
      <c r="N32" s="1">
        <v>-2.5213796191627699E-7</v>
      </c>
      <c r="O32" s="1">
        <v>1.3615694222483201E-10</v>
      </c>
      <c r="P32" s="1">
        <v>1.0213903040452801E-9</v>
      </c>
      <c r="Q32">
        <v>66.177896382365503</v>
      </c>
      <c r="S32">
        <v>19.100046797296699</v>
      </c>
      <c r="AA32">
        <v>0.31602676557985898</v>
      </c>
      <c r="AB32">
        <v>5.2120724823589502</v>
      </c>
      <c r="AC32">
        <v>9.1939575723989506</v>
      </c>
      <c r="AJ32">
        <v>0.455773657600613</v>
      </c>
      <c r="AK32">
        <v>1.5271209341323E-2</v>
      </c>
      <c r="AL32">
        <v>0.52895513305806396</v>
      </c>
    </row>
    <row r="33" spans="1:38" x14ac:dyDescent="0.2">
      <c r="A33">
        <v>90</v>
      </c>
      <c r="B33">
        <v>755</v>
      </c>
      <c r="C33">
        <v>175</v>
      </c>
      <c r="D33">
        <v>0.40814132179156798</v>
      </c>
      <c r="E33">
        <v>39.23428643482</v>
      </c>
      <c r="F33">
        <v>2.5224113180174998</v>
      </c>
      <c r="G33">
        <v>-622.30819545450981</v>
      </c>
      <c r="H33">
        <v>-538.5250419689504</v>
      </c>
      <c r="I33">
        <v>81.489231615580806</v>
      </c>
      <c r="J33">
        <v>46.806171211402102</v>
      </c>
      <c r="K33">
        <v>15.5542778271611</v>
      </c>
      <c r="L33">
        <v>2.8882643778989989E-5</v>
      </c>
      <c r="M33">
        <v>1.804438081159408E-6</v>
      </c>
      <c r="N33" s="1">
        <v>-2.8064268387358499E-7</v>
      </c>
      <c r="O33" s="1">
        <v>1.4768520065560201E-10</v>
      </c>
      <c r="P33" s="1">
        <v>1.1284024059339701E-9</v>
      </c>
      <c r="Q33">
        <v>66.168530636014395</v>
      </c>
      <c r="S33">
        <v>19.0936076898214</v>
      </c>
      <c r="AA33">
        <v>0.31289980485461799</v>
      </c>
      <c r="AB33">
        <v>5.1743204613994402</v>
      </c>
      <c r="AC33">
        <v>9.2506414079100008</v>
      </c>
      <c r="AJ33">
        <v>0.45255891940531001</v>
      </c>
      <c r="AK33">
        <v>1.5122997799956401E-2</v>
      </c>
      <c r="AL33">
        <v>0.53231808279473203</v>
      </c>
    </row>
    <row r="34" spans="1:38" x14ac:dyDescent="0.2">
      <c r="A34">
        <v>91</v>
      </c>
      <c r="B34">
        <v>754</v>
      </c>
      <c r="C34">
        <v>175</v>
      </c>
      <c r="D34">
        <v>0.40749695760112897</v>
      </c>
      <c r="E34">
        <v>40.541229714079797</v>
      </c>
      <c r="F34">
        <v>2.5223833760746102</v>
      </c>
      <c r="G34">
        <v>-642.88284468335735</v>
      </c>
      <c r="H34">
        <v>-556.45206344692144</v>
      </c>
      <c r="I34">
        <v>84.146211591720899</v>
      </c>
      <c r="J34">
        <v>48.3662901447331</v>
      </c>
      <c r="K34">
        <v>16.0725883696438</v>
      </c>
      <c r="L34">
        <v>2.8884514747269203E-5</v>
      </c>
      <c r="M34">
        <v>1.8043422850302251E-6</v>
      </c>
      <c r="N34" s="1">
        <v>-2.9865013742739103E-7</v>
      </c>
      <c r="O34" s="1">
        <v>1.5256410401326201E-10</v>
      </c>
      <c r="P34" s="1">
        <v>1.19086315053031E-9</v>
      </c>
      <c r="Q34">
        <v>66.163964929806895</v>
      </c>
      <c r="S34">
        <v>19.0884780347725</v>
      </c>
      <c r="AA34">
        <v>0.30973313204216901</v>
      </c>
      <c r="AB34">
        <v>5.1506979723081603</v>
      </c>
      <c r="AC34">
        <v>9.2871259310701006</v>
      </c>
      <c r="AJ34">
        <v>0.45054675489859303</v>
      </c>
      <c r="AK34">
        <v>1.49717386067126E-2</v>
      </c>
      <c r="AL34">
        <v>0.53448150649469395</v>
      </c>
    </row>
    <row r="35" spans="1:38" x14ac:dyDescent="0.2">
      <c r="A35">
        <v>102</v>
      </c>
      <c r="B35">
        <v>765</v>
      </c>
      <c r="C35">
        <v>155</v>
      </c>
      <c r="D35">
        <v>0.43570823098781702</v>
      </c>
      <c r="E35">
        <v>1.61932055586901</v>
      </c>
      <c r="F35">
        <v>2.5230243283656502</v>
      </c>
      <c r="G35">
        <v>-25.801247538678464</v>
      </c>
      <c r="H35">
        <v>-22.279316325655966</v>
      </c>
      <c r="I35">
        <v>3.3925070683643899</v>
      </c>
      <c r="J35">
        <v>1.9357114228197201</v>
      </c>
      <c r="K35">
        <v>0.64181725782960097</v>
      </c>
      <c r="L35">
        <v>2.9130967171949266E-5</v>
      </c>
      <c r="M35">
        <v>1.8110373117328453E-6</v>
      </c>
      <c r="N35" s="1">
        <v>-9.2917476935189493E-9</v>
      </c>
      <c r="O35" s="1">
        <v>6.086838168535E-12</v>
      </c>
      <c r="P35" s="1">
        <v>4.0021633502675998E-11</v>
      </c>
      <c r="Q35">
        <v>66.326708497161505</v>
      </c>
      <c r="S35">
        <v>19.190503137101398</v>
      </c>
      <c r="AA35">
        <v>0.35593089952190499</v>
      </c>
      <c r="AB35">
        <v>5.7808353561195496</v>
      </c>
      <c r="AC35">
        <v>8.3460221100955394</v>
      </c>
      <c r="AJ35">
        <v>0.50405788601543999</v>
      </c>
      <c r="AK35">
        <v>1.7150085746878801E-2</v>
      </c>
      <c r="AL35">
        <v>0.47879202823768002</v>
      </c>
    </row>
    <row r="36" spans="1:38" x14ac:dyDescent="0.2">
      <c r="A36">
        <v>103</v>
      </c>
      <c r="B36">
        <v>764</v>
      </c>
      <c r="C36">
        <v>155</v>
      </c>
      <c r="D36">
        <v>0.43509665911391998</v>
      </c>
      <c r="E36">
        <v>11.2957966246555</v>
      </c>
      <c r="F36">
        <v>2.5226119384605701</v>
      </c>
      <c r="G36">
        <v>-179.84959848165164</v>
      </c>
      <c r="H36">
        <v>-155.33468588235419</v>
      </c>
      <c r="I36">
        <v>23.6368052830327</v>
      </c>
      <c r="J36">
        <v>13.494273958265801</v>
      </c>
      <c r="K36">
        <v>4.4778177937066204</v>
      </c>
      <c r="L36">
        <v>2.90486134117345E-5</v>
      </c>
      <c r="M36">
        <v>1.8095984956598896E-6</v>
      </c>
      <c r="N36" s="1">
        <v>-6.4899097703388295E-8</v>
      </c>
      <c r="O36" s="1">
        <v>4.2499186875416801E-11</v>
      </c>
      <c r="P36" s="1">
        <v>2.7928379390476799E-10</v>
      </c>
      <c r="Q36">
        <v>66.287420361527495</v>
      </c>
      <c r="S36">
        <v>19.1723385510419</v>
      </c>
      <c r="AA36">
        <v>0.35011227937925599</v>
      </c>
      <c r="AB36">
        <v>5.6456630284925602</v>
      </c>
      <c r="AC36">
        <v>8.5444657795586991</v>
      </c>
      <c r="AJ36">
        <v>0.49260774369615301</v>
      </c>
      <c r="AK36">
        <v>1.68812427445925E-2</v>
      </c>
      <c r="AL36">
        <v>0.49051101355925297</v>
      </c>
    </row>
    <row r="37" spans="1:38" x14ac:dyDescent="0.2">
      <c r="A37">
        <v>104</v>
      </c>
      <c r="B37">
        <v>763</v>
      </c>
      <c r="C37">
        <v>155</v>
      </c>
      <c r="D37">
        <v>0.43448390677026</v>
      </c>
      <c r="E37">
        <v>17.681862576150401</v>
      </c>
      <c r="F37">
        <v>2.52235509444907</v>
      </c>
      <c r="G37">
        <v>-281.37523040512173</v>
      </c>
      <c r="H37">
        <v>-243.07601065601293</v>
      </c>
      <c r="I37">
        <v>36.963007044451899</v>
      </c>
      <c r="J37">
        <v>21.114833334357598</v>
      </c>
      <c r="K37">
        <v>7.0100608019317896</v>
      </c>
      <c r="L37">
        <v>2.8997239164904752E-5</v>
      </c>
      <c r="M37">
        <v>1.808673224860969E-6</v>
      </c>
      <c r="N37" s="1">
        <v>-1.0280049221452699E-7</v>
      </c>
      <c r="O37" s="1">
        <v>6.6559898748481001E-11</v>
      </c>
      <c r="P37" s="1">
        <v>4.4054596726425298E-10</v>
      </c>
      <c r="Q37">
        <v>66.261313956729794</v>
      </c>
      <c r="S37">
        <v>19.159250166520302</v>
      </c>
      <c r="AA37">
        <v>0.34540580079678801</v>
      </c>
      <c r="AB37">
        <v>5.5531734035410603</v>
      </c>
      <c r="AC37">
        <v>8.6808566724119292</v>
      </c>
      <c r="AJ37">
        <v>0.484764149346812</v>
      </c>
      <c r="AK37">
        <v>1.6662097690311399E-2</v>
      </c>
      <c r="AL37">
        <v>0.49857375296287598</v>
      </c>
    </row>
    <row r="38" spans="1:38" x14ac:dyDescent="0.2">
      <c r="A38">
        <v>105</v>
      </c>
      <c r="B38">
        <v>762</v>
      </c>
      <c r="C38">
        <v>155</v>
      </c>
      <c r="D38">
        <v>0.433869970535674</v>
      </c>
      <c r="E38">
        <v>31.037394195006598</v>
      </c>
      <c r="F38">
        <v>2.52194163781683</v>
      </c>
      <c r="G38">
        <v>-493.49836065514404</v>
      </c>
      <c r="H38">
        <v>-426.42460231809054</v>
      </c>
      <c r="I38">
        <v>64.7961728609896</v>
      </c>
      <c r="J38">
        <v>37.034769002578003</v>
      </c>
      <c r="K38">
        <v>12.3069438759394</v>
      </c>
      <c r="L38">
        <v>2.8896950201784052E-5</v>
      </c>
      <c r="M38">
        <v>1.8069560646562427E-6</v>
      </c>
      <c r="N38" s="1">
        <v>-1.7938061109781899E-7</v>
      </c>
      <c r="O38" s="1">
        <v>1.1696755367521201E-10</v>
      </c>
      <c r="P38" s="1">
        <v>7.6975351775558398E-10</v>
      </c>
      <c r="Q38">
        <v>66.212869862599305</v>
      </c>
      <c r="S38">
        <v>19.139994481522301</v>
      </c>
      <c r="AA38">
        <v>0.34082343060313502</v>
      </c>
      <c r="AB38">
        <v>5.3947370556076404</v>
      </c>
      <c r="AC38">
        <v>8.9115751696675396</v>
      </c>
      <c r="AJ38">
        <v>0.47131084433188097</v>
      </c>
      <c r="AK38">
        <v>1.6454223223188999E-2</v>
      </c>
      <c r="AL38">
        <v>0.51223493244492901</v>
      </c>
    </row>
    <row r="39" spans="1:38" x14ac:dyDescent="0.2">
      <c r="A39">
        <v>106</v>
      </c>
      <c r="B39">
        <v>761</v>
      </c>
      <c r="C39">
        <v>155</v>
      </c>
      <c r="D39">
        <v>0.43325484697577799</v>
      </c>
      <c r="E39">
        <v>36.906665481673301</v>
      </c>
      <c r="F39">
        <v>2.52176630511681</v>
      </c>
      <c r="G39">
        <v>-586.54318315779665</v>
      </c>
      <c r="H39">
        <v>-506.93728315378144</v>
      </c>
      <c r="I39">
        <v>76.977130981013502</v>
      </c>
      <c r="J39">
        <v>44.024237635721697</v>
      </c>
      <c r="K39">
        <v>14.6352441171045</v>
      </c>
      <c r="L39">
        <v>2.8856408490154001E-5</v>
      </c>
      <c r="M39">
        <v>1.8062159237545196E-6</v>
      </c>
      <c r="N39" s="1">
        <v>-2.1659549489417899E-7</v>
      </c>
      <c r="O39" s="1">
        <v>1.3913484687589799E-10</v>
      </c>
      <c r="P39" s="1">
        <v>9.24604330769518E-10</v>
      </c>
      <c r="Q39">
        <v>66.190901556486494</v>
      </c>
      <c r="S39">
        <v>19.129237702470501</v>
      </c>
      <c r="AA39">
        <v>0.33707498165018901</v>
      </c>
      <c r="AB39">
        <v>5.31758156856782</v>
      </c>
      <c r="AC39">
        <v>9.0252041908249101</v>
      </c>
      <c r="AJ39">
        <v>0.46475154618609599</v>
      </c>
      <c r="AK39">
        <v>1.6279609856352802E-2</v>
      </c>
      <c r="AL39">
        <v>0.51896884395755005</v>
      </c>
    </row>
    <row r="40" spans="1:38" x14ac:dyDescent="0.2">
      <c r="A40">
        <v>107</v>
      </c>
      <c r="B40">
        <v>760</v>
      </c>
      <c r="C40">
        <v>155</v>
      </c>
      <c r="D40">
        <v>0.43263853264288998</v>
      </c>
      <c r="E40">
        <v>39.696721364240901</v>
      </c>
      <c r="F40">
        <v>2.5216805906425002</v>
      </c>
      <c r="G40">
        <v>-630.67712066866113</v>
      </c>
      <c r="H40">
        <v>-545.2023122227813</v>
      </c>
      <c r="I40">
        <v>82.732234860261897</v>
      </c>
      <c r="J40">
        <v>47.3464486163179</v>
      </c>
      <c r="K40">
        <v>15.7421687391925</v>
      </c>
      <c r="L40">
        <v>2.8840754065017901E-5</v>
      </c>
      <c r="M40">
        <v>1.8058764019440606E-6</v>
      </c>
      <c r="N40" s="1">
        <v>-2.38700689838266E-7</v>
      </c>
      <c r="O40" s="1">
        <v>1.49655344928467E-10</v>
      </c>
      <c r="P40" s="1">
        <v>1.0109492264711699E-9</v>
      </c>
      <c r="Q40">
        <v>66.179958056137806</v>
      </c>
      <c r="S40">
        <v>19.1218682090391</v>
      </c>
      <c r="AA40">
        <v>0.333548590310839</v>
      </c>
      <c r="AB40">
        <v>5.2738744796778398</v>
      </c>
      <c r="AC40">
        <v>9.0907506648343404</v>
      </c>
      <c r="AJ40">
        <v>0.46103357189703498</v>
      </c>
      <c r="AK40">
        <v>1.61128610509455E-2</v>
      </c>
      <c r="AL40">
        <v>0.52285356705201802</v>
      </c>
    </row>
    <row r="41" spans="1:38" x14ac:dyDescent="0.2">
      <c r="A41">
        <v>108</v>
      </c>
      <c r="B41">
        <v>759</v>
      </c>
      <c r="C41">
        <v>155</v>
      </c>
      <c r="D41">
        <v>0.43202102407596099</v>
      </c>
      <c r="E41">
        <v>41.099211521721202</v>
      </c>
      <c r="F41">
        <v>2.5216325543141802</v>
      </c>
      <c r="G41">
        <v>-652.78546813193532</v>
      </c>
      <c r="H41">
        <v>-564.43875241613557</v>
      </c>
      <c r="I41">
        <v>85.5948415596567</v>
      </c>
      <c r="J41">
        <v>49.0173239254935</v>
      </c>
      <c r="K41">
        <v>16.298652018671699</v>
      </c>
      <c r="L41">
        <v>2.8836230688937072E-5</v>
      </c>
      <c r="M41">
        <v>1.8057117682716259E-6</v>
      </c>
      <c r="N41" s="1">
        <v>-2.5420726866439802E-7</v>
      </c>
      <c r="O41" s="1">
        <v>1.5492133804737199E-10</v>
      </c>
      <c r="P41" s="1">
        <v>1.06703741764772E-9</v>
      </c>
      <c r="Q41">
        <v>66.173835684795804</v>
      </c>
      <c r="S41">
        <v>19.1159669862075</v>
      </c>
      <c r="AA41">
        <v>0.33010859270560799</v>
      </c>
      <c r="AB41">
        <v>5.2447602805463598</v>
      </c>
      <c r="AC41">
        <v>9.1353284557446308</v>
      </c>
      <c r="AJ41">
        <v>0.45855604987772403</v>
      </c>
      <c r="AK41">
        <v>1.5949034744818999E-2</v>
      </c>
      <c r="AL41">
        <v>0.52549491537745596</v>
      </c>
    </row>
    <row r="42" spans="1:38" x14ac:dyDescent="0.2">
      <c r="A42">
        <v>123</v>
      </c>
      <c r="B42">
        <v>771</v>
      </c>
      <c r="C42">
        <v>135</v>
      </c>
      <c r="D42">
        <v>0.46042283196858502</v>
      </c>
      <c r="E42">
        <v>6.2217397084136099</v>
      </c>
      <c r="F42">
        <v>2.52277097559202</v>
      </c>
      <c r="G42">
        <v>-99.348937186781853</v>
      </c>
      <c r="H42">
        <v>-85.680510650770017</v>
      </c>
      <c r="I42">
        <v>13.090481766041099</v>
      </c>
      <c r="J42">
        <v>7.4395987561891701</v>
      </c>
      <c r="K42">
        <v>2.46623247556332</v>
      </c>
      <c r="L42">
        <v>2.9148055624076718E-5</v>
      </c>
      <c r="M42">
        <v>1.8132460095286532E-6</v>
      </c>
      <c r="N42" s="1">
        <v>-2.9549578107653299E-8</v>
      </c>
      <c r="O42" s="1">
        <v>2.3396718741256099E-11</v>
      </c>
      <c r="P42" s="1">
        <v>1.35900861070408E-10</v>
      </c>
      <c r="Q42">
        <v>66.352347697196905</v>
      </c>
      <c r="S42">
        <v>19.239156966106702</v>
      </c>
      <c r="AA42">
        <v>0.39008824980866103</v>
      </c>
      <c r="AB42">
        <v>5.9655232768462199</v>
      </c>
      <c r="AC42">
        <v>8.0528838100413704</v>
      </c>
      <c r="AJ42">
        <v>0.51967684642463696</v>
      </c>
      <c r="AK42">
        <v>1.8778395524029701E-2</v>
      </c>
      <c r="AL42">
        <v>0.46154475805133199</v>
      </c>
    </row>
    <row r="43" spans="1:38" x14ac:dyDescent="0.2">
      <c r="A43">
        <v>124</v>
      </c>
      <c r="B43">
        <v>770</v>
      </c>
      <c r="C43">
        <v>135</v>
      </c>
      <c r="D43">
        <v>0.45983847001869499</v>
      </c>
      <c r="E43">
        <v>14.111457401215601</v>
      </c>
      <c r="F43">
        <v>2.5222724297260899</v>
      </c>
      <c r="G43">
        <v>-225.16140500997349</v>
      </c>
      <c r="H43">
        <v>-194.22688704907225</v>
      </c>
      <c r="I43">
        <v>29.654908652543899</v>
      </c>
      <c r="J43">
        <v>16.8624429841433</v>
      </c>
      <c r="K43">
        <v>5.5947395828086801</v>
      </c>
      <c r="L43">
        <v>2.9062247972128634E-5</v>
      </c>
      <c r="M43">
        <v>1.8117608517896868E-6</v>
      </c>
      <c r="N43" s="1">
        <v>-6.6980118582631506E-8</v>
      </c>
      <c r="O43" s="1">
        <v>5.3121190406353699E-11</v>
      </c>
      <c r="P43" s="1">
        <v>3.0796698070114803E-10</v>
      </c>
      <c r="Q43">
        <v>66.313626953716096</v>
      </c>
      <c r="S43">
        <v>19.2181754126591</v>
      </c>
      <c r="AA43">
        <v>0.38181320952519199</v>
      </c>
      <c r="AB43">
        <v>5.8242303059715699</v>
      </c>
      <c r="AC43">
        <v>8.2621541181279206</v>
      </c>
      <c r="AJ43">
        <v>0.507730195269953</v>
      </c>
      <c r="AK43">
        <v>1.83931533686164E-2</v>
      </c>
      <c r="AL43">
        <v>0.47387665136142898</v>
      </c>
    </row>
    <row r="44" spans="1:38" x14ac:dyDescent="0.2">
      <c r="A44">
        <v>125</v>
      </c>
      <c r="B44">
        <v>769</v>
      </c>
      <c r="C44">
        <v>135</v>
      </c>
      <c r="D44">
        <v>0.45925298661421299</v>
      </c>
      <c r="E44">
        <v>23.924234755749399</v>
      </c>
      <c r="F44">
        <v>2.5217514519487998</v>
      </c>
      <c r="G44">
        <v>-381.4117062253008</v>
      </c>
      <c r="H44">
        <v>-329.08463032291274</v>
      </c>
      <c r="I44">
        <v>50.210695103764202</v>
      </c>
      <c r="J44">
        <v>28.565958407840501</v>
      </c>
      <c r="K44">
        <v>9.4871501857412497</v>
      </c>
      <c r="L44">
        <v>2.8961630936962624E-5</v>
      </c>
      <c r="M44">
        <v>1.8100327930415941E-6</v>
      </c>
      <c r="N44" s="1">
        <v>-1.1278622775259199E-7</v>
      </c>
      <c r="O44" s="1">
        <v>9.0169972398873594E-11</v>
      </c>
      <c r="P44" s="1">
        <v>5.1958183929656903E-10</v>
      </c>
      <c r="Q44">
        <v>66.267368025863405</v>
      </c>
      <c r="S44">
        <v>19.195908506175599</v>
      </c>
      <c r="AA44">
        <v>0.37423667209582601</v>
      </c>
      <c r="AB44">
        <v>5.6627691753146996</v>
      </c>
      <c r="AC44">
        <v>8.4997176205503493</v>
      </c>
      <c r="AJ44">
        <v>0.49405737881935602</v>
      </c>
      <c r="AK44">
        <v>1.8042871802953601E-2</v>
      </c>
      <c r="AL44">
        <v>0.48789974937768898</v>
      </c>
    </row>
    <row r="45" spans="1:38" x14ac:dyDescent="0.2">
      <c r="A45">
        <v>126</v>
      </c>
      <c r="B45">
        <v>768</v>
      </c>
      <c r="C45">
        <v>135</v>
      </c>
      <c r="D45">
        <v>0.45866637852374798</v>
      </c>
      <c r="E45">
        <v>32.997784086889098</v>
      </c>
      <c r="F45">
        <v>2.5213294905743999</v>
      </c>
      <c r="G45">
        <v>-525.66279459692362</v>
      </c>
      <c r="H45">
        <v>-453.64879021252119</v>
      </c>
      <c r="I45">
        <v>69.167751413727402</v>
      </c>
      <c r="J45">
        <v>39.372669013696402</v>
      </c>
      <c r="K45">
        <v>13.0874541428425</v>
      </c>
      <c r="L45">
        <v>2.8872453445381965E-5</v>
      </c>
      <c r="M45">
        <v>1.8085029665138598E-6</v>
      </c>
      <c r="N45" s="1">
        <v>-1.5507432264590699E-7</v>
      </c>
      <c r="O45" s="1">
        <v>1.24497713914971E-10</v>
      </c>
      <c r="P45" s="1">
        <v>7.1485405975025997E-10</v>
      </c>
      <c r="Q45">
        <v>66.225275356598104</v>
      </c>
      <c r="S45">
        <v>19.176508435745198</v>
      </c>
      <c r="AA45">
        <v>0.36805316427933799</v>
      </c>
      <c r="AB45">
        <v>5.5181081119611699</v>
      </c>
      <c r="AC45">
        <v>8.7120549314161</v>
      </c>
      <c r="AJ45">
        <v>0.48178825829903599</v>
      </c>
      <c r="AK45">
        <v>1.7757726088179802E-2</v>
      </c>
      <c r="AL45">
        <v>0.50045401561278402</v>
      </c>
    </row>
    <row r="46" spans="1:38" x14ac:dyDescent="0.2">
      <c r="A46">
        <v>127</v>
      </c>
      <c r="B46">
        <v>767</v>
      </c>
      <c r="C46">
        <v>135</v>
      </c>
      <c r="D46">
        <v>0.45807864250348701</v>
      </c>
      <c r="E46">
        <v>37.962765807868998</v>
      </c>
      <c r="F46">
        <v>2.5211068967327499</v>
      </c>
      <c r="G46">
        <v>-604.4484322501894</v>
      </c>
      <c r="H46">
        <v>-521.75827327715706</v>
      </c>
      <c r="I46">
        <v>79.498302142029701</v>
      </c>
      <c r="J46">
        <v>45.280015125899602</v>
      </c>
      <c r="K46">
        <v>15.057975469849</v>
      </c>
      <c r="L46">
        <v>2.882554698685544E-5</v>
      </c>
      <c r="M46">
        <v>1.8076779560871425E-6</v>
      </c>
      <c r="N46" s="1">
        <v>-1.8076078718519299E-7</v>
      </c>
      <c r="O46" s="1">
        <v>1.4329814467349699E-10</v>
      </c>
      <c r="P46" s="1">
        <v>8.2902031667870397E-10</v>
      </c>
      <c r="Q46">
        <v>66.201733256860294</v>
      </c>
      <c r="S46">
        <v>19.164090012822701</v>
      </c>
      <c r="AA46">
        <v>0.36330106534645801</v>
      </c>
      <c r="AB46">
        <v>5.4330892947758498</v>
      </c>
      <c r="AC46">
        <v>8.8377863701946602</v>
      </c>
      <c r="AJ46">
        <v>0.47456920398871799</v>
      </c>
      <c r="AK46">
        <v>1.7535985235862198E-2</v>
      </c>
      <c r="AL46">
        <v>0.50789481077541798</v>
      </c>
    </row>
    <row r="47" spans="1:38" x14ac:dyDescent="0.2">
      <c r="A47">
        <v>128</v>
      </c>
      <c r="B47">
        <v>766</v>
      </c>
      <c r="C47">
        <v>135</v>
      </c>
      <c r="D47">
        <v>0.45748977529712298</v>
      </c>
      <c r="E47">
        <v>40.503206901854</v>
      </c>
      <c r="F47">
        <v>2.5209896132262002</v>
      </c>
      <c r="G47">
        <v>-644.66700873525531</v>
      </c>
      <c r="H47">
        <v>-556.59842401529818</v>
      </c>
      <c r="I47">
        <v>84.750598777806005</v>
      </c>
      <c r="J47">
        <v>48.3013959963857</v>
      </c>
      <c r="K47">
        <v>16.0663918206392</v>
      </c>
      <c r="L47">
        <v>2.880365155597163E-5</v>
      </c>
      <c r="M47">
        <v>1.807264817284534E-6</v>
      </c>
      <c r="N47" s="1">
        <v>-1.97321772585535E-7</v>
      </c>
      <c r="O47" s="1">
        <v>1.5290898089210299E-10</v>
      </c>
      <c r="P47" s="1">
        <v>8.9733689621211702E-10</v>
      </c>
      <c r="Q47">
        <v>66.189288185851794</v>
      </c>
      <c r="S47">
        <v>19.155561488311001</v>
      </c>
      <c r="AA47">
        <v>0.35916883248403098</v>
      </c>
      <c r="AB47">
        <v>5.3829974855203302</v>
      </c>
      <c r="AC47">
        <v>8.9129840078327494</v>
      </c>
      <c r="AJ47">
        <v>0.47031295217177099</v>
      </c>
      <c r="AK47">
        <v>1.73409224277607E-2</v>
      </c>
      <c r="AL47">
        <v>0.51234612540046698</v>
      </c>
    </row>
    <row r="48" spans="1:38" x14ac:dyDescent="0.2">
      <c r="A48">
        <v>129</v>
      </c>
      <c r="B48">
        <v>765</v>
      </c>
      <c r="C48">
        <v>135</v>
      </c>
      <c r="D48">
        <v>0.45689977363579698</v>
      </c>
      <c r="E48">
        <v>41.806869408622802</v>
      </c>
      <c r="F48">
        <v>2.5209226362237702</v>
      </c>
      <c r="G48">
        <v>-665.22914918828417</v>
      </c>
      <c r="H48">
        <v>-574.47823504820406</v>
      </c>
      <c r="I48">
        <v>87.415993970119899</v>
      </c>
      <c r="J48">
        <v>49.851956045241401</v>
      </c>
      <c r="K48">
        <v>16.583955734257401</v>
      </c>
      <c r="L48">
        <v>2.8794536055045848E-5</v>
      </c>
      <c r="M48">
        <v>1.8070584676245852E-6</v>
      </c>
      <c r="N48" s="1">
        <v>-2.0941301930670199E-7</v>
      </c>
      <c r="O48" s="1">
        <v>1.5782539453514701E-10</v>
      </c>
      <c r="P48" s="1">
        <v>9.4281126409152296E-10</v>
      </c>
      <c r="Q48">
        <v>66.182456633483497</v>
      </c>
      <c r="S48">
        <v>19.148950673021901</v>
      </c>
      <c r="AA48">
        <v>0.35530889153300099</v>
      </c>
      <c r="AB48">
        <v>5.3504426256158597</v>
      </c>
      <c r="AC48">
        <v>8.9628411763456306</v>
      </c>
      <c r="AJ48">
        <v>0.467545652856733</v>
      </c>
      <c r="AK48">
        <v>1.7157388218121801E-2</v>
      </c>
      <c r="AL48">
        <v>0.51529695892514404</v>
      </c>
    </row>
    <row r="49" spans="1:38" x14ac:dyDescent="0.2">
      <c r="A49">
        <v>148</v>
      </c>
      <c r="B49">
        <v>779</v>
      </c>
      <c r="C49">
        <v>115</v>
      </c>
      <c r="D49">
        <v>0.48596730504205599</v>
      </c>
      <c r="E49">
        <v>6.8097312484123202</v>
      </c>
      <c r="F49">
        <v>2.5231183798058998</v>
      </c>
      <c r="G49">
        <v>-109.06146452671648</v>
      </c>
      <c r="H49">
        <v>-93.899082607307662</v>
      </c>
      <c r="I49">
        <v>14.4108557899622</v>
      </c>
      <c r="J49">
        <v>8.1498783051275794</v>
      </c>
      <c r="K49">
        <v>2.6989345022076101</v>
      </c>
      <c r="L49">
        <v>2.9227767673709933E-5</v>
      </c>
      <c r="M49">
        <v>1.8163174855617574E-6</v>
      </c>
      <c r="N49" s="1">
        <v>-2.5468667947044401E-8</v>
      </c>
      <c r="O49" s="1">
        <v>2.55918200212144E-11</v>
      </c>
      <c r="P49" s="1">
        <v>1.28716232225106E-10</v>
      </c>
      <c r="Q49">
        <v>66.393646024773602</v>
      </c>
      <c r="S49">
        <v>19.317184638067701</v>
      </c>
      <c r="AA49">
        <v>0.44482547796021898</v>
      </c>
      <c r="AB49">
        <v>6.2621140718580799</v>
      </c>
      <c r="AC49">
        <v>7.58222978734028</v>
      </c>
      <c r="AJ49">
        <v>0.54469854273003804</v>
      </c>
      <c r="AK49">
        <v>2.1381377595453499E-2</v>
      </c>
      <c r="AL49">
        <v>0.43392007967450802</v>
      </c>
    </row>
    <row r="50" spans="1:38" x14ac:dyDescent="0.2">
      <c r="A50">
        <v>149</v>
      </c>
      <c r="B50">
        <v>778</v>
      </c>
      <c r="C50">
        <v>115</v>
      </c>
      <c r="D50">
        <v>0.48541169195642903</v>
      </c>
      <c r="E50">
        <v>14.474405752721101</v>
      </c>
      <c r="F50">
        <v>2.52237558608882</v>
      </c>
      <c r="G50">
        <v>-231.60545667713887</v>
      </c>
      <c r="H50">
        <v>-199.44950960895835</v>
      </c>
      <c r="I50">
        <v>30.591206838396499</v>
      </c>
      <c r="J50">
        <v>17.308714995496299</v>
      </c>
      <c r="K50">
        <v>5.7384022556153296</v>
      </c>
      <c r="L50">
        <v>2.9122507034853146E-5</v>
      </c>
      <c r="M50">
        <v>1.8145279114480216E-6</v>
      </c>
      <c r="N50" s="1">
        <v>-5.3635997598834698E-8</v>
      </c>
      <c r="O50" s="1">
        <v>5.44744445607292E-11</v>
      </c>
      <c r="P50" s="1">
        <v>2.7197503497603599E-10</v>
      </c>
      <c r="Q50">
        <v>66.350802675171593</v>
      </c>
      <c r="S50">
        <v>19.287897771771899</v>
      </c>
      <c r="AA50">
        <v>0.43066042331615501</v>
      </c>
      <c r="AB50">
        <v>6.0898606368918697</v>
      </c>
      <c r="AC50">
        <v>7.8407784928483499</v>
      </c>
      <c r="AJ50">
        <v>0.53017539961666205</v>
      </c>
      <c r="AK50">
        <v>2.0718483867031501E-2</v>
      </c>
      <c r="AL50">
        <v>0.449106116516306</v>
      </c>
    </row>
    <row r="51" spans="1:38" x14ac:dyDescent="0.2">
      <c r="A51">
        <v>150</v>
      </c>
      <c r="B51">
        <v>777</v>
      </c>
      <c r="C51">
        <v>115</v>
      </c>
      <c r="D51">
        <v>0.48485502071132902</v>
      </c>
      <c r="E51">
        <v>19.839200357658701</v>
      </c>
      <c r="F51">
        <v>2.5218827174734999</v>
      </c>
      <c r="G51">
        <v>-317.22805434677764</v>
      </c>
      <c r="H51">
        <v>-273.24429766154134</v>
      </c>
      <c r="I51">
        <v>41.883308751355798</v>
      </c>
      <c r="J51">
        <v>23.7102320879088</v>
      </c>
      <c r="K51">
        <v>7.8668211730061302</v>
      </c>
      <c r="L51">
        <v>2.9049001006382233E-5</v>
      </c>
      <c r="M51">
        <v>1.8132718855887002E-6</v>
      </c>
      <c r="N51" s="1">
        <v>-7.3745569374517195E-8</v>
      </c>
      <c r="O51" s="1">
        <v>7.4735421038187806E-11</v>
      </c>
      <c r="P51" s="1">
        <v>3.7330115655788702E-10</v>
      </c>
      <c r="Q51">
        <v>66.319601933470395</v>
      </c>
      <c r="S51">
        <v>19.266843312091201</v>
      </c>
      <c r="AA51">
        <v>0.42057054503372299</v>
      </c>
      <c r="AB51">
        <v>5.9651344536083801</v>
      </c>
      <c r="AC51">
        <v>8.0278497557961401</v>
      </c>
      <c r="AJ51">
        <v>0.51964364854312195</v>
      </c>
      <c r="AK51">
        <v>2.0245804084470301E-2</v>
      </c>
      <c r="AL51">
        <v>0.46011054737240697</v>
      </c>
    </row>
    <row r="52" spans="1:38" x14ac:dyDescent="0.2">
      <c r="A52">
        <v>151</v>
      </c>
      <c r="B52">
        <v>776</v>
      </c>
      <c r="C52">
        <v>115</v>
      </c>
      <c r="D52">
        <v>0.484297288280991</v>
      </c>
      <c r="E52">
        <v>32.476185165518501</v>
      </c>
      <c r="F52">
        <v>2.5209870931475802</v>
      </c>
      <c r="G52">
        <v>-518.65040471381428</v>
      </c>
      <c r="H52">
        <v>-446.8410196064051</v>
      </c>
      <c r="I52">
        <v>68.4452986774143</v>
      </c>
      <c r="J52">
        <v>38.765032895275297</v>
      </c>
      <c r="K52">
        <v>12.8823290106457</v>
      </c>
      <c r="L52">
        <v>2.8888843933710721E-5</v>
      </c>
      <c r="M52">
        <v>1.8105491427543411E-6</v>
      </c>
      <c r="N52" s="1">
        <v>-1.1662364845673701E-7</v>
      </c>
      <c r="O52" s="1">
        <v>1.2259496971038E-10</v>
      </c>
      <c r="P52" s="1">
        <v>5.9857185211732202E-10</v>
      </c>
      <c r="Q52">
        <v>66.249217325826706</v>
      </c>
      <c r="S52">
        <v>19.231109463223699</v>
      </c>
      <c r="AA52">
        <v>0.40751303980706899</v>
      </c>
      <c r="AB52">
        <v>5.7146051988226096</v>
      </c>
      <c r="AC52">
        <v>8.3975549723198704</v>
      </c>
      <c r="AJ52">
        <v>0.49844904056832301</v>
      </c>
      <c r="AK52">
        <v>1.9642050932151E-2</v>
      </c>
      <c r="AL52">
        <v>0.481908908499525</v>
      </c>
    </row>
    <row r="53" spans="1:38" x14ac:dyDescent="0.2">
      <c r="A53">
        <v>152</v>
      </c>
      <c r="B53">
        <v>775</v>
      </c>
      <c r="C53">
        <v>115</v>
      </c>
      <c r="D53">
        <v>0.483738491628109</v>
      </c>
      <c r="E53">
        <v>37.069063095360498</v>
      </c>
      <c r="F53">
        <v>2.5206710060950699</v>
      </c>
      <c r="G53">
        <v>-591.65627675991345</v>
      </c>
      <c r="H53">
        <v>-509.85298755604089</v>
      </c>
      <c r="I53">
        <v>78.045403047152107</v>
      </c>
      <c r="J53">
        <v>44.226856681223303</v>
      </c>
      <c r="K53">
        <v>14.7060298649551</v>
      </c>
      <c r="L53">
        <v>2.8831030836206898E-5</v>
      </c>
      <c r="M53">
        <v>1.8095615419250112E-6</v>
      </c>
      <c r="N53" s="1">
        <v>-1.34277841580453E-7</v>
      </c>
      <c r="O53" s="1">
        <v>1.4002738288147399E-10</v>
      </c>
      <c r="P53" s="1">
        <v>6.86394130926323E-10</v>
      </c>
      <c r="Q53">
        <v>66.222615050222402</v>
      </c>
      <c r="S53">
        <v>19.215433493778999</v>
      </c>
      <c r="AA53">
        <v>0.40078748184197999</v>
      </c>
      <c r="AB53">
        <v>5.6142268620811802</v>
      </c>
      <c r="AC53">
        <v>8.5469371120753692</v>
      </c>
      <c r="AJ53">
        <v>0.48994205911340699</v>
      </c>
      <c r="AK53">
        <v>1.9327678994263599E-2</v>
      </c>
      <c r="AL53">
        <v>0.49073026189232799</v>
      </c>
    </row>
    <row r="54" spans="1:38" x14ac:dyDescent="0.2">
      <c r="A54">
        <v>153</v>
      </c>
      <c r="B54">
        <v>774</v>
      </c>
      <c r="C54">
        <v>115</v>
      </c>
      <c r="D54">
        <v>0.48317862770377201</v>
      </c>
      <c r="E54">
        <v>40.630728310694899</v>
      </c>
      <c r="F54">
        <v>2.5204361910774602</v>
      </c>
      <c r="G54">
        <v>-648.18507986827024</v>
      </c>
      <c r="H54">
        <v>-558.69083411715849</v>
      </c>
      <c r="I54">
        <v>85.464590317635199</v>
      </c>
      <c r="J54">
        <v>48.458894470114402</v>
      </c>
      <c r="K54">
        <v>16.120514557968399</v>
      </c>
      <c r="L54">
        <v>2.8786879302861445E-5</v>
      </c>
      <c r="M54">
        <v>1.8088047707933129E-6</v>
      </c>
      <c r="N54" s="1">
        <v>-1.49333647165592E-7</v>
      </c>
      <c r="O54" s="1">
        <v>1.5355579653126201E-10</v>
      </c>
      <c r="P54" s="1">
        <v>7.5844675206625902E-10</v>
      </c>
      <c r="Q54">
        <v>66.201731227612498</v>
      </c>
      <c r="S54">
        <v>19.202558339669899</v>
      </c>
      <c r="AA54">
        <v>0.39503830237682103</v>
      </c>
      <c r="AB54">
        <v>5.53393449275982</v>
      </c>
      <c r="AC54">
        <v>8.6667376375808107</v>
      </c>
      <c r="AJ54">
        <v>0.48313113576120498</v>
      </c>
      <c r="AK54">
        <v>1.9058161791286402E-2</v>
      </c>
      <c r="AL54">
        <v>0.49781070244750703</v>
      </c>
    </row>
    <row r="55" spans="1:38" x14ac:dyDescent="0.2">
      <c r="A55">
        <v>154</v>
      </c>
      <c r="B55">
        <v>773</v>
      </c>
      <c r="C55">
        <v>115</v>
      </c>
      <c r="D55">
        <v>0.48261769344740202</v>
      </c>
      <c r="E55">
        <v>42.2202951120032</v>
      </c>
      <c r="F55">
        <v>2.52032136529039</v>
      </c>
      <c r="G55">
        <v>-673.32043539034476</v>
      </c>
      <c r="H55">
        <v>-580.48408117450947</v>
      </c>
      <c r="I55">
        <v>88.740958959838693</v>
      </c>
      <c r="J55">
        <v>50.3464053544512</v>
      </c>
      <c r="K55">
        <v>16.751949054377199</v>
      </c>
      <c r="L55">
        <v>2.8768114335196011E-5</v>
      </c>
      <c r="M55">
        <v>1.8084730224089792E-6</v>
      </c>
      <c r="N55" s="1">
        <v>-1.5920960579492801E-7</v>
      </c>
      <c r="O55" s="1">
        <v>1.5958598576655299E-10</v>
      </c>
      <c r="P55" s="1">
        <v>7.9980643444422199E-10</v>
      </c>
      <c r="Q55">
        <v>66.192101468597798</v>
      </c>
      <c r="S55">
        <v>19.194140125744902</v>
      </c>
      <c r="AA55">
        <v>0.39034016231193103</v>
      </c>
      <c r="AB55">
        <v>5.4904056488757398</v>
      </c>
      <c r="AC55">
        <v>8.7330125944694803</v>
      </c>
      <c r="AJ55">
        <v>0.47943643957472798</v>
      </c>
      <c r="AK55">
        <v>1.8835651024629901E-2</v>
      </c>
      <c r="AL55">
        <v>0.50172790940064105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F0DE8-681A-4F08-B05C-0377B46F55D9}">
  <sheetPr codeName="Sheet11"/>
  <dimension ref="A1:AL161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17</v>
      </c>
      <c r="B2">
        <v>741</v>
      </c>
      <c r="C2">
        <v>275</v>
      </c>
      <c r="D2">
        <v>0.29053936794360102</v>
      </c>
      <c r="E2">
        <v>3.0790317243724901</v>
      </c>
      <c r="F2">
        <v>2.5261136156472399</v>
      </c>
      <c r="G2">
        <v>-48.506380469634749</v>
      </c>
      <c r="H2">
        <v>-42.094129832419036</v>
      </c>
      <c r="I2">
        <v>6.3227832541692104</v>
      </c>
      <c r="J2">
        <v>3.6743415473034702</v>
      </c>
      <c r="K2">
        <v>1.21888093445218</v>
      </c>
      <c r="L2">
        <v>2.8934863455451451E-5</v>
      </c>
      <c r="M2">
        <v>1.7948490639157055E-6</v>
      </c>
      <c r="N2" s="1">
        <v>-3.4813580159792403E-8</v>
      </c>
      <c r="O2" s="1">
        <v>1.15346720123645E-11</v>
      </c>
      <c r="P2" s="1">
        <v>1.25124731374236E-10</v>
      </c>
      <c r="Q2">
        <v>66.047934694530795</v>
      </c>
      <c r="S2">
        <v>18.991755023342002</v>
      </c>
      <c r="AA2">
        <v>0.257009726414344</v>
      </c>
      <c r="AB2">
        <v>4.6385588649736196</v>
      </c>
      <c r="AC2">
        <v>10.064741690739099</v>
      </c>
      <c r="AJ2">
        <v>0.40680386043411099</v>
      </c>
      <c r="AK2">
        <v>1.2455533751610799E-2</v>
      </c>
      <c r="AL2">
        <v>0.580740605814277</v>
      </c>
    </row>
    <row r="3" spans="1:38" x14ac:dyDescent="0.2">
      <c r="A3">
        <v>18</v>
      </c>
      <c r="B3">
        <v>740</v>
      </c>
      <c r="C3">
        <v>275</v>
      </c>
      <c r="D3">
        <v>0.28977002418201098</v>
      </c>
      <c r="E3">
        <v>13.0050069723597</v>
      </c>
      <c r="F3">
        <v>2.52622993828858</v>
      </c>
      <c r="G3">
        <v>-204.88648196588116</v>
      </c>
      <c r="H3">
        <v>-177.83916878296441</v>
      </c>
      <c r="I3">
        <v>26.696257398131301</v>
      </c>
      <c r="J3">
        <v>15.5282974000281</v>
      </c>
      <c r="K3">
        <v>5.1479902028118998</v>
      </c>
      <c r="L3">
        <v>2.9000712081669661E-5</v>
      </c>
      <c r="M3">
        <v>1.7955147379422471E-6</v>
      </c>
      <c r="N3" s="1">
        <v>-1.53973951123503E-7</v>
      </c>
      <c r="O3" s="1">
        <v>4.8651205458653599E-11</v>
      </c>
      <c r="P3" s="1">
        <v>5.4834664580884597E-10</v>
      </c>
      <c r="Q3">
        <v>66.063117242140805</v>
      </c>
      <c r="S3">
        <v>18.9943620734288</v>
      </c>
      <c r="AA3">
        <v>0.25561792950388801</v>
      </c>
      <c r="AB3">
        <v>4.6792270790089097</v>
      </c>
      <c r="AC3">
        <v>10.007675675917501</v>
      </c>
      <c r="AJ3">
        <v>0.41028578575170499</v>
      </c>
      <c r="AK3">
        <v>1.2385525922973E-2</v>
      </c>
      <c r="AL3">
        <v>0.57732868832532003</v>
      </c>
    </row>
    <row r="4" spans="1:38" x14ac:dyDescent="0.2">
      <c r="A4">
        <v>18</v>
      </c>
      <c r="B4">
        <v>740</v>
      </c>
      <c r="C4">
        <v>275</v>
      </c>
      <c r="D4">
        <v>0.28977002418201098</v>
      </c>
      <c r="E4">
        <v>5.3085946061643101</v>
      </c>
      <c r="F4">
        <v>2.5724490391194998</v>
      </c>
      <c r="G4">
        <v>-85.674206877370295</v>
      </c>
      <c r="H4">
        <v>-74.458930806083885</v>
      </c>
      <c r="I4">
        <v>11.069709392771401</v>
      </c>
      <c r="J4">
        <v>6.53562961276109</v>
      </c>
      <c r="K4">
        <v>2.0636345075979898</v>
      </c>
      <c r="L4">
        <v>3.2387454792733807E-5</v>
      </c>
      <c r="M4">
        <v>1.8171448535542826E-6</v>
      </c>
      <c r="N4" s="1">
        <v>-1.34184625851616E-7</v>
      </c>
      <c r="O4" s="1">
        <v>1.78629639290246E-11</v>
      </c>
      <c r="P4" s="1">
        <v>4.3229903173103401E-10</v>
      </c>
      <c r="Q4">
        <v>65.468501670245104</v>
      </c>
      <c r="S4">
        <v>21.162115965227201</v>
      </c>
      <c r="AA4">
        <v>2.1827825010482398</v>
      </c>
      <c r="AB4">
        <v>9.0372068136340005</v>
      </c>
      <c r="AC4">
        <v>2.1493930498453402</v>
      </c>
      <c r="AJ4">
        <v>0.77522314760215805</v>
      </c>
      <c r="AK4">
        <v>0.103469836937817</v>
      </c>
      <c r="AL4">
        <v>0.121307015460024</v>
      </c>
    </row>
    <row r="5" spans="1:38" x14ac:dyDescent="0.2">
      <c r="A5">
        <v>19</v>
      </c>
      <c r="B5">
        <v>739</v>
      </c>
      <c r="C5">
        <v>275</v>
      </c>
      <c r="D5">
        <v>0.28899916020352701</v>
      </c>
      <c r="E5">
        <v>19.125864476742699</v>
      </c>
      <c r="F5">
        <v>2.5262732454233601</v>
      </c>
      <c r="G5">
        <v>-301.29168761163351</v>
      </c>
      <c r="H5">
        <v>-261.57401132037859</v>
      </c>
      <c r="I5">
        <v>39.2408993639825</v>
      </c>
      <c r="J5">
        <v>22.845631071071299</v>
      </c>
      <c r="K5">
        <v>7.5707821833570197</v>
      </c>
      <c r="L5">
        <v>2.9044387575785978E-5</v>
      </c>
      <c r="M5">
        <v>1.7958938767568079E-6</v>
      </c>
      <c r="N5" s="1">
        <v>-2.3535006985343399E-7</v>
      </c>
      <c r="O5" s="1">
        <v>7.1475353929912303E-11</v>
      </c>
      <c r="P5" s="1">
        <v>8.3183274245596502E-10</v>
      </c>
      <c r="Q5">
        <v>66.0710740824168</v>
      </c>
      <c r="S5">
        <v>18.992511725606899</v>
      </c>
      <c r="AA5">
        <v>0.25223475370339199</v>
      </c>
      <c r="AB5">
        <v>4.6921075435588104</v>
      </c>
      <c r="AC5">
        <v>9.9920718947138703</v>
      </c>
      <c r="AJ5">
        <v>0.41138831038302298</v>
      </c>
      <c r="AK5">
        <v>1.22208019099021E-2</v>
      </c>
      <c r="AL5">
        <v>0.57639088770707303</v>
      </c>
    </row>
    <row r="6" spans="1:38" x14ac:dyDescent="0.2">
      <c r="A6">
        <v>19</v>
      </c>
      <c r="B6">
        <v>739</v>
      </c>
      <c r="C6">
        <v>275</v>
      </c>
      <c r="D6">
        <v>0.28899916020352701</v>
      </c>
      <c r="E6">
        <v>8.6970169864784506</v>
      </c>
      <c r="F6">
        <v>2.5721053390216801</v>
      </c>
      <c r="G6">
        <v>-140.3341326471166</v>
      </c>
      <c r="H6">
        <v>-121.98792183310698</v>
      </c>
      <c r="I6">
        <v>18.1259801551249</v>
      </c>
      <c r="J6">
        <v>10.7149610652626</v>
      </c>
      <c r="K6">
        <v>3.38128336135191</v>
      </c>
      <c r="L6">
        <v>3.247953715626133E-5</v>
      </c>
      <c r="M6">
        <v>1.8184196742476538E-6</v>
      </c>
      <c r="N6" s="1">
        <v>-2.2736478884110599E-7</v>
      </c>
      <c r="O6" s="1">
        <v>2.92277188069982E-11</v>
      </c>
      <c r="P6" s="1">
        <v>7.2963039590293505E-10</v>
      </c>
      <c r="Q6">
        <v>65.513545137716207</v>
      </c>
      <c r="S6">
        <v>21.1290022723406</v>
      </c>
      <c r="AA6">
        <v>2.14495308800901</v>
      </c>
      <c r="AB6">
        <v>9.0507719147829704</v>
      </c>
      <c r="AC6">
        <v>2.1617275871511499</v>
      </c>
      <c r="AJ6">
        <v>0.77633511527520604</v>
      </c>
      <c r="AK6">
        <v>0.101669853714788</v>
      </c>
      <c r="AL6">
        <v>0.121995031010004</v>
      </c>
    </row>
    <row r="7" spans="1:38" x14ac:dyDescent="0.2">
      <c r="A7">
        <v>20</v>
      </c>
      <c r="B7">
        <v>738</v>
      </c>
      <c r="C7">
        <v>275</v>
      </c>
      <c r="D7">
        <v>0.28822677149780002</v>
      </c>
      <c r="E7">
        <v>33.725308974201802</v>
      </c>
      <c r="F7">
        <v>2.52638179291089</v>
      </c>
      <c r="G7">
        <v>-531.35489576636508</v>
      </c>
      <c r="H7">
        <v>-461.40424960014929</v>
      </c>
      <c r="I7">
        <v>69.179297004614298</v>
      </c>
      <c r="J7">
        <v>40.316571882523398</v>
      </c>
      <c r="K7">
        <v>13.349252701565501</v>
      </c>
      <c r="L7">
        <v>2.913806632154512E-5</v>
      </c>
      <c r="M7">
        <v>1.7969589360717037E-6</v>
      </c>
      <c r="N7" s="1">
        <v>-4.3725460250709601E-7</v>
      </c>
      <c r="O7" s="1">
        <v>1.2581302964958399E-10</v>
      </c>
      <c r="P7" s="1">
        <v>1.5305611765786801E-9</v>
      </c>
      <c r="Q7">
        <v>66.099091547114398</v>
      </c>
      <c r="S7">
        <v>18.994239820871002</v>
      </c>
      <c r="AA7">
        <v>0.24712295762661801</v>
      </c>
      <c r="AB7">
        <v>4.7590733878031299</v>
      </c>
      <c r="AC7">
        <v>9.9004722865847796</v>
      </c>
      <c r="AJ7">
        <v>0.41711792881029802</v>
      </c>
      <c r="AK7">
        <v>1.19690681229158E-2</v>
      </c>
      <c r="AL7">
        <v>0.57091300306678505</v>
      </c>
    </row>
    <row r="8" spans="1:38" x14ac:dyDescent="0.2">
      <c r="A8">
        <v>20</v>
      </c>
      <c r="B8">
        <v>738</v>
      </c>
      <c r="C8">
        <v>275</v>
      </c>
      <c r="D8">
        <v>0.28822677149780002</v>
      </c>
      <c r="E8">
        <v>17.361435686362899</v>
      </c>
      <c r="F8">
        <v>2.5707768884008502</v>
      </c>
      <c r="G8">
        <v>-280.04437380458097</v>
      </c>
      <c r="H8">
        <v>-243.47200372257572</v>
      </c>
      <c r="I8">
        <v>36.169084786634201</v>
      </c>
      <c r="J8">
        <v>21.407411861989601</v>
      </c>
      <c r="K8">
        <v>6.7533809583773703</v>
      </c>
      <c r="L8">
        <v>3.2610371916644178E-5</v>
      </c>
      <c r="M8">
        <v>1.8215351601963019E-6</v>
      </c>
      <c r="N8" s="1">
        <v>-4.7014928680596102E-7</v>
      </c>
      <c r="O8" s="1">
        <v>5.8371844476479096E-11</v>
      </c>
      <c r="P8" s="1">
        <v>1.50268818491395E-9</v>
      </c>
      <c r="Q8">
        <v>65.646651100814694</v>
      </c>
      <c r="S8">
        <v>21.025612858525299</v>
      </c>
      <c r="AA8">
        <v>2.0285973061745199</v>
      </c>
      <c r="AB8">
        <v>9.0763426268339504</v>
      </c>
      <c r="AC8">
        <v>2.22279610765138</v>
      </c>
      <c r="AJ8">
        <v>0.77843156473909203</v>
      </c>
      <c r="AK8">
        <v>9.6142672636957402E-2</v>
      </c>
      <c r="AL8">
        <v>0.12542576262395</v>
      </c>
    </row>
    <row r="9" spans="1:38" x14ac:dyDescent="0.2">
      <c r="A9">
        <v>21</v>
      </c>
      <c r="B9">
        <v>737</v>
      </c>
      <c r="C9">
        <v>275</v>
      </c>
      <c r="D9">
        <v>0.28745285353660599</v>
      </c>
      <c r="E9">
        <v>37.218069773087997</v>
      </c>
      <c r="F9">
        <v>2.5264175025140601</v>
      </c>
      <c r="G9">
        <v>-586.31779883403397</v>
      </c>
      <c r="H9">
        <v>-509.24154914291171</v>
      </c>
      <c r="I9">
        <v>76.301786557563005</v>
      </c>
      <c r="J9">
        <v>44.508434262125398</v>
      </c>
      <c r="K9">
        <v>14.731559505130001</v>
      </c>
      <c r="L9">
        <v>2.9178513381144397E-5</v>
      </c>
      <c r="M9">
        <v>1.7972601811000615E-6</v>
      </c>
      <c r="N9" s="1">
        <v>-5.0045860743367197E-7</v>
      </c>
      <c r="O9" s="1">
        <v>1.38700741795765E-10</v>
      </c>
      <c r="P9" s="1">
        <v>1.7400251717581E-9</v>
      </c>
      <c r="Q9">
        <v>66.104489441314101</v>
      </c>
      <c r="S9">
        <v>18.991893806692101</v>
      </c>
      <c r="AA9">
        <v>0.24392794709024901</v>
      </c>
      <c r="AB9">
        <v>4.7649519244310898</v>
      </c>
      <c r="AC9">
        <v>9.8947368804723705</v>
      </c>
      <c r="AJ9">
        <v>0.41762073754169199</v>
      </c>
      <c r="AK9">
        <v>1.1813970549586999E-2</v>
      </c>
      <c r="AL9">
        <v>0.57056529190871996</v>
      </c>
    </row>
    <row r="10" spans="1:38" x14ac:dyDescent="0.2">
      <c r="A10">
        <v>21</v>
      </c>
      <c r="B10">
        <v>737</v>
      </c>
      <c r="C10">
        <v>275</v>
      </c>
      <c r="D10">
        <v>0.28745285353660599</v>
      </c>
      <c r="E10">
        <v>19.525526407280701</v>
      </c>
      <c r="F10">
        <v>2.5705642656075098</v>
      </c>
      <c r="G10">
        <v>-314.90194905883021</v>
      </c>
      <c r="H10">
        <v>-273.83371587377803</v>
      </c>
      <c r="I10">
        <v>40.655579057617302</v>
      </c>
      <c r="J10">
        <v>24.093988390488501</v>
      </c>
      <c r="K10">
        <v>7.5958133661622798</v>
      </c>
      <c r="L10">
        <v>3.2701467711968965E-5</v>
      </c>
      <c r="M10">
        <v>1.8225537226240265E-6</v>
      </c>
      <c r="N10" s="1">
        <v>-5.4672200811846401E-7</v>
      </c>
      <c r="O10" s="1">
        <v>6.5539786965075802E-11</v>
      </c>
      <c r="P10" s="1">
        <v>1.7409634847121301E-9</v>
      </c>
      <c r="Q10">
        <v>65.679151569805796</v>
      </c>
      <c r="S10">
        <v>21.0022372099296</v>
      </c>
      <c r="AA10">
        <v>2.0017286166063801</v>
      </c>
      <c r="AB10">
        <v>9.0874858775398994</v>
      </c>
      <c r="AC10">
        <v>2.22939672611815</v>
      </c>
      <c r="AJ10">
        <v>0.77934459757677599</v>
      </c>
      <c r="AK10">
        <v>9.4864073276699601E-2</v>
      </c>
      <c r="AL10">
        <v>0.125791329146523</v>
      </c>
    </row>
    <row r="11" spans="1:38" x14ac:dyDescent="0.2">
      <c r="A11">
        <v>22</v>
      </c>
      <c r="B11">
        <v>736</v>
      </c>
      <c r="C11">
        <v>275</v>
      </c>
      <c r="D11">
        <v>0.28667740177377199</v>
      </c>
      <c r="E11">
        <v>38.410344579679297</v>
      </c>
      <c r="F11">
        <v>2.5264388662072501</v>
      </c>
      <c r="G11">
        <v>-605.00125204014944</v>
      </c>
      <c r="H11">
        <v>-525.58345867524804</v>
      </c>
      <c r="I11">
        <v>78.697709324581297</v>
      </c>
      <c r="J11">
        <v>45.947865557054101</v>
      </c>
      <c r="K11">
        <v>15.203354054373699</v>
      </c>
      <c r="L11">
        <v>2.920939571939931E-5</v>
      </c>
      <c r="M11">
        <v>1.7974148596724863E-6</v>
      </c>
      <c r="N11" s="1">
        <v>-5.3404455191212502E-7</v>
      </c>
      <c r="O11" s="1">
        <v>1.4301489432949401E-10</v>
      </c>
      <c r="P11" s="1">
        <v>1.8455276239193799E-9</v>
      </c>
      <c r="Q11">
        <v>66.105485717086594</v>
      </c>
      <c r="S11">
        <v>18.988781201877501</v>
      </c>
      <c r="AA11">
        <v>0.241127548916092</v>
      </c>
      <c r="AB11">
        <v>4.75901197338416</v>
      </c>
      <c r="AC11">
        <v>9.9055935587355695</v>
      </c>
      <c r="AJ11">
        <v>0.41711273081257599</v>
      </c>
      <c r="AK11">
        <v>1.1678693738376201E-2</v>
      </c>
      <c r="AL11">
        <v>0.57120857544904702</v>
      </c>
    </row>
    <row r="12" spans="1:38" x14ac:dyDescent="0.2">
      <c r="A12">
        <v>22</v>
      </c>
      <c r="B12">
        <v>736</v>
      </c>
      <c r="C12">
        <v>275</v>
      </c>
      <c r="D12">
        <v>0.28667740177377199</v>
      </c>
      <c r="E12">
        <v>20.339415715037699</v>
      </c>
      <c r="F12">
        <v>2.57056457195036</v>
      </c>
      <c r="G12">
        <v>-327.98857126008681</v>
      </c>
      <c r="H12">
        <v>-285.27492090134331</v>
      </c>
      <c r="I12">
        <v>42.326364126981602</v>
      </c>
      <c r="J12">
        <v>25.117464690211801</v>
      </c>
      <c r="K12">
        <v>7.9124313533993904</v>
      </c>
      <c r="L12">
        <v>3.2787398885455282E-5</v>
      </c>
      <c r="M12">
        <v>1.8231894074650888E-6</v>
      </c>
      <c r="N12" s="1">
        <v>-5.8869676147930903E-7</v>
      </c>
      <c r="O12" s="1">
        <v>6.8127990808851303E-11</v>
      </c>
      <c r="P12" s="1">
        <v>1.8679068270286202E-9</v>
      </c>
      <c r="Q12">
        <v>65.692829491375093</v>
      </c>
      <c r="S12">
        <v>20.993944070315798</v>
      </c>
      <c r="AA12">
        <v>1.99169513550096</v>
      </c>
      <c r="AB12">
        <v>9.0962248486968509</v>
      </c>
      <c r="AC12">
        <v>2.2253064541111298</v>
      </c>
      <c r="AJ12">
        <v>0.78006037889268398</v>
      </c>
      <c r="AK12">
        <v>9.4384501305402504E-2</v>
      </c>
      <c r="AL12">
        <v>0.125555119801913</v>
      </c>
    </row>
    <row r="13" spans="1:38" x14ac:dyDescent="0.2">
      <c r="A13">
        <v>36</v>
      </c>
      <c r="B13">
        <v>744</v>
      </c>
      <c r="C13">
        <v>255</v>
      </c>
      <c r="D13">
        <v>0.31446738435825899</v>
      </c>
      <c r="E13">
        <v>5.14501295657589</v>
      </c>
      <c r="F13">
        <v>2.5254471628421298</v>
      </c>
      <c r="G13">
        <v>-81.191194703858471</v>
      </c>
      <c r="H13">
        <v>-70.414514834073643</v>
      </c>
      <c r="I13">
        <v>10.5949760308556</v>
      </c>
      <c r="J13">
        <v>6.1413654313248003</v>
      </c>
      <c r="K13">
        <v>2.0372681053384998</v>
      </c>
      <c r="L13">
        <v>2.8969340340669743E-5</v>
      </c>
      <c r="M13">
        <v>1.7975615633424825E-6</v>
      </c>
      <c r="N13" s="1">
        <v>-5.3740232647993497E-8</v>
      </c>
      <c r="O13" s="1">
        <v>1.92850496665289E-11</v>
      </c>
      <c r="P13" s="1">
        <v>1.9654648212727599E-10</v>
      </c>
      <c r="Q13">
        <v>66.096809159483698</v>
      </c>
      <c r="S13">
        <v>19.018589446029399</v>
      </c>
      <c r="AA13">
        <v>0.267744211653896</v>
      </c>
      <c r="AB13">
        <v>4.8178229173647997</v>
      </c>
      <c r="AC13">
        <v>9.7990342654681601</v>
      </c>
      <c r="AJ13">
        <v>0.42214112039736401</v>
      </c>
      <c r="AK13">
        <v>1.29639607137279E-2</v>
      </c>
      <c r="AL13">
        <v>0.56489491888890597</v>
      </c>
    </row>
    <row r="14" spans="1:38" x14ac:dyDescent="0.2">
      <c r="A14">
        <v>36</v>
      </c>
      <c r="B14">
        <v>744</v>
      </c>
      <c r="C14">
        <v>255</v>
      </c>
      <c r="D14">
        <v>0.31446738435825899</v>
      </c>
      <c r="E14">
        <v>2.2634496757782601</v>
      </c>
      <c r="F14">
        <v>2.5700546891400302</v>
      </c>
      <c r="G14">
        <v>-36.555034394068066</v>
      </c>
      <c r="H14">
        <v>-31.742209779019888</v>
      </c>
      <c r="I14">
        <v>4.7316763653818796</v>
      </c>
      <c r="J14">
        <v>2.77884705159039</v>
      </c>
      <c r="K14">
        <v>0.88070097704249095</v>
      </c>
      <c r="L14">
        <v>3.2097220427550237E-5</v>
      </c>
      <c r="M14">
        <v>1.8185243430118362E-6</v>
      </c>
      <c r="N14" s="1">
        <v>-4.9344178962474299E-8</v>
      </c>
      <c r="O14" s="1">
        <v>7.69717887009075E-12</v>
      </c>
      <c r="P14" s="1">
        <v>1.61849607191918E-10</v>
      </c>
      <c r="Q14">
        <v>65.543441723896905</v>
      </c>
      <c r="S14">
        <v>21.091109537755301</v>
      </c>
      <c r="AA14">
        <v>2.10671523431277</v>
      </c>
      <c r="AB14">
        <v>9.0180541239888701</v>
      </c>
      <c r="AC14">
        <v>2.2406793800460698</v>
      </c>
      <c r="AJ14">
        <v>0.77365504740450397</v>
      </c>
      <c r="AK14">
        <v>9.9873702871943998E-2</v>
      </c>
      <c r="AL14">
        <v>0.126471249723551</v>
      </c>
    </row>
    <row r="15" spans="1:38" x14ac:dyDescent="0.2">
      <c r="A15">
        <v>37</v>
      </c>
      <c r="B15">
        <v>743</v>
      </c>
      <c r="C15">
        <v>255</v>
      </c>
      <c r="D15">
        <v>0.31372385966638899</v>
      </c>
      <c r="E15">
        <v>14.3787025880073</v>
      </c>
      <c r="F15">
        <v>2.5254757064860001</v>
      </c>
      <c r="G15">
        <v>-226.87368235365722</v>
      </c>
      <c r="H15">
        <v>-196.80294118973762</v>
      </c>
      <c r="I15">
        <v>29.592817166677701</v>
      </c>
      <c r="J15">
        <v>17.167752460413801</v>
      </c>
      <c r="K15">
        <v>5.6934630379058904</v>
      </c>
      <c r="L15">
        <v>2.899912806764678E-5</v>
      </c>
      <c r="M15">
        <v>1.7977879624976559E-6</v>
      </c>
      <c r="N15" s="1">
        <v>-1.5563891404830299E-7</v>
      </c>
      <c r="O15" s="1">
        <v>5.3853736779790303E-11</v>
      </c>
      <c r="P15" s="1">
        <v>5.6486658422385697E-10</v>
      </c>
      <c r="Q15">
        <v>66.100605453541903</v>
      </c>
      <c r="S15">
        <v>19.015876973374201</v>
      </c>
      <c r="AA15">
        <v>0.26462058062008798</v>
      </c>
      <c r="AB15">
        <v>4.8191716554133901</v>
      </c>
      <c r="AC15">
        <v>9.7997253370502992</v>
      </c>
      <c r="AJ15">
        <v>0.42225643802813401</v>
      </c>
      <c r="AK15">
        <v>1.28126302211591E-2</v>
      </c>
      <c r="AL15">
        <v>0.56493093175070597</v>
      </c>
    </row>
    <row r="16" spans="1:38" x14ac:dyDescent="0.2">
      <c r="A16">
        <v>37</v>
      </c>
      <c r="B16">
        <v>743</v>
      </c>
      <c r="C16">
        <v>255</v>
      </c>
      <c r="D16">
        <v>0.31372385966638899</v>
      </c>
      <c r="E16">
        <v>6.839940257436</v>
      </c>
      <c r="F16">
        <v>2.5699290192132</v>
      </c>
      <c r="G16">
        <v>-110.45024449877056</v>
      </c>
      <c r="H16">
        <v>-95.928475414674566</v>
      </c>
      <c r="I16">
        <v>14.290969919889699</v>
      </c>
      <c r="J16">
        <v>8.40244910301071</v>
      </c>
      <c r="K16">
        <v>2.6615288618088302</v>
      </c>
      <c r="L16">
        <v>3.2170703110473169E-5</v>
      </c>
      <c r="M16">
        <v>1.8193370579487901E-6</v>
      </c>
      <c r="N16" s="1">
        <v>-1.5412547098830099E-7</v>
      </c>
      <c r="O16" s="1">
        <v>2.3228440500005601E-11</v>
      </c>
      <c r="P16" s="1">
        <v>5.0338893175297195E-10</v>
      </c>
      <c r="Q16">
        <v>65.568035396121402</v>
      </c>
      <c r="S16">
        <v>21.074045824535201</v>
      </c>
      <c r="AA16">
        <v>2.08689889899125</v>
      </c>
      <c r="AB16">
        <v>9.0281250612406296</v>
      </c>
      <c r="AC16">
        <v>2.2428948191114202</v>
      </c>
      <c r="AJ16">
        <v>0.77448062321435596</v>
      </c>
      <c r="AK16">
        <v>9.8929357916730298E-2</v>
      </c>
      <c r="AL16">
        <v>0.126590018868913</v>
      </c>
    </row>
    <row r="17" spans="1:38" x14ac:dyDescent="0.2">
      <c r="A17">
        <v>38</v>
      </c>
      <c r="B17">
        <v>742</v>
      </c>
      <c r="C17">
        <v>255</v>
      </c>
      <c r="D17">
        <v>0.31297887011771702</v>
      </c>
      <c r="E17">
        <v>25.253569646809002</v>
      </c>
      <c r="F17">
        <v>2.52552174808618</v>
      </c>
      <c r="G17">
        <v>-398.42998981506207</v>
      </c>
      <c r="H17">
        <v>-345.69479222582498</v>
      </c>
      <c r="I17">
        <v>51.948182622506103</v>
      </c>
      <c r="J17">
        <v>30.1629346802236</v>
      </c>
      <c r="K17">
        <v>9.9993475272767007</v>
      </c>
      <c r="L17">
        <v>2.9040627344742028E-5</v>
      </c>
      <c r="M17">
        <v>1.7981720554407216E-6</v>
      </c>
      <c r="N17" s="1">
        <v>-2.8415673855220597E-7</v>
      </c>
      <c r="O17" s="1">
        <v>9.4493880545826403E-11</v>
      </c>
      <c r="P17" s="1">
        <v>1.0229947990255801E-9</v>
      </c>
      <c r="Q17">
        <v>66.108933312690098</v>
      </c>
      <c r="S17">
        <v>19.014046667341798</v>
      </c>
      <c r="AA17">
        <v>0.26116736731936702</v>
      </c>
      <c r="AB17">
        <v>4.8329314577832001</v>
      </c>
      <c r="AC17">
        <v>9.7829211948654198</v>
      </c>
      <c r="AJ17">
        <v>0.423432553653252</v>
      </c>
      <c r="AK17">
        <v>1.2644547998511901E-2</v>
      </c>
      <c r="AL17">
        <v>0.56392289834823495</v>
      </c>
    </row>
    <row r="18" spans="1:38" x14ac:dyDescent="0.2">
      <c r="A18">
        <v>38</v>
      </c>
      <c r="B18">
        <v>742</v>
      </c>
      <c r="C18">
        <v>255</v>
      </c>
      <c r="D18">
        <v>0.31297887011771702</v>
      </c>
      <c r="E18">
        <v>12.523863317219</v>
      </c>
      <c r="F18">
        <v>2.5695812201998298</v>
      </c>
      <c r="G18">
        <v>-202.19650356700055</v>
      </c>
      <c r="H18">
        <v>-175.6472242169535</v>
      </c>
      <c r="I18">
        <v>26.153060483718601</v>
      </c>
      <c r="J18">
        <v>15.3945535945558</v>
      </c>
      <c r="K18">
        <v>4.8738927646136299</v>
      </c>
      <c r="L18">
        <v>3.2253941417761263E-5</v>
      </c>
      <c r="M18">
        <v>1.8205603903113838E-6</v>
      </c>
      <c r="N18" s="1">
        <v>-2.9179110751605799E-7</v>
      </c>
      <c r="O18" s="1">
        <v>4.2487438144709E-11</v>
      </c>
      <c r="P18" s="1">
        <v>9.4901879309654409E-10</v>
      </c>
      <c r="Q18">
        <v>65.612200863031603</v>
      </c>
      <c r="S18">
        <v>21.041256461356699</v>
      </c>
      <c r="AA18">
        <v>2.0495419307098599</v>
      </c>
      <c r="AB18">
        <v>9.0405838577118303</v>
      </c>
      <c r="AC18">
        <v>2.2564168871898902</v>
      </c>
      <c r="AJ18">
        <v>0.77550204667814104</v>
      </c>
      <c r="AK18">
        <v>9.7152519429047096E-2</v>
      </c>
      <c r="AL18">
        <v>0.12734543389281</v>
      </c>
    </row>
    <row r="19" spans="1:38" x14ac:dyDescent="0.2">
      <c r="A19">
        <v>39</v>
      </c>
      <c r="B19">
        <v>741</v>
      </c>
      <c r="C19">
        <v>255</v>
      </c>
      <c r="D19">
        <v>0.31223241137898899</v>
      </c>
      <c r="E19">
        <v>35.090605049328502</v>
      </c>
      <c r="F19">
        <v>2.5255682325477098</v>
      </c>
      <c r="G19">
        <v>-553.58606405969476</v>
      </c>
      <c r="H19">
        <v>-480.41803974124656</v>
      </c>
      <c r="I19">
        <v>72.147142255532302</v>
      </c>
      <c r="J19">
        <v>41.928050927341701</v>
      </c>
      <c r="K19">
        <v>13.894142552597</v>
      </c>
      <c r="L19">
        <v>2.9083434041021931E-5</v>
      </c>
      <c r="M19">
        <v>1.7985613948578633E-6</v>
      </c>
      <c r="N19" s="1">
        <v>-4.1041753313520101E-7</v>
      </c>
      <c r="O19" s="1">
        <v>1.3117206458358301E-10</v>
      </c>
      <c r="P19" s="1">
        <v>1.4659905695894999E-9</v>
      </c>
      <c r="Q19">
        <v>66.117308841245006</v>
      </c>
      <c r="S19">
        <v>19.0122195553921</v>
      </c>
      <c r="AA19">
        <v>0.25770566616532697</v>
      </c>
      <c r="AB19">
        <v>4.8468058625730803</v>
      </c>
      <c r="AC19">
        <v>9.7659600746243598</v>
      </c>
      <c r="AJ19">
        <v>0.42461829868330297</v>
      </c>
      <c r="AK19">
        <v>1.24760710448858E-2</v>
      </c>
      <c r="AL19">
        <v>0.56290563027180995</v>
      </c>
    </row>
    <row r="20" spans="1:38" x14ac:dyDescent="0.2">
      <c r="A20">
        <v>39</v>
      </c>
      <c r="B20">
        <v>741</v>
      </c>
      <c r="C20">
        <v>255</v>
      </c>
      <c r="D20">
        <v>0.31223241137898899</v>
      </c>
      <c r="E20">
        <v>17.829533572905898</v>
      </c>
      <c r="F20">
        <v>2.5692319965043602</v>
      </c>
      <c r="G20">
        <v>-287.80338147699757</v>
      </c>
      <c r="H20">
        <v>-250.06352318348485</v>
      </c>
      <c r="I20">
        <v>37.213290236663802</v>
      </c>
      <c r="J20">
        <v>21.930717856613899</v>
      </c>
      <c r="K20">
        <v>6.9396355008673298</v>
      </c>
      <c r="L20">
        <v>3.2339058641601073E-5</v>
      </c>
      <c r="M20">
        <v>1.8217857821141271E-6</v>
      </c>
      <c r="N20" s="1">
        <v>-4.2952858935623403E-7</v>
      </c>
      <c r="O20" s="1">
        <v>6.0421330409542202E-11</v>
      </c>
      <c r="P20" s="1">
        <v>1.39126470285765E-9</v>
      </c>
      <c r="Q20">
        <v>65.656287533567095</v>
      </c>
      <c r="S20">
        <v>21.008458722420201</v>
      </c>
      <c r="AA20">
        <v>2.0121964383992199</v>
      </c>
      <c r="AB20">
        <v>9.0528451025483196</v>
      </c>
      <c r="AC20">
        <v>2.2702122030650602</v>
      </c>
      <c r="AJ20">
        <v>0.776507161933783</v>
      </c>
      <c r="AK20">
        <v>9.5376535414628302E-2</v>
      </c>
      <c r="AL20">
        <v>0.12811630265158799</v>
      </c>
    </row>
    <row r="21" spans="1:38" x14ac:dyDescent="0.2">
      <c r="A21">
        <v>40</v>
      </c>
      <c r="B21">
        <v>740</v>
      </c>
      <c r="C21">
        <v>255</v>
      </c>
      <c r="D21">
        <v>0.31148447909983901</v>
      </c>
      <c r="E21">
        <v>37.866714580375103</v>
      </c>
      <c r="F21">
        <v>2.5255877095618802</v>
      </c>
      <c r="G21">
        <v>-597.28473254710434</v>
      </c>
      <c r="H21">
        <v>-518.45395623440083</v>
      </c>
      <c r="I21">
        <v>77.807606289990105</v>
      </c>
      <c r="J21">
        <v>45.256503453312497</v>
      </c>
      <c r="K21">
        <v>14.993228877782199</v>
      </c>
      <c r="L21">
        <v>2.9110457000518138E-5</v>
      </c>
      <c r="M21">
        <v>1.7987111827041228E-6</v>
      </c>
      <c r="N21" s="1">
        <v>-4.5807352366746E-7</v>
      </c>
      <c r="O21" s="1">
        <v>1.4143826261146201E-10</v>
      </c>
      <c r="P21" s="1">
        <v>1.62520304987977E-9</v>
      </c>
      <c r="Q21">
        <v>66.118584050911295</v>
      </c>
      <c r="S21">
        <v>19.0090456655238</v>
      </c>
      <c r="AA21">
        <v>0.25478962178345499</v>
      </c>
      <c r="AB21">
        <v>4.8413268340167397</v>
      </c>
      <c r="AC21">
        <v>9.7762538277645792</v>
      </c>
      <c r="AJ21">
        <v>0.42415010545769999</v>
      </c>
      <c r="AK21">
        <v>1.23352427704028E-2</v>
      </c>
      <c r="AL21">
        <v>0.56351465177189597</v>
      </c>
    </row>
    <row r="22" spans="1:38" x14ac:dyDescent="0.2">
      <c r="A22">
        <v>40</v>
      </c>
      <c r="B22">
        <v>740</v>
      </c>
      <c r="C22">
        <v>255</v>
      </c>
      <c r="D22">
        <v>0.31148447909983901</v>
      </c>
      <c r="E22">
        <v>19.402325823578401</v>
      </c>
      <c r="F22">
        <v>2.5692264063497601</v>
      </c>
      <c r="G22">
        <v>-313.15320014534632</v>
      </c>
      <c r="H22">
        <v>-272.1475749809477</v>
      </c>
      <c r="I22">
        <v>40.473399954990398</v>
      </c>
      <c r="J22">
        <v>23.880896573022898</v>
      </c>
      <c r="K22">
        <v>7.5518162882127502</v>
      </c>
      <c r="L22">
        <v>3.2414452884505192E-5</v>
      </c>
      <c r="M22">
        <v>1.8223964838647564E-6</v>
      </c>
      <c r="N22" s="1">
        <v>-4.8310614195172899E-7</v>
      </c>
      <c r="O22" s="1">
        <v>6.5634932425991205E-11</v>
      </c>
      <c r="P22" s="1">
        <v>1.5586276988127999E-9</v>
      </c>
      <c r="Q22">
        <v>65.670289698365593</v>
      </c>
      <c r="S22">
        <v>20.999880993623901</v>
      </c>
      <c r="AA22">
        <v>2.0018525105794298</v>
      </c>
      <c r="AB22">
        <v>9.0615605448153094</v>
      </c>
      <c r="AC22">
        <v>2.2664162526156799</v>
      </c>
      <c r="AJ22">
        <v>0.77722126657708901</v>
      </c>
      <c r="AK22">
        <v>9.4882156361886003E-2</v>
      </c>
      <c r="AL22">
        <v>0.127896577061024</v>
      </c>
    </row>
    <row r="23" spans="1:38" x14ac:dyDescent="0.2">
      <c r="A23">
        <v>51</v>
      </c>
      <c r="B23">
        <v>747</v>
      </c>
      <c r="C23">
        <v>235</v>
      </c>
      <c r="D23">
        <v>0.33825466843111501</v>
      </c>
      <c r="E23">
        <v>5.11592443473271</v>
      </c>
      <c r="F23">
        <v>2.5673381527741301</v>
      </c>
      <c r="G23">
        <v>-82.665355163960896</v>
      </c>
      <c r="H23">
        <v>-71.733873013215884</v>
      </c>
      <c r="I23">
        <v>10.715563545307001</v>
      </c>
      <c r="J23">
        <v>6.2688984443179496</v>
      </c>
      <c r="K23">
        <v>1.9926959871665899</v>
      </c>
      <c r="L23">
        <v>3.1912425992009715E-5</v>
      </c>
      <c r="M23">
        <v>1.8210213733010844E-6</v>
      </c>
      <c r="N23" s="1">
        <v>-9.94643637024685E-8</v>
      </c>
      <c r="O23" s="1">
        <v>1.75467901210634E-11</v>
      </c>
      <c r="P23" s="1">
        <v>3.3120865188771701E-10</v>
      </c>
      <c r="Q23">
        <v>65.6555475484749</v>
      </c>
      <c r="S23">
        <v>20.991161837106901</v>
      </c>
      <c r="AA23">
        <v>1.9980989963148601</v>
      </c>
      <c r="AB23">
        <v>9.0058500518496292</v>
      </c>
      <c r="AC23">
        <v>2.3493415662535502</v>
      </c>
      <c r="AJ23">
        <v>0.77265669454275199</v>
      </c>
      <c r="AK23">
        <v>9.4730461299350394E-2</v>
      </c>
      <c r="AL23">
        <v>0.13261284415789601</v>
      </c>
    </row>
    <row r="24" spans="1:38" x14ac:dyDescent="0.2">
      <c r="A24">
        <v>51</v>
      </c>
      <c r="B24">
        <v>747</v>
      </c>
      <c r="C24">
        <v>235</v>
      </c>
      <c r="D24">
        <v>0.33825466843111501</v>
      </c>
      <c r="E24">
        <v>8.8628524569822105</v>
      </c>
      <c r="F24">
        <v>2.5247587947685299</v>
      </c>
      <c r="G24">
        <v>-140.08275112779896</v>
      </c>
      <c r="H24">
        <v>-121.41472340188797</v>
      </c>
      <c r="I24">
        <v>18.299296893506799</v>
      </c>
      <c r="J24">
        <v>10.580617511730299</v>
      </c>
      <c r="K24">
        <v>3.51037591208578</v>
      </c>
      <c r="L24">
        <v>2.8987000511819413E-5</v>
      </c>
      <c r="M24">
        <v>1.8000227212158177E-6</v>
      </c>
      <c r="N24" s="1">
        <v>-8.4910373130564597E-8</v>
      </c>
      <c r="O24" s="1">
        <v>3.3245988634455801E-11</v>
      </c>
      <c r="P24" s="1">
        <v>3.1677441421755198E-10</v>
      </c>
      <c r="Q24">
        <v>66.138210443532799</v>
      </c>
      <c r="S24">
        <v>19.042174778300101</v>
      </c>
      <c r="AA24">
        <v>0.27754192863067301</v>
      </c>
      <c r="AB24">
        <v>4.9719154738703102</v>
      </c>
      <c r="AC24">
        <v>9.5701573756659499</v>
      </c>
      <c r="AJ24">
        <v>0.43530250224007999</v>
      </c>
      <c r="AK24">
        <v>1.3427860447684599E-2</v>
      </c>
      <c r="AL24">
        <v>0.551269637312234</v>
      </c>
    </row>
    <row r="25" spans="1:38" x14ac:dyDescent="0.2">
      <c r="A25">
        <v>52</v>
      </c>
      <c r="B25">
        <v>746</v>
      </c>
      <c r="C25">
        <v>235</v>
      </c>
      <c r="D25">
        <v>0.33753667271746202</v>
      </c>
      <c r="E25">
        <v>8.5322633060255999</v>
      </c>
      <c r="F25">
        <v>2.5675981221300699</v>
      </c>
      <c r="G25">
        <v>-137.85797826329755</v>
      </c>
      <c r="H25">
        <v>-119.65496715759942</v>
      </c>
      <c r="I25">
        <v>17.860973463865101</v>
      </c>
      <c r="J25">
        <v>10.460521500240199</v>
      </c>
      <c r="K25">
        <v>3.3230524794695002</v>
      </c>
      <c r="L25">
        <v>3.1966618853760512E-5</v>
      </c>
      <c r="M25">
        <v>1.8211260511643635E-6</v>
      </c>
      <c r="N25" s="1">
        <v>-1.7134658167914601E-7</v>
      </c>
      <c r="O25" s="1">
        <v>2.9210009630223003E-11</v>
      </c>
      <c r="P25" s="1">
        <v>5.6801233718677897E-10</v>
      </c>
      <c r="Q25">
        <v>65.646614961415196</v>
      </c>
      <c r="S25">
        <v>21.001222610288298</v>
      </c>
      <c r="AA25">
        <v>2.0084835342776302</v>
      </c>
      <c r="AB25">
        <v>9.0123198854178099</v>
      </c>
      <c r="AC25">
        <v>2.3313590086009901</v>
      </c>
      <c r="AJ25">
        <v>0.77318675718887597</v>
      </c>
      <c r="AK25">
        <v>9.5219714451376197E-2</v>
      </c>
      <c r="AL25">
        <v>0.131593528359746</v>
      </c>
    </row>
    <row r="26" spans="1:38" x14ac:dyDescent="0.2">
      <c r="A26">
        <v>52</v>
      </c>
      <c r="B26">
        <v>746</v>
      </c>
      <c r="C26">
        <v>235</v>
      </c>
      <c r="D26">
        <v>0.33753667271746202</v>
      </c>
      <c r="E26">
        <v>16.526781128816101</v>
      </c>
      <c r="F26">
        <v>2.5247496557481002</v>
      </c>
      <c r="G26">
        <v>-261.15642408582136</v>
      </c>
      <c r="H26">
        <v>-226.40341800434399</v>
      </c>
      <c r="I26">
        <v>34.099991249057901</v>
      </c>
      <c r="J26">
        <v>19.7318239200264</v>
      </c>
      <c r="K26">
        <v>6.5459088552362301</v>
      </c>
      <c r="L26">
        <v>2.8996256015092425E-5</v>
      </c>
      <c r="M26">
        <v>1.7999723848389151E-6</v>
      </c>
      <c r="N26" s="1">
        <v>-1.6315548415151801E-7</v>
      </c>
      <c r="O26" s="1">
        <v>6.1966104887445005E-11</v>
      </c>
      <c r="P26" s="1">
        <v>6.0445636399888702E-10</v>
      </c>
      <c r="Q26">
        <v>66.134207132000597</v>
      </c>
      <c r="S26">
        <v>19.037716323704</v>
      </c>
      <c r="AA26">
        <v>0.27479777595523203</v>
      </c>
      <c r="AB26">
        <v>4.9513058904073004</v>
      </c>
      <c r="AC26">
        <v>9.60197287793277</v>
      </c>
      <c r="AJ26">
        <v>0.43354339764544902</v>
      </c>
      <c r="AK26">
        <v>1.3296484231598699E-2</v>
      </c>
      <c r="AL26">
        <v>0.55316011812295096</v>
      </c>
    </row>
    <row r="27" spans="1:38" x14ac:dyDescent="0.2">
      <c r="A27">
        <v>53</v>
      </c>
      <c r="B27">
        <v>745</v>
      </c>
      <c r="C27">
        <v>235</v>
      </c>
      <c r="D27">
        <v>0.33681726661101002</v>
      </c>
      <c r="E27">
        <v>14.685293494315999</v>
      </c>
      <c r="F27">
        <v>2.5676884342072199</v>
      </c>
      <c r="G27">
        <v>-237.24932437486947</v>
      </c>
      <c r="H27">
        <v>-205.96751838908386</v>
      </c>
      <c r="I27">
        <v>30.724162437544202</v>
      </c>
      <c r="J27">
        <v>18.013772958829399</v>
      </c>
      <c r="K27">
        <v>5.7192661300630601</v>
      </c>
      <c r="L27">
        <v>3.2027904812466532E-5</v>
      </c>
      <c r="M27">
        <v>1.8215314121640939E-6</v>
      </c>
      <c r="N27" s="1">
        <v>-3.0469486166301003E-7</v>
      </c>
      <c r="O27" s="1">
        <v>5.0194078258247498E-11</v>
      </c>
      <c r="P27" s="1">
        <v>1.0055930264265399E-9</v>
      </c>
      <c r="Q27">
        <v>65.652177807326794</v>
      </c>
      <c r="S27">
        <v>20.999474860401499</v>
      </c>
      <c r="AA27">
        <v>2.0057436086810201</v>
      </c>
      <c r="AB27">
        <v>9.0201344357129507</v>
      </c>
      <c r="AC27">
        <v>2.3224692878775599</v>
      </c>
      <c r="AJ27">
        <v>0.77382719821557799</v>
      </c>
      <c r="AK27">
        <v>9.5086133309531196E-2</v>
      </c>
      <c r="AL27">
        <v>0.13108666847489001</v>
      </c>
    </row>
    <row r="28" spans="1:38" x14ac:dyDescent="0.2">
      <c r="A28">
        <v>53</v>
      </c>
      <c r="B28">
        <v>745</v>
      </c>
      <c r="C28">
        <v>235</v>
      </c>
      <c r="D28">
        <v>0.33681726661101002</v>
      </c>
      <c r="E28">
        <v>29.409903579922801</v>
      </c>
      <c r="F28">
        <v>2.5247573937755599</v>
      </c>
      <c r="G28">
        <v>-464.64945364543092</v>
      </c>
      <c r="H28">
        <v>-402.90500038941514</v>
      </c>
      <c r="I28">
        <v>60.643768851363397</v>
      </c>
      <c r="J28">
        <v>35.119249072558198</v>
      </c>
      <c r="K28">
        <v>11.648605783838301</v>
      </c>
      <c r="L28">
        <v>2.9014338724602099E-5</v>
      </c>
      <c r="M28">
        <v>1.8000449656151573E-6</v>
      </c>
      <c r="N28" s="1">
        <v>-2.9992483535648897E-7</v>
      </c>
      <c r="O28" s="1">
        <v>1.1020529700807001E-10</v>
      </c>
      <c r="P28" s="1">
        <v>1.10303514415035E-9</v>
      </c>
      <c r="Q28">
        <v>66.133694560082503</v>
      </c>
      <c r="S28">
        <v>19.034022535036001</v>
      </c>
      <c r="AA28">
        <v>0.27186996413253001</v>
      </c>
      <c r="AB28">
        <v>4.94047990415232</v>
      </c>
      <c r="AC28">
        <v>9.6199330365965707</v>
      </c>
      <c r="AJ28">
        <v>0.43261922621038201</v>
      </c>
      <c r="AK28">
        <v>1.3155540602820899E-2</v>
      </c>
      <c r="AL28">
        <v>0.55422523318679595</v>
      </c>
    </row>
    <row r="29" spans="1:38" x14ac:dyDescent="0.2">
      <c r="A29">
        <v>54</v>
      </c>
      <c r="B29">
        <v>744</v>
      </c>
      <c r="C29">
        <v>235</v>
      </c>
      <c r="D29">
        <v>0.336096445951927</v>
      </c>
      <c r="E29">
        <v>18.198910629640402</v>
      </c>
      <c r="F29">
        <v>2.5678056637289899</v>
      </c>
      <c r="G29">
        <v>-293.98458541745453</v>
      </c>
      <c r="H29">
        <v>-255.27819665844143</v>
      </c>
      <c r="I29">
        <v>38.053766660780703</v>
      </c>
      <c r="J29">
        <v>22.3361249059794</v>
      </c>
      <c r="K29">
        <v>7.0873395470324603</v>
      </c>
      <c r="L29">
        <v>3.2090110375222206E-5</v>
      </c>
      <c r="M29">
        <v>1.8218947816952005E-6</v>
      </c>
      <c r="N29" s="1">
        <v>-3.90129179967241E-7</v>
      </c>
      <c r="O29" s="1">
        <v>6.2097260814369296E-11</v>
      </c>
      <c r="P29" s="1">
        <v>1.2819865590740199E-9</v>
      </c>
      <c r="Q29">
        <v>65.655434772603101</v>
      </c>
      <c r="S29">
        <v>20.999593743679601</v>
      </c>
      <c r="AA29">
        <v>2.0050817202811002</v>
      </c>
      <c r="AB29">
        <v>9.0277040761689893</v>
      </c>
      <c r="AC29">
        <v>2.3121856872670898</v>
      </c>
      <c r="AJ29">
        <v>0.77444748724920698</v>
      </c>
      <c r="AK29">
        <v>9.5051183416950694E-2</v>
      </c>
      <c r="AL29">
        <v>0.13050132933384101</v>
      </c>
    </row>
    <row r="30" spans="1:38" x14ac:dyDescent="0.2">
      <c r="A30">
        <v>54</v>
      </c>
      <c r="B30">
        <v>744</v>
      </c>
      <c r="C30">
        <v>235</v>
      </c>
      <c r="D30">
        <v>0.336096445951927</v>
      </c>
      <c r="E30">
        <v>36.596251692283701</v>
      </c>
      <c r="F30">
        <v>2.52476327297147</v>
      </c>
      <c r="G30">
        <v>-578.07610921061712</v>
      </c>
      <c r="H30">
        <v>-501.36878958566393</v>
      </c>
      <c r="I30">
        <v>75.413970038787895</v>
      </c>
      <c r="J30">
        <v>43.707907017284299</v>
      </c>
      <c r="K30">
        <v>14.4949239732929</v>
      </c>
      <c r="L30">
        <v>2.9031865279059795E-5</v>
      </c>
      <c r="M30">
        <v>1.8001000216424854E-6</v>
      </c>
      <c r="N30" s="1">
        <v>-3.8537165329629898E-7</v>
      </c>
      <c r="O30" s="1">
        <v>1.3705231586979301E-10</v>
      </c>
      <c r="P30" s="1">
        <v>1.4072680720189199E-9</v>
      </c>
      <c r="Q30">
        <v>66.132591459194103</v>
      </c>
      <c r="S30">
        <v>19.030237772107402</v>
      </c>
      <c r="AA30">
        <v>0.26900488947551798</v>
      </c>
      <c r="AB30">
        <v>4.9280994548982999</v>
      </c>
      <c r="AC30">
        <v>9.6400664243246297</v>
      </c>
      <c r="AJ30">
        <v>0.43156222740202599</v>
      </c>
      <c r="AK30">
        <v>1.30177200094665E-2</v>
      </c>
      <c r="AL30">
        <v>0.55542005258850602</v>
      </c>
    </row>
    <row r="31" spans="1:38" x14ac:dyDescent="0.2">
      <c r="A31">
        <v>55</v>
      </c>
      <c r="B31">
        <v>743</v>
      </c>
      <c r="C31">
        <v>235</v>
      </c>
      <c r="D31">
        <v>0.33537420656399403</v>
      </c>
      <c r="E31">
        <v>19.2664276863702</v>
      </c>
      <c r="F31">
        <v>2.5679294448732302</v>
      </c>
      <c r="G31">
        <v>-311.19862589932831</v>
      </c>
      <c r="H31">
        <v>-270.28525572983602</v>
      </c>
      <c r="I31">
        <v>40.263120769071797</v>
      </c>
      <c r="J31">
        <v>23.659856226694298</v>
      </c>
      <c r="K31">
        <v>7.5027091281011797</v>
      </c>
      <c r="L31">
        <v>3.2153943301010059E-5</v>
      </c>
      <c r="M31">
        <v>1.8222518716851905E-6</v>
      </c>
      <c r="N31" s="1">
        <v>-4.26740033149686E-7</v>
      </c>
      <c r="O31" s="1">
        <v>6.5622865567408401E-11</v>
      </c>
      <c r="P31" s="1">
        <v>1.39635774223557E-9</v>
      </c>
      <c r="Q31">
        <v>65.658127209085606</v>
      </c>
      <c r="S31">
        <v>21.000161974891899</v>
      </c>
      <c r="AA31">
        <v>2.0049222736042198</v>
      </c>
      <c r="AB31">
        <v>9.0351937185058997</v>
      </c>
      <c r="AC31">
        <v>2.3015948239121702</v>
      </c>
      <c r="AJ31">
        <v>0.77506116677554304</v>
      </c>
      <c r="AK31">
        <v>9.5040090307465797E-2</v>
      </c>
      <c r="AL31">
        <v>0.12989874291699</v>
      </c>
    </row>
    <row r="32" spans="1:38" x14ac:dyDescent="0.2">
      <c r="A32">
        <v>55</v>
      </c>
      <c r="B32">
        <v>743</v>
      </c>
      <c r="C32">
        <v>235</v>
      </c>
      <c r="D32">
        <v>0.33537420656399403</v>
      </c>
      <c r="E32">
        <v>38.628929123100498</v>
      </c>
      <c r="F32">
        <v>2.5247692409508602</v>
      </c>
      <c r="G32">
        <v>-610.066292293826</v>
      </c>
      <c r="H32">
        <v>-529.22989240027186</v>
      </c>
      <c r="I32">
        <v>79.551640893130099</v>
      </c>
      <c r="J32">
        <v>46.143487575903798</v>
      </c>
      <c r="K32">
        <v>15.299984052622699</v>
      </c>
      <c r="L32">
        <v>2.9049831962102718E-5</v>
      </c>
      <c r="M32">
        <v>1.8001521827711188E-6</v>
      </c>
      <c r="N32" s="1">
        <v>-4.1998158263873198E-7</v>
      </c>
      <c r="O32" s="1">
        <v>1.4457569810337699E-10</v>
      </c>
      <c r="P32" s="1">
        <v>1.5230854816675501E-9</v>
      </c>
      <c r="Q32">
        <v>66.131321015566698</v>
      </c>
      <c r="S32">
        <v>19.0264507444769</v>
      </c>
      <c r="AA32">
        <v>0.26617699355666702</v>
      </c>
      <c r="AB32">
        <v>4.9153401541125801</v>
      </c>
      <c r="AC32">
        <v>9.6607110922870998</v>
      </c>
      <c r="AJ32">
        <v>0.43047274344179798</v>
      </c>
      <c r="AK32">
        <v>1.28817061004519E-2</v>
      </c>
      <c r="AL32">
        <v>0.55664555045774899</v>
      </c>
    </row>
    <row r="33" spans="1:38" x14ac:dyDescent="0.2">
      <c r="A33">
        <v>60</v>
      </c>
      <c r="B33">
        <v>753</v>
      </c>
      <c r="C33">
        <v>215</v>
      </c>
      <c r="D33">
        <v>0.36397261608926701</v>
      </c>
      <c r="E33">
        <v>0.23329870177304099</v>
      </c>
      <c r="F33">
        <v>2.5681004981653199</v>
      </c>
      <c r="G33">
        <v>-3.7774519126638388</v>
      </c>
      <c r="H33">
        <v>-3.2742286822829483</v>
      </c>
      <c r="I33">
        <v>0.49039928897421398</v>
      </c>
      <c r="J33">
        <v>0.28528039083471002</v>
      </c>
      <c r="K33">
        <v>9.0844848922272195E-2</v>
      </c>
      <c r="L33">
        <v>3.164875345440319E-5</v>
      </c>
      <c r="M33">
        <v>1.8200236160142344E-6</v>
      </c>
      <c r="N33" s="1">
        <v>-3.7423148171973504E-9</v>
      </c>
      <c r="O33" s="1">
        <v>8.0400377151606002E-13</v>
      </c>
      <c r="P33" s="1">
        <v>1.28305433425807E-11</v>
      </c>
      <c r="Q33">
        <v>65.568319346917406</v>
      </c>
      <c r="S33">
        <v>21.106838365438001</v>
      </c>
      <c r="AA33">
        <v>2.1138868249684299</v>
      </c>
      <c r="AB33">
        <v>9.1147277396626993</v>
      </c>
      <c r="AC33">
        <v>2.0962277230133002</v>
      </c>
      <c r="AJ33">
        <v>0.781573283922256</v>
      </c>
      <c r="AK33">
        <v>0.100165583982362</v>
      </c>
      <c r="AL33">
        <v>0.11826113209538</v>
      </c>
    </row>
    <row r="34" spans="1:38" x14ac:dyDescent="0.2">
      <c r="A34">
        <v>61</v>
      </c>
      <c r="B34">
        <v>752</v>
      </c>
      <c r="C34">
        <v>215</v>
      </c>
      <c r="D34">
        <v>0.363283909671757</v>
      </c>
      <c r="E34">
        <v>1.6648441832556999</v>
      </c>
      <c r="F34">
        <v>2.5658642243721901</v>
      </c>
      <c r="G34">
        <v>-26.934333849360069</v>
      </c>
      <c r="H34">
        <v>-23.348566667208239</v>
      </c>
      <c r="I34">
        <v>3.4977975731861899</v>
      </c>
      <c r="J34">
        <v>2.0356917442282998</v>
      </c>
      <c r="K34">
        <v>0.64884344519946402</v>
      </c>
      <c r="L34">
        <v>3.1679840588917916E-5</v>
      </c>
      <c r="M34">
        <v>1.8222464820066297E-6</v>
      </c>
      <c r="N34" s="1">
        <v>-2.7318635058370699E-8</v>
      </c>
      <c r="O34" s="1">
        <v>5.75493839950162E-12</v>
      </c>
      <c r="P34" s="1">
        <v>9.3290168837664301E-11</v>
      </c>
      <c r="Q34">
        <v>65.698676477959793</v>
      </c>
      <c r="S34">
        <v>20.970254559400399</v>
      </c>
      <c r="AA34">
        <v>1.97078673204848</v>
      </c>
      <c r="AB34">
        <v>9.0471494120866698</v>
      </c>
      <c r="AC34">
        <v>2.3131328185045299</v>
      </c>
      <c r="AJ34">
        <v>0.77604125099629995</v>
      </c>
      <c r="AK34">
        <v>9.3416472647432205E-2</v>
      </c>
      <c r="AL34">
        <v>0.130542276356267</v>
      </c>
    </row>
    <row r="35" spans="1:38" x14ac:dyDescent="0.2">
      <c r="A35">
        <v>62</v>
      </c>
      <c r="B35">
        <v>751</v>
      </c>
      <c r="C35">
        <v>215</v>
      </c>
      <c r="D35">
        <v>0.36259385832153801</v>
      </c>
      <c r="E35">
        <v>4.3839378725772997</v>
      </c>
      <c r="F35">
        <v>2.56434889146102</v>
      </c>
      <c r="G35">
        <v>-70.877573839927777</v>
      </c>
      <c r="H35">
        <v>-61.450070081535223</v>
      </c>
      <c r="I35">
        <v>9.2051982213470094</v>
      </c>
      <c r="J35">
        <v>5.3602733208572397</v>
      </c>
      <c r="K35">
        <v>1.7095715357513499</v>
      </c>
      <c r="L35">
        <v>3.1693601053848961E-5</v>
      </c>
      <c r="M35">
        <v>1.8232996459099066E-6</v>
      </c>
      <c r="N35" s="1">
        <v>-7.3583873571133096E-8</v>
      </c>
      <c r="O35" s="1">
        <v>1.5179777844377601E-11</v>
      </c>
      <c r="P35" s="1">
        <v>2.50316152143517E-10</v>
      </c>
      <c r="Q35">
        <v>65.770388672948201</v>
      </c>
      <c r="S35">
        <v>20.883421504271801</v>
      </c>
      <c r="AA35">
        <v>1.88241551213604</v>
      </c>
      <c r="AB35">
        <v>8.9793120504771302</v>
      </c>
      <c r="AC35">
        <v>2.4844622601667101</v>
      </c>
      <c r="AJ35">
        <v>0.77048332990321</v>
      </c>
      <c r="AK35">
        <v>8.9257859062487496E-2</v>
      </c>
      <c r="AL35">
        <v>0.14025881103430199</v>
      </c>
    </row>
    <row r="36" spans="1:38" x14ac:dyDescent="0.2">
      <c r="A36">
        <v>62</v>
      </c>
      <c r="B36">
        <v>751</v>
      </c>
      <c r="C36">
        <v>215</v>
      </c>
      <c r="D36">
        <v>0.36259385832153801</v>
      </c>
      <c r="E36">
        <v>4.3494155878203999</v>
      </c>
      <c r="F36">
        <v>2.5241485936669599</v>
      </c>
      <c r="G36">
        <v>-68.871609543234811</v>
      </c>
      <c r="H36">
        <v>-59.643872023907697</v>
      </c>
      <c r="I36">
        <v>9.0101425761139602</v>
      </c>
      <c r="J36">
        <v>5.1931659582921101</v>
      </c>
      <c r="K36">
        <v>1.72312184739559</v>
      </c>
      <c r="L36">
        <v>2.9005671175725635E-5</v>
      </c>
      <c r="M36">
        <v>1.8026050173975979E-6</v>
      </c>
      <c r="N36" s="1">
        <v>-3.7126566240840702E-8</v>
      </c>
      <c r="O36" s="1">
        <v>1.63305428198722E-11</v>
      </c>
      <c r="P36" s="1">
        <v>1.4248488860356501E-10</v>
      </c>
      <c r="Q36">
        <v>66.183804609016605</v>
      </c>
      <c r="S36">
        <v>19.072022835463201</v>
      </c>
      <c r="AA36">
        <v>0.291528106206416</v>
      </c>
      <c r="AB36">
        <v>5.1517701893544103</v>
      </c>
      <c r="AC36">
        <v>9.3008742599593202</v>
      </c>
      <c r="AJ36">
        <v>0.45063827769778703</v>
      </c>
      <c r="AK36">
        <v>1.40916814903243E-2</v>
      </c>
      <c r="AL36">
        <v>0.535270040811888</v>
      </c>
    </row>
    <row r="37" spans="1:38" x14ac:dyDescent="0.2">
      <c r="A37">
        <v>63</v>
      </c>
      <c r="B37">
        <v>750</v>
      </c>
      <c r="C37">
        <v>215</v>
      </c>
      <c r="D37">
        <v>0.36190245809509802</v>
      </c>
      <c r="E37">
        <v>7.9893463818266799</v>
      </c>
      <c r="F37">
        <v>2.5650463373420802</v>
      </c>
      <c r="G37">
        <v>-129.17003551993278</v>
      </c>
      <c r="H37">
        <v>-112.01636334807711</v>
      </c>
      <c r="I37">
        <v>16.765549696384301</v>
      </c>
      <c r="J37">
        <v>9.7728902427695594</v>
      </c>
      <c r="K37">
        <v>3.1146986569081898</v>
      </c>
      <c r="L37">
        <v>3.1729655420503421E-5</v>
      </c>
      <c r="M37">
        <v>1.8226950694191389E-6</v>
      </c>
      <c r="N37" s="1">
        <v>-1.38460523664035E-7</v>
      </c>
      <c r="O37" s="1">
        <v>2.7597421891607001E-11</v>
      </c>
      <c r="P37" s="1">
        <v>4.6871380691636905E-10</v>
      </c>
      <c r="Q37">
        <v>65.726540849707305</v>
      </c>
      <c r="S37">
        <v>20.922838410112501</v>
      </c>
      <c r="AA37">
        <v>1.9251661531665201</v>
      </c>
      <c r="AB37">
        <v>8.9849360706199093</v>
      </c>
      <c r="AC37">
        <v>2.4405185163936398</v>
      </c>
      <c r="AJ37">
        <v>0.77094366355115995</v>
      </c>
      <c r="AK37">
        <v>9.1282317991145598E-2</v>
      </c>
      <c r="AL37">
        <v>0.13777401845769399</v>
      </c>
    </row>
    <row r="38" spans="1:38" x14ac:dyDescent="0.2">
      <c r="A38">
        <v>63</v>
      </c>
      <c r="B38">
        <v>750</v>
      </c>
      <c r="C38">
        <v>215</v>
      </c>
      <c r="D38">
        <v>0.36190245809509802</v>
      </c>
      <c r="E38">
        <v>13.7020452674432</v>
      </c>
      <c r="F38">
        <v>2.5240784622024499</v>
      </c>
      <c r="G38">
        <v>-216.89343398526282</v>
      </c>
      <c r="H38">
        <v>-187.87495161056862</v>
      </c>
      <c r="I38">
        <v>28.361904290371999</v>
      </c>
      <c r="J38">
        <v>16.3585442909481</v>
      </c>
      <c r="K38">
        <v>5.4285338085279298</v>
      </c>
      <c r="L38">
        <v>2.8991332661451931E-5</v>
      </c>
      <c r="M38">
        <v>1.8022216187288237E-6</v>
      </c>
      <c r="N38" s="1">
        <v>-1.1970980474706099E-7</v>
      </c>
      <c r="O38" s="1">
        <v>5.1441270172637197E-11</v>
      </c>
      <c r="P38" s="1">
        <v>4.5668835186930798E-10</v>
      </c>
      <c r="Q38">
        <v>66.170663040730901</v>
      </c>
      <c r="S38">
        <v>19.065161844947799</v>
      </c>
      <c r="AA38">
        <v>0.28893412408303198</v>
      </c>
      <c r="AB38">
        <v>5.1044979304270299</v>
      </c>
      <c r="AC38">
        <v>9.3707430598110601</v>
      </c>
      <c r="AJ38">
        <v>0.44661018384071199</v>
      </c>
      <c r="AK38">
        <v>1.39696400708054E-2</v>
      </c>
      <c r="AL38">
        <v>0.53942017608848103</v>
      </c>
    </row>
    <row r="39" spans="1:38" x14ac:dyDescent="0.2">
      <c r="A39">
        <v>64</v>
      </c>
      <c r="B39">
        <v>749</v>
      </c>
      <c r="C39">
        <v>215</v>
      </c>
      <c r="D39">
        <v>0.36120970503350902</v>
      </c>
      <c r="E39">
        <v>12.6436028608058</v>
      </c>
      <c r="F39">
        <v>2.5656912008272399</v>
      </c>
      <c r="G39">
        <v>-204.4193771467707</v>
      </c>
      <c r="H39">
        <v>-177.3155972757533</v>
      </c>
      <c r="I39">
        <v>26.516440709306298</v>
      </c>
      <c r="J39">
        <v>15.4730656940909</v>
      </c>
      <c r="K39">
        <v>4.9279519128136497</v>
      </c>
      <c r="L39">
        <v>3.1767696577332744E-5</v>
      </c>
      <c r="M39">
        <v>1.8221559361012403E-6</v>
      </c>
      <c r="N39" s="1">
        <v>-2.2624203588751701E-7</v>
      </c>
      <c r="O39" s="1">
        <v>4.35715576361821E-11</v>
      </c>
      <c r="P39" s="1">
        <v>7.6221405193540498E-10</v>
      </c>
      <c r="Q39">
        <v>65.686182272226702</v>
      </c>
      <c r="S39">
        <v>20.959043736890699</v>
      </c>
      <c r="AA39">
        <v>1.9644530407893901</v>
      </c>
      <c r="AB39">
        <v>8.9899161158073397</v>
      </c>
      <c r="AC39">
        <v>2.4004048342858</v>
      </c>
      <c r="AJ39">
        <v>0.77135124111386999</v>
      </c>
      <c r="AK39">
        <v>9.3142734801637803E-2</v>
      </c>
      <c r="AL39">
        <v>0.135506024084491</v>
      </c>
    </row>
    <row r="40" spans="1:38" x14ac:dyDescent="0.2">
      <c r="A40">
        <v>64</v>
      </c>
      <c r="B40">
        <v>749</v>
      </c>
      <c r="C40">
        <v>215</v>
      </c>
      <c r="D40">
        <v>0.36120970503350902</v>
      </c>
      <c r="E40">
        <v>24.930849619906901</v>
      </c>
      <c r="F40">
        <v>2.52401942724899</v>
      </c>
      <c r="G40">
        <v>-394.50861613830261</v>
      </c>
      <c r="H40">
        <v>-341.80289054993756</v>
      </c>
      <c r="I40">
        <v>51.563592025010998</v>
      </c>
      <c r="J40">
        <v>29.762232661895599</v>
      </c>
      <c r="K40">
        <v>9.8774396705336809</v>
      </c>
      <c r="L40">
        <v>2.8980147811622659E-5</v>
      </c>
      <c r="M40">
        <v>1.8018832114659539E-6</v>
      </c>
      <c r="N40" s="1">
        <v>-2.2313097274545299E-7</v>
      </c>
      <c r="O40" s="1">
        <v>9.3583247293097099E-11</v>
      </c>
      <c r="P40" s="1">
        <v>8.4607116992798596E-10</v>
      </c>
      <c r="Q40">
        <v>66.158684764959503</v>
      </c>
      <c r="S40">
        <v>19.058676216469401</v>
      </c>
      <c r="AA40">
        <v>0.286378381078502</v>
      </c>
      <c r="AB40">
        <v>5.0608020668744302</v>
      </c>
      <c r="AC40">
        <v>9.4354585706180494</v>
      </c>
      <c r="AJ40">
        <v>0.44288512176448702</v>
      </c>
      <c r="AK40">
        <v>1.38491385135512E-2</v>
      </c>
      <c r="AL40">
        <v>0.54326573972196102</v>
      </c>
    </row>
    <row r="41" spans="1:38" x14ac:dyDescent="0.2">
      <c r="A41">
        <v>65</v>
      </c>
      <c r="B41">
        <v>748</v>
      </c>
      <c r="C41">
        <v>215</v>
      </c>
      <c r="D41">
        <v>0.36051559516231801</v>
      </c>
      <c r="E41">
        <v>16.763867540897198</v>
      </c>
      <c r="F41">
        <v>2.5661973495500501</v>
      </c>
      <c r="G41">
        <v>-271.02792561860588</v>
      </c>
      <c r="H41">
        <v>-235.14813570539229</v>
      </c>
      <c r="I41">
        <v>35.136649770566102</v>
      </c>
      <c r="J41">
        <v>20.524860666689602</v>
      </c>
      <c r="K41">
        <v>6.5325714500626901</v>
      </c>
      <c r="L41">
        <v>3.1810636107032596E-5</v>
      </c>
      <c r="M41">
        <v>1.8218367132346397E-6</v>
      </c>
      <c r="N41" s="1">
        <v>-3.0974613620802498E-7</v>
      </c>
      <c r="O41" s="1">
        <v>5.7645675291448901E-11</v>
      </c>
      <c r="P41" s="1">
        <v>1.0386456413986E-9</v>
      </c>
      <c r="Q41">
        <v>65.656806016059406</v>
      </c>
      <c r="S41">
        <v>20.9859862123296</v>
      </c>
      <c r="AA41">
        <v>1.9935354066729201</v>
      </c>
      <c r="AB41">
        <v>8.9950859061543902</v>
      </c>
      <c r="AC41">
        <v>2.3685864587835899</v>
      </c>
      <c r="AJ41">
        <v>0.77177451954112597</v>
      </c>
      <c r="AK41">
        <v>9.45191624200548E-2</v>
      </c>
      <c r="AL41">
        <v>0.133706318038818</v>
      </c>
    </row>
    <row r="42" spans="1:38" x14ac:dyDescent="0.2">
      <c r="A42">
        <v>65</v>
      </c>
      <c r="B42">
        <v>748</v>
      </c>
      <c r="C42">
        <v>215</v>
      </c>
      <c r="D42">
        <v>0.36051559516231801</v>
      </c>
      <c r="E42">
        <v>34.438456796204498</v>
      </c>
      <c r="F42">
        <v>2.52397940224858</v>
      </c>
      <c r="G42">
        <v>-544.80024689338507</v>
      </c>
      <c r="H42">
        <v>-472.12050690610988</v>
      </c>
      <c r="I42">
        <v>71.174401397713595</v>
      </c>
      <c r="J42">
        <v>41.111799146802198</v>
      </c>
      <c r="K42">
        <v>13.644507861484</v>
      </c>
      <c r="L42">
        <v>2.8976199435083152E-5</v>
      </c>
      <c r="M42">
        <v>1.8016505036587976E-6</v>
      </c>
      <c r="N42" s="1">
        <v>-3.1643384691422798E-7</v>
      </c>
      <c r="O42" s="1">
        <v>1.2923896704284001E-10</v>
      </c>
      <c r="P42" s="1">
        <v>1.1921188386081301E-9</v>
      </c>
      <c r="Q42">
        <v>66.149638775531699</v>
      </c>
      <c r="S42">
        <v>19.052938333056101</v>
      </c>
      <c r="AA42">
        <v>0.28375532647769602</v>
      </c>
      <c r="AB42">
        <v>5.0256009571174403</v>
      </c>
      <c r="AC42">
        <v>9.48806660781697</v>
      </c>
      <c r="AJ42">
        <v>0.43988304094966302</v>
      </c>
      <c r="AK42">
        <v>1.37247369624397E-2</v>
      </c>
      <c r="AL42">
        <v>0.54639222208789595</v>
      </c>
    </row>
    <row r="43" spans="1:38" x14ac:dyDescent="0.2">
      <c r="A43">
        <v>66</v>
      </c>
      <c r="B43">
        <v>747</v>
      </c>
      <c r="C43">
        <v>215</v>
      </c>
      <c r="D43">
        <v>0.35982012449149797</v>
      </c>
      <c r="E43">
        <v>18.4541863495492</v>
      </c>
      <c r="F43">
        <v>2.5664994704923298</v>
      </c>
      <c r="G43">
        <v>-298.33657391261016</v>
      </c>
      <c r="H43">
        <v>-258.90046031630072</v>
      </c>
      <c r="I43">
        <v>38.657171588795201</v>
      </c>
      <c r="J43">
        <v>22.605323160988299</v>
      </c>
      <c r="K43">
        <v>7.1904111267979696</v>
      </c>
      <c r="L43">
        <v>3.1861026409965651E-5</v>
      </c>
      <c r="M43">
        <v>1.8218631797111469E-6</v>
      </c>
      <c r="N43" s="1">
        <v>-3.52168188662312E-7</v>
      </c>
      <c r="O43" s="1">
        <v>6.3340846952141801E-11</v>
      </c>
      <c r="P43" s="1">
        <v>1.1754292217167399E-9</v>
      </c>
      <c r="Q43">
        <v>65.644374808683907</v>
      </c>
      <c r="S43">
        <v>20.998948651486099</v>
      </c>
      <c r="AA43">
        <v>2.0071302039973502</v>
      </c>
      <c r="AB43">
        <v>9.0013663465336702</v>
      </c>
      <c r="AC43">
        <v>2.34817998929885</v>
      </c>
      <c r="AJ43">
        <v>0.77228906304226197</v>
      </c>
      <c r="AK43">
        <v>9.5160734138046696E-2</v>
      </c>
      <c r="AL43">
        <v>0.13255020281968999</v>
      </c>
    </row>
    <row r="44" spans="1:38" x14ac:dyDescent="0.2">
      <c r="A44">
        <v>66</v>
      </c>
      <c r="B44">
        <v>747</v>
      </c>
      <c r="C44">
        <v>215</v>
      </c>
      <c r="D44">
        <v>0.35982012449149797</v>
      </c>
      <c r="E44">
        <v>38.208125795922797</v>
      </c>
      <c r="F44">
        <v>2.5239630112565701</v>
      </c>
      <c r="G44">
        <v>-604.29071825496339</v>
      </c>
      <c r="H44">
        <v>-523.78991960630538</v>
      </c>
      <c r="I44">
        <v>78.9107470946999</v>
      </c>
      <c r="J44">
        <v>45.615124853516797</v>
      </c>
      <c r="K44">
        <v>15.1381480732955</v>
      </c>
      <c r="L44">
        <v>2.8982586237172296E-5</v>
      </c>
      <c r="M44">
        <v>1.8015678144226326E-6</v>
      </c>
      <c r="N44" s="1">
        <v>-3.6153457845454702E-7</v>
      </c>
      <c r="O44" s="1">
        <v>1.4332748610199599E-10</v>
      </c>
      <c r="P44" s="1">
        <v>1.3524887786429499E-9</v>
      </c>
      <c r="Q44">
        <v>66.144832639518398</v>
      </c>
      <c r="S44">
        <v>19.0482018519888</v>
      </c>
      <c r="AA44">
        <v>0.28096912723416501</v>
      </c>
      <c r="AB44">
        <v>5.0024734398042003</v>
      </c>
      <c r="AC44">
        <v>9.5235229414542797</v>
      </c>
      <c r="AJ44">
        <v>0.437910067753641</v>
      </c>
      <c r="AK44">
        <v>1.3591567028307199E-2</v>
      </c>
      <c r="AL44">
        <v>0.54849836521805095</v>
      </c>
    </row>
    <row r="45" spans="1:38" x14ac:dyDescent="0.2">
      <c r="A45">
        <v>67</v>
      </c>
      <c r="B45">
        <v>746</v>
      </c>
      <c r="C45">
        <v>215</v>
      </c>
      <c r="D45">
        <v>0.35912328901535701</v>
      </c>
      <c r="E45">
        <v>19.121809325831101</v>
      </c>
      <c r="F45">
        <v>2.5666828115337998</v>
      </c>
      <c r="G45">
        <v>-309.10264624420375</v>
      </c>
      <c r="H45">
        <v>-268.30307798270582</v>
      </c>
      <c r="I45">
        <v>40.032937508215497</v>
      </c>
      <c r="J45">
        <v>23.434933816505001</v>
      </c>
      <c r="K45">
        <v>7.4500087193884097</v>
      </c>
      <c r="L45">
        <v>3.1916641977028643E-5</v>
      </c>
      <c r="M45">
        <v>1.8220975363161553E-6</v>
      </c>
      <c r="N45" s="1">
        <v>-3.7694701766413998E-7</v>
      </c>
      <c r="O45" s="1">
        <v>6.5521575807101496E-11</v>
      </c>
      <c r="P45" s="1">
        <v>1.25240317826534E-9</v>
      </c>
      <c r="Q45">
        <v>65.641958663964203</v>
      </c>
      <c r="S45">
        <v>21.003700610410199</v>
      </c>
      <c r="AA45">
        <v>2.0116143931054</v>
      </c>
      <c r="AB45">
        <v>9.0084399756905302</v>
      </c>
      <c r="AC45">
        <v>2.33428635682959</v>
      </c>
      <c r="AJ45">
        <v>0.772868731608643</v>
      </c>
      <c r="AK45">
        <v>9.5369975855296704E-2</v>
      </c>
      <c r="AL45">
        <v>0.131761292536059</v>
      </c>
    </row>
    <row r="46" spans="1:38" x14ac:dyDescent="0.2">
      <c r="A46">
        <v>67</v>
      </c>
      <c r="B46">
        <v>746</v>
      </c>
      <c r="C46">
        <v>215</v>
      </c>
      <c r="D46">
        <v>0.35912328901535701</v>
      </c>
      <c r="E46">
        <v>39.534140359711202</v>
      </c>
      <c r="F46">
        <v>2.52395989228545</v>
      </c>
      <c r="G46">
        <v>-625.13231559021426</v>
      </c>
      <c r="H46">
        <v>-541.97392290290873</v>
      </c>
      <c r="I46">
        <v>81.595832495025704</v>
      </c>
      <c r="J46">
        <v>47.203934912860703</v>
      </c>
      <c r="K46">
        <v>15.663537475594699</v>
      </c>
      <c r="L46">
        <v>2.8995286417506248E-5</v>
      </c>
      <c r="M46">
        <v>1.8015722161977598E-6</v>
      </c>
      <c r="N46" s="1">
        <v>-3.8591079581402901E-7</v>
      </c>
      <c r="O46" s="1">
        <v>1.48227268554981E-10</v>
      </c>
      <c r="P46" s="1">
        <v>1.4332286859796499E-9</v>
      </c>
      <c r="Q46">
        <v>66.142464012109599</v>
      </c>
      <c r="S46">
        <v>19.0440425029918</v>
      </c>
      <c r="AA46">
        <v>0.27809030854788303</v>
      </c>
      <c r="AB46">
        <v>4.9862908064762204</v>
      </c>
      <c r="AC46">
        <v>9.5491123698744609</v>
      </c>
      <c r="AJ46">
        <v>0.43652928572334199</v>
      </c>
      <c r="AK46">
        <v>1.34534114826149E-2</v>
      </c>
      <c r="AL46">
        <v>0.55001730279404204</v>
      </c>
    </row>
    <row r="47" spans="1:38" x14ac:dyDescent="0.2">
      <c r="A47">
        <v>69</v>
      </c>
      <c r="B47">
        <v>758</v>
      </c>
      <c r="C47">
        <v>195</v>
      </c>
      <c r="D47">
        <v>0.38873151335887302</v>
      </c>
      <c r="E47">
        <v>0.28243718750793401</v>
      </c>
      <c r="F47">
        <v>2.5671299109248902</v>
      </c>
      <c r="G47">
        <v>-4.5792592797083156</v>
      </c>
      <c r="H47">
        <v>-3.9652416414078506</v>
      </c>
      <c r="I47">
        <v>0.59546878562814598</v>
      </c>
      <c r="J47">
        <v>0.34480270446074601</v>
      </c>
      <c r="K47">
        <v>0.110020605621075</v>
      </c>
      <c r="L47">
        <v>3.1453771842179287E-5</v>
      </c>
      <c r="M47">
        <v>1.8207428347880906E-6</v>
      </c>
      <c r="N47" s="1">
        <v>-3.8357538408664203E-9</v>
      </c>
      <c r="O47" s="1">
        <v>9.7879424186726194E-13</v>
      </c>
      <c r="P47" s="1">
        <v>1.35299080912991E-11</v>
      </c>
      <c r="Q47">
        <v>65.576974210916006</v>
      </c>
      <c r="S47">
        <v>21.1177601022403</v>
      </c>
      <c r="AA47">
        <v>2.12087787546549</v>
      </c>
      <c r="AB47">
        <v>9.1626473929781493</v>
      </c>
      <c r="AC47">
        <v>2.0217404183998999</v>
      </c>
      <c r="AJ47">
        <v>0.785495359190439</v>
      </c>
      <c r="AK47">
        <v>0.10047293792090201</v>
      </c>
      <c r="AL47">
        <v>0.11403170288865699</v>
      </c>
    </row>
    <row r="48" spans="1:38" x14ac:dyDescent="0.2">
      <c r="A48">
        <v>70</v>
      </c>
      <c r="B48">
        <v>757</v>
      </c>
      <c r="C48">
        <v>195</v>
      </c>
      <c r="D48">
        <v>0.388070183953793</v>
      </c>
      <c r="E48">
        <v>1.6195457289097701</v>
      </c>
      <c r="F48">
        <v>2.5652277914400901</v>
      </c>
      <c r="G48">
        <v>-26.239950124273204</v>
      </c>
      <c r="H48">
        <v>-22.724178733892298</v>
      </c>
      <c r="I48">
        <v>3.4128732615453101</v>
      </c>
      <c r="J48">
        <v>1.9771400328689299</v>
      </c>
      <c r="K48">
        <v>0.63134577533973302</v>
      </c>
      <c r="L48">
        <v>3.1487410624197824E-5</v>
      </c>
      <c r="M48">
        <v>1.8228080068276373E-6</v>
      </c>
      <c r="N48" s="1">
        <v>-2.2534772748397201E-8</v>
      </c>
      <c r="O48" s="1">
        <v>5.6269962798435202E-12</v>
      </c>
      <c r="P48" s="1">
        <v>7.9116322306493E-11</v>
      </c>
      <c r="Q48">
        <v>65.693371968085003</v>
      </c>
      <c r="S48">
        <v>20.998914265847802</v>
      </c>
      <c r="AA48">
        <v>1.99566901818148</v>
      </c>
      <c r="AB48">
        <v>9.1104637427150106</v>
      </c>
      <c r="AC48">
        <v>2.20158100517058</v>
      </c>
      <c r="AJ48">
        <v>0.78122616857142702</v>
      </c>
      <c r="AK48">
        <v>9.4566127232962705E-2</v>
      </c>
      <c r="AL48">
        <v>0.124207704195609</v>
      </c>
    </row>
    <row r="49" spans="1:38" x14ac:dyDescent="0.2">
      <c r="A49">
        <v>71</v>
      </c>
      <c r="B49">
        <v>756</v>
      </c>
      <c r="C49">
        <v>195</v>
      </c>
      <c r="D49">
        <v>0.38740756935335302</v>
      </c>
      <c r="E49">
        <v>3.1158342008345201</v>
      </c>
      <c r="F49">
        <v>2.56294207085522</v>
      </c>
      <c r="G49">
        <v>-50.439210496248791</v>
      </c>
      <c r="H49">
        <v>-43.685438409948702</v>
      </c>
      <c r="I49">
        <v>6.5624759134237802</v>
      </c>
      <c r="J49">
        <v>3.80312218692566</v>
      </c>
      <c r="K49">
        <v>1.2157255664365401</v>
      </c>
      <c r="L49">
        <v>3.1500694903842815E-5</v>
      </c>
      <c r="M49">
        <v>1.8246968976041616E-6</v>
      </c>
      <c r="N49" s="1">
        <v>-4.4246215274721502E-8</v>
      </c>
      <c r="O49" s="1">
        <v>1.0860492872962801E-11</v>
      </c>
      <c r="P49" s="1">
        <v>1.5472111531339401E-10</v>
      </c>
      <c r="Q49">
        <v>65.814202471614493</v>
      </c>
      <c r="S49">
        <v>20.8647650632861</v>
      </c>
      <c r="AA49">
        <v>1.8568004063503101</v>
      </c>
      <c r="AB49">
        <v>9.0280384660559605</v>
      </c>
      <c r="AC49">
        <v>2.43619359269307</v>
      </c>
      <c r="AJ49">
        <v>0.77447735072011004</v>
      </c>
      <c r="AK49">
        <v>8.8022020533078199E-2</v>
      </c>
      <c r="AL49">
        <v>0.13750062874681099</v>
      </c>
    </row>
    <row r="50" spans="1:38" x14ac:dyDescent="0.2">
      <c r="A50">
        <v>72</v>
      </c>
      <c r="B50">
        <v>755</v>
      </c>
      <c r="C50">
        <v>195</v>
      </c>
      <c r="D50">
        <v>0.38674366580751801</v>
      </c>
      <c r="E50">
        <v>5.5188590773373596</v>
      </c>
      <c r="F50">
        <v>2.56139703474325</v>
      </c>
      <c r="G50">
        <v>-89.275349901103112</v>
      </c>
      <c r="H50">
        <v>-77.331940912736215</v>
      </c>
      <c r="I50">
        <v>11.6164071277215</v>
      </c>
      <c r="J50">
        <v>6.73498533532588</v>
      </c>
      <c r="K50">
        <v>2.1546285103318801</v>
      </c>
      <c r="L50">
        <v>3.1494347649171271E-5</v>
      </c>
      <c r="M50">
        <v>1.8253574257005966E-6</v>
      </c>
      <c r="N50" s="1">
        <v>-7.9953353530844705E-8</v>
      </c>
      <c r="O50" s="1">
        <v>1.9272063471602099E-11</v>
      </c>
      <c r="P50" s="1">
        <v>2.7851636888628702E-10</v>
      </c>
      <c r="Q50">
        <v>65.873892053607193</v>
      </c>
      <c r="S50">
        <v>20.7817284554712</v>
      </c>
      <c r="AA50">
        <v>1.77436660672707</v>
      </c>
      <c r="AB50">
        <v>8.94336223621697</v>
      </c>
      <c r="AC50">
        <v>2.62665064797749</v>
      </c>
      <c r="AJ50">
        <v>0.76753743960779897</v>
      </c>
      <c r="AK50">
        <v>8.4149762276357704E-2</v>
      </c>
      <c r="AL50">
        <v>0.148312798115842</v>
      </c>
    </row>
    <row r="51" spans="1:38" x14ac:dyDescent="0.2">
      <c r="A51">
        <v>72</v>
      </c>
      <c r="B51">
        <v>755</v>
      </c>
      <c r="C51">
        <v>195</v>
      </c>
      <c r="D51">
        <v>0.38674366580751801</v>
      </c>
      <c r="E51">
        <v>3.9145646851907698</v>
      </c>
      <c r="F51">
        <v>2.5236167875731002</v>
      </c>
      <c r="G51">
        <v>-62.100865688973741</v>
      </c>
      <c r="H51">
        <v>-53.735788579415868</v>
      </c>
      <c r="I51">
        <v>8.1360473759255605</v>
      </c>
      <c r="J51">
        <v>4.6751054738461502</v>
      </c>
      <c r="K51">
        <v>1.5511723905416299</v>
      </c>
      <c r="L51">
        <v>2.9033110250669811E-5</v>
      </c>
      <c r="M51">
        <v>1.8052227028512853E-6</v>
      </c>
      <c r="N51" s="1">
        <v>-2.9781852396337698E-8</v>
      </c>
      <c r="O51" s="1">
        <v>1.4707096012205299E-11</v>
      </c>
      <c r="P51" s="1">
        <v>1.1783006100446701E-10</v>
      </c>
      <c r="Q51">
        <v>66.228132753164601</v>
      </c>
      <c r="S51">
        <v>19.1039421045535</v>
      </c>
      <c r="AA51">
        <v>0.30751846360070401</v>
      </c>
      <c r="AB51">
        <v>5.3342335955163804</v>
      </c>
      <c r="AC51">
        <v>9.0261730831647604</v>
      </c>
      <c r="AJ51">
        <v>0.46616794470483602</v>
      </c>
      <c r="AK51">
        <v>1.4850885950882801E-2</v>
      </c>
      <c r="AL51">
        <v>0.51898116934427996</v>
      </c>
    </row>
    <row r="52" spans="1:38" x14ac:dyDescent="0.2">
      <c r="A52">
        <v>73</v>
      </c>
      <c r="B52">
        <v>754</v>
      </c>
      <c r="C52">
        <v>195</v>
      </c>
      <c r="D52">
        <v>0.38607846955167302</v>
      </c>
      <c r="E52">
        <v>8.5297763094993506</v>
      </c>
      <c r="F52">
        <v>2.5624836919787102</v>
      </c>
      <c r="G52">
        <v>-137.99511127132354</v>
      </c>
      <c r="H52">
        <v>-119.56505722219678</v>
      </c>
      <c r="I52">
        <v>17.942904200094201</v>
      </c>
      <c r="J52">
        <v>10.4134758984175</v>
      </c>
      <c r="K52">
        <v>3.3287143782416702</v>
      </c>
      <c r="L52">
        <v>3.1518218723065517E-5</v>
      </c>
      <c r="M52">
        <v>1.824223174264237E-6</v>
      </c>
      <c r="N52" s="1">
        <v>-1.2760680442660501E-7</v>
      </c>
      <c r="O52" s="1">
        <v>2.9700599638296403E-11</v>
      </c>
      <c r="P52" s="1">
        <v>4.4211888382351602E-10</v>
      </c>
      <c r="Q52">
        <v>65.802364218051594</v>
      </c>
      <c r="S52">
        <v>20.8457648081176</v>
      </c>
      <c r="AA52">
        <v>1.8438872959188499</v>
      </c>
      <c r="AB52">
        <v>8.9518459136070891</v>
      </c>
      <c r="AC52">
        <v>2.5561377643047298</v>
      </c>
      <c r="AJ52">
        <v>0.76823200076236098</v>
      </c>
      <c r="AK52">
        <v>8.7442981689023896E-2</v>
      </c>
      <c r="AL52">
        <v>0.14432501754861399</v>
      </c>
    </row>
    <row r="53" spans="1:38" x14ac:dyDescent="0.2">
      <c r="A53">
        <v>73</v>
      </c>
      <c r="B53">
        <v>754</v>
      </c>
      <c r="C53">
        <v>195</v>
      </c>
      <c r="D53">
        <v>0.38607846955167302</v>
      </c>
      <c r="E53">
        <v>13.2471450295944</v>
      </c>
      <c r="F53">
        <v>2.5234701096026102</v>
      </c>
      <c r="G53">
        <v>-210.05843603545227</v>
      </c>
      <c r="H53">
        <v>-181.80415467487711</v>
      </c>
      <c r="I53">
        <v>27.507453984885501</v>
      </c>
      <c r="J53">
        <v>15.8166411770338</v>
      </c>
      <c r="K53">
        <v>5.2495747737152998</v>
      </c>
      <c r="L53">
        <v>2.8997520396128456E-5</v>
      </c>
      <c r="M53">
        <v>1.8045238651336253E-6</v>
      </c>
      <c r="N53" s="1">
        <v>-1.0249298648971101E-7</v>
      </c>
      <c r="O53" s="1">
        <v>4.9780736063730001E-11</v>
      </c>
      <c r="P53" s="1">
        <v>4.0355941041478399E-10</v>
      </c>
      <c r="Q53">
        <v>66.206661143241405</v>
      </c>
      <c r="S53">
        <v>19.094388765632001</v>
      </c>
      <c r="AA53">
        <v>0.30464696781193801</v>
      </c>
      <c r="AB53">
        <v>5.26133994406272</v>
      </c>
      <c r="AC53">
        <v>9.1329631792519006</v>
      </c>
      <c r="AJ53">
        <v>0.45996728967782502</v>
      </c>
      <c r="AK53">
        <v>1.47176420164459E-2</v>
      </c>
      <c r="AL53">
        <v>0.52531506830572805</v>
      </c>
    </row>
    <row r="54" spans="1:38" x14ac:dyDescent="0.2">
      <c r="A54">
        <v>74</v>
      </c>
      <c r="B54">
        <v>753</v>
      </c>
      <c r="C54">
        <v>195</v>
      </c>
      <c r="D54">
        <v>0.38541197680651201</v>
      </c>
      <c r="E54">
        <v>12.391401364163</v>
      </c>
      <c r="F54">
        <v>2.5635806131601799</v>
      </c>
      <c r="G54">
        <v>-200.48795531929088</v>
      </c>
      <c r="H54">
        <v>-173.75702199763822</v>
      </c>
      <c r="I54">
        <v>26.049732808704899</v>
      </c>
      <c r="J54">
        <v>15.133809542779799</v>
      </c>
      <c r="K54">
        <v>4.8336304700353798</v>
      </c>
      <c r="L54">
        <v>3.1540497235904015E-5</v>
      </c>
      <c r="M54">
        <v>1.8230048653996008E-6</v>
      </c>
      <c r="N54" s="1">
        <v>-1.913731376048E-7</v>
      </c>
      <c r="O54" s="1">
        <v>4.3019630496294703E-11</v>
      </c>
      <c r="P54" s="1">
        <v>6.5958150165330303E-10</v>
      </c>
      <c r="Q54">
        <v>65.727656004847802</v>
      </c>
      <c r="S54">
        <v>20.911540038899201</v>
      </c>
      <c r="AA54">
        <v>1.91558467502259</v>
      </c>
      <c r="AB54">
        <v>8.9578009850340798</v>
      </c>
      <c r="AC54">
        <v>2.4874182961962301</v>
      </c>
      <c r="AJ54">
        <v>0.76871913025013106</v>
      </c>
      <c r="AK54">
        <v>9.0840271546032497E-2</v>
      </c>
      <c r="AL54">
        <v>0.140440598203835</v>
      </c>
    </row>
    <row r="55" spans="1:38" x14ac:dyDescent="0.2">
      <c r="A55">
        <v>74</v>
      </c>
      <c r="B55">
        <v>753</v>
      </c>
      <c r="C55">
        <v>195</v>
      </c>
      <c r="D55">
        <v>0.38541197680651201</v>
      </c>
      <c r="E55">
        <v>24.073262611507001</v>
      </c>
      <c r="F55">
        <v>2.5233346791076898</v>
      </c>
      <c r="G55">
        <v>-381.55551718240224</v>
      </c>
      <c r="H55">
        <v>-330.30817663931498</v>
      </c>
      <c r="I55">
        <v>49.941373622849703</v>
      </c>
      <c r="J55">
        <v>28.735093753360399</v>
      </c>
      <c r="K55">
        <v>9.5402575056036003</v>
      </c>
      <c r="L55">
        <v>2.8962382747155684E-5</v>
      </c>
      <c r="M55">
        <v>1.8038332983159648E-6</v>
      </c>
      <c r="N55" s="1">
        <v>-1.8942173840192999E-7</v>
      </c>
      <c r="O55" s="1">
        <v>9.0482383532502695E-11</v>
      </c>
      <c r="P55" s="1">
        <v>7.4228070045068497E-10</v>
      </c>
      <c r="Q55">
        <v>66.185181256354497</v>
      </c>
      <c r="S55">
        <v>19.085066938148699</v>
      </c>
      <c r="AA55">
        <v>0.30196840264658098</v>
      </c>
      <c r="AB55">
        <v>5.1890347851731597</v>
      </c>
      <c r="AC55">
        <v>9.2387486176769809</v>
      </c>
      <c r="AJ55">
        <v>0.45381217072943802</v>
      </c>
      <c r="AK55">
        <v>1.4593580192798701E-2</v>
      </c>
      <c r="AL55">
        <v>0.53159424907776198</v>
      </c>
    </row>
    <row r="56" spans="1:38" x14ac:dyDescent="0.2">
      <c r="A56">
        <v>75</v>
      </c>
      <c r="B56">
        <v>752</v>
      </c>
      <c r="C56">
        <v>195</v>
      </c>
      <c r="D56">
        <v>0.38474418377798603</v>
      </c>
      <c r="E56">
        <v>16.077969899298701</v>
      </c>
      <c r="F56">
        <v>2.5645147276533198</v>
      </c>
      <c r="G56">
        <v>-260.15049624414132</v>
      </c>
      <c r="H56">
        <v>-225.52220112698893</v>
      </c>
      <c r="I56">
        <v>33.778759320248099</v>
      </c>
      <c r="J56">
        <v>19.643992826941499</v>
      </c>
      <c r="K56">
        <v>6.2694004935627801</v>
      </c>
      <c r="L56">
        <v>3.1566159184624218E-5</v>
      </c>
      <c r="M56">
        <v>1.821991727383869E-6</v>
      </c>
      <c r="N56" s="1">
        <v>-2.5630500676095099E-7</v>
      </c>
      <c r="O56" s="1">
        <v>5.5667155061575602E-11</v>
      </c>
      <c r="P56" s="1">
        <v>8.7885911664047399E-10</v>
      </c>
      <c r="Q56">
        <v>65.664128253748004</v>
      </c>
      <c r="S56">
        <v>20.9672130633199</v>
      </c>
      <c r="AA56">
        <v>1.9763388224549601</v>
      </c>
      <c r="AB56">
        <v>8.9621868694359303</v>
      </c>
      <c r="AC56">
        <v>2.43013299104111</v>
      </c>
      <c r="AJ56">
        <v>0.76907774842728505</v>
      </c>
      <c r="AK56">
        <v>9.3719172058759403E-2</v>
      </c>
      <c r="AL56">
        <v>0.137203079513955</v>
      </c>
    </row>
    <row r="57" spans="1:38" x14ac:dyDescent="0.2">
      <c r="A57">
        <v>75</v>
      </c>
      <c r="B57">
        <v>752</v>
      </c>
      <c r="C57">
        <v>195</v>
      </c>
      <c r="D57">
        <v>0.38474418377798603</v>
      </c>
      <c r="E57">
        <v>33.761284320395397</v>
      </c>
      <c r="F57">
        <v>2.5232306321973401</v>
      </c>
      <c r="G57">
        <v>-534.8931115685599</v>
      </c>
      <c r="H57">
        <v>-463.15476988322831</v>
      </c>
      <c r="I57">
        <v>69.978385295158404</v>
      </c>
      <c r="J57">
        <v>40.291317503594598</v>
      </c>
      <c r="K57">
        <v>13.3801816962703</v>
      </c>
      <c r="L57">
        <v>2.8935839442741569E-5</v>
      </c>
      <c r="M57">
        <v>1.803276979489649E-6</v>
      </c>
      <c r="N57" s="1">
        <v>-2.7090221563562402E-7</v>
      </c>
      <c r="O57" s="1">
        <v>1.2690702331305901E-10</v>
      </c>
      <c r="P57" s="1">
        <v>1.05586310086494E-9</v>
      </c>
      <c r="Q57">
        <v>66.1673127110096</v>
      </c>
      <c r="S57">
        <v>19.076823871064999</v>
      </c>
      <c r="AA57">
        <v>0.29933716867780602</v>
      </c>
      <c r="AB57">
        <v>5.1276054179135997</v>
      </c>
      <c r="AC57">
        <v>9.3289208313338392</v>
      </c>
      <c r="AJ57">
        <v>0.44857933627520302</v>
      </c>
      <c r="AK57">
        <v>1.4470918683641599E-2</v>
      </c>
      <c r="AL57">
        <v>0.536949745041154</v>
      </c>
    </row>
    <row r="58" spans="1:38" x14ac:dyDescent="0.2">
      <c r="A58">
        <v>76</v>
      </c>
      <c r="B58">
        <v>751</v>
      </c>
      <c r="C58">
        <v>195</v>
      </c>
      <c r="D58">
        <v>0.38407508665723</v>
      </c>
      <c r="E58">
        <v>17.835572705890101</v>
      </c>
      <c r="F58">
        <v>2.5650305175869899</v>
      </c>
      <c r="G58">
        <v>-288.58267577553789</v>
      </c>
      <c r="H58">
        <v>-250.2290436418684</v>
      </c>
      <c r="I58">
        <v>37.449233153023798</v>
      </c>
      <c r="J58">
        <v>21.8003500168087</v>
      </c>
      <c r="K58">
        <v>6.9533569225010998</v>
      </c>
      <c r="L58">
        <v>3.1603890049417058E-5</v>
      </c>
      <c r="M58">
        <v>1.8216474219083804E-6</v>
      </c>
      <c r="N58" s="1">
        <v>-2.9354894028130202E-7</v>
      </c>
      <c r="O58" s="1">
        <v>6.1628048147109298E-11</v>
      </c>
      <c r="P58" s="1">
        <v>1.00146620618916E-9</v>
      </c>
      <c r="Q58">
        <v>65.634180812745498</v>
      </c>
      <c r="S58">
        <v>20.994749413952199</v>
      </c>
      <c r="AA58">
        <v>2.0060444196264702</v>
      </c>
      <c r="AB58">
        <v>8.9676407260319202</v>
      </c>
      <c r="AC58">
        <v>2.39738462764379</v>
      </c>
      <c r="AJ58">
        <v>0.76952442481432304</v>
      </c>
      <c r="AK58">
        <v>9.5125191479130095E-2</v>
      </c>
      <c r="AL58">
        <v>0.13535038370654501</v>
      </c>
    </row>
    <row r="59" spans="1:38" x14ac:dyDescent="0.2">
      <c r="A59">
        <v>76</v>
      </c>
      <c r="B59">
        <v>751</v>
      </c>
      <c r="C59">
        <v>195</v>
      </c>
      <c r="D59">
        <v>0.38407508665723</v>
      </c>
      <c r="E59">
        <v>38.1728268486807</v>
      </c>
      <c r="F59">
        <v>2.5231825778726802</v>
      </c>
      <c r="G59">
        <v>-604.60939498593234</v>
      </c>
      <c r="H59">
        <v>-523.63696593103612</v>
      </c>
      <c r="I59">
        <v>79.063056246542104</v>
      </c>
      <c r="J59">
        <v>45.554456230187299</v>
      </c>
      <c r="K59">
        <v>15.128840529988301</v>
      </c>
      <c r="L59">
        <v>2.8929653617648605E-5</v>
      </c>
      <c r="M59">
        <v>1.8030329154606955E-6</v>
      </c>
      <c r="N59" s="1">
        <v>-3.1440533023929699E-7</v>
      </c>
      <c r="O59" s="1">
        <v>1.4346225796192401E-10</v>
      </c>
      <c r="P59" s="1">
        <v>1.21697889000127E-9</v>
      </c>
      <c r="Q59">
        <v>66.158241680362096</v>
      </c>
      <c r="S59">
        <v>19.070815706579602</v>
      </c>
      <c r="AA59">
        <v>0.29649697245135997</v>
      </c>
      <c r="AB59">
        <v>5.0916399281715696</v>
      </c>
      <c r="AC59">
        <v>9.3828057124352906</v>
      </c>
      <c r="AJ59">
        <v>0.44551413237693599</v>
      </c>
      <c r="AK59">
        <v>1.4336226537412801E-2</v>
      </c>
      <c r="AL59">
        <v>0.540149641085651</v>
      </c>
    </row>
    <row r="60" spans="1:38" x14ac:dyDescent="0.2">
      <c r="A60">
        <v>77</v>
      </c>
      <c r="B60">
        <v>750</v>
      </c>
      <c r="C60">
        <v>195</v>
      </c>
      <c r="D60">
        <v>0.38340468162048602</v>
      </c>
      <c r="E60">
        <v>18.5457133600204</v>
      </c>
      <c r="F60">
        <v>2.56530324262889</v>
      </c>
      <c r="G60">
        <v>-300.05186063745498</v>
      </c>
      <c r="H60">
        <v>-260.23281817566362</v>
      </c>
      <c r="I60">
        <v>38.9180887081965</v>
      </c>
      <c r="J60">
        <v>22.678079615282702</v>
      </c>
      <c r="K60">
        <v>7.2294429180290498</v>
      </c>
      <c r="L60">
        <v>3.1649871174358287E-5</v>
      </c>
      <c r="M60">
        <v>1.8217106168613968E-6</v>
      </c>
      <c r="N60" s="1">
        <v>-3.1521367711477003E-7</v>
      </c>
      <c r="O60" s="1">
        <v>6.3977454996126901E-11</v>
      </c>
      <c r="P60" s="1">
        <v>1.06999325308923E-9</v>
      </c>
      <c r="Q60">
        <v>65.624306606209203</v>
      </c>
      <c r="S60">
        <v>21.005678713096099</v>
      </c>
      <c r="AA60">
        <v>2.0173652144334602</v>
      </c>
      <c r="AB60">
        <v>8.97428916481112</v>
      </c>
      <c r="AC60">
        <v>2.3783603014499999</v>
      </c>
      <c r="AJ60">
        <v>0.77006931651305699</v>
      </c>
      <c r="AK60">
        <v>9.5658833037147298E-2</v>
      </c>
      <c r="AL60">
        <v>0.13427185044979401</v>
      </c>
    </row>
    <row r="61" spans="1:38" x14ac:dyDescent="0.2">
      <c r="A61">
        <v>77</v>
      </c>
      <c r="B61">
        <v>750</v>
      </c>
      <c r="C61">
        <v>195</v>
      </c>
      <c r="D61">
        <v>0.38340468162048602</v>
      </c>
      <c r="E61">
        <v>39.781672723530299</v>
      </c>
      <c r="F61">
        <v>2.5231647246994</v>
      </c>
      <c r="G61">
        <v>-629.94561789786508</v>
      </c>
      <c r="H61">
        <v>-545.69999339842866</v>
      </c>
      <c r="I61">
        <v>82.339465864669407</v>
      </c>
      <c r="J61">
        <v>47.477170930822602</v>
      </c>
      <c r="K61">
        <v>15.7665777165102</v>
      </c>
      <c r="L61">
        <v>2.8935439010239853E-5</v>
      </c>
      <c r="M61">
        <v>1.8029671559607822E-6</v>
      </c>
      <c r="N61" s="1">
        <v>-3.3758658663837803E-7</v>
      </c>
      <c r="O61" s="1">
        <v>1.4945472956930299E-10</v>
      </c>
      <c r="P61" s="1">
        <v>1.2967129982844201E-9</v>
      </c>
      <c r="Q61">
        <v>66.154201320041594</v>
      </c>
      <c r="S61">
        <v>19.066064427803799</v>
      </c>
      <c r="AA61">
        <v>0.29351988165762299</v>
      </c>
      <c r="AB61">
        <v>5.0701801068136696</v>
      </c>
      <c r="AC61">
        <v>9.4160342636832297</v>
      </c>
      <c r="AJ61">
        <v>0.44368467246406401</v>
      </c>
      <c r="AK61">
        <v>1.4193821943697499E-2</v>
      </c>
      <c r="AL61">
        <v>0.54212150559223704</v>
      </c>
    </row>
    <row r="62" spans="1:38" x14ac:dyDescent="0.2">
      <c r="A62">
        <v>79</v>
      </c>
      <c r="B62">
        <v>766</v>
      </c>
      <c r="C62">
        <v>175</v>
      </c>
      <c r="D62">
        <v>0.41514747630275201</v>
      </c>
      <c r="E62">
        <v>6.8627879627855701E-2</v>
      </c>
      <c r="F62">
        <v>2.56613681553495</v>
      </c>
      <c r="G62">
        <v>-1.1145811129251089</v>
      </c>
      <c r="H62">
        <v>-0.96354057031833695</v>
      </c>
      <c r="I62">
        <v>0.14535008671199701</v>
      </c>
      <c r="J62">
        <v>8.3601090719147994E-2</v>
      </c>
      <c r="K62">
        <v>2.6743655760049199E-2</v>
      </c>
      <c r="L62">
        <v>3.116995202906558E-5</v>
      </c>
      <c r="M62">
        <v>1.8200247433037321E-6</v>
      </c>
      <c r="N62" s="1">
        <v>-7.1800557622000602E-10</v>
      </c>
      <c r="O62" s="1">
        <v>2.3943856958551999E-13</v>
      </c>
      <c r="P62" s="1">
        <v>2.6677807847602601E-12</v>
      </c>
      <c r="Q62">
        <v>65.544676775100896</v>
      </c>
      <c r="S62">
        <v>21.152186221942401</v>
      </c>
      <c r="AA62">
        <v>2.15681594182819</v>
      </c>
      <c r="AB62">
        <v>9.1809268374833497</v>
      </c>
      <c r="AC62">
        <v>1.9653942236450499</v>
      </c>
      <c r="AJ62">
        <v>0.78699042205910996</v>
      </c>
      <c r="AK62">
        <v>0.10216609535718001</v>
      </c>
      <c r="AL62">
        <v>0.110843482583709</v>
      </c>
    </row>
    <row r="63" spans="1:38" x14ac:dyDescent="0.2">
      <c r="A63">
        <v>80</v>
      </c>
      <c r="B63">
        <v>765</v>
      </c>
      <c r="C63">
        <v>175</v>
      </c>
      <c r="D63">
        <v>0.41451668833983701</v>
      </c>
      <c r="E63">
        <v>0.50986374189198502</v>
      </c>
      <c r="F63">
        <v>2.5656055943371001</v>
      </c>
      <c r="G63">
        <v>-8.2784421126088201</v>
      </c>
      <c r="H63">
        <v>-7.1579453888261986</v>
      </c>
      <c r="I63">
        <v>1.0793206413163901</v>
      </c>
      <c r="J63">
        <v>0.621227110533074</v>
      </c>
      <c r="K63">
        <v>0.19873036721519999</v>
      </c>
      <c r="L63">
        <v>3.1209693440375229E-5</v>
      </c>
      <c r="M63">
        <v>1.821072537643401E-6</v>
      </c>
      <c r="N63" s="1">
        <v>-5.49802485157346E-9</v>
      </c>
      <c r="O63" s="1">
        <v>1.77941360818713E-12</v>
      </c>
      <c r="P63" s="1">
        <v>2.0293013583617601E-11</v>
      </c>
      <c r="Q63">
        <v>65.590888887732106</v>
      </c>
      <c r="S63">
        <v>21.111558285107801</v>
      </c>
      <c r="AA63">
        <v>2.1125145132203902</v>
      </c>
      <c r="AB63">
        <v>9.1773966342833493</v>
      </c>
      <c r="AC63">
        <v>2.0076416796562899</v>
      </c>
      <c r="AJ63">
        <v>0.78670234061911004</v>
      </c>
      <c r="AK63">
        <v>0.100069431421207</v>
      </c>
      <c r="AL63">
        <v>0.113228227959682</v>
      </c>
    </row>
    <row r="64" spans="1:38" x14ac:dyDescent="0.2">
      <c r="A64">
        <v>81</v>
      </c>
      <c r="B64">
        <v>764</v>
      </c>
      <c r="C64">
        <v>175</v>
      </c>
      <c r="D64">
        <v>0.41388468398978101</v>
      </c>
      <c r="E64">
        <v>0.95299566867432794</v>
      </c>
      <c r="F64">
        <v>2.5650784962522399</v>
      </c>
      <c r="G64">
        <v>-15.469196282770604</v>
      </c>
      <c r="H64">
        <v>-13.377935064903616</v>
      </c>
      <c r="I64">
        <v>2.01635367870316</v>
      </c>
      <c r="J64">
        <v>1.16137694052757</v>
      </c>
      <c r="K64">
        <v>0.37152690261398202</v>
      </c>
      <c r="L64">
        <v>3.1248956815318832E-5</v>
      </c>
      <c r="M64">
        <v>1.8220827282723202E-6</v>
      </c>
      <c r="N64" s="1">
        <v>-1.05901478706142E-8</v>
      </c>
      <c r="O64" s="1">
        <v>3.32681044910171E-12</v>
      </c>
      <c r="P64" s="1">
        <v>3.8835982905160802E-11</v>
      </c>
      <c r="Q64">
        <v>65.635657695302498</v>
      </c>
      <c r="S64">
        <v>21.0716974081502</v>
      </c>
      <c r="AA64">
        <v>2.06918269236987</v>
      </c>
      <c r="AB64">
        <v>9.1726610503347406</v>
      </c>
      <c r="AC64">
        <v>2.0508011538425399</v>
      </c>
      <c r="AJ64">
        <v>0.78631560631272401</v>
      </c>
      <c r="AK64">
        <v>9.8019205301787607E-2</v>
      </c>
      <c r="AL64">
        <v>0.11566518838548701</v>
      </c>
    </row>
    <row r="65" spans="1:38" x14ac:dyDescent="0.2">
      <c r="A65">
        <v>82</v>
      </c>
      <c r="B65">
        <v>763</v>
      </c>
      <c r="C65">
        <v>175</v>
      </c>
      <c r="D65">
        <v>0.41325145973073701</v>
      </c>
      <c r="E65">
        <v>1.39785586102833</v>
      </c>
      <c r="F65">
        <v>2.5645553089089699</v>
      </c>
      <c r="G65">
        <v>-22.684043429849009</v>
      </c>
      <c r="H65">
        <v>-19.621106692800815</v>
      </c>
      <c r="I65">
        <v>2.9560746388536301</v>
      </c>
      <c r="J65">
        <v>1.70385173305811</v>
      </c>
      <c r="K65">
        <v>0.54506754296635296</v>
      </c>
      <c r="L65">
        <v>3.1287755779631418E-5</v>
      </c>
      <c r="M65">
        <v>1.8230556791127399E-6</v>
      </c>
      <c r="N65" s="1">
        <v>-1.6005460513337701E-8</v>
      </c>
      <c r="O65" s="1">
        <v>4.8808894381571097E-12</v>
      </c>
      <c r="P65" s="1">
        <v>5.8326385404299201E-11</v>
      </c>
      <c r="Q65">
        <v>65.678999109936498</v>
      </c>
      <c r="S65">
        <v>21.032588071830801</v>
      </c>
      <c r="AA65">
        <v>2.02680396286903</v>
      </c>
      <c r="AB65">
        <v>9.1667148592506997</v>
      </c>
      <c r="AC65">
        <v>2.0948939961128898</v>
      </c>
      <c r="AJ65">
        <v>0.78582977761404404</v>
      </c>
      <c r="AK65">
        <v>9.6014603840546803E-2</v>
      </c>
      <c r="AL65">
        <v>0.118155618545409</v>
      </c>
    </row>
    <row r="66" spans="1:38" x14ac:dyDescent="0.2">
      <c r="A66">
        <v>83</v>
      </c>
      <c r="B66">
        <v>762</v>
      </c>
      <c r="C66">
        <v>175</v>
      </c>
      <c r="D66">
        <v>0.41261701202724399</v>
      </c>
      <c r="E66">
        <v>2.4087606376604498</v>
      </c>
      <c r="F66">
        <v>2.5632086757772998</v>
      </c>
      <c r="G66">
        <v>-39.067626328595658</v>
      </c>
      <c r="H66">
        <v>-33.797402098551672</v>
      </c>
      <c r="I66">
        <v>5.0912662223291196</v>
      </c>
      <c r="J66">
        <v>2.9361122416563599</v>
      </c>
      <c r="K66">
        <v>0.93974425899209602</v>
      </c>
      <c r="L66">
        <v>3.131638407821921E-5</v>
      </c>
      <c r="M66">
        <v>1.8245399730692624E-6</v>
      </c>
      <c r="N66" s="1">
        <v>-2.8297785759805502E-8</v>
      </c>
      <c r="O66" s="1">
        <v>8.4246904054878603E-12</v>
      </c>
      <c r="P66" s="1">
        <v>1.02559734752547E-10</v>
      </c>
      <c r="Q66">
        <v>65.761417336222294</v>
      </c>
      <c r="S66">
        <v>20.947854452736799</v>
      </c>
      <c r="AA66">
        <v>1.9376666931392099</v>
      </c>
      <c r="AB66">
        <v>9.1282392588631698</v>
      </c>
      <c r="AC66">
        <v>2.2248222590383402</v>
      </c>
      <c r="AJ66">
        <v>0.78268233942534504</v>
      </c>
      <c r="AK66">
        <v>9.1809661075096693E-2</v>
      </c>
      <c r="AL66">
        <v>0.12550799949955799</v>
      </c>
    </row>
    <row r="67" spans="1:38" x14ac:dyDescent="0.2">
      <c r="A67">
        <v>84</v>
      </c>
      <c r="B67">
        <v>761</v>
      </c>
      <c r="C67">
        <v>175</v>
      </c>
      <c r="D67">
        <v>0.411981337330175</v>
      </c>
      <c r="E67">
        <v>3.8904339269371002</v>
      </c>
      <c r="F67">
        <v>2.5610736930940501</v>
      </c>
      <c r="G67">
        <v>-63.046591544374664</v>
      </c>
      <c r="H67">
        <v>-54.547433790953832</v>
      </c>
      <c r="I67">
        <v>8.2184961112225796</v>
      </c>
      <c r="J67">
        <v>4.7411476256573399</v>
      </c>
      <c r="K67">
        <v>1.51906364015517</v>
      </c>
      <c r="L67">
        <v>3.1323405057972134E-5</v>
      </c>
      <c r="M67">
        <v>1.8261964682567648E-6</v>
      </c>
      <c r="N67" s="1">
        <v>-4.6629595779225301E-8</v>
      </c>
      <c r="O67" s="1">
        <v>1.3647980624895099E-11</v>
      </c>
      <c r="P67" s="1">
        <v>1.6825618764347E-10</v>
      </c>
      <c r="Q67">
        <v>65.870663545514702</v>
      </c>
      <c r="S67">
        <v>20.823988821229602</v>
      </c>
      <c r="AA67">
        <v>1.80998516941611</v>
      </c>
      <c r="AB67">
        <v>9.0469587220965906</v>
      </c>
      <c r="AC67">
        <v>2.4484037417428799</v>
      </c>
      <c r="AJ67">
        <v>0.77602830569429004</v>
      </c>
      <c r="AK67">
        <v>8.5794759346238703E-2</v>
      </c>
      <c r="AL67">
        <v>0.13817693495947</v>
      </c>
    </row>
    <row r="68" spans="1:38" x14ac:dyDescent="0.2">
      <c r="A68">
        <v>85</v>
      </c>
      <c r="B68">
        <v>760</v>
      </c>
      <c r="C68">
        <v>175</v>
      </c>
      <c r="D68">
        <v>0.41134443207665999</v>
      </c>
      <c r="E68">
        <v>5.6077260700017098</v>
      </c>
      <c r="F68">
        <v>2.5583532331739298</v>
      </c>
      <c r="G68">
        <v>-90.777439675926047</v>
      </c>
      <c r="H68">
        <v>-78.546346347467662</v>
      </c>
      <c r="I68">
        <v>11.8386423350514</v>
      </c>
      <c r="J68">
        <v>6.8306582694970697</v>
      </c>
      <c r="K68">
        <v>2.1919279938699701</v>
      </c>
      <c r="L68">
        <v>3.1298400610974519E-5</v>
      </c>
      <c r="M68">
        <v>1.8275569747769959E-6</v>
      </c>
      <c r="N68" s="1">
        <v>-6.8133093672282796E-8</v>
      </c>
      <c r="O68" s="1">
        <v>1.9750976884650302E-11</v>
      </c>
      <c r="P68" s="1">
        <v>2.45054301267228E-10</v>
      </c>
      <c r="Q68">
        <v>65.985670694597204</v>
      </c>
      <c r="S68">
        <v>20.677009545535501</v>
      </c>
      <c r="AA68">
        <v>1.6618904160311001</v>
      </c>
      <c r="AB68">
        <v>8.9179207075483102</v>
      </c>
      <c r="AC68">
        <v>2.7575086362878301</v>
      </c>
      <c r="AJ68">
        <v>0.76545259321222203</v>
      </c>
      <c r="AK68">
        <v>7.8825705379639802E-2</v>
      </c>
      <c r="AL68">
        <v>0.15572170140813699</v>
      </c>
    </row>
    <row r="69" spans="1:38" x14ac:dyDescent="0.2">
      <c r="A69">
        <v>86</v>
      </c>
      <c r="B69">
        <v>759</v>
      </c>
      <c r="C69">
        <v>175</v>
      </c>
      <c r="D69">
        <v>0.41070629269001901</v>
      </c>
      <c r="E69">
        <v>8.1301885389997697</v>
      </c>
      <c r="F69">
        <v>2.5591637921700698</v>
      </c>
      <c r="G69">
        <v>-131.60663180340927</v>
      </c>
      <c r="H69">
        <v>-113.90223826414176</v>
      </c>
      <c r="I69">
        <v>17.1529269382042</v>
      </c>
      <c r="J69">
        <v>9.9050741024473297</v>
      </c>
      <c r="K69">
        <v>3.17689260995119</v>
      </c>
      <c r="L69">
        <v>3.1299167241996957E-5</v>
      </c>
      <c r="M69">
        <v>1.8262591983529965E-6</v>
      </c>
      <c r="N69" s="1">
        <v>-1.0164448598565099E-7</v>
      </c>
      <c r="O69" s="1">
        <v>2.8573284324505E-11</v>
      </c>
      <c r="P69" s="1">
        <v>3.6357238537273698E-10</v>
      </c>
      <c r="Q69">
        <v>65.916616075644797</v>
      </c>
      <c r="S69">
        <v>20.7294891099964</v>
      </c>
      <c r="AA69">
        <v>1.7212995453545601</v>
      </c>
      <c r="AB69">
        <v>8.9016181928169296</v>
      </c>
      <c r="AC69">
        <v>2.7309770761871701</v>
      </c>
      <c r="AJ69">
        <v>0.76411421869065599</v>
      </c>
      <c r="AK69">
        <v>8.1650070277179507E-2</v>
      </c>
      <c r="AL69">
        <v>0.15423571103216399</v>
      </c>
    </row>
    <row r="70" spans="1:38" x14ac:dyDescent="0.2">
      <c r="A70">
        <v>86</v>
      </c>
      <c r="B70">
        <v>759</v>
      </c>
      <c r="C70">
        <v>175</v>
      </c>
      <c r="D70">
        <v>0.41070629269001901</v>
      </c>
      <c r="E70">
        <v>9.0599672303817709</v>
      </c>
      <c r="F70">
        <v>2.5230501992837699</v>
      </c>
      <c r="G70">
        <v>-143.96931230086753</v>
      </c>
      <c r="H70">
        <v>-124.47424453062634</v>
      </c>
      <c r="I70">
        <v>18.887824221519299</v>
      </c>
      <c r="J70">
        <v>10.821020950153301</v>
      </c>
      <c r="K70">
        <v>3.5908787042579</v>
      </c>
      <c r="L70">
        <v>2.9034731759960599E-5</v>
      </c>
      <c r="M70">
        <v>1.8073252100569983E-6</v>
      </c>
      <c r="N70" s="1">
        <v>-6.0764149849335896E-8</v>
      </c>
      <c r="O70" s="1">
        <v>3.4065516547695801E-11</v>
      </c>
      <c r="P70" s="1">
        <v>2.49183517658131E-10</v>
      </c>
      <c r="Q70">
        <v>66.255904425385296</v>
      </c>
      <c r="S70">
        <v>19.133968467962902</v>
      </c>
      <c r="AA70">
        <v>0.32581038080918301</v>
      </c>
      <c r="AB70">
        <v>5.4748392933739298</v>
      </c>
      <c r="AC70">
        <v>8.8094774324686096</v>
      </c>
      <c r="AJ70">
        <v>0.47811544014266899</v>
      </c>
      <c r="AK70">
        <v>1.5723061065891601E-2</v>
      </c>
      <c r="AL70">
        <v>0.50616149879143801</v>
      </c>
    </row>
    <row r="71" spans="1:38" x14ac:dyDescent="0.2">
      <c r="A71">
        <v>87</v>
      </c>
      <c r="B71">
        <v>758</v>
      </c>
      <c r="C71">
        <v>175</v>
      </c>
      <c r="D71">
        <v>0.41006691557969399</v>
      </c>
      <c r="E71">
        <v>10.0613485023246</v>
      </c>
      <c r="F71">
        <v>2.5603384435243299</v>
      </c>
      <c r="G71">
        <v>-162.88796969590163</v>
      </c>
      <c r="H71">
        <v>-141.01272331952038</v>
      </c>
      <c r="I71">
        <v>21.214417278166302</v>
      </c>
      <c r="J71">
        <v>12.2622347367119</v>
      </c>
      <c r="K71">
        <v>3.9296947353862599</v>
      </c>
      <c r="L71">
        <v>3.1319158494126802E-5</v>
      </c>
      <c r="M71">
        <v>1.8250701200075739E-6</v>
      </c>
      <c r="N71" s="1">
        <v>-1.29937004770456E-7</v>
      </c>
      <c r="O71" s="1">
        <v>3.52594204798282E-11</v>
      </c>
      <c r="P71" s="1">
        <v>4.6196856581106101E-10</v>
      </c>
      <c r="Q71">
        <v>65.841434255135496</v>
      </c>
      <c r="S71">
        <v>20.7979982372755</v>
      </c>
      <c r="AA71">
        <v>1.79536292685167</v>
      </c>
      <c r="AB71">
        <v>8.9136851208565009</v>
      </c>
      <c r="AC71">
        <v>2.6515194598806699</v>
      </c>
      <c r="AJ71">
        <v>0.76510294960274505</v>
      </c>
      <c r="AK71">
        <v>8.5158034909893404E-2</v>
      </c>
      <c r="AL71">
        <v>0.14973901548735999</v>
      </c>
    </row>
    <row r="72" spans="1:38" x14ac:dyDescent="0.2">
      <c r="A72">
        <v>87</v>
      </c>
      <c r="B72">
        <v>758</v>
      </c>
      <c r="C72">
        <v>175</v>
      </c>
      <c r="D72">
        <v>0.41006691557969399</v>
      </c>
      <c r="E72">
        <v>16.312133141725401</v>
      </c>
      <c r="F72">
        <v>2.5228613925631902</v>
      </c>
      <c r="G72">
        <v>-259.08566249498421</v>
      </c>
      <c r="H72">
        <v>-224.05285044198976</v>
      </c>
      <c r="I72">
        <v>33.974506185321601</v>
      </c>
      <c r="J72">
        <v>19.476612897184999</v>
      </c>
      <c r="K72">
        <v>6.4657270469990404</v>
      </c>
      <c r="L72">
        <v>2.8992908461473013E-5</v>
      </c>
      <c r="M72">
        <v>1.8065407380845429E-6</v>
      </c>
      <c r="N72" s="1">
        <v>-1.11054495222396E-7</v>
      </c>
      <c r="O72" s="1">
        <v>6.1354472681227899E-11</v>
      </c>
      <c r="P72" s="1">
        <v>4.5328541724223501E-10</v>
      </c>
      <c r="Q72">
        <v>66.232716960977001</v>
      </c>
      <c r="S72">
        <v>19.123084961275499</v>
      </c>
      <c r="AA72">
        <v>0.32224185418069101</v>
      </c>
      <c r="AB72">
        <v>5.39463474446889</v>
      </c>
      <c r="AC72">
        <v>8.9273214790978095</v>
      </c>
      <c r="AJ72">
        <v>0.47130234112478198</v>
      </c>
      <c r="AK72">
        <v>1.5557158987666899E-2</v>
      </c>
      <c r="AL72">
        <v>0.51314049988754995</v>
      </c>
    </row>
    <row r="73" spans="1:38" x14ac:dyDescent="0.2">
      <c r="A73">
        <v>88</v>
      </c>
      <c r="B73">
        <v>757</v>
      </c>
      <c r="C73">
        <v>175</v>
      </c>
      <c r="D73">
        <v>0.40942629714119499</v>
      </c>
      <c r="E73">
        <v>14.1680277829416</v>
      </c>
      <c r="F73">
        <v>2.56212672074335</v>
      </c>
      <c r="G73">
        <v>-229.42869022192113</v>
      </c>
      <c r="H73">
        <v>-198.67502654091408</v>
      </c>
      <c r="I73">
        <v>29.853578295400698</v>
      </c>
      <c r="J73">
        <v>17.273367008425399</v>
      </c>
      <c r="K73">
        <v>5.5297919764214498</v>
      </c>
      <c r="L73">
        <v>3.132225865897031E-5</v>
      </c>
      <c r="M73">
        <v>1.8228438417478672E-6</v>
      </c>
      <c r="N73" s="1">
        <v>-1.88900513335202E-7</v>
      </c>
      <c r="O73" s="1">
        <v>4.9453827676524799E-11</v>
      </c>
      <c r="P73" s="1">
        <v>6.6774767523150798E-10</v>
      </c>
      <c r="Q73">
        <v>65.714880740139904</v>
      </c>
      <c r="S73">
        <v>20.9087084496824</v>
      </c>
      <c r="AA73">
        <v>1.91622951829614</v>
      </c>
      <c r="AB73">
        <v>8.9219086133513592</v>
      </c>
      <c r="AC73">
        <v>2.5382726785300598</v>
      </c>
      <c r="AJ73">
        <v>0.76577553319276803</v>
      </c>
      <c r="AK73">
        <v>9.0887055180797496E-2</v>
      </c>
      <c r="AL73">
        <v>0.14333741162643401</v>
      </c>
    </row>
    <row r="74" spans="1:38" x14ac:dyDescent="0.2">
      <c r="A74">
        <v>88</v>
      </c>
      <c r="B74">
        <v>757</v>
      </c>
      <c r="C74">
        <v>175</v>
      </c>
      <c r="D74">
        <v>0.40942629714119499</v>
      </c>
      <c r="E74">
        <v>29.4100275376701</v>
      </c>
      <c r="F74">
        <v>2.5225998221313799</v>
      </c>
      <c r="G74">
        <v>-466.82057546161832</v>
      </c>
      <c r="H74">
        <v>-403.79095819283418</v>
      </c>
      <c r="I74">
        <v>61.184892752302098</v>
      </c>
      <c r="J74">
        <v>35.096680545781503</v>
      </c>
      <c r="K74">
        <v>11.6586179383859</v>
      </c>
      <c r="L74">
        <v>2.8923199479407155E-5</v>
      </c>
      <c r="M74">
        <v>1.8053149495538581E-6</v>
      </c>
      <c r="N74" s="1">
        <v>-2.0130112734326499E-7</v>
      </c>
      <c r="O74" s="1">
        <v>1.10696609793771E-10</v>
      </c>
      <c r="P74" s="1">
        <v>8.1999489193609196E-10</v>
      </c>
      <c r="Q74">
        <v>66.196808415989494</v>
      </c>
      <c r="S74">
        <v>19.1091238303365</v>
      </c>
      <c r="AA74">
        <v>0.31910254627699097</v>
      </c>
      <c r="AB74">
        <v>5.2780135574761804</v>
      </c>
      <c r="AC74">
        <v>9.0969516499206708</v>
      </c>
      <c r="AJ74">
        <v>0.46138588506369799</v>
      </c>
      <c r="AK74">
        <v>1.54146923992494E-2</v>
      </c>
      <c r="AL74">
        <v>0.52319942253705098</v>
      </c>
    </row>
    <row r="75" spans="1:38" x14ac:dyDescent="0.2">
      <c r="A75">
        <v>89</v>
      </c>
      <c r="B75">
        <v>756</v>
      </c>
      <c r="C75">
        <v>175</v>
      </c>
      <c r="D75">
        <v>0.40878443375601398</v>
      </c>
      <c r="E75">
        <v>16.4653661470347</v>
      </c>
      <c r="F75">
        <v>2.56312392182826</v>
      </c>
      <c r="G75">
        <v>-266.65019074070887</v>
      </c>
      <c r="H75">
        <v>-230.96664256095093</v>
      </c>
      <c r="I75">
        <v>34.672835038388797</v>
      </c>
      <c r="J75">
        <v>20.081099636000801</v>
      </c>
      <c r="K75">
        <v>6.4239446274177903</v>
      </c>
      <c r="L75">
        <v>3.1341736128589959E-5</v>
      </c>
      <c r="M75">
        <v>1.8217403513149641E-6</v>
      </c>
      <c r="N75" s="1">
        <v>-2.26585893202929E-7</v>
      </c>
      <c r="O75" s="1">
        <v>5.7320823388794203E-11</v>
      </c>
      <c r="P75" s="1">
        <v>7.9643504290427696E-10</v>
      </c>
      <c r="Q75">
        <v>65.647221678379793</v>
      </c>
      <c r="S75">
        <v>20.9682641024548</v>
      </c>
      <c r="AA75">
        <v>1.9811508587375199</v>
      </c>
      <c r="AB75">
        <v>8.9272669084587193</v>
      </c>
      <c r="AC75">
        <v>2.4760964519690898</v>
      </c>
      <c r="AJ75">
        <v>0.76621397386615897</v>
      </c>
      <c r="AK75">
        <v>9.3963651616364399E-2</v>
      </c>
      <c r="AL75">
        <v>0.13982237451747601</v>
      </c>
    </row>
    <row r="76" spans="1:38" x14ac:dyDescent="0.2">
      <c r="A76">
        <v>89</v>
      </c>
      <c r="B76">
        <v>756</v>
      </c>
      <c r="C76">
        <v>175</v>
      </c>
      <c r="D76">
        <v>0.40878443375601398</v>
      </c>
      <c r="E76">
        <v>36.167695349576903</v>
      </c>
      <c r="F76">
        <v>2.52247170696476</v>
      </c>
      <c r="G76">
        <v>-573.84123893926517</v>
      </c>
      <c r="H76">
        <v>-496.4732968636917</v>
      </c>
      <c r="I76">
        <v>75.176545766480501</v>
      </c>
      <c r="J76">
        <v>43.150726196174503</v>
      </c>
      <c r="K76">
        <v>14.338196638525099</v>
      </c>
      <c r="L76">
        <v>2.8892027175880812E-5</v>
      </c>
      <c r="M76">
        <v>1.8047055733750294E-6</v>
      </c>
      <c r="N76" s="1">
        <v>-2.5213796191627699E-7</v>
      </c>
      <c r="O76" s="1">
        <v>1.3615694222483201E-10</v>
      </c>
      <c r="P76" s="1">
        <v>1.0213903040452801E-9</v>
      </c>
      <c r="Q76">
        <v>66.177896382365503</v>
      </c>
      <c r="S76">
        <v>19.100046797296699</v>
      </c>
      <c r="AA76">
        <v>0.31602676557985898</v>
      </c>
      <c r="AB76">
        <v>5.2120724823589502</v>
      </c>
      <c r="AC76">
        <v>9.1939575723989506</v>
      </c>
      <c r="AJ76">
        <v>0.455773657600613</v>
      </c>
      <c r="AK76">
        <v>1.5271209341323E-2</v>
      </c>
      <c r="AL76">
        <v>0.52895513305806396</v>
      </c>
    </row>
    <row r="77" spans="1:38" x14ac:dyDescent="0.2">
      <c r="A77">
        <v>90</v>
      </c>
      <c r="B77">
        <v>755</v>
      </c>
      <c r="C77">
        <v>175</v>
      </c>
      <c r="D77">
        <v>0.40814132179156798</v>
      </c>
      <c r="E77">
        <v>17.584036320435398</v>
      </c>
      <c r="F77">
        <v>2.5636649327065402</v>
      </c>
      <c r="G77">
        <v>-284.76165386696954</v>
      </c>
      <c r="H77">
        <v>-246.71309521668562</v>
      </c>
      <c r="I77">
        <v>37.006816758531201</v>
      </c>
      <c r="J77">
        <v>21.452980345482398</v>
      </c>
      <c r="K77">
        <v>6.8589448239132302</v>
      </c>
      <c r="L77">
        <v>3.1373423326385101E-5</v>
      </c>
      <c r="M77">
        <v>1.82134909864647E-6</v>
      </c>
      <c r="N77" s="1">
        <v>-2.4979821672352402E-7</v>
      </c>
      <c r="O77" s="1">
        <v>6.1100099185027404E-11</v>
      </c>
      <c r="P77" s="1">
        <v>8.7310874859965499E-10</v>
      </c>
      <c r="Q77">
        <v>65.615612104978595</v>
      </c>
      <c r="S77">
        <v>20.997378747707</v>
      </c>
      <c r="AA77">
        <v>2.0125464010033198</v>
      </c>
      <c r="AB77">
        <v>8.9331544966625192</v>
      </c>
      <c r="AC77">
        <v>2.4413082496484799</v>
      </c>
      <c r="AJ77">
        <v>0.76669635266207903</v>
      </c>
      <c r="AK77">
        <v>9.5449848779825305E-2</v>
      </c>
      <c r="AL77">
        <v>0.13785379855809399</v>
      </c>
    </row>
    <row r="78" spans="1:38" x14ac:dyDescent="0.2">
      <c r="A78">
        <v>90</v>
      </c>
      <c r="B78">
        <v>755</v>
      </c>
      <c r="C78">
        <v>175</v>
      </c>
      <c r="D78">
        <v>0.40814132179156798</v>
      </c>
      <c r="E78">
        <v>39.23428643482</v>
      </c>
      <c r="F78">
        <v>2.5224113180174998</v>
      </c>
      <c r="G78">
        <v>-622.30819545450981</v>
      </c>
      <c r="H78">
        <v>-538.5250419689504</v>
      </c>
      <c r="I78">
        <v>81.489231615580806</v>
      </c>
      <c r="J78">
        <v>46.806171211402102</v>
      </c>
      <c r="K78">
        <v>15.5542778271611</v>
      </c>
      <c r="L78">
        <v>2.8882643778989989E-5</v>
      </c>
      <c r="M78">
        <v>1.804438081159408E-6</v>
      </c>
      <c r="N78" s="1">
        <v>-2.8064268387358499E-7</v>
      </c>
      <c r="O78" s="1">
        <v>1.4768520065560201E-10</v>
      </c>
      <c r="P78" s="1">
        <v>1.1284024059339701E-9</v>
      </c>
      <c r="Q78">
        <v>66.168530636014395</v>
      </c>
      <c r="S78">
        <v>19.0936076898214</v>
      </c>
      <c r="AA78">
        <v>0.31289980485461799</v>
      </c>
      <c r="AB78">
        <v>5.1743204613994402</v>
      </c>
      <c r="AC78">
        <v>9.2506414079100008</v>
      </c>
      <c r="AJ78">
        <v>0.45255891940531001</v>
      </c>
      <c r="AK78">
        <v>1.5122997799956401E-2</v>
      </c>
      <c r="AL78">
        <v>0.53231808279473203</v>
      </c>
    </row>
    <row r="79" spans="1:38" x14ac:dyDescent="0.2">
      <c r="A79">
        <v>91</v>
      </c>
      <c r="B79">
        <v>754</v>
      </c>
      <c r="C79">
        <v>175</v>
      </c>
      <c r="D79">
        <v>0.40749695760112897</v>
      </c>
      <c r="E79">
        <v>18.1264686556623</v>
      </c>
      <c r="F79">
        <v>2.5639729490902798</v>
      </c>
      <c r="G79">
        <v>-293.52755903013696</v>
      </c>
      <c r="H79">
        <v>-254.36569738212472</v>
      </c>
      <c r="I79">
        <v>38.126721168293102</v>
      </c>
      <c r="J79">
        <v>22.122878078848</v>
      </c>
      <c r="K79">
        <v>7.0696801470131501</v>
      </c>
      <c r="L79">
        <v>3.1412519295946003E-5</v>
      </c>
      <c r="M79">
        <v>1.8213392062665096E-6</v>
      </c>
      <c r="N79" s="1">
        <v>-2.65869643211281E-7</v>
      </c>
      <c r="O79" s="1">
        <v>6.2889999198534199E-11</v>
      </c>
      <c r="P79" s="1">
        <v>9.2414931750903795E-10</v>
      </c>
      <c r="Q79">
        <v>65.602935507334394</v>
      </c>
      <c r="S79">
        <v>21.0107069667499</v>
      </c>
      <c r="AA79">
        <v>2.0265002289438701</v>
      </c>
      <c r="AB79">
        <v>8.9398470375121999</v>
      </c>
      <c r="AC79">
        <v>2.4200102594595099</v>
      </c>
      <c r="AJ79">
        <v>0.76724500525181405</v>
      </c>
      <c r="AK79">
        <v>9.6108418169529197E-2</v>
      </c>
      <c r="AL79">
        <v>0.136646576578655</v>
      </c>
    </row>
    <row r="80" spans="1:38" x14ac:dyDescent="0.2">
      <c r="A80">
        <v>91</v>
      </c>
      <c r="B80">
        <v>754</v>
      </c>
      <c r="C80">
        <v>175</v>
      </c>
      <c r="D80">
        <v>0.40749695760112897</v>
      </c>
      <c r="E80">
        <v>40.541229714079797</v>
      </c>
      <c r="F80">
        <v>2.5223833760746102</v>
      </c>
      <c r="G80">
        <v>-642.88284468335735</v>
      </c>
      <c r="H80">
        <v>-556.45206344692144</v>
      </c>
      <c r="I80">
        <v>84.146211591720899</v>
      </c>
      <c r="J80">
        <v>48.3662901447331</v>
      </c>
      <c r="K80">
        <v>16.0725883696438</v>
      </c>
      <c r="L80">
        <v>2.8884514747269203E-5</v>
      </c>
      <c r="M80">
        <v>1.8043422850302251E-6</v>
      </c>
      <c r="N80" s="1">
        <v>-2.9865013742739103E-7</v>
      </c>
      <c r="O80" s="1">
        <v>1.5256410401326201E-10</v>
      </c>
      <c r="P80" s="1">
        <v>1.19086315053031E-9</v>
      </c>
      <c r="Q80">
        <v>66.163964929806895</v>
      </c>
      <c r="S80">
        <v>19.0884780347725</v>
      </c>
      <c r="AA80">
        <v>0.30973313204216901</v>
      </c>
      <c r="AB80">
        <v>5.1506979723081603</v>
      </c>
      <c r="AC80">
        <v>9.2871259310701006</v>
      </c>
      <c r="AJ80">
        <v>0.45054675489859303</v>
      </c>
      <c r="AK80">
        <v>1.49717386067126E-2</v>
      </c>
      <c r="AL80">
        <v>0.53448150649469395</v>
      </c>
    </row>
    <row r="81" spans="1:38" x14ac:dyDescent="0.2">
      <c r="A81">
        <v>93</v>
      </c>
      <c r="B81">
        <v>774</v>
      </c>
      <c r="C81">
        <v>155</v>
      </c>
      <c r="D81">
        <v>0.44115981473524002</v>
      </c>
      <c r="E81">
        <v>0.27974491811415098</v>
      </c>
      <c r="F81">
        <v>2.5644549045849301</v>
      </c>
      <c r="G81">
        <v>-4.5503287485922463</v>
      </c>
      <c r="H81">
        <v>-3.9270815624087834</v>
      </c>
      <c r="I81">
        <v>0.59518424885017696</v>
      </c>
      <c r="J81">
        <v>0.34024703338030998</v>
      </c>
      <c r="K81">
        <v>0.109085528317928</v>
      </c>
      <c r="L81">
        <v>3.0958641456254952E-5</v>
      </c>
      <c r="M81">
        <v>1.8204744477856152E-6</v>
      </c>
      <c r="N81" s="1">
        <v>-2.2543397839868602E-9</v>
      </c>
      <c r="O81" s="1">
        <v>9.8213474451478208E-13</v>
      </c>
      <c r="P81" s="1">
        <v>8.9149060583851102E-12</v>
      </c>
      <c r="Q81">
        <v>65.5642177528714</v>
      </c>
      <c r="S81">
        <v>21.140689461121902</v>
      </c>
      <c r="AA81">
        <v>2.1427713764133798</v>
      </c>
      <c r="AB81">
        <v>9.1943326055277694</v>
      </c>
      <c r="AC81">
        <v>1.9579888040654201</v>
      </c>
      <c r="AJ81">
        <v>0.78808737901047898</v>
      </c>
      <c r="AK81">
        <v>0.10149409812930101</v>
      </c>
      <c r="AL81">
        <v>0.110418522860218</v>
      </c>
    </row>
    <row r="82" spans="1:38" x14ac:dyDescent="0.2">
      <c r="A82">
        <v>94</v>
      </c>
      <c r="B82">
        <v>773</v>
      </c>
      <c r="C82">
        <v>155</v>
      </c>
      <c r="D82">
        <v>0.440558715289395</v>
      </c>
      <c r="E82">
        <v>0.70508355125946698</v>
      </c>
      <c r="F82">
        <v>2.5639631069828299</v>
      </c>
      <c r="G82">
        <v>-11.465917054660064</v>
      </c>
      <c r="H82">
        <v>-9.8973347288869427</v>
      </c>
      <c r="I82">
        <v>1.4993856767892899</v>
      </c>
      <c r="J82">
        <v>0.85768988067720198</v>
      </c>
      <c r="K82">
        <v>0.27499754163357698</v>
      </c>
      <c r="L82">
        <v>3.0991639705272575E-5</v>
      </c>
      <c r="M82">
        <v>1.8214505778010996E-6</v>
      </c>
      <c r="N82" s="1">
        <v>-5.8573656077535103E-9</v>
      </c>
      <c r="O82" s="1">
        <v>2.4763973705168801E-12</v>
      </c>
      <c r="P82" s="1">
        <v>2.29790269935778E-11</v>
      </c>
      <c r="Q82">
        <v>65.607549862734402</v>
      </c>
      <c r="S82">
        <v>21.1026871220087</v>
      </c>
      <c r="AA82">
        <v>2.1013081020835198</v>
      </c>
      <c r="AB82">
        <v>9.1912678163561008</v>
      </c>
      <c r="AC82">
        <v>1.9971870968171801</v>
      </c>
      <c r="AJ82">
        <v>0.78783736303840601</v>
      </c>
      <c r="AK82">
        <v>9.9531758664583303E-2</v>
      </c>
      <c r="AL82">
        <v>0.112630878297009</v>
      </c>
    </row>
    <row r="83" spans="1:38" x14ac:dyDescent="0.2">
      <c r="A83">
        <v>95</v>
      </c>
      <c r="B83">
        <v>772</v>
      </c>
      <c r="C83">
        <v>155</v>
      </c>
      <c r="D83">
        <v>0.43995646557910401</v>
      </c>
      <c r="E83">
        <v>1.13181392407924</v>
      </c>
      <c r="F83">
        <v>2.5634759955206898</v>
      </c>
      <c r="G83">
        <v>-18.400519437145483</v>
      </c>
      <c r="H83">
        <v>-15.886272104577957</v>
      </c>
      <c r="I83">
        <v>2.4056330025044401</v>
      </c>
      <c r="J83">
        <v>1.3769654819548101</v>
      </c>
      <c r="K83">
        <v>0.44151531984575998</v>
      </c>
      <c r="L83">
        <v>3.10241602884933E-5</v>
      </c>
      <c r="M83">
        <v>1.8223923905678374E-6</v>
      </c>
      <c r="N83" s="1">
        <v>-9.6908014575521699E-9</v>
      </c>
      <c r="O83" s="1">
        <v>3.9766085721441904E-12</v>
      </c>
      <c r="P83" s="1">
        <v>3.7723593874110401E-11</v>
      </c>
      <c r="Q83">
        <v>65.649547206524304</v>
      </c>
      <c r="S83">
        <v>21.065422794193001</v>
      </c>
      <c r="AA83">
        <v>2.0607651440464498</v>
      </c>
      <c r="AB83">
        <v>9.1871633651223004</v>
      </c>
      <c r="AC83">
        <v>2.03710149011384</v>
      </c>
      <c r="AJ83">
        <v>0.78750226908513798</v>
      </c>
      <c r="AK83">
        <v>9.7613450597149196E-2</v>
      </c>
      <c r="AL83">
        <v>0.114884280317712</v>
      </c>
    </row>
    <row r="84" spans="1:38" x14ac:dyDescent="0.2">
      <c r="A84">
        <v>96</v>
      </c>
      <c r="B84">
        <v>771</v>
      </c>
      <c r="C84">
        <v>155</v>
      </c>
      <c r="D84">
        <v>0.43935306229947801</v>
      </c>
      <c r="E84">
        <v>1.55977814660251</v>
      </c>
      <c r="F84">
        <v>2.5629934194143802</v>
      </c>
      <c r="G84">
        <v>-25.351513994849693</v>
      </c>
      <c r="H84">
        <v>-21.891645043798178</v>
      </c>
      <c r="I84">
        <v>3.3135746310889398</v>
      </c>
      <c r="J84">
        <v>1.8978853542348799</v>
      </c>
      <c r="K84">
        <v>0.60857672703619503</v>
      </c>
      <c r="L84">
        <v>3.1056219222793702E-5</v>
      </c>
      <c r="M84">
        <v>1.823300308245431E-6</v>
      </c>
      <c r="N84" s="1">
        <v>-1.3762362795362199E-8</v>
      </c>
      <c r="O84" s="1">
        <v>5.4820865089192504E-12</v>
      </c>
      <c r="P84" s="1">
        <v>5.3169065650978798E-11</v>
      </c>
      <c r="Q84">
        <v>65.690226344103607</v>
      </c>
      <c r="S84">
        <v>21.028883041205599</v>
      </c>
      <c r="AA84">
        <v>2.0211275530600301</v>
      </c>
      <c r="AB84">
        <v>9.1820209291411405</v>
      </c>
      <c r="AC84">
        <v>2.0777421324895</v>
      </c>
      <c r="AJ84">
        <v>0.78708222404476003</v>
      </c>
      <c r="AK84">
        <v>9.5738438262102502E-2</v>
      </c>
      <c r="AL84">
        <v>0.117179337693136</v>
      </c>
    </row>
    <row r="85" spans="1:38" x14ac:dyDescent="0.2">
      <c r="A85">
        <v>97</v>
      </c>
      <c r="B85">
        <v>770</v>
      </c>
      <c r="C85">
        <v>155</v>
      </c>
      <c r="D85">
        <v>0.43874850213296301</v>
      </c>
      <c r="E85">
        <v>1.98882268679035</v>
      </c>
      <c r="F85">
        <v>2.5625152123899499</v>
      </c>
      <c r="G85">
        <v>-32.316351188383592</v>
      </c>
      <c r="H85">
        <v>-27.911265509211248</v>
      </c>
      <c r="I85">
        <v>4.2228688867107698</v>
      </c>
      <c r="J85">
        <v>2.4202664705551098</v>
      </c>
      <c r="K85">
        <v>0.77612131907519699</v>
      </c>
      <c r="L85">
        <v>3.1087833443831442E-5</v>
      </c>
      <c r="M85">
        <v>1.8241747880590107E-6</v>
      </c>
      <c r="N85" s="1">
        <v>-1.80799992969188E-8</v>
      </c>
      <c r="O85" s="1">
        <v>6.9921630862514001E-12</v>
      </c>
      <c r="P85" s="1">
        <v>6.9336564590681297E-11</v>
      </c>
      <c r="Q85">
        <v>65.729605450041703</v>
      </c>
      <c r="S85">
        <v>20.993053172880401</v>
      </c>
      <c r="AA85">
        <v>1.9823789687994799</v>
      </c>
      <c r="AB85">
        <v>9.1758424972858101</v>
      </c>
      <c r="AC85">
        <v>2.1191199109924499</v>
      </c>
      <c r="AJ85">
        <v>0.78657737773534098</v>
      </c>
      <c r="AK85">
        <v>9.3905920332458301E-2</v>
      </c>
      <c r="AL85">
        <v>0.119516701932199</v>
      </c>
    </row>
    <row r="86" spans="1:38" x14ac:dyDescent="0.2">
      <c r="A86">
        <v>98</v>
      </c>
      <c r="B86">
        <v>769</v>
      </c>
      <c r="C86">
        <v>155</v>
      </c>
      <c r="D86">
        <v>0.43814278174927401</v>
      </c>
      <c r="E86">
        <v>2.4187992062844801</v>
      </c>
      <c r="F86">
        <v>2.5620411942101602</v>
      </c>
      <c r="G86">
        <v>-39.29256727159904</v>
      </c>
      <c r="H86">
        <v>-33.943017715525443</v>
      </c>
      <c r="I86">
        <v>5.13318577563075</v>
      </c>
      <c r="J86">
        <v>2.9439322886447599</v>
      </c>
      <c r="K86">
        <v>0.944090677289115</v>
      </c>
      <c r="L86">
        <v>3.1119020695516981E-5</v>
      </c>
      <c r="M86">
        <v>1.8250163174285681E-6</v>
      </c>
      <c r="N86" s="1">
        <v>-2.2651913141996999E-8</v>
      </c>
      <c r="O86" s="1">
        <v>8.5061871996930507E-12</v>
      </c>
      <c r="P86" s="1">
        <v>8.6247933857434099E-11</v>
      </c>
      <c r="Q86">
        <v>65.7677041087221</v>
      </c>
      <c r="S86">
        <v>20.957917387732099</v>
      </c>
      <c r="AA86">
        <v>1.9445017851294299</v>
      </c>
      <c r="AB86">
        <v>9.1686302866566507</v>
      </c>
      <c r="AC86">
        <v>2.1612464317595701</v>
      </c>
      <c r="AJ86">
        <v>0.78598789609950703</v>
      </c>
      <c r="AK86">
        <v>9.2115037646582701E-2</v>
      </c>
      <c r="AL86">
        <v>0.121897066253909</v>
      </c>
    </row>
    <row r="87" spans="1:38" x14ac:dyDescent="0.2">
      <c r="A87">
        <v>99</v>
      </c>
      <c r="B87">
        <v>768</v>
      </c>
      <c r="C87">
        <v>155</v>
      </c>
      <c r="D87">
        <v>0.43753589780531399</v>
      </c>
      <c r="E87">
        <v>2.9720813299845701</v>
      </c>
      <c r="F87">
        <v>2.5613992412196498</v>
      </c>
      <c r="G87">
        <v>-48.2647958121443</v>
      </c>
      <c r="H87">
        <v>-41.701301558141395</v>
      </c>
      <c r="I87">
        <v>6.30408130817165</v>
      </c>
      <c r="J87">
        <v>3.6177104318941899</v>
      </c>
      <c r="K87">
        <v>1.1603350552135501</v>
      </c>
      <c r="L87">
        <v>3.1147574312623749E-5</v>
      </c>
      <c r="M87">
        <v>1.8259294177414681E-6</v>
      </c>
      <c r="N87" s="1">
        <v>-2.8641576366394299E-8</v>
      </c>
      <c r="O87" s="1">
        <v>1.04576095492769E-11</v>
      </c>
      <c r="P87" s="1">
        <v>1.08312507486922E-10</v>
      </c>
      <c r="Q87">
        <v>65.812601647317095</v>
      </c>
      <c r="S87">
        <v>20.9139804677794</v>
      </c>
      <c r="AA87">
        <v>1.8977771494478299</v>
      </c>
      <c r="AB87">
        <v>9.15349569626032</v>
      </c>
      <c r="AC87">
        <v>2.2221450391952402</v>
      </c>
      <c r="AJ87">
        <v>0.78475019650623201</v>
      </c>
      <c r="AK87">
        <v>8.9908438468235402E-2</v>
      </c>
      <c r="AL87">
        <v>0.125341365025532</v>
      </c>
    </row>
    <row r="88" spans="1:38" x14ac:dyDescent="0.2">
      <c r="A88">
        <v>100</v>
      </c>
      <c r="B88">
        <v>767</v>
      </c>
      <c r="C88">
        <v>155</v>
      </c>
      <c r="D88">
        <v>0.43692784694515202</v>
      </c>
      <c r="E88">
        <v>4.4082171378419002</v>
      </c>
      <c r="F88">
        <v>2.5594645679524199</v>
      </c>
      <c r="G88">
        <v>-71.531819275912639</v>
      </c>
      <c r="H88">
        <v>-61.811454877998536</v>
      </c>
      <c r="I88">
        <v>9.3451563696717805</v>
      </c>
      <c r="J88">
        <v>5.3646183557845504</v>
      </c>
      <c r="K88">
        <v>1.7223200481218099</v>
      </c>
      <c r="L88">
        <v>3.115179060273773E-5</v>
      </c>
      <c r="M88">
        <v>1.8274000403400094E-6</v>
      </c>
      <c r="N88" s="1">
        <v>-4.3357917627082903E-8</v>
      </c>
      <c r="O88" s="1">
        <v>1.55535255439796E-11</v>
      </c>
      <c r="P88" s="1">
        <v>1.63132499007779E-10</v>
      </c>
      <c r="Q88">
        <v>65.910510501403806</v>
      </c>
      <c r="S88">
        <v>20.8020128168044</v>
      </c>
      <c r="AA88">
        <v>1.78255699833508</v>
      </c>
      <c r="AB88">
        <v>9.0781425741107995</v>
      </c>
      <c r="AC88">
        <v>2.4267771093458399</v>
      </c>
      <c r="AJ88">
        <v>0.77858308801035203</v>
      </c>
      <c r="AK88">
        <v>8.4481610179517094E-2</v>
      </c>
      <c r="AL88">
        <v>0.13693530181013</v>
      </c>
    </row>
    <row r="89" spans="1:38" x14ac:dyDescent="0.2">
      <c r="A89">
        <v>101</v>
      </c>
      <c r="B89">
        <v>766</v>
      </c>
      <c r="C89">
        <v>155</v>
      </c>
      <c r="D89">
        <v>0.43631862579993802</v>
      </c>
      <c r="E89">
        <v>6.0321218735249396</v>
      </c>
      <c r="F89">
        <v>2.5571075868653299</v>
      </c>
      <c r="G89">
        <v>-97.788827998222189</v>
      </c>
      <c r="H89">
        <v>-84.508721183908946</v>
      </c>
      <c r="I89">
        <v>12.779778486564201</v>
      </c>
      <c r="J89">
        <v>7.3377658481786803</v>
      </c>
      <c r="K89">
        <v>2.3589628784135299</v>
      </c>
      <c r="L89">
        <v>3.1131886179901525E-5</v>
      </c>
      <c r="M89">
        <v>1.8286059480886318E-6</v>
      </c>
      <c r="N89" s="1">
        <v>-6.0246672539607499E-8</v>
      </c>
      <c r="O89" s="1">
        <v>2.1356017447140499E-11</v>
      </c>
      <c r="P89" s="1">
        <v>2.25774585617441E-10</v>
      </c>
      <c r="Q89">
        <v>66.0107352212042</v>
      </c>
      <c r="S89">
        <v>20.674141460106</v>
      </c>
      <c r="AA89">
        <v>1.6536757515551701</v>
      </c>
      <c r="AB89">
        <v>8.9662566023558394</v>
      </c>
      <c r="AC89">
        <v>2.69519096477871</v>
      </c>
      <c r="AJ89">
        <v>0.76941675965214495</v>
      </c>
      <c r="AK89">
        <v>7.8417253408984602E-2</v>
      </c>
      <c r="AL89">
        <v>0.15216598693887001</v>
      </c>
    </row>
    <row r="90" spans="1:38" x14ac:dyDescent="0.2">
      <c r="A90">
        <v>102</v>
      </c>
      <c r="B90">
        <v>765</v>
      </c>
      <c r="C90">
        <v>155</v>
      </c>
      <c r="D90">
        <v>0.43570823098781702</v>
      </c>
      <c r="E90">
        <v>7.9702277168928903</v>
      </c>
      <c r="F90">
        <v>2.5546528087148102</v>
      </c>
      <c r="G90">
        <v>-129.06648834448052</v>
      </c>
      <c r="H90">
        <v>-111.54943647385814</v>
      </c>
      <c r="I90">
        <v>16.873334171962</v>
      </c>
      <c r="J90">
        <v>9.6892697229758902</v>
      </c>
      <c r="K90">
        <v>3.1198868549587901</v>
      </c>
      <c r="L90">
        <v>3.107762357661435E-5</v>
      </c>
      <c r="M90">
        <v>1.8289957954830509E-6</v>
      </c>
      <c r="N90" s="1">
        <v>-8.0374482489319304E-8</v>
      </c>
      <c r="O90" s="1">
        <v>2.83176055180842E-11</v>
      </c>
      <c r="P90" s="1">
        <v>3.0037598743688401E-10</v>
      </c>
      <c r="Q90">
        <v>66.086051428924705</v>
      </c>
      <c r="S90">
        <v>20.552431370197802</v>
      </c>
      <c r="AA90">
        <v>1.53568967373626</v>
      </c>
      <c r="AB90">
        <v>8.8150159088819091</v>
      </c>
      <c r="AC90">
        <v>3.0108116182591802</v>
      </c>
      <c r="AJ90">
        <v>0.75700906865308903</v>
      </c>
      <c r="AK90">
        <v>7.2877293594720005E-2</v>
      </c>
      <c r="AL90">
        <v>0.17011363775218999</v>
      </c>
    </row>
    <row r="91" spans="1:38" x14ac:dyDescent="0.2">
      <c r="A91">
        <v>102</v>
      </c>
      <c r="B91">
        <v>765</v>
      </c>
      <c r="C91">
        <v>155</v>
      </c>
      <c r="D91">
        <v>0.43570823098781702</v>
      </c>
      <c r="E91">
        <v>1.61932055586901</v>
      </c>
      <c r="F91">
        <v>2.5230243283656502</v>
      </c>
      <c r="G91">
        <v>-25.801247538678464</v>
      </c>
      <c r="H91">
        <v>-22.279316325655966</v>
      </c>
      <c r="I91">
        <v>3.3925070683643899</v>
      </c>
      <c r="J91">
        <v>1.9357114228197201</v>
      </c>
      <c r="K91">
        <v>0.64181725782960097</v>
      </c>
      <c r="L91">
        <v>2.9130967171949266E-5</v>
      </c>
      <c r="M91">
        <v>1.8110373117328453E-6</v>
      </c>
      <c r="N91" s="1">
        <v>-9.2917476935189493E-9</v>
      </c>
      <c r="O91" s="1">
        <v>6.086838168535E-12</v>
      </c>
      <c r="P91" s="1">
        <v>4.0021633502675998E-11</v>
      </c>
      <c r="Q91">
        <v>66.326708497161505</v>
      </c>
      <c r="S91">
        <v>19.190503137101398</v>
      </c>
      <c r="AA91">
        <v>0.35593089952190499</v>
      </c>
      <c r="AB91">
        <v>5.7808353561195496</v>
      </c>
      <c r="AC91">
        <v>8.3460221100955394</v>
      </c>
      <c r="AJ91">
        <v>0.50405788601543999</v>
      </c>
      <c r="AK91">
        <v>1.7150085746878801E-2</v>
      </c>
      <c r="AL91">
        <v>0.47879202823768002</v>
      </c>
    </row>
    <row r="92" spans="1:38" x14ac:dyDescent="0.2">
      <c r="A92">
        <v>103</v>
      </c>
      <c r="B92">
        <v>764</v>
      </c>
      <c r="C92">
        <v>155</v>
      </c>
      <c r="D92">
        <v>0.43509665911391998</v>
      </c>
      <c r="E92">
        <v>9.5250340251170904</v>
      </c>
      <c r="F92">
        <v>2.5565733469461498</v>
      </c>
      <c r="G92">
        <v>-154.29493680655432</v>
      </c>
      <c r="H92">
        <v>-133.39313982075598</v>
      </c>
      <c r="I92">
        <v>20.153108986933699</v>
      </c>
      <c r="J92">
        <v>11.5840321346171</v>
      </c>
      <c r="K92">
        <v>3.7257034054957998</v>
      </c>
      <c r="L92">
        <v>3.1090916793167806E-5</v>
      </c>
      <c r="M92">
        <v>1.8271303063612505E-6</v>
      </c>
      <c r="N92" s="1">
        <v>-9.9459228456602094E-8</v>
      </c>
      <c r="O92" s="1">
        <v>3.3710545695421298E-11</v>
      </c>
      <c r="P92" s="1">
        <v>3.68947402437929E-10</v>
      </c>
      <c r="Q92">
        <v>65.968748572488906</v>
      </c>
      <c r="S92">
        <v>20.663471247521802</v>
      </c>
      <c r="AA92">
        <v>1.65466972740246</v>
      </c>
      <c r="AB92">
        <v>8.8447182574161598</v>
      </c>
      <c r="AC92">
        <v>2.8683921951706299</v>
      </c>
      <c r="AJ92">
        <v>0.75944574520782804</v>
      </c>
      <c r="AK92">
        <v>7.8511786886891893E-2</v>
      </c>
      <c r="AL92">
        <v>0.16204246790527899</v>
      </c>
    </row>
    <row r="93" spans="1:38" x14ac:dyDescent="0.2">
      <c r="A93">
        <v>103</v>
      </c>
      <c r="B93">
        <v>764</v>
      </c>
      <c r="C93">
        <v>155</v>
      </c>
      <c r="D93">
        <v>0.43509665911391998</v>
      </c>
      <c r="E93">
        <v>11.2957966246555</v>
      </c>
      <c r="F93">
        <v>2.5226119384605701</v>
      </c>
      <c r="G93">
        <v>-179.84959848165164</v>
      </c>
      <c r="H93">
        <v>-155.33468588235419</v>
      </c>
      <c r="I93">
        <v>23.6368052830327</v>
      </c>
      <c r="J93">
        <v>13.494273958265801</v>
      </c>
      <c r="K93">
        <v>4.4778177937066204</v>
      </c>
      <c r="L93">
        <v>2.90486134117345E-5</v>
      </c>
      <c r="M93">
        <v>1.8095984956598896E-6</v>
      </c>
      <c r="N93" s="1">
        <v>-6.4899097703388295E-8</v>
      </c>
      <c r="O93" s="1">
        <v>4.2499186875416801E-11</v>
      </c>
      <c r="P93" s="1">
        <v>2.7928379390476799E-10</v>
      </c>
      <c r="Q93">
        <v>66.287420361527495</v>
      </c>
      <c r="S93">
        <v>19.1723385510419</v>
      </c>
      <c r="AA93">
        <v>0.35011227937925599</v>
      </c>
      <c r="AB93">
        <v>5.6456630284925602</v>
      </c>
      <c r="AC93">
        <v>8.5444657795586991</v>
      </c>
      <c r="AJ93">
        <v>0.49260774369615301</v>
      </c>
      <c r="AK93">
        <v>1.68812427445925E-2</v>
      </c>
      <c r="AL93">
        <v>0.49051101355925297</v>
      </c>
    </row>
    <row r="94" spans="1:38" x14ac:dyDescent="0.2">
      <c r="A94">
        <v>104</v>
      </c>
      <c r="B94">
        <v>763</v>
      </c>
      <c r="C94">
        <v>155</v>
      </c>
      <c r="D94">
        <v>0.43448390677026</v>
      </c>
      <c r="E94">
        <v>10.815780484021801</v>
      </c>
      <c r="F94">
        <v>2.5579006623043501</v>
      </c>
      <c r="G94">
        <v>-175.23414510514058</v>
      </c>
      <c r="H94">
        <v>-151.53679575843131</v>
      </c>
      <c r="I94">
        <v>22.8705779536836</v>
      </c>
      <c r="J94">
        <v>13.1582155335868</v>
      </c>
      <c r="K94">
        <v>4.2283817520411802</v>
      </c>
      <c r="L94">
        <v>3.1107176395088415E-5</v>
      </c>
      <c r="M94">
        <v>1.8258414169382584E-6</v>
      </c>
      <c r="N94" s="1">
        <v>-1.16749152387583E-7</v>
      </c>
      <c r="O94" s="1">
        <v>3.8166649363207601E-11</v>
      </c>
      <c r="P94" s="1">
        <v>4.30065042682638E-10</v>
      </c>
      <c r="Q94">
        <v>65.886707339152395</v>
      </c>
      <c r="S94">
        <v>20.7399756974031</v>
      </c>
      <c r="AA94">
        <v>1.736929882121</v>
      </c>
      <c r="AB94">
        <v>8.8624601294219492</v>
      </c>
      <c r="AC94">
        <v>2.77392695190145</v>
      </c>
      <c r="AJ94">
        <v>0.76090069422754003</v>
      </c>
      <c r="AK94">
        <v>8.2407504550897306E-2</v>
      </c>
      <c r="AL94">
        <v>0.15669180122156101</v>
      </c>
    </row>
    <row r="95" spans="1:38" x14ac:dyDescent="0.2">
      <c r="A95">
        <v>104</v>
      </c>
      <c r="B95">
        <v>763</v>
      </c>
      <c r="C95">
        <v>155</v>
      </c>
      <c r="D95">
        <v>0.43448390677026</v>
      </c>
      <c r="E95">
        <v>17.681862576150401</v>
      </c>
      <c r="F95">
        <v>2.52235509444907</v>
      </c>
      <c r="G95">
        <v>-281.37523040512173</v>
      </c>
      <c r="H95">
        <v>-243.07601065601293</v>
      </c>
      <c r="I95">
        <v>36.963007044451899</v>
      </c>
      <c r="J95">
        <v>21.114833334357598</v>
      </c>
      <c r="K95">
        <v>7.0100608019317896</v>
      </c>
      <c r="L95">
        <v>2.8997239164904752E-5</v>
      </c>
      <c r="M95">
        <v>1.808673224860969E-6</v>
      </c>
      <c r="N95" s="1">
        <v>-1.0280049221452699E-7</v>
      </c>
      <c r="O95" s="1">
        <v>6.6559898748481001E-11</v>
      </c>
      <c r="P95" s="1">
        <v>4.4054596726425298E-10</v>
      </c>
      <c r="Q95">
        <v>66.261313956729794</v>
      </c>
      <c r="S95">
        <v>19.159250166520302</v>
      </c>
      <c r="AA95">
        <v>0.34540580079678801</v>
      </c>
      <c r="AB95">
        <v>5.5531734035410603</v>
      </c>
      <c r="AC95">
        <v>8.6808566724119292</v>
      </c>
      <c r="AJ95">
        <v>0.484764149346812</v>
      </c>
      <c r="AK95">
        <v>1.6662097690311399E-2</v>
      </c>
      <c r="AL95">
        <v>0.49857375296287598</v>
      </c>
    </row>
    <row r="96" spans="1:38" x14ac:dyDescent="0.2">
      <c r="A96">
        <v>105</v>
      </c>
      <c r="B96">
        <v>762</v>
      </c>
      <c r="C96">
        <v>155</v>
      </c>
      <c r="D96">
        <v>0.433869970535674</v>
      </c>
      <c r="E96">
        <v>14.301787158745499</v>
      </c>
      <c r="F96">
        <v>2.5603008497423199</v>
      </c>
      <c r="G96">
        <v>-231.80280184353981</v>
      </c>
      <c r="H96">
        <v>-200.51902927255225</v>
      </c>
      <c r="I96">
        <v>30.221487292650799</v>
      </c>
      <c r="J96">
        <v>17.405181953073601</v>
      </c>
      <c r="K96">
        <v>5.5859791477962002</v>
      </c>
      <c r="L96">
        <v>3.1097153334894787E-5</v>
      </c>
      <c r="M96">
        <v>1.8228506770924006E-6</v>
      </c>
      <c r="N96" s="1">
        <v>-1.5950473785291699E-7</v>
      </c>
      <c r="O96" s="1">
        <v>5.0224356576855903E-11</v>
      </c>
      <c r="P96" s="1">
        <v>5.8369170348933796E-10</v>
      </c>
      <c r="Q96">
        <v>65.718703759803205</v>
      </c>
      <c r="S96">
        <v>20.888569228576401</v>
      </c>
      <c r="AA96">
        <v>1.8987224053001199</v>
      </c>
      <c r="AB96">
        <v>8.8776304212822108</v>
      </c>
      <c r="AC96">
        <v>2.6163741850379201</v>
      </c>
      <c r="AJ96">
        <v>0.76214305292543605</v>
      </c>
      <c r="AK96">
        <v>9.0076540783485301E-2</v>
      </c>
      <c r="AL96">
        <v>0.147780406291078</v>
      </c>
    </row>
    <row r="97" spans="1:38" x14ac:dyDescent="0.2">
      <c r="A97">
        <v>105</v>
      </c>
      <c r="B97">
        <v>762</v>
      </c>
      <c r="C97">
        <v>155</v>
      </c>
      <c r="D97">
        <v>0.433869970535674</v>
      </c>
      <c r="E97">
        <v>31.037394195006598</v>
      </c>
      <c r="F97">
        <v>2.52194163781683</v>
      </c>
      <c r="G97">
        <v>-493.49836065514404</v>
      </c>
      <c r="H97">
        <v>-426.42460231809054</v>
      </c>
      <c r="I97">
        <v>64.7961728609896</v>
      </c>
      <c r="J97">
        <v>37.034769002578003</v>
      </c>
      <c r="K97">
        <v>12.3069438759394</v>
      </c>
      <c r="L97">
        <v>2.8896950201784052E-5</v>
      </c>
      <c r="M97">
        <v>1.8069560646562427E-6</v>
      </c>
      <c r="N97" s="1">
        <v>-1.7938061109781899E-7</v>
      </c>
      <c r="O97" s="1">
        <v>1.1696755367521201E-10</v>
      </c>
      <c r="P97" s="1">
        <v>7.6975351775558398E-10</v>
      </c>
      <c r="Q97">
        <v>66.212869862599305</v>
      </c>
      <c r="S97">
        <v>19.139994481522301</v>
      </c>
      <c r="AA97">
        <v>0.34082343060313502</v>
      </c>
      <c r="AB97">
        <v>5.3947370556076404</v>
      </c>
      <c r="AC97">
        <v>8.9115751696675396</v>
      </c>
      <c r="AJ97">
        <v>0.47131084433188097</v>
      </c>
      <c r="AK97">
        <v>1.6454223223188999E-2</v>
      </c>
      <c r="AL97">
        <v>0.51223493244492901</v>
      </c>
    </row>
    <row r="98" spans="1:38" x14ac:dyDescent="0.2">
      <c r="A98">
        <v>106</v>
      </c>
      <c r="B98">
        <v>761</v>
      </c>
      <c r="C98">
        <v>155</v>
      </c>
      <c r="D98">
        <v>0.43325484697577799</v>
      </c>
      <c r="E98">
        <v>16.043115767050601</v>
      </c>
      <c r="F98">
        <v>2.5614627354624302</v>
      </c>
      <c r="G98">
        <v>-260.05529719613435</v>
      </c>
      <c r="H98">
        <v>-225.01816796569329</v>
      </c>
      <c r="I98">
        <v>33.8801230290007</v>
      </c>
      <c r="J98">
        <v>19.5301156708009</v>
      </c>
      <c r="K98">
        <v>6.2632633865564902</v>
      </c>
      <c r="L98">
        <v>3.1108615178233435E-5</v>
      </c>
      <c r="M98">
        <v>1.8215214451834743E-6</v>
      </c>
      <c r="N98" s="1">
        <v>-1.8469333516691999E-7</v>
      </c>
      <c r="O98" s="1">
        <v>5.6184693059333202E-11</v>
      </c>
      <c r="P98" s="1">
        <v>6.71536556364154E-10</v>
      </c>
      <c r="Q98">
        <v>65.639672302052404</v>
      </c>
      <c r="S98">
        <v>20.958453953624101</v>
      </c>
      <c r="AA98">
        <v>1.9748189292637499</v>
      </c>
      <c r="AB98">
        <v>8.8847249475285697</v>
      </c>
      <c r="AC98">
        <v>2.5423298675310702</v>
      </c>
      <c r="AJ98">
        <v>0.76272397904228295</v>
      </c>
      <c r="AK98">
        <v>9.3683149887720404E-2</v>
      </c>
      <c r="AL98">
        <v>0.14359287106999599</v>
      </c>
    </row>
    <row r="99" spans="1:38" x14ac:dyDescent="0.2">
      <c r="A99">
        <v>106</v>
      </c>
      <c r="B99">
        <v>761</v>
      </c>
      <c r="C99">
        <v>155</v>
      </c>
      <c r="D99">
        <v>0.43325484697577799</v>
      </c>
      <c r="E99">
        <v>36.906665481673301</v>
      </c>
      <c r="F99">
        <v>2.52176630511681</v>
      </c>
      <c r="G99">
        <v>-586.54318315779665</v>
      </c>
      <c r="H99">
        <v>-506.93728315378144</v>
      </c>
      <c r="I99">
        <v>76.977130981013502</v>
      </c>
      <c r="J99">
        <v>44.024237635721697</v>
      </c>
      <c r="K99">
        <v>14.6352441171045</v>
      </c>
      <c r="L99">
        <v>2.8856408490154001E-5</v>
      </c>
      <c r="M99">
        <v>1.8062159237545196E-6</v>
      </c>
      <c r="N99" s="1">
        <v>-2.1659549489417899E-7</v>
      </c>
      <c r="O99" s="1">
        <v>1.3913484687589799E-10</v>
      </c>
      <c r="P99" s="1">
        <v>9.24604330769518E-10</v>
      </c>
      <c r="Q99">
        <v>66.190901556486494</v>
      </c>
      <c r="S99">
        <v>19.129237702470501</v>
      </c>
      <c r="AA99">
        <v>0.33707498165018901</v>
      </c>
      <c r="AB99">
        <v>5.31758156856782</v>
      </c>
      <c r="AC99">
        <v>9.0252041908249101</v>
      </c>
      <c r="AJ99">
        <v>0.46475154618609599</v>
      </c>
      <c r="AK99">
        <v>1.6279609856352802E-2</v>
      </c>
      <c r="AL99">
        <v>0.51896884395755005</v>
      </c>
    </row>
    <row r="100" spans="1:38" x14ac:dyDescent="0.2">
      <c r="A100">
        <v>107</v>
      </c>
      <c r="B100">
        <v>760</v>
      </c>
      <c r="C100">
        <v>155</v>
      </c>
      <c r="D100">
        <v>0.43263853264288998</v>
      </c>
      <c r="E100">
        <v>16.9615461611996</v>
      </c>
      <c r="F100">
        <v>2.5620949939360398</v>
      </c>
      <c r="G100">
        <v>-274.94353161513953</v>
      </c>
      <c r="H100">
        <v>-237.95810567659922</v>
      </c>
      <c r="I100">
        <v>35.798699064550298</v>
      </c>
      <c r="J100">
        <v>20.6542518900612</v>
      </c>
      <c r="K100">
        <v>6.6201862933826403</v>
      </c>
      <c r="L100">
        <v>3.1132652280605024E-5</v>
      </c>
      <c r="M100">
        <v>1.8209849431998514E-6</v>
      </c>
      <c r="N100" s="1">
        <v>-2.01561910119248E-7</v>
      </c>
      <c r="O100" s="1">
        <v>5.9290734869487495E-11</v>
      </c>
      <c r="P100" s="1">
        <v>7.2823216298203996E-10</v>
      </c>
      <c r="Q100">
        <v>65.601357122083101</v>
      </c>
      <c r="S100">
        <v>20.9934857454694</v>
      </c>
      <c r="AA100">
        <v>2.01266083967672</v>
      </c>
      <c r="AB100">
        <v>8.8911820201108096</v>
      </c>
      <c r="AC100">
        <v>2.5013142726599198</v>
      </c>
      <c r="AJ100">
        <v>0.76325318561241695</v>
      </c>
      <c r="AK100">
        <v>9.5475185609315005E-2</v>
      </c>
      <c r="AL100">
        <v>0.14127162877826699</v>
      </c>
    </row>
    <row r="101" spans="1:38" x14ac:dyDescent="0.2">
      <c r="A101">
        <v>107</v>
      </c>
      <c r="B101">
        <v>760</v>
      </c>
      <c r="C101">
        <v>155</v>
      </c>
      <c r="D101">
        <v>0.43263853264288998</v>
      </c>
      <c r="E101">
        <v>39.696721364240901</v>
      </c>
      <c r="F101">
        <v>2.5216805906425002</v>
      </c>
      <c r="G101">
        <v>-630.67712066866113</v>
      </c>
      <c r="H101">
        <v>-545.2023122227813</v>
      </c>
      <c r="I101">
        <v>82.732234860261897</v>
      </c>
      <c r="J101">
        <v>47.3464486163179</v>
      </c>
      <c r="K101">
        <v>15.7421687391925</v>
      </c>
      <c r="L101">
        <v>2.8840754065017901E-5</v>
      </c>
      <c r="M101">
        <v>1.8058764019440606E-6</v>
      </c>
      <c r="N101" s="1">
        <v>-2.38700689838266E-7</v>
      </c>
      <c r="O101" s="1">
        <v>1.49655344928467E-10</v>
      </c>
      <c r="P101" s="1">
        <v>1.0109492264711699E-9</v>
      </c>
      <c r="Q101">
        <v>66.179958056137806</v>
      </c>
      <c r="S101">
        <v>19.1218682090391</v>
      </c>
      <c r="AA101">
        <v>0.333548590310839</v>
      </c>
      <c r="AB101">
        <v>5.2738744796778398</v>
      </c>
      <c r="AC101">
        <v>9.0907506648343404</v>
      </c>
      <c r="AJ101">
        <v>0.46103357189703498</v>
      </c>
      <c r="AK101">
        <v>1.61128610509455E-2</v>
      </c>
      <c r="AL101">
        <v>0.52285356705201802</v>
      </c>
    </row>
    <row r="102" spans="1:38" x14ac:dyDescent="0.2">
      <c r="A102">
        <v>108</v>
      </c>
      <c r="B102">
        <v>759</v>
      </c>
      <c r="C102">
        <v>155</v>
      </c>
      <c r="D102">
        <v>0.43202102407596099</v>
      </c>
      <c r="E102">
        <v>17.4777797677433</v>
      </c>
      <c r="F102">
        <v>2.5624919109097202</v>
      </c>
      <c r="G102">
        <v>-283.29892945520538</v>
      </c>
      <c r="H102">
        <v>-245.24638915562406</v>
      </c>
      <c r="I102">
        <v>36.867257956286601</v>
      </c>
      <c r="J102">
        <v>21.289337565083098</v>
      </c>
      <c r="K102">
        <v>6.8206185133042903</v>
      </c>
      <c r="L102">
        <v>3.116340948827002E-5</v>
      </c>
      <c r="M102">
        <v>1.8208184634783531E-6</v>
      </c>
      <c r="N102" s="1">
        <v>-2.1441130474017399E-7</v>
      </c>
      <c r="O102" s="1">
        <v>6.1005034646594994E-11</v>
      </c>
      <c r="P102" s="1">
        <v>7.69829532298001E-10</v>
      </c>
      <c r="Q102">
        <v>65.581666177186705</v>
      </c>
      <c r="S102">
        <v>21.012788123155001</v>
      </c>
      <c r="AA102">
        <v>2.0331801117070101</v>
      </c>
      <c r="AB102">
        <v>8.8979054977786909</v>
      </c>
      <c r="AC102">
        <v>2.47446009017251</v>
      </c>
      <c r="AJ102">
        <v>0.76380449874620604</v>
      </c>
      <c r="AK102">
        <v>9.64452995398902E-2</v>
      </c>
      <c r="AL102">
        <v>0.13975020171390201</v>
      </c>
    </row>
    <row r="103" spans="1:38" x14ac:dyDescent="0.2">
      <c r="A103">
        <v>108</v>
      </c>
      <c r="B103">
        <v>759</v>
      </c>
      <c r="C103">
        <v>155</v>
      </c>
      <c r="D103">
        <v>0.43202102407596099</v>
      </c>
      <c r="E103">
        <v>41.099211521721202</v>
      </c>
      <c r="F103">
        <v>2.5216325543141802</v>
      </c>
      <c r="G103">
        <v>-652.78546813193532</v>
      </c>
      <c r="H103">
        <v>-564.43875241613557</v>
      </c>
      <c r="I103">
        <v>85.5948415596567</v>
      </c>
      <c r="J103">
        <v>49.0173239254935</v>
      </c>
      <c r="K103">
        <v>16.298652018671699</v>
      </c>
      <c r="L103">
        <v>2.8836230688937072E-5</v>
      </c>
      <c r="M103">
        <v>1.8057117682716259E-6</v>
      </c>
      <c r="N103" s="1">
        <v>-2.5420726866439802E-7</v>
      </c>
      <c r="O103" s="1">
        <v>1.5492133804737199E-10</v>
      </c>
      <c r="P103" s="1">
        <v>1.06703741764772E-9</v>
      </c>
      <c r="Q103">
        <v>66.173835684795804</v>
      </c>
      <c r="S103">
        <v>19.1159669862075</v>
      </c>
      <c r="AA103">
        <v>0.33010859270560799</v>
      </c>
      <c r="AB103">
        <v>5.2447602805463598</v>
      </c>
      <c r="AC103">
        <v>9.1353284557446308</v>
      </c>
      <c r="AJ103">
        <v>0.45855604987772403</v>
      </c>
      <c r="AK103">
        <v>1.5949034744818999E-2</v>
      </c>
      <c r="AL103">
        <v>0.52549491537745596</v>
      </c>
    </row>
    <row r="104" spans="1:38" x14ac:dyDescent="0.2">
      <c r="A104">
        <v>110</v>
      </c>
      <c r="B104">
        <v>784</v>
      </c>
      <c r="C104">
        <v>135</v>
      </c>
      <c r="D104">
        <v>0.467918932980182</v>
      </c>
      <c r="E104">
        <v>0.209245663848692</v>
      </c>
      <c r="F104">
        <v>2.56288137210462</v>
      </c>
      <c r="G104">
        <v>-3.4099334036944695</v>
      </c>
      <c r="H104">
        <v>-2.9366866420904167</v>
      </c>
      <c r="I104">
        <v>0.44766283082254499</v>
      </c>
      <c r="J104">
        <v>0.25417774261896497</v>
      </c>
      <c r="K104">
        <v>8.16446934010297E-2</v>
      </c>
      <c r="L104">
        <v>3.0755477107059494E-5</v>
      </c>
      <c r="M104">
        <v>1.820411072239245E-6</v>
      </c>
      <c r="N104" s="1">
        <v>-1.21563503112829E-9</v>
      </c>
      <c r="O104" s="1">
        <v>7.3864017596936901E-13</v>
      </c>
      <c r="P104" s="1">
        <v>5.2887023535646896E-12</v>
      </c>
      <c r="Q104">
        <v>65.563147231719199</v>
      </c>
      <c r="S104">
        <v>21.146901967875401</v>
      </c>
      <c r="AA104">
        <v>2.1481465495719401</v>
      </c>
      <c r="AB104">
        <v>9.2082339006744203</v>
      </c>
      <c r="AC104">
        <v>1.9335703501589201</v>
      </c>
      <c r="AJ104">
        <v>0.78922439287153101</v>
      </c>
      <c r="AK104">
        <v>0.10174166811273801</v>
      </c>
      <c r="AL104">
        <v>0.10903393901573</v>
      </c>
    </row>
    <row r="105" spans="1:38" x14ac:dyDescent="0.2">
      <c r="A105">
        <v>111</v>
      </c>
      <c r="B105">
        <v>783</v>
      </c>
      <c r="C105">
        <v>135</v>
      </c>
      <c r="D105">
        <v>0.46734886143066801</v>
      </c>
      <c r="E105">
        <v>0.61842558177000495</v>
      </c>
      <c r="F105">
        <v>2.5624247193389098</v>
      </c>
      <c r="G105">
        <v>-10.075551571363427</v>
      </c>
      <c r="H105">
        <v>-8.6788797399007827</v>
      </c>
      <c r="I105">
        <v>1.32241805753221</v>
      </c>
      <c r="J105">
        <v>0.75127917757554696</v>
      </c>
      <c r="K105">
        <v>0.24134390255552601</v>
      </c>
      <c r="L105">
        <v>3.0782603059689186E-5</v>
      </c>
      <c r="M105">
        <v>1.8213349768754724E-6</v>
      </c>
      <c r="N105" s="1">
        <v>-3.70729226718529E-9</v>
      </c>
      <c r="O105" s="1">
        <v>2.1841011389576302E-12</v>
      </c>
      <c r="P105" s="1">
        <v>1.5965204212205701E-11</v>
      </c>
      <c r="Q105">
        <v>65.604336344939796</v>
      </c>
      <c r="S105">
        <v>21.111057315126999</v>
      </c>
      <c r="AA105">
        <v>2.1089634275557998</v>
      </c>
      <c r="AB105">
        <v>9.2060502137115598</v>
      </c>
      <c r="AC105">
        <v>1.9695926986658201</v>
      </c>
      <c r="AJ105">
        <v>0.78904644368815302</v>
      </c>
      <c r="AK105">
        <v>9.9887022187124197E-2</v>
      </c>
      <c r="AL105">
        <v>0.11106653412472101</v>
      </c>
    </row>
    <row r="106" spans="1:38" x14ac:dyDescent="0.2">
      <c r="A106">
        <v>112</v>
      </c>
      <c r="B106">
        <v>782</v>
      </c>
      <c r="C106">
        <v>135</v>
      </c>
      <c r="D106">
        <v>0.466777709330429</v>
      </c>
      <c r="E106">
        <v>1.0286313786699399</v>
      </c>
      <c r="F106">
        <v>2.5619731473296898</v>
      </c>
      <c r="G106">
        <v>-16.754539819134607</v>
      </c>
      <c r="H106">
        <v>-14.434794715059182</v>
      </c>
      <c r="I106">
        <v>2.19849794254411</v>
      </c>
      <c r="J106">
        <v>1.24970341765349</v>
      </c>
      <c r="K106">
        <v>0.40149967213437399</v>
      </c>
      <c r="L106">
        <v>3.0809245384864774E-5</v>
      </c>
      <c r="M106">
        <v>1.8222274692709306E-6</v>
      </c>
      <c r="N106" s="1">
        <v>-6.3611742896283702E-9</v>
      </c>
      <c r="O106" s="1">
        <v>3.6344856230664699E-12</v>
      </c>
      <c r="P106" s="1">
        <v>2.7123835647774702E-11</v>
      </c>
      <c r="Q106">
        <v>65.644290229867906</v>
      </c>
      <c r="S106">
        <v>21.0759203409355</v>
      </c>
      <c r="AA106">
        <v>2.0706523712306102</v>
      </c>
      <c r="AB106">
        <v>9.2029691580711805</v>
      </c>
      <c r="AC106">
        <v>2.0061678998946202</v>
      </c>
      <c r="AJ106">
        <v>0.78879507365889701</v>
      </c>
      <c r="AK106">
        <v>9.80740719948478E-2</v>
      </c>
      <c r="AL106">
        <v>0.113130854346254</v>
      </c>
    </row>
    <row r="107" spans="1:38" x14ac:dyDescent="0.2">
      <c r="A107">
        <v>113</v>
      </c>
      <c r="B107">
        <v>781</v>
      </c>
      <c r="C107">
        <v>135</v>
      </c>
      <c r="D107">
        <v>0.46620547360432502</v>
      </c>
      <c r="E107">
        <v>1.43971605537541</v>
      </c>
      <c r="F107">
        <v>2.56152654889206</v>
      </c>
      <c r="G107">
        <v>-23.444465102855492</v>
      </c>
      <c r="H107">
        <v>-20.202347599403861</v>
      </c>
      <c r="I107">
        <v>3.07557511118116</v>
      </c>
      <c r="J107">
        <v>1.7492738051605301</v>
      </c>
      <c r="K107">
        <v>0.56205392678757504</v>
      </c>
      <c r="L107">
        <v>3.0835419906304361E-5</v>
      </c>
      <c r="M107">
        <v>1.8230889833970583E-6</v>
      </c>
      <c r="N107" s="1">
        <v>-9.1823574899438203E-9</v>
      </c>
      <c r="O107" s="1">
        <v>5.0891703628257E-12</v>
      </c>
      <c r="P107" s="1">
        <v>3.87778155309386E-11</v>
      </c>
      <c r="Q107">
        <v>65.6830250217849</v>
      </c>
      <c r="S107">
        <v>21.041479508721899</v>
      </c>
      <c r="AA107">
        <v>2.0332000978532099</v>
      </c>
      <c r="AB107">
        <v>9.1989964457198692</v>
      </c>
      <c r="AC107">
        <v>2.0432989259200198</v>
      </c>
      <c r="AJ107">
        <v>0.78847074335840195</v>
      </c>
      <c r="AK107">
        <v>9.6302163599385301E-2</v>
      </c>
      <c r="AL107">
        <v>0.115227093042212</v>
      </c>
    </row>
    <row r="108" spans="1:38" x14ac:dyDescent="0.2">
      <c r="A108">
        <v>114</v>
      </c>
      <c r="B108">
        <v>780</v>
      </c>
      <c r="C108">
        <v>135</v>
      </c>
      <c r="D108">
        <v>0.46563215116555001</v>
      </c>
      <c r="E108">
        <v>1.85153609434953</v>
      </c>
      <c r="F108">
        <v>2.5610848054252902</v>
      </c>
      <c r="G108">
        <v>-30.142953072424042</v>
      </c>
      <c r="H108">
        <v>-25.979503267985336</v>
      </c>
      <c r="I108">
        <v>3.9533302990444898</v>
      </c>
      <c r="J108">
        <v>2.2498180763642002</v>
      </c>
      <c r="K108">
        <v>0.72294993528809204</v>
      </c>
      <c r="L108">
        <v>3.0861143339810014E-5</v>
      </c>
      <c r="M108">
        <v>1.8239199840225202E-6</v>
      </c>
      <c r="N108" s="1">
        <v>-1.2176063836127201E-8</v>
      </c>
      <c r="O108" s="1">
        <v>6.5475431691964996E-12</v>
      </c>
      <c r="P108" s="1">
        <v>5.0940783264552497E-11</v>
      </c>
      <c r="Q108">
        <v>65.720558215182507</v>
      </c>
      <c r="S108">
        <v>21.0077222928815</v>
      </c>
      <c r="AA108">
        <v>1.99659219157088</v>
      </c>
      <c r="AB108">
        <v>9.1941382246938108</v>
      </c>
      <c r="AC108">
        <v>2.0809890756712299</v>
      </c>
      <c r="AJ108">
        <v>0.78807394719021495</v>
      </c>
      <c r="AK108">
        <v>9.4570590429263302E-2</v>
      </c>
      <c r="AL108">
        <v>0.117355462380521</v>
      </c>
    </row>
    <row r="109" spans="1:38" x14ac:dyDescent="0.2">
      <c r="A109">
        <v>115</v>
      </c>
      <c r="B109">
        <v>779</v>
      </c>
      <c r="C109">
        <v>135</v>
      </c>
      <c r="D109">
        <v>0.46505773891555402</v>
      </c>
      <c r="E109">
        <v>2.2639520977263898</v>
      </c>
      <c r="F109">
        <v>2.5606477881584202</v>
      </c>
      <c r="G109">
        <v>-36.847698370529422</v>
      </c>
      <c r="H109">
        <v>-31.764284350327895</v>
      </c>
      <c r="I109">
        <v>4.8314537092634202</v>
      </c>
      <c r="J109">
        <v>2.7511691479475799</v>
      </c>
      <c r="K109">
        <v>0.88413256528130002</v>
      </c>
      <c r="L109">
        <v>3.088643321501312E-5</v>
      </c>
      <c r="M109">
        <v>1.8247209628796514E-6</v>
      </c>
      <c r="N109" s="1">
        <v>-1.5347672986369001E-8</v>
      </c>
      <c r="O109" s="1">
        <v>8.0090054196690199E-12</v>
      </c>
      <c r="P109" s="1">
        <v>6.3626837991876997E-11</v>
      </c>
      <c r="Q109">
        <v>65.7569085005575</v>
      </c>
      <c r="S109">
        <v>20.9746352939943</v>
      </c>
      <c r="AA109">
        <v>1.9608132365532001</v>
      </c>
      <c r="AB109">
        <v>9.1884010174414996</v>
      </c>
      <c r="AC109">
        <v>2.11924195145341</v>
      </c>
      <c r="AJ109">
        <v>0.78760520839100001</v>
      </c>
      <c r="AK109">
        <v>9.2878599582573704E-2</v>
      </c>
      <c r="AL109">
        <v>0.11951619202642499</v>
      </c>
    </row>
    <row r="110" spans="1:38" x14ac:dyDescent="0.2">
      <c r="A110">
        <v>116</v>
      </c>
      <c r="B110">
        <v>778</v>
      </c>
      <c r="C110">
        <v>135</v>
      </c>
      <c r="D110">
        <v>0.464482233743996</v>
      </c>
      <c r="E110">
        <v>2.6768293429729701</v>
      </c>
      <c r="F110">
        <v>2.5602153595221</v>
      </c>
      <c r="G110">
        <v>-43.556473580772895</v>
      </c>
      <c r="H110">
        <v>-37.554778990599765</v>
      </c>
      <c r="I110">
        <v>5.7096461876736102</v>
      </c>
      <c r="J110">
        <v>3.2531658032484798</v>
      </c>
      <c r="K110">
        <v>1.0455485055259599</v>
      </c>
      <c r="L110">
        <v>3.091130780301857E-5</v>
      </c>
      <c r="M110">
        <v>1.8254924349124652E-6</v>
      </c>
      <c r="N110" s="1">
        <v>-1.87027348735614E-8</v>
      </c>
      <c r="O110" s="1">
        <v>9.4729742293031593E-12</v>
      </c>
      <c r="P110" s="1">
        <v>7.6850578431815598E-11</v>
      </c>
      <c r="Q110">
        <v>65.792095600396706</v>
      </c>
      <c r="S110">
        <v>20.9422043583793</v>
      </c>
      <c r="AA110">
        <v>1.92584695389556</v>
      </c>
      <c r="AB110">
        <v>9.1817916687523198</v>
      </c>
      <c r="AC110">
        <v>2.1580614185759899</v>
      </c>
      <c r="AJ110">
        <v>0.78706507482119104</v>
      </c>
      <c r="AK110">
        <v>9.1225398299780505E-2</v>
      </c>
      <c r="AL110">
        <v>0.121709526879027</v>
      </c>
    </row>
    <row r="111" spans="1:38" x14ac:dyDescent="0.2">
      <c r="A111">
        <v>117</v>
      </c>
      <c r="B111">
        <v>777</v>
      </c>
      <c r="C111">
        <v>135</v>
      </c>
      <c r="D111">
        <v>0.46390563252868899</v>
      </c>
      <c r="E111">
        <v>3.09003825673526</v>
      </c>
      <c r="F111">
        <v>2.55978737461131</v>
      </c>
      <c r="G111">
        <v>-50.267136838526135</v>
      </c>
      <c r="H111">
        <v>-43.349147466795408</v>
      </c>
      <c r="I111">
        <v>6.5876202178076699</v>
      </c>
      <c r="J111">
        <v>3.7556532790722499</v>
      </c>
      <c r="K111">
        <v>1.2071464557498399</v>
      </c>
      <c r="L111">
        <v>3.0935786051078998E-5</v>
      </c>
      <c r="M111">
        <v>1.8262349346695038E-6</v>
      </c>
      <c r="N111" s="1">
        <v>-2.2246982732110599E-8</v>
      </c>
      <c r="O111" s="1">
        <v>1.0938884301507099E-11</v>
      </c>
      <c r="P111" s="1">
        <v>9.0627143254412206E-11</v>
      </c>
      <c r="Q111">
        <v>65.826140107429694</v>
      </c>
      <c r="S111">
        <v>20.9104146994136</v>
      </c>
      <c r="AA111">
        <v>1.89167633945082</v>
      </c>
      <c r="AB111">
        <v>9.1743173033655605</v>
      </c>
      <c r="AC111">
        <v>2.1974515503402099</v>
      </c>
      <c r="AJ111">
        <v>0.786454115549302</v>
      </c>
      <c r="AK111">
        <v>8.9610160471579201E-2</v>
      </c>
      <c r="AL111">
        <v>0.12393572397911801</v>
      </c>
    </row>
    <row r="112" spans="1:38" x14ac:dyDescent="0.2">
      <c r="A112">
        <v>118</v>
      </c>
      <c r="B112">
        <v>776</v>
      </c>
      <c r="C112">
        <v>135</v>
      </c>
      <c r="D112">
        <v>0.46332793213554102</v>
      </c>
      <c r="E112">
        <v>3.5034547848301099</v>
      </c>
      <c r="F112">
        <v>2.5593636828367798</v>
      </c>
      <c r="G112">
        <v>-56.977637752816698</v>
      </c>
      <c r="H112">
        <v>-49.145627364408497</v>
      </c>
      <c r="I112">
        <v>7.46510068951837</v>
      </c>
      <c r="J112">
        <v>4.2584837265768503</v>
      </c>
      <c r="K112">
        <v>1.3688772753651399</v>
      </c>
      <c r="L112">
        <v>3.0959887528736159E-5</v>
      </c>
      <c r="M112">
        <v>1.8269490128683182E-6</v>
      </c>
      <c r="N112" s="1">
        <v>-2.5986346397261599E-8</v>
      </c>
      <c r="O112" s="1">
        <v>1.24061893755831E-11</v>
      </c>
      <c r="P112" s="1">
        <v>1.04972251312289E-10</v>
      </c>
      <c r="Q112">
        <v>65.859063323501601</v>
      </c>
      <c r="S112">
        <v>20.879251024845701</v>
      </c>
      <c r="AA112">
        <v>1.8582838064606599</v>
      </c>
      <c r="AB112">
        <v>9.1659853006755796</v>
      </c>
      <c r="AC112">
        <v>2.2374165445163801</v>
      </c>
      <c r="AJ112">
        <v>0.78577291883627598</v>
      </c>
      <c r="AK112">
        <v>8.8032033363396101E-2</v>
      </c>
      <c r="AL112">
        <v>0.126195047800327</v>
      </c>
    </row>
    <row r="113" spans="1:38" x14ac:dyDescent="0.2">
      <c r="A113">
        <v>119</v>
      </c>
      <c r="B113">
        <v>775</v>
      </c>
      <c r="C113">
        <v>135</v>
      </c>
      <c r="D113">
        <v>0.46274912941850099</v>
      </c>
      <c r="E113">
        <v>3.9169606758236299</v>
      </c>
      <c r="F113">
        <v>2.5589441296131001</v>
      </c>
      <c r="G113">
        <v>-63.686021926552598</v>
      </c>
      <c r="H113">
        <v>-54.942537550353883</v>
      </c>
      <c r="I113">
        <v>8.3418254793671807</v>
      </c>
      <c r="J113">
        <v>4.7615165675214097</v>
      </c>
      <c r="K113">
        <v>1.5306940978097301</v>
      </c>
      <c r="L113">
        <v>3.0983632383744394E-5</v>
      </c>
      <c r="M113">
        <v>1.8276352332235573E-6</v>
      </c>
      <c r="N113" s="1">
        <v>-2.9926965939632898E-8</v>
      </c>
      <c r="O113" s="1">
        <v>1.38743633319453E-11</v>
      </c>
      <c r="P113" s="1">
        <v>1.1990224204584099E-10</v>
      </c>
      <c r="Q113">
        <v>65.890887106159298</v>
      </c>
      <c r="S113">
        <v>20.848697661642699</v>
      </c>
      <c r="AA113">
        <v>1.82565132435261</v>
      </c>
      <c r="AB113">
        <v>9.1568032801604193</v>
      </c>
      <c r="AC113">
        <v>2.2779606276848599</v>
      </c>
      <c r="AJ113">
        <v>0.78502209099876397</v>
      </c>
      <c r="AK113">
        <v>8.6490144152058704E-2</v>
      </c>
      <c r="AL113">
        <v>0.12848776484917601</v>
      </c>
    </row>
    <row r="114" spans="1:38" x14ac:dyDescent="0.2">
      <c r="A114">
        <v>120</v>
      </c>
      <c r="B114">
        <v>774</v>
      </c>
      <c r="C114">
        <v>135</v>
      </c>
      <c r="D114">
        <v>0.46216922121950399</v>
      </c>
      <c r="E114">
        <v>5.2520405297746198</v>
      </c>
      <c r="F114">
        <v>2.5572437580974499</v>
      </c>
      <c r="G114">
        <v>-85.332963378989135</v>
      </c>
      <c r="H114">
        <v>-73.627009107040209</v>
      </c>
      <c r="I114">
        <v>11.1788705266188</v>
      </c>
      <c r="J114">
        <v>6.3829289489496501</v>
      </c>
      <c r="K114">
        <v>2.0537895588342501</v>
      </c>
      <c r="L114">
        <v>3.0982640998903949E-5</v>
      </c>
      <c r="M114">
        <v>1.8288210315444691E-6</v>
      </c>
      <c r="N114" s="1">
        <v>-4.0968010276278897E-8</v>
      </c>
      <c r="O114" s="1">
        <v>1.8648353427358799E-11</v>
      </c>
      <c r="P114" s="1">
        <v>1.6316143031906899E-10</v>
      </c>
      <c r="Q114">
        <v>65.973256126976494</v>
      </c>
      <c r="S114">
        <v>20.751588628875002</v>
      </c>
      <c r="AA114">
        <v>1.72631569305122</v>
      </c>
      <c r="AB114">
        <v>9.0857742721650006</v>
      </c>
      <c r="AC114">
        <v>2.4630652789321701</v>
      </c>
      <c r="AJ114">
        <v>0.779209033628528</v>
      </c>
      <c r="AK114">
        <v>8.1813136877559103E-2</v>
      </c>
      <c r="AL114">
        <v>0.13897782949391199</v>
      </c>
    </row>
    <row r="115" spans="1:38" x14ac:dyDescent="0.2">
      <c r="A115">
        <v>121</v>
      </c>
      <c r="B115">
        <v>773</v>
      </c>
      <c r="C115">
        <v>135</v>
      </c>
      <c r="D115">
        <v>0.46158820436839998</v>
      </c>
      <c r="E115">
        <v>6.8395904750845604</v>
      </c>
      <c r="F115">
        <v>2.5550808188478702</v>
      </c>
      <c r="G115">
        <v>-111.02610963421763</v>
      </c>
      <c r="H115">
        <v>-95.805871137326221</v>
      </c>
      <c r="I115">
        <v>14.5488108750097</v>
      </c>
      <c r="J115">
        <v>8.30874242103204</v>
      </c>
      <c r="K115">
        <v>2.6768587610346701</v>
      </c>
      <c r="L115">
        <v>3.0959291266082379E-5</v>
      </c>
      <c r="M115">
        <v>1.8298096970595711E-6</v>
      </c>
      <c r="N115" s="1">
        <v>-5.4176160236354697E-8</v>
      </c>
      <c r="O115" s="1">
        <v>2.4361522778523901E-11</v>
      </c>
      <c r="P115" s="1">
        <v>2.1477747888116701E-10</v>
      </c>
      <c r="Q115">
        <v>66.061160660662196</v>
      </c>
      <c r="S115">
        <v>20.6357553279922</v>
      </c>
      <c r="AA115">
        <v>1.61024071258117</v>
      </c>
      <c r="AB115">
        <v>8.9779927546102094</v>
      </c>
      <c r="AC115">
        <v>2.71485054415403</v>
      </c>
      <c r="AJ115">
        <v>0.77037967348745096</v>
      </c>
      <c r="AK115">
        <v>7.6353185022036002E-2</v>
      </c>
      <c r="AL115">
        <v>0.15326714149051199</v>
      </c>
    </row>
    <row r="116" spans="1:38" x14ac:dyDescent="0.2">
      <c r="A116">
        <v>122</v>
      </c>
      <c r="B116">
        <v>772</v>
      </c>
      <c r="C116">
        <v>135</v>
      </c>
      <c r="D116">
        <v>0.46100607568291702</v>
      </c>
      <c r="E116">
        <v>8.7648871280972607</v>
      </c>
      <c r="F116">
        <v>2.55222423888288</v>
      </c>
      <c r="G116">
        <v>-142.10492600713599</v>
      </c>
      <c r="H116">
        <v>-122.63380497679728</v>
      </c>
      <c r="I116">
        <v>18.629977544217201</v>
      </c>
      <c r="J116">
        <v>10.639642324870699</v>
      </c>
      <c r="K116">
        <v>3.4342151424491001</v>
      </c>
      <c r="L116">
        <v>3.0897403166578002E-5</v>
      </c>
      <c r="M116">
        <v>1.8303818282048738E-6</v>
      </c>
      <c r="N116" s="1">
        <v>-6.9864034173377705E-8</v>
      </c>
      <c r="O116" s="1">
        <v>3.1351218772937002E-11</v>
      </c>
      <c r="P116" s="1">
        <v>2.7631678927081201E-10</v>
      </c>
      <c r="Q116">
        <v>66.153318222492601</v>
      </c>
      <c r="S116">
        <v>20.493296686250702</v>
      </c>
      <c r="AA116">
        <v>1.47120716730606</v>
      </c>
      <c r="AB116">
        <v>8.8098870896455708</v>
      </c>
      <c r="AC116">
        <v>3.0722908343050501</v>
      </c>
      <c r="AJ116">
        <v>0.75658895812528404</v>
      </c>
      <c r="AK116">
        <v>6.9819105218330499E-2</v>
      </c>
      <c r="AL116">
        <v>0.173591936656384</v>
      </c>
    </row>
    <row r="117" spans="1:38" x14ac:dyDescent="0.2">
      <c r="A117">
        <v>123</v>
      </c>
      <c r="B117">
        <v>771</v>
      </c>
      <c r="C117">
        <v>135</v>
      </c>
      <c r="D117">
        <v>0.46042283196858502</v>
      </c>
      <c r="E117">
        <v>9.9780755167145703</v>
      </c>
      <c r="F117">
        <v>2.5520187627431601</v>
      </c>
      <c r="G117">
        <v>-161.70650650195159</v>
      </c>
      <c r="H117">
        <v>-139.57721260972895</v>
      </c>
      <c r="I117">
        <v>21.193596602233999</v>
      </c>
      <c r="J117">
        <v>12.109460279972</v>
      </c>
      <c r="K117">
        <v>3.9098754532623801</v>
      </c>
      <c r="L117">
        <v>3.085826793366322E-5</v>
      </c>
      <c r="M117">
        <v>1.8292024149681772E-6</v>
      </c>
      <c r="N117" s="1">
        <v>-8.1107587648420805E-8</v>
      </c>
      <c r="O117" s="1">
        <v>3.5684934046256798E-11</v>
      </c>
      <c r="P117" s="1">
        <v>3.1909567578824799E-10</v>
      </c>
      <c r="Q117">
        <v>66.116050961158905</v>
      </c>
      <c r="S117">
        <v>20.4960214371897</v>
      </c>
      <c r="AA117">
        <v>1.4821509206860599</v>
      </c>
      <c r="AB117">
        <v>8.73398228478273</v>
      </c>
      <c r="AC117">
        <v>3.1717943961824999</v>
      </c>
      <c r="AJ117">
        <v>0.75035325996311697</v>
      </c>
      <c r="AK117">
        <v>7.0364998939043799E-2</v>
      </c>
      <c r="AL117">
        <v>0.17928174109783801</v>
      </c>
    </row>
    <row r="118" spans="1:38" x14ac:dyDescent="0.2">
      <c r="A118">
        <v>123</v>
      </c>
      <c r="B118">
        <v>771</v>
      </c>
      <c r="C118">
        <v>135</v>
      </c>
      <c r="D118">
        <v>0.46042283196858502</v>
      </c>
      <c r="E118">
        <v>6.2217397084136099</v>
      </c>
      <c r="F118">
        <v>2.52277097559202</v>
      </c>
      <c r="G118">
        <v>-99.348937186781853</v>
      </c>
      <c r="H118">
        <v>-85.680510650770017</v>
      </c>
      <c r="I118">
        <v>13.090481766041099</v>
      </c>
      <c r="J118">
        <v>7.4395987561891701</v>
      </c>
      <c r="K118">
        <v>2.46623247556332</v>
      </c>
      <c r="L118">
        <v>2.9148055624076718E-5</v>
      </c>
      <c r="M118">
        <v>1.8132460095286532E-6</v>
      </c>
      <c r="N118" s="1">
        <v>-2.9549578107653299E-8</v>
      </c>
      <c r="O118" s="1">
        <v>2.3396718741256099E-11</v>
      </c>
      <c r="P118" s="1">
        <v>1.35900861070408E-10</v>
      </c>
      <c r="Q118">
        <v>66.352347697196905</v>
      </c>
      <c r="S118">
        <v>19.239156966106702</v>
      </c>
      <c r="AA118">
        <v>0.39008824980866103</v>
      </c>
      <c r="AB118">
        <v>5.9655232768462199</v>
      </c>
      <c r="AC118">
        <v>8.0528838100413704</v>
      </c>
      <c r="AJ118">
        <v>0.51967684642463696</v>
      </c>
      <c r="AK118">
        <v>1.8778395524029701E-2</v>
      </c>
      <c r="AL118">
        <v>0.46154475805133199</v>
      </c>
    </row>
    <row r="119" spans="1:38" x14ac:dyDescent="0.2">
      <c r="A119">
        <v>124</v>
      </c>
      <c r="B119">
        <v>770</v>
      </c>
      <c r="C119">
        <v>135</v>
      </c>
      <c r="D119">
        <v>0.45983847001869499</v>
      </c>
      <c r="E119">
        <v>10.6506843086645</v>
      </c>
      <c r="F119">
        <v>2.5539695271101199</v>
      </c>
      <c r="G119">
        <v>-172.66898089703068</v>
      </c>
      <c r="H119">
        <v>-149.08355098666578</v>
      </c>
      <c r="I119">
        <v>22.6098163354885</v>
      </c>
      <c r="J119">
        <v>12.9307989999939</v>
      </c>
      <c r="K119">
        <v>4.1702472154066896</v>
      </c>
      <c r="L119">
        <v>3.0873539699220035E-5</v>
      </c>
      <c r="M119">
        <v>1.8275049905808954E-6</v>
      </c>
      <c r="N119" s="1">
        <v>-8.9802047346299598E-8</v>
      </c>
      <c r="O119" s="1">
        <v>3.7948258306823298E-11</v>
      </c>
      <c r="P119" s="1">
        <v>3.5011925171744801E-10</v>
      </c>
      <c r="Q119">
        <v>66.004263902603896</v>
      </c>
      <c r="S119">
        <v>20.605899861832899</v>
      </c>
      <c r="AA119">
        <v>1.5988857279686199</v>
      </c>
      <c r="AB119">
        <v>8.7729313939475499</v>
      </c>
      <c r="AC119">
        <v>3.0180191136468699</v>
      </c>
      <c r="AJ119">
        <v>0.75355159721063103</v>
      </c>
      <c r="AK119">
        <v>7.58920838433291E-2</v>
      </c>
      <c r="AL119">
        <v>0.17055631894603901</v>
      </c>
    </row>
    <row r="120" spans="1:38" x14ac:dyDescent="0.2">
      <c r="A120">
        <v>124</v>
      </c>
      <c r="B120">
        <v>770</v>
      </c>
      <c r="C120">
        <v>135</v>
      </c>
      <c r="D120">
        <v>0.45983847001869499</v>
      </c>
      <c r="E120">
        <v>14.111457401215601</v>
      </c>
      <c r="F120">
        <v>2.5222724297260899</v>
      </c>
      <c r="G120">
        <v>-225.16140500997349</v>
      </c>
      <c r="H120">
        <v>-194.22688704907225</v>
      </c>
      <c r="I120">
        <v>29.654908652543899</v>
      </c>
      <c r="J120">
        <v>16.8624429841433</v>
      </c>
      <c r="K120">
        <v>5.5947395828086801</v>
      </c>
      <c r="L120">
        <v>2.9062247972128634E-5</v>
      </c>
      <c r="M120">
        <v>1.8117608517896868E-6</v>
      </c>
      <c r="N120" s="1">
        <v>-6.6980118582631506E-8</v>
      </c>
      <c r="O120" s="1">
        <v>5.3121190406353699E-11</v>
      </c>
      <c r="P120" s="1">
        <v>3.0796698070114803E-10</v>
      </c>
      <c r="Q120">
        <v>66.313626953716096</v>
      </c>
      <c r="S120">
        <v>19.2181754126591</v>
      </c>
      <c r="AA120">
        <v>0.38181320952519199</v>
      </c>
      <c r="AB120">
        <v>5.8242303059715699</v>
      </c>
      <c r="AC120">
        <v>8.2621541181279206</v>
      </c>
      <c r="AJ120">
        <v>0.507730195269953</v>
      </c>
      <c r="AK120">
        <v>1.83931533686164E-2</v>
      </c>
      <c r="AL120">
        <v>0.47387665136142898</v>
      </c>
    </row>
    <row r="121" spans="1:38" x14ac:dyDescent="0.2">
      <c r="A121">
        <v>125</v>
      </c>
      <c r="B121">
        <v>769</v>
      </c>
      <c r="C121">
        <v>135</v>
      </c>
      <c r="D121">
        <v>0.45925298661421299</v>
      </c>
      <c r="E121">
        <v>12.2356307001765</v>
      </c>
      <c r="F121">
        <v>2.55629069656506</v>
      </c>
      <c r="G121">
        <v>-198.44651838953934</v>
      </c>
      <c r="H121">
        <v>-171.39357379202278</v>
      </c>
      <c r="I121">
        <v>25.9587819387962</v>
      </c>
      <c r="J121">
        <v>14.8605235166653</v>
      </c>
      <c r="K121">
        <v>4.7864785944015704</v>
      </c>
      <c r="L121">
        <v>3.0874666358856646E-5</v>
      </c>
      <c r="M121">
        <v>1.8250626137695696E-6</v>
      </c>
      <c r="N121" s="1">
        <v>-1.0688000539653E-7</v>
      </c>
      <c r="O121" s="1">
        <v>4.34025869808922E-11</v>
      </c>
      <c r="P121" s="1">
        <v>4.1318166512314598E-10</v>
      </c>
      <c r="Q121">
        <v>65.857494116531598</v>
      </c>
      <c r="S121">
        <v>20.742876543270601</v>
      </c>
      <c r="AA121">
        <v>1.74613961579222</v>
      </c>
      <c r="AB121">
        <v>8.8049649737393096</v>
      </c>
      <c r="AC121">
        <v>2.8485247506661402</v>
      </c>
      <c r="AJ121">
        <v>0.75618028769847401</v>
      </c>
      <c r="AK121">
        <v>8.2868117867722801E-2</v>
      </c>
      <c r="AL121">
        <v>0.160951594433802</v>
      </c>
    </row>
    <row r="122" spans="1:38" x14ac:dyDescent="0.2">
      <c r="A122">
        <v>125</v>
      </c>
      <c r="B122">
        <v>769</v>
      </c>
      <c r="C122">
        <v>135</v>
      </c>
      <c r="D122">
        <v>0.45925298661421299</v>
      </c>
      <c r="E122">
        <v>23.924234755749399</v>
      </c>
      <c r="F122">
        <v>2.5217514519487998</v>
      </c>
      <c r="G122">
        <v>-381.4117062253008</v>
      </c>
      <c r="H122">
        <v>-329.08463032291274</v>
      </c>
      <c r="I122">
        <v>50.210695103764202</v>
      </c>
      <c r="J122">
        <v>28.565958407840501</v>
      </c>
      <c r="K122">
        <v>9.4871501857412497</v>
      </c>
      <c r="L122">
        <v>2.8961630936962624E-5</v>
      </c>
      <c r="M122">
        <v>1.8100327930415941E-6</v>
      </c>
      <c r="N122" s="1">
        <v>-1.1278622775259199E-7</v>
      </c>
      <c r="O122" s="1">
        <v>9.0169972398873594E-11</v>
      </c>
      <c r="P122" s="1">
        <v>5.1958183929656903E-10</v>
      </c>
      <c r="Q122">
        <v>66.267368025863405</v>
      </c>
      <c r="S122">
        <v>19.195908506175599</v>
      </c>
      <c r="AA122">
        <v>0.37423667209582601</v>
      </c>
      <c r="AB122">
        <v>5.6627691753146996</v>
      </c>
      <c r="AC122">
        <v>8.4997176205503493</v>
      </c>
      <c r="AJ122">
        <v>0.49405737881935602</v>
      </c>
      <c r="AK122">
        <v>1.8042871802953601E-2</v>
      </c>
      <c r="AL122">
        <v>0.48789974937768898</v>
      </c>
    </row>
    <row r="123" spans="1:38" x14ac:dyDescent="0.2">
      <c r="A123">
        <v>126</v>
      </c>
      <c r="B123">
        <v>768</v>
      </c>
      <c r="C123">
        <v>135</v>
      </c>
      <c r="D123">
        <v>0.45866637852374798</v>
      </c>
      <c r="E123">
        <v>14.219131859299701</v>
      </c>
      <c r="F123">
        <v>2.55844052685763</v>
      </c>
      <c r="G123">
        <v>-230.69575222798244</v>
      </c>
      <c r="H123">
        <v>-199.30757476183416</v>
      </c>
      <c r="I123">
        <v>30.147603578877401</v>
      </c>
      <c r="J123">
        <v>17.2748005755906</v>
      </c>
      <c r="K123">
        <v>5.5577339828822101</v>
      </c>
      <c r="L123">
        <v>3.0867913004042629E-5</v>
      </c>
      <c r="M123">
        <v>1.8225209821711583E-6</v>
      </c>
      <c r="N123" s="1">
        <v>-1.2842008554339E-7</v>
      </c>
      <c r="O123" s="1">
        <v>5.0226069085860097E-11</v>
      </c>
      <c r="P123" s="1">
        <v>4.9257125734611603E-10</v>
      </c>
      <c r="Q123">
        <v>65.711983539050394</v>
      </c>
      <c r="S123">
        <v>20.8737322825272</v>
      </c>
      <c r="AA123">
        <v>1.8880498445327301</v>
      </c>
      <c r="AB123">
        <v>8.8237577866559107</v>
      </c>
      <c r="AC123">
        <v>2.7024765472336001</v>
      </c>
      <c r="AJ123">
        <v>0.757721133852995</v>
      </c>
      <c r="AK123">
        <v>8.9594235524090404E-2</v>
      </c>
      <c r="AL123">
        <v>0.15268463062291401</v>
      </c>
    </row>
    <row r="124" spans="1:38" x14ac:dyDescent="0.2">
      <c r="A124">
        <v>126</v>
      </c>
      <c r="B124">
        <v>768</v>
      </c>
      <c r="C124">
        <v>135</v>
      </c>
      <c r="D124">
        <v>0.45866637852374798</v>
      </c>
      <c r="E124">
        <v>32.997784086889098</v>
      </c>
      <c r="F124">
        <v>2.5213294905743999</v>
      </c>
      <c r="G124">
        <v>-525.66279459692362</v>
      </c>
      <c r="H124">
        <v>-453.64879021252119</v>
      </c>
      <c r="I124">
        <v>69.167751413727402</v>
      </c>
      <c r="J124">
        <v>39.372669013696402</v>
      </c>
      <c r="K124">
        <v>13.0874541428425</v>
      </c>
      <c r="L124">
        <v>2.8872453445381965E-5</v>
      </c>
      <c r="M124">
        <v>1.8085029665138598E-6</v>
      </c>
      <c r="N124" s="1">
        <v>-1.5507432264590699E-7</v>
      </c>
      <c r="O124" s="1">
        <v>1.24497713914971E-10</v>
      </c>
      <c r="P124" s="1">
        <v>7.1485405975025997E-10</v>
      </c>
      <c r="Q124">
        <v>66.225275356598104</v>
      </c>
      <c r="S124">
        <v>19.176508435745198</v>
      </c>
      <c r="AA124">
        <v>0.36805316427933799</v>
      </c>
      <c r="AB124">
        <v>5.5181081119611699</v>
      </c>
      <c r="AC124">
        <v>8.7120549314161</v>
      </c>
      <c r="AJ124">
        <v>0.48178825829903599</v>
      </c>
      <c r="AK124">
        <v>1.7757726088179802E-2</v>
      </c>
      <c r="AL124">
        <v>0.50045401561278402</v>
      </c>
    </row>
    <row r="125" spans="1:38" x14ac:dyDescent="0.2">
      <c r="A125">
        <v>127</v>
      </c>
      <c r="B125">
        <v>767</v>
      </c>
      <c r="C125">
        <v>135</v>
      </c>
      <c r="D125">
        <v>0.45807864250348701</v>
      </c>
      <c r="E125">
        <v>15.5024572351712</v>
      </c>
      <c r="F125">
        <v>2.5597082522264598</v>
      </c>
      <c r="G125">
        <v>-251.55200585487444</v>
      </c>
      <c r="H125">
        <v>-217.3847538714808</v>
      </c>
      <c r="I125">
        <v>32.848389158672902</v>
      </c>
      <c r="J125">
        <v>18.838657983128002</v>
      </c>
      <c r="K125">
        <v>6.0563375617854103</v>
      </c>
      <c r="L125">
        <v>3.0873504804714144E-5</v>
      </c>
      <c r="M125">
        <v>1.8210747183996594E-6</v>
      </c>
      <c r="N125" s="1">
        <v>-1.4458299197048499E-7</v>
      </c>
      <c r="O125" s="1">
        <v>5.4608356335932303E-11</v>
      </c>
      <c r="P125" s="1">
        <v>5.5041096090179696E-10</v>
      </c>
      <c r="Q125">
        <v>65.626819336145601</v>
      </c>
      <c r="S125">
        <v>20.9497874236657</v>
      </c>
      <c r="AA125">
        <v>1.97066801719297</v>
      </c>
      <c r="AB125">
        <v>8.8333623671421293</v>
      </c>
      <c r="AC125">
        <v>2.6193628558534701</v>
      </c>
      <c r="AJ125">
        <v>0.75850834622837304</v>
      </c>
      <c r="AK125">
        <v>9.3510111716414795E-2</v>
      </c>
      <c r="AL125">
        <v>0.147981542055211</v>
      </c>
    </row>
    <row r="126" spans="1:38" x14ac:dyDescent="0.2">
      <c r="A126">
        <v>127</v>
      </c>
      <c r="B126">
        <v>767</v>
      </c>
      <c r="C126">
        <v>135</v>
      </c>
      <c r="D126">
        <v>0.45807864250348701</v>
      </c>
      <c r="E126">
        <v>37.962765807868998</v>
      </c>
      <c r="F126">
        <v>2.5211068967327499</v>
      </c>
      <c r="G126">
        <v>-604.4484322501894</v>
      </c>
      <c r="H126">
        <v>-521.75827327715706</v>
      </c>
      <c r="I126">
        <v>79.498302142029701</v>
      </c>
      <c r="J126">
        <v>45.280015125899602</v>
      </c>
      <c r="K126">
        <v>15.057975469849</v>
      </c>
      <c r="L126">
        <v>2.882554698685544E-5</v>
      </c>
      <c r="M126">
        <v>1.8076779560871425E-6</v>
      </c>
      <c r="N126" s="1">
        <v>-1.8076078718519299E-7</v>
      </c>
      <c r="O126" s="1">
        <v>1.4329814467349699E-10</v>
      </c>
      <c r="P126" s="1">
        <v>8.2902031667870397E-10</v>
      </c>
      <c r="Q126">
        <v>66.201733256860294</v>
      </c>
      <c r="S126">
        <v>19.164090012822701</v>
      </c>
      <c r="AA126">
        <v>0.36330106534645801</v>
      </c>
      <c r="AB126">
        <v>5.4330892947758498</v>
      </c>
      <c r="AC126">
        <v>8.8377863701946602</v>
      </c>
      <c r="AJ126">
        <v>0.47456920398871799</v>
      </c>
      <c r="AK126">
        <v>1.7535985235862198E-2</v>
      </c>
      <c r="AL126">
        <v>0.50789481077541798</v>
      </c>
    </row>
    <row r="127" spans="1:38" x14ac:dyDescent="0.2">
      <c r="A127">
        <v>128</v>
      </c>
      <c r="B127">
        <v>766</v>
      </c>
      <c r="C127">
        <v>135</v>
      </c>
      <c r="D127">
        <v>0.45748977529712298</v>
      </c>
      <c r="E127">
        <v>16.253600201502799</v>
      </c>
      <c r="F127">
        <v>2.5604356940889801</v>
      </c>
      <c r="G127">
        <v>-263.74690289060982</v>
      </c>
      <c r="H127">
        <v>-227.97944412279918</v>
      </c>
      <c r="I127">
        <v>34.419918941260299</v>
      </c>
      <c r="J127">
        <v>19.756219684484002</v>
      </c>
      <c r="K127">
        <v>6.3479821965558001</v>
      </c>
      <c r="L127">
        <v>3.0890345523842018E-5</v>
      </c>
      <c r="M127">
        <v>1.8203979140757195E-6</v>
      </c>
      <c r="N127" s="1">
        <v>-1.5650174883170501E-7</v>
      </c>
      <c r="O127" s="1">
        <v>5.7148355616170003E-11</v>
      </c>
      <c r="P127" s="1">
        <v>5.9140400562108805E-10</v>
      </c>
      <c r="Q127">
        <v>65.581860281989407</v>
      </c>
      <c r="S127">
        <v>20.9908498917275</v>
      </c>
      <c r="AA127">
        <v>2.0150355544476501</v>
      </c>
      <c r="AB127">
        <v>8.8408241240721903</v>
      </c>
      <c r="AC127">
        <v>2.57143014776315</v>
      </c>
      <c r="AJ127">
        <v>0.75912019734900604</v>
      </c>
      <c r="AK127">
        <v>9.56117570750082E-2</v>
      </c>
      <c r="AL127">
        <v>0.14526804557598499</v>
      </c>
    </row>
    <row r="128" spans="1:38" x14ac:dyDescent="0.2">
      <c r="A128">
        <v>128</v>
      </c>
      <c r="B128">
        <v>766</v>
      </c>
      <c r="C128">
        <v>135</v>
      </c>
      <c r="D128">
        <v>0.45748977529712298</v>
      </c>
      <c r="E128">
        <v>40.503206901854</v>
      </c>
      <c r="F128">
        <v>2.5209896132262002</v>
      </c>
      <c r="G128">
        <v>-644.66700873525531</v>
      </c>
      <c r="H128">
        <v>-556.59842401529818</v>
      </c>
      <c r="I128">
        <v>84.750598777806005</v>
      </c>
      <c r="J128">
        <v>48.3013959963857</v>
      </c>
      <c r="K128">
        <v>16.0663918206392</v>
      </c>
      <c r="L128">
        <v>2.880365155597163E-5</v>
      </c>
      <c r="M128">
        <v>1.807264817284534E-6</v>
      </c>
      <c r="N128" s="1">
        <v>-1.97321772585535E-7</v>
      </c>
      <c r="O128" s="1">
        <v>1.5290898089210299E-10</v>
      </c>
      <c r="P128" s="1">
        <v>8.9733689621211702E-10</v>
      </c>
      <c r="Q128">
        <v>66.189288185851794</v>
      </c>
      <c r="S128">
        <v>19.155561488311001</v>
      </c>
      <c r="AA128">
        <v>0.35916883248403098</v>
      </c>
      <c r="AB128">
        <v>5.3829974855203302</v>
      </c>
      <c r="AC128">
        <v>8.9129840078327494</v>
      </c>
      <c r="AJ128">
        <v>0.47031295217177099</v>
      </c>
      <c r="AK128">
        <v>1.73409224277607E-2</v>
      </c>
      <c r="AL128">
        <v>0.51234612540046698</v>
      </c>
    </row>
    <row r="129" spans="1:38" x14ac:dyDescent="0.2">
      <c r="A129">
        <v>129</v>
      </c>
      <c r="B129">
        <v>765</v>
      </c>
      <c r="C129">
        <v>135</v>
      </c>
      <c r="D129">
        <v>0.45689977363579698</v>
      </c>
      <c r="E129">
        <v>16.701052652464099</v>
      </c>
      <c r="F129">
        <v>2.5608857022829801</v>
      </c>
      <c r="G129">
        <v>-270.99882900173742</v>
      </c>
      <c r="H129">
        <v>-234.30282738184147</v>
      </c>
      <c r="I129">
        <v>35.347494697197803</v>
      </c>
      <c r="J129">
        <v>20.305063670624101</v>
      </c>
      <c r="K129">
        <v>6.5215923684432502</v>
      </c>
      <c r="L129">
        <v>3.0914191037084727E-5</v>
      </c>
      <c r="M129">
        <v>1.8201412867580346E-6</v>
      </c>
      <c r="N129" s="1">
        <v>-1.6602087552045201E-7</v>
      </c>
      <c r="O129" s="1">
        <v>5.8639798570268606E-11</v>
      </c>
      <c r="P129" s="1">
        <v>6.2284120789529105E-10</v>
      </c>
      <c r="Q129">
        <v>65.558337276638895</v>
      </c>
      <c r="S129">
        <v>21.0135897562105</v>
      </c>
      <c r="AA129">
        <v>2.0392849472021699</v>
      </c>
      <c r="AB129">
        <v>8.8480198790281008</v>
      </c>
      <c r="AC129">
        <v>2.5407681409201799</v>
      </c>
      <c r="AJ129">
        <v>0.75971049505870902</v>
      </c>
      <c r="AK129">
        <v>9.6758859393858296E-2</v>
      </c>
      <c r="AL129">
        <v>0.143530645547432</v>
      </c>
    </row>
    <row r="130" spans="1:38" x14ac:dyDescent="0.2">
      <c r="A130">
        <v>129</v>
      </c>
      <c r="B130">
        <v>765</v>
      </c>
      <c r="C130">
        <v>135</v>
      </c>
      <c r="D130">
        <v>0.45689977363579698</v>
      </c>
      <c r="E130">
        <v>41.806869408622802</v>
      </c>
      <c r="F130">
        <v>2.5209226362237702</v>
      </c>
      <c r="G130">
        <v>-665.22914918828417</v>
      </c>
      <c r="H130">
        <v>-574.47823504820406</v>
      </c>
      <c r="I130">
        <v>87.415993970119899</v>
      </c>
      <c r="J130">
        <v>49.851956045241401</v>
      </c>
      <c r="K130">
        <v>16.583955734257401</v>
      </c>
      <c r="L130">
        <v>2.8794536055045848E-5</v>
      </c>
      <c r="M130">
        <v>1.8070584676245852E-6</v>
      </c>
      <c r="N130" s="1">
        <v>-2.0941301930670199E-7</v>
      </c>
      <c r="O130" s="1">
        <v>1.5782539453514701E-10</v>
      </c>
      <c r="P130" s="1">
        <v>9.4281126409152296E-10</v>
      </c>
      <c r="Q130">
        <v>66.182456633483497</v>
      </c>
      <c r="S130">
        <v>19.148950673021901</v>
      </c>
      <c r="AA130">
        <v>0.35530889153300099</v>
      </c>
      <c r="AB130">
        <v>5.3504426256158597</v>
      </c>
      <c r="AC130">
        <v>8.9628411763456306</v>
      </c>
      <c r="AJ130">
        <v>0.467545652856733</v>
      </c>
      <c r="AK130">
        <v>1.7157388218121801E-2</v>
      </c>
      <c r="AL130">
        <v>0.51529695892514404</v>
      </c>
    </row>
    <row r="131" spans="1:38" x14ac:dyDescent="0.2">
      <c r="A131">
        <v>131</v>
      </c>
      <c r="B131">
        <v>796</v>
      </c>
      <c r="C131">
        <v>115</v>
      </c>
      <c r="D131">
        <v>0.49525370621521903</v>
      </c>
      <c r="E131">
        <v>9.3963296755130904E-2</v>
      </c>
      <c r="F131">
        <v>2.5610492000666798</v>
      </c>
      <c r="G131">
        <v>-1.5344816780668384</v>
      </c>
      <c r="H131">
        <v>-1.3181494326734948</v>
      </c>
      <c r="I131">
        <v>0.202340406297847</v>
      </c>
      <c r="J131">
        <v>0.114046562597999</v>
      </c>
      <c r="K131">
        <v>3.6689375882620397E-2</v>
      </c>
      <c r="L131">
        <v>3.0584449519753002E-5</v>
      </c>
      <c r="M131">
        <v>1.8204361144775562E-6</v>
      </c>
      <c r="N131" s="1">
        <v>-3.62453397419248E-10</v>
      </c>
      <c r="O131" s="1">
        <v>3.3334219691085501E-13</v>
      </c>
      <c r="P131" s="1">
        <v>1.8330447386644998E-12</v>
      </c>
      <c r="Q131">
        <v>65.569794782213904</v>
      </c>
      <c r="S131">
        <v>21.146130746235301</v>
      </c>
      <c r="AA131">
        <v>2.1459591687920798</v>
      </c>
      <c r="AB131">
        <v>9.2210257527292203</v>
      </c>
      <c r="AC131">
        <v>1.9170895500294001</v>
      </c>
      <c r="AJ131">
        <v>0.79027064526892998</v>
      </c>
      <c r="AK131">
        <v>0.101631622766158</v>
      </c>
      <c r="AL131">
        <v>0.108097731964911</v>
      </c>
    </row>
    <row r="132" spans="1:38" x14ac:dyDescent="0.2">
      <c r="A132">
        <v>132</v>
      </c>
      <c r="B132">
        <v>795</v>
      </c>
      <c r="C132">
        <v>115</v>
      </c>
      <c r="D132">
        <v>0.49471562982727202</v>
      </c>
      <c r="E132">
        <v>0.48826864882933302</v>
      </c>
      <c r="F132">
        <v>2.5606261344484298</v>
      </c>
      <c r="G132">
        <v>-7.9718309041321218</v>
      </c>
      <c r="H132">
        <v>-6.8492811302002794</v>
      </c>
      <c r="I132">
        <v>1.05092896496919</v>
      </c>
      <c r="J132">
        <v>0.59264408360606402</v>
      </c>
      <c r="K132">
        <v>0.19068330290806201</v>
      </c>
      <c r="L132">
        <v>3.0606239047413339E-5</v>
      </c>
      <c r="M132">
        <v>1.821305619367975E-6</v>
      </c>
      <c r="N132" s="1">
        <v>-1.94843506572606E-9</v>
      </c>
      <c r="O132" s="1">
        <v>1.7331129018815E-12</v>
      </c>
      <c r="P132" s="1">
        <v>9.7163263582555004E-12</v>
      </c>
      <c r="Q132">
        <v>65.608746844294998</v>
      </c>
      <c r="S132">
        <v>21.112430160827099</v>
      </c>
      <c r="AA132">
        <v>2.1090669095860499</v>
      </c>
      <c r="AB132">
        <v>9.2194778685280792</v>
      </c>
      <c r="AC132">
        <v>1.95027821676372</v>
      </c>
      <c r="AJ132">
        <v>0.79014467930018795</v>
      </c>
      <c r="AK132">
        <v>9.9885268650263398E-2</v>
      </c>
      <c r="AL132">
        <v>0.109970052049547</v>
      </c>
    </row>
    <row r="133" spans="1:38" x14ac:dyDescent="0.2">
      <c r="A133">
        <v>133</v>
      </c>
      <c r="B133">
        <v>794</v>
      </c>
      <c r="C133">
        <v>115</v>
      </c>
      <c r="D133">
        <v>0.49417654500304597</v>
      </c>
      <c r="E133">
        <v>0.883262704345113</v>
      </c>
      <c r="F133">
        <v>2.5602083596469698</v>
      </c>
      <c r="G133">
        <v>-14.417317669732679</v>
      </c>
      <c r="H133">
        <v>-12.389548899694553</v>
      </c>
      <c r="I133">
        <v>1.90017220637972</v>
      </c>
      <c r="J133">
        <v>1.0721025161086599</v>
      </c>
      <c r="K133">
        <v>0.34499641445858897</v>
      </c>
      <c r="L133">
        <v>3.0627543936477128E-5</v>
      </c>
      <c r="M133">
        <v>1.8221464362927807E-6</v>
      </c>
      <c r="N133" s="1">
        <v>-3.6447428461898002E-9</v>
      </c>
      <c r="O133" s="1">
        <v>3.1367833257550299E-12</v>
      </c>
      <c r="P133" s="1">
        <v>1.7929535011954501E-11</v>
      </c>
      <c r="Q133">
        <v>65.646560173436001</v>
      </c>
      <c r="S133">
        <v>21.079401776611601</v>
      </c>
      <c r="AA133">
        <v>2.0729949310109701</v>
      </c>
      <c r="AB133">
        <v>9.2171546418455392</v>
      </c>
      <c r="AC133">
        <v>1.9838884770957299</v>
      </c>
      <c r="AJ133">
        <v>0.78995528561449202</v>
      </c>
      <c r="AK133">
        <v>9.8178109648607695E-2</v>
      </c>
      <c r="AL133">
        <v>0.11186660473689999</v>
      </c>
    </row>
    <row r="134" spans="1:38" x14ac:dyDescent="0.2">
      <c r="A134">
        <v>134</v>
      </c>
      <c r="B134">
        <v>793</v>
      </c>
      <c r="C134">
        <v>115</v>
      </c>
      <c r="D134">
        <v>0.49363644890494002</v>
      </c>
      <c r="E134">
        <v>1.27881081452234</v>
      </c>
      <c r="F134">
        <v>2.5597957933519999</v>
      </c>
      <c r="G134">
        <v>-20.868718110441392</v>
      </c>
      <c r="H134">
        <v>-17.937051137913677</v>
      </c>
      <c r="I134">
        <v>2.74976970644629</v>
      </c>
      <c r="J134">
        <v>1.5522591144773601</v>
      </c>
      <c r="K134">
        <v>0.49957532465812998</v>
      </c>
      <c r="L134">
        <v>3.0648378941450872E-5</v>
      </c>
      <c r="M134">
        <v>1.822958999568866E-6</v>
      </c>
      <c r="N134" s="1">
        <v>-5.4545653229322799E-9</v>
      </c>
      <c r="O134" s="1">
        <v>4.5437897310632999E-12</v>
      </c>
      <c r="P134" s="1">
        <v>2.6480716905877999E-11</v>
      </c>
      <c r="Q134">
        <v>65.683250573152606</v>
      </c>
      <c r="S134">
        <v>21.047035232558098</v>
      </c>
      <c r="AA134">
        <v>2.0377309975759599</v>
      </c>
      <c r="AB134">
        <v>9.2140641271794301</v>
      </c>
      <c r="AC134">
        <v>2.0179190695336802</v>
      </c>
      <c r="AJ134">
        <v>0.78970311866644205</v>
      </c>
      <c r="AK134">
        <v>9.6509544276608794E-2</v>
      </c>
      <c r="AL134">
        <v>0.113787337056948</v>
      </c>
    </row>
    <row r="135" spans="1:38" x14ac:dyDescent="0.2">
      <c r="A135">
        <v>135</v>
      </c>
      <c r="B135">
        <v>792</v>
      </c>
      <c r="C135">
        <v>115</v>
      </c>
      <c r="D135">
        <v>0.49309533868469302</v>
      </c>
      <c r="E135">
        <v>1.67478135175591</v>
      </c>
      <c r="F135">
        <v>2.5593883443782799</v>
      </c>
      <c r="G135">
        <v>-27.323859793934265</v>
      </c>
      <c r="H135">
        <v>-23.489928856402276</v>
      </c>
      <c r="I135">
        <v>3.5994281908951602</v>
      </c>
      <c r="J135">
        <v>2.0329549572677901</v>
      </c>
      <c r="K135">
        <v>0.65436781230741503</v>
      </c>
      <c r="L135">
        <v>3.0668759564896459E-5</v>
      </c>
      <c r="M135">
        <v>1.8237437691261415E-6</v>
      </c>
      <c r="N135" s="1">
        <v>-7.3811730021624501E-9</v>
      </c>
      <c r="O135" s="1">
        <v>5.9535783079017999E-12</v>
      </c>
      <c r="P135" s="1">
        <v>3.5378163240261101E-11</v>
      </c>
      <c r="Q135">
        <v>65.718834964761996</v>
      </c>
      <c r="S135">
        <v>21.0153193795616</v>
      </c>
      <c r="AA135">
        <v>2.0032619627971902</v>
      </c>
      <c r="AB135">
        <v>9.21021480394921</v>
      </c>
      <c r="AC135">
        <v>2.0523688889299398</v>
      </c>
      <c r="AJ135">
        <v>0.78938886632589</v>
      </c>
      <c r="AK135">
        <v>9.4878928816302693E-2</v>
      </c>
      <c r="AL135">
        <v>0.115732204857806</v>
      </c>
    </row>
    <row r="136" spans="1:38" x14ac:dyDescent="0.2">
      <c r="A136">
        <v>136</v>
      </c>
      <c r="B136">
        <v>791</v>
      </c>
      <c r="C136">
        <v>115</v>
      </c>
      <c r="D136">
        <v>0.49255321148334702</v>
      </c>
      <c r="E136">
        <v>2.0710462001579599</v>
      </c>
      <c r="F136">
        <v>2.55898591367191</v>
      </c>
      <c r="G136">
        <v>-33.780629656679793</v>
      </c>
      <c r="H136">
        <v>-29.046372535763521</v>
      </c>
      <c r="I136">
        <v>4.4488625860228996</v>
      </c>
      <c r="J136">
        <v>2.5140355511596399</v>
      </c>
      <c r="K136">
        <v>0.80932301701739195</v>
      </c>
      <c r="L136">
        <v>3.0688701989947578E-5</v>
      </c>
      <c r="M136">
        <v>1.8245012272465634E-6</v>
      </c>
      <c r="N136" s="1">
        <v>-9.4279254867644596E-9</v>
      </c>
      <c r="O136" s="1">
        <v>7.3656071114749501E-12</v>
      </c>
      <c r="P136" s="1">
        <v>4.4630434494117803E-11</v>
      </c>
      <c r="Q136">
        <v>65.7533312496695</v>
      </c>
      <c r="S136">
        <v>20.9842423760008</v>
      </c>
      <c r="AA136">
        <v>1.9695738801677201</v>
      </c>
      <c r="AB136">
        <v>9.2056155201279797</v>
      </c>
      <c r="AC136">
        <v>2.0872369740339298</v>
      </c>
      <c r="AJ136">
        <v>0.78901324532274697</v>
      </c>
      <c r="AK136">
        <v>9.3285582571905903E-2</v>
      </c>
      <c r="AL136">
        <v>0.117701172105346</v>
      </c>
    </row>
    <row r="137" spans="1:38" x14ac:dyDescent="0.2">
      <c r="A137">
        <v>137</v>
      </c>
      <c r="B137">
        <v>790</v>
      </c>
      <c r="C137">
        <v>115</v>
      </c>
      <c r="D137">
        <v>0.49201006443117301</v>
      </c>
      <c r="E137">
        <v>2.4674811852863301</v>
      </c>
      <c r="F137">
        <v>2.5585883953397102</v>
      </c>
      <c r="G137">
        <v>-40.236980940308307</v>
      </c>
      <c r="H137">
        <v>-34.604628129914957</v>
      </c>
      <c r="I137">
        <v>5.2977969340105702</v>
      </c>
      <c r="J137">
        <v>2.9953513607281801</v>
      </c>
      <c r="K137">
        <v>0.96439161132000695</v>
      </c>
      <c r="L137">
        <v>3.0708223021676367E-5</v>
      </c>
      <c r="M137">
        <v>1.8252318755537978E-6</v>
      </c>
      <c r="N137" s="1">
        <v>-1.1598278984006801E-8</v>
      </c>
      <c r="O137" s="1">
        <v>8.7793477631522195E-12</v>
      </c>
      <c r="P137" s="1">
        <v>5.4246385167833603E-11</v>
      </c>
      <c r="Q137">
        <v>65.786758179376406</v>
      </c>
      <c r="S137">
        <v>20.953791780776999</v>
      </c>
      <c r="AA137">
        <v>1.93665211024728</v>
      </c>
      <c r="AB137">
        <v>9.2002754464730305</v>
      </c>
      <c r="AC137">
        <v>2.1225224831261298</v>
      </c>
      <c r="AJ137">
        <v>0.78857699756056698</v>
      </c>
      <c r="AK137">
        <v>9.17287929320562E-2</v>
      </c>
      <c r="AL137">
        <v>0.119694209507376</v>
      </c>
    </row>
    <row r="138" spans="1:38" x14ac:dyDescent="0.2">
      <c r="A138">
        <v>138</v>
      </c>
      <c r="B138">
        <v>789</v>
      </c>
      <c r="C138">
        <v>115</v>
      </c>
      <c r="D138">
        <v>0.49146589464765</v>
      </c>
      <c r="E138">
        <v>2.8639664411264598</v>
      </c>
      <c r="F138">
        <v>2.5581956777500001</v>
      </c>
      <c r="G138">
        <v>-46.690939099122296</v>
      </c>
      <c r="H138">
        <v>-40.163002194730204</v>
      </c>
      <c r="I138">
        <v>6.1459651691306201</v>
      </c>
      <c r="J138">
        <v>3.4767582617753301</v>
      </c>
      <c r="K138">
        <v>1.1195259479311499</v>
      </c>
      <c r="L138">
        <v>3.0727340032280652E-5</v>
      </c>
      <c r="M138">
        <v>1.8259362320691044E-6</v>
      </c>
      <c r="N138" s="1">
        <v>-1.38957941206661E-8</v>
      </c>
      <c r="O138" s="1">
        <v>1.01942869056706E-11</v>
      </c>
      <c r="P138" s="1">
        <v>6.4235188888210506E-11</v>
      </c>
      <c r="Q138">
        <v>65.819135225670394</v>
      </c>
      <c r="S138">
        <v>20.923954648416899</v>
      </c>
      <c r="AA138">
        <v>1.9044814294122101</v>
      </c>
      <c r="AB138">
        <v>9.1942040365772808</v>
      </c>
      <c r="AC138">
        <v>2.1582246599231198</v>
      </c>
      <c r="AJ138">
        <v>0.78808088690754097</v>
      </c>
      <c r="AK138">
        <v>9.0207820504519698E-2</v>
      </c>
      <c r="AL138">
        <v>0.121711292587938</v>
      </c>
    </row>
    <row r="139" spans="1:38" x14ac:dyDescent="0.2">
      <c r="A139">
        <v>139</v>
      </c>
      <c r="B139">
        <v>788</v>
      </c>
      <c r="C139">
        <v>115</v>
      </c>
      <c r="D139">
        <v>0.49092069924139198</v>
      </c>
      <c r="E139">
        <v>3.2603867040613999</v>
      </c>
      <c r="F139">
        <v>2.5578076446698002</v>
      </c>
      <c r="G139">
        <v>-53.140606514274118</v>
      </c>
      <c r="H139">
        <v>-45.719865998383312</v>
      </c>
      <c r="I139">
        <v>6.9931117333937696</v>
      </c>
      <c r="J139">
        <v>3.95811790585971</v>
      </c>
      <c r="K139">
        <v>1.27468017810318</v>
      </c>
      <c r="L139">
        <v>3.0746070912028067E-5</v>
      </c>
      <c r="M139">
        <v>1.8266148284184451E-6</v>
      </c>
      <c r="N139" s="1">
        <v>-1.6324143998352498E-8</v>
      </c>
      <c r="O139" s="1">
        <v>1.1609927374401301E-11</v>
      </c>
      <c r="P139" s="1">
        <v>7.4606363589745503E-11</v>
      </c>
      <c r="Q139">
        <v>65.850482454817694</v>
      </c>
      <c r="S139">
        <v>20.8947176234464</v>
      </c>
      <c r="AA139">
        <v>1.87304613707089</v>
      </c>
      <c r="AB139">
        <v>9.1874109939280704</v>
      </c>
      <c r="AC139">
        <v>2.1943427907368198</v>
      </c>
      <c r="AJ139">
        <v>0.78752569656161697</v>
      </c>
      <c r="AK139">
        <v>8.8721904172492802E-2</v>
      </c>
      <c r="AL139">
        <v>0.123752399265889</v>
      </c>
    </row>
    <row r="140" spans="1:38" x14ac:dyDescent="0.2">
      <c r="A140">
        <v>140</v>
      </c>
      <c r="B140">
        <v>787</v>
      </c>
      <c r="C140">
        <v>115</v>
      </c>
      <c r="D140">
        <v>0.49037447531009798</v>
      </c>
      <c r="E140">
        <v>3.6566315474193898</v>
      </c>
      <c r="F140">
        <v>2.55742417645732</v>
      </c>
      <c r="G140">
        <v>-59.584166239963558</v>
      </c>
      <c r="H140">
        <v>-51.273658806004256</v>
      </c>
      <c r="I140">
        <v>7.8389920614623501</v>
      </c>
      <c r="J140">
        <v>4.4392980126881803</v>
      </c>
      <c r="K140">
        <v>1.4298103463167899</v>
      </c>
      <c r="L140">
        <v>3.0764434028131427E-5</v>
      </c>
      <c r="M140">
        <v>1.8272682072315378E-6</v>
      </c>
      <c r="N140" s="1">
        <v>-1.8887122539714E-8</v>
      </c>
      <c r="O140" s="1">
        <v>1.30257891311784E-11</v>
      </c>
      <c r="P140" s="1">
        <v>8.5369797027891694E-11</v>
      </c>
      <c r="Q140">
        <v>65.8808204066613</v>
      </c>
      <c r="S140">
        <v>20.8660670343988</v>
      </c>
      <c r="AA140">
        <v>1.8423301614318</v>
      </c>
      <c r="AB140">
        <v>9.1799062489366303</v>
      </c>
      <c r="AC140">
        <v>2.2308761485713502</v>
      </c>
      <c r="AJ140">
        <v>0.78691222723190901</v>
      </c>
      <c r="AK140">
        <v>8.72702660762842E-2</v>
      </c>
      <c r="AL140">
        <v>0.125817506691806</v>
      </c>
    </row>
    <row r="141" spans="1:38" x14ac:dyDescent="0.2">
      <c r="A141">
        <v>141</v>
      </c>
      <c r="B141">
        <v>786</v>
      </c>
      <c r="C141">
        <v>115</v>
      </c>
      <c r="D141">
        <v>0.48982721994052197</v>
      </c>
      <c r="E141">
        <v>4.0525955411750099</v>
      </c>
      <c r="F141">
        <v>2.5570451512902301</v>
      </c>
      <c r="G141">
        <v>-66.01988453313966</v>
      </c>
      <c r="H141">
        <v>-56.822890123591179</v>
      </c>
      <c r="I141">
        <v>8.6833729023730992</v>
      </c>
      <c r="J141">
        <v>4.9201725717611202</v>
      </c>
      <c r="K141">
        <v>1.5848744552399201</v>
      </c>
      <c r="L141">
        <v>3.0782448190740236E-5</v>
      </c>
      <c r="M141">
        <v>1.8278969197254927E-6</v>
      </c>
      <c r="N141" s="1">
        <v>-2.1588653030609399E-8</v>
      </c>
      <c r="O141" s="1">
        <v>1.44414099046739E-11</v>
      </c>
      <c r="P141" s="1">
        <v>9.65357722142766E-11</v>
      </c>
      <c r="Q141">
        <v>65.910169978886501</v>
      </c>
      <c r="S141">
        <v>20.837988986592698</v>
      </c>
      <c r="AA141">
        <v>1.8123171630511099</v>
      </c>
      <c r="AB141">
        <v>9.1716999442603999</v>
      </c>
      <c r="AC141">
        <v>2.2678239272091298</v>
      </c>
      <c r="AJ141">
        <v>0.78624129599915704</v>
      </c>
      <c r="AK141">
        <v>8.5852116485513996E-2</v>
      </c>
      <c r="AL141">
        <v>0.12790658751532799</v>
      </c>
    </row>
    <row r="142" spans="1:38" x14ac:dyDescent="0.2">
      <c r="A142">
        <v>142</v>
      </c>
      <c r="B142">
        <v>785</v>
      </c>
      <c r="C142">
        <v>115</v>
      </c>
      <c r="D142">
        <v>0.48927893020838498</v>
      </c>
      <c r="E142">
        <v>4.4481783494960601</v>
      </c>
      <c r="F142">
        <v>2.5566704464235799</v>
      </c>
      <c r="G142">
        <v>-72.446112377101969</v>
      </c>
      <c r="H142">
        <v>-62.366141080852934</v>
      </c>
      <c r="I142">
        <v>9.5260325060237392</v>
      </c>
      <c r="J142">
        <v>5.4006219688585002</v>
      </c>
      <c r="K142">
        <v>1.73983250587436</v>
      </c>
      <c r="L142">
        <v>3.0800132627854198E-5</v>
      </c>
      <c r="M142">
        <v>1.8285015235244655E-6</v>
      </c>
      <c r="N142" s="1">
        <v>-2.4432796905787499E-8</v>
      </c>
      <c r="O142" s="1">
        <v>1.5856345581596299E-11</v>
      </c>
      <c r="P142" s="1">
        <v>1.0811499301237E-10</v>
      </c>
      <c r="Q142">
        <v>65.938552318372203</v>
      </c>
      <c r="S142">
        <v>20.810469452740499</v>
      </c>
      <c r="AA142">
        <v>1.78299063493802</v>
      </c>
      <c r="AB142">
        <v>9.1628024302269306</v>
      </c>
      <c r="AC142">
        <v>2.30518516372224</v>
      </c>
      <c r="AJ142">
        <v>0.78551373600333296</v>
      </c>
      <c r="AK142">
        <v>8.4466658504044695E-2</v>
      </c>
      <c r="AL142">
        <v>0.13001960549262101</v>
      </c>
    </row>
    <row r="143" spans="1:38" x14ac:dyDescent="0.2">
      <c r="A143">
        <v>143</v>
      </c>
      <c r="B143">
        <v>784</v>
      </c>
      <c r="C143">
        <v>115</v>
      </c>
      <c r="D143">
        <v>0.48872960317835601</v>
      </c>
      <c r="E143">
        <v>4.8432847544350501</v>
      </c>
      <c r="F143">
        <v>2.5562999394959598</v>
      </c>
      <c r="G143">
        <v>-78.86128581218324</v>
      </c>
      <c r="H143">
        <v>-67.902064790969916</v>
      </c>
      <c r="I143">
        <v>10.366760650062201</v>
      </c>
      <c r="J143">
        <v>5.8805330233554303</v>
      </c>
      <c r="K143">
        <v>1.8946465082614701</v>
      </c>
      <c r="L143">
        <v>3.0817506969622288E-5</v>
      </c>
      <c r="M143">
        <v>1.8290825807066765E-6</v>
      </c>
      <c r="N143" s="1">
        <v>-2.7423762704759799E-8</v>
      </c>
      <c r="O143" s="1">
        <v>1.72701703056776E-11</v>
      </c>
      <c r="P143" s="1">
        <v>1.2011860957816599E-10</v>
      </c>
      <c r="Q143">
        <v>65.965988718848905</v>
      </c>
      <c r="S143">
        <v>20.783494362378502</v>
      </c>
      <c r="AA143">
        <v>1.7543340002149199</v>
      </c>
      <c r="AB143">
        <v>9.1532242712233494</v>
      </c>
      <c r="AC143">
        <v>2.3429586473341701</v>
      </c>
      <c r="AJ143">
        <v>0.78473039702943803</v>
      </c>
      <c r="AK143">
        <v>8.3113092655413695E-2</v>
      </c>
      <c r="AL143">
        <v>0.132156510315147</v>
      </c>
    </row>
    <row r="144" spans="1:38" x14ac:dyDescent="0.2">
      <c r="A144">
        <v>144</v>
      </c>
      <c r="B144">
        <v>783</v>
      </c>
      <c r="C144">
        <v>115</v>
      </c>
      <c r="D144">
        <v>0.48817923590399198</v>
      </c>
      <c r="E144">
        <v>5.7442757235478901</v>
      </c>
      <c r="F144">
        <v>2.5552645298469101</v>
      </c>
      <c r="G144">
        <v>-93.486287139396268</v>
      </c>
      <c r="H144">
        <v>-80.507723610083929</v>
      </c>
      <c r="I144">
        <v>12.2885608382448</v>
      </c>
      <c r="J144">
        <v>6.9735315904441997</v>
      </c>
      <c r="K144">
        <v>2.2480160689633299</v>
      </c>
      <c r="L144">
        <v>3.082141049117055E-5</v>
      </c>
      <c r="M144">
        <v>1.8298800984650885E-6</v>
      </c>
      <c r="N144" s="1">
        <v>-3.3350019830933002E-8</v>
      </c>
      <c r="O144" s="1">
        <v>2.0511332151322701E-11</v>
      </c>
      <c r="P144" s="1">
        <v>1.4484755388011601E-10</v>
      </c>
      <c r="Q144">
        <v>66.018089302110099</v>
      </c>
      <c r="S144">
        <v>20.722634595922301</v>
      </c>
      <c r="AA144">
        <v>1.6919671108909999</v>
      </c>
      <c r="AB144">
        <v>9.1097758374248698</v>
      </c>
      <c r="AC144">
        <v>2.4575331536515899</v>
      </c>
      <c r="AJ144">
        <v>0.78117493540971505</v>
      </c>
      <c r="AK144">
        <v>8.0175802724359799E-2</v>
      </c>
      <c r="AL144">
        <v>0.138649261865924</v>
      </c>
    </row>
    <row r="145" spans="1:38" x14ac:dyDescent="0.2">
      <c r="A145">
        <v>145</v>
      </c>
      <c r="B145">
        <v>782</v>
      </c>
      <c r="C145">
        <v>115</v>
      </c>
      <c r="D145">
        <v>0.48762782542766497</v>
      </c>
      <c r="E145">
        <v>7.2444470861803403</v>
      </c>
      <c r="F145">
        <v>2.5533759481777301</v>
      </c>
      <c r="G145">
        <v>-117.80527024077183</v>
      </c>
      <c r="H145">
        <v>-101.46274259325475</v>
      </c>
      <c r="I145">
        <v>15.4883453987746</v>
      </c>
      <c r="J145">
        <v>8.7912096657548204</v>
      </c>
      <c r="K145">
        <v>2.83720346443714</v>
      </c>
      <c r="L145">
        <v>3.0799860401340711E-5</v>
      </c>
      <c r="M145">
        <v>1.8307290790129402E-6</v>
      </c>
      <c r="N145" s="1">
        <v>-4.2773826189691897E-8</v>
      </c>
      <c r="O145" s="1">
        <v>2.5939006456737198E-11</v>
      </c>
      <c r="P145" s="1">
        <v>1.8468127814654001E-10</v>
      </c>
      <c r="Q145">
        <v>66.094218015879704</v>
      </c>
      <c r="S145">
        <v>20.621453423063102</v>
      </c>
      <c r="AA145">
        <v>1.59072801265786</v>
      </c>
      <c r="AB145">
        <v>9.0141649951013996</v>
      </c>
      <c r="AC145">
        <v>2.67943555329789</v>
      </c>
      <c r="AJ145">
        <v>0.773344898087857</v>
      </c>
      <c r="AK145">
        <v>7.5414427934162601E-2</v>
      </c>
      <c r="AL145">
        <v>0.15124067397797999</v>
      </c>
    </row>
    <row r="146" spans="1:38" x14ac:dyDescent="0.2">
      <c r="A146">
        <v>146</v>
      </c>
      <c r="B146">
        <v>781</v>
      </c>
      <c r="C146">
        <v>115</v>
      </c>
      <c r="D146">
        <v>0.48707536878053398</v>
      </c>
      <c r="E146">
        <v>8.9796518304162394</v>
      </c>
      <c r="F146">
        <v>2.5510489369385998</v>
      </c>
      <c r="G146">
        <v>-145.87313967342084</v>
      </c>
      <c r="H146">
        <v>-125.64971504666637</v>
      </c>
      <c r="I146">
        <v>19.184579639287001</v>
      </c>
      <c r="J146">
        <v>10.8903119958276</v>
      </c>
      <c r="K146">
        <v>3.5199841525550299</v>
      </c>
      <c r="L146">
        <v>3.0752815355672085E-5</v>
      </c>
      <c r="M146">
        <v>1.8312560043604424E-6</v>
      </c>
      <c r="N146" s="1">
        <v>-5.3566191690038603E-8</v>
      </c>
      <c r="O146" s="1">
        <v>3.2261198406602298E-11</v>
      </c>
      <c r="P146" s="1">
        <v>2.3037796513165499E-10</v>
      </c>
      <c r="Q146">
        <v>66.170912986962506</v>
      </c>
      <c r="S146">
        <v>20.504303426750401</v>
      </c>
      <c r="AA146">
        <v>1.4761823431651599</v>
      </c>
      <c r="AB146">
        <v>8.8779516800672003</v>
      </c>
      <c r="AC146">
        <v>2.9706495630546401</v>
      </c>
      <c r="AJ146">
        <v>0.76217633022407005</v>
      </c>
      <c r="AK146">
        <v>7.0031507830620995E-2</v>
      </c>
      <c r="AL146">
        <v>0.16779216194530799</v>
      </c>
    </row>
    <row r="147" spans="1:38" x14ac:dyDescent="0.2">
      <c r="A147">
        <v>147</v>
      </c>
      <c r="B147">
        <v>780</v>
      </c>
      <c r="C147">
        <v>115</v>
      </c>
      <c r="D147">
        <v>0.48652186298248101</v>
      </c>
      <c r="E147">
        <v>11.2299266241528</v>
      </c>
      <c r="F147">
        <v>2.54780915845055</v>
      </c>
      <c r="G147">
        <v>-182.16351230448566</v>
      </c>
      <c r="H147">
        <v>-156.91917002059603</v>
      </c>
      <c r="I147">
        <v>23.970319787199902</v>
      </c>
      <c r="J147">
        <v>13.605406196980899</v>
      </c>
      <c r="K147">
        <v>4.4076796674136496</v>
      </c>
      <c r="L147">
        <v>3.0654114075428691E-5</v>
      </c>
      <c r="M147">
        <v>1.8311781317354644E-6</v>
      </c>
      <c r="N147" s="1">
        <v>-6.6755437091936203E-8</v>
      </c>
      <c r="O147" s="1">
        <v>4.0539254747293201E-11</v>
      </c>
      <c r="P147" s="1">
        <v>2.8716249362246001E-10</v>
      </c>
      <c r="Q147">
        <v>66.251029964980702</v>
      </c>
      <c r="S147">
        <v>20.352567218866199</v>
      </c>
      <c r="AA147">
        <v>1.33230421645482</v>
      </c>
      <c r="AB147">
        <v>8.6586918738587801</v>
      </c>
      <c r="AC147">
        <v>3.4054067258393799</v>
      </c>
      <c r="AJ147">
        <v>0.74416595579511202</v>
      </c>
      <c r="AK147">
        <v>6.3274934670005306E-2</v>
      </c>
      <c r="AL147">
        <v>0.19255910953488201</v>
      </c>
    </row>
    <row r="148" spans="1:38" x14ac:dyDescent="0.2">
      <c r="A148">
        <v>148</v>
      </c>
      <c r="B148">
        <v>779</v>
      </c>
      <c r="C148">
        <v>115</v>
      </c>
      <c r="D148">
        <v>0.48596730504205599</v>
      </c>
      <c r="E148">
        <v>11.457345635530499</v>
      </c>
      <c r="F148">
        <v>2.5480026728487202</v>
      </c>
      <c r="G148">
        <v>-185.79554377741761</v>
      </c>
      <c r="H148">
        <v>-160.08244168051931</v>
      </c>
      <c r="I148">
        <v>24.438627664209701</v>
      </c>
      <c r="J148">
        <v>13.878033770148001</v>
      </c>
      <c r="K148">
        <v>4.4965987507073297</v>
      </c>
      <c r="L148">
        <v>3.0613461376805643E-5</v>
      </c>
      <c r="M148">
        <v>1.8297060470668096E-6</v>
      </c>
      <c r="N148" s="1">
        <v>-6.9565058455024405E-8</v>
      </c>
      <c r="O148" s="1">
        <v>4.1331508776265403E-11</v>
      </c>
      <c r="P148" s="1">
        <v>2.9723160791238298E-10</v>
      </c>
      <c r="Q148">
        <v>66.1935893195662</v>
      </c>
      <c r="S148">
        <v>20.376967922543901</v>
      </c>
      <c r="AA148">
        <v>1.3658380361757401</v>
      </c>
      <c r="AB148">
        <v>8.5946580923961502</v>
      </c>
      <c r="AC148">
        <v>3.4689466293178199</v>
      </c>
      <c r="AJ148">
        <v>0.73889747479971102</v>
      </c>
      <c r="AK148">
        <v>6.4888176700021796E-2</v>
      </c>
      <c r="AL148">
        <v>0.19621434850026601</v>
      </c>
    </row>
    <row r="149" spans="1:38" x14ac:dyDescent="0.2">
      <c r="A149">
        <v>148</v>
      </c>
      <c r="B149">
        <v>779</v>
      </c>
      <c r="C149">
        <v>115</v>
      </c>
      <c r="D149">
        <v>0.48596730504205599</v>
      </c>
      <c r="E149">
        <v>6.8097312484123202</v>
      </c>
      <c r="F149">
        <v>2.5231183798058998</v>
      </c>
      <c r="G149">
        <v>-109.06146452671648</v>
      </c>
      <c r="H149">
        <v>-93.899082607307662</v>
      </c>
      <c r="I149">
        <v>14.4108557899622</v>
      </c>
      <c r="J149">
        <v>8.1498783051275794</v>
      </c>
      <c r="K149">
        <v>2.6989345022076101</v>
      </c>
      <c r="L149">
        <v>2.9227767673709933E-5</v>
      </c>
      <c r="M149">
        <v>1.8163174855617574E-6</v>
      </c>
      <c r="N149" s="1">
        <v>-2.5468667947044401E-8</v>
      </c>
      <c r="O149" s="1">
        <v>2.55918200212144E-11</v>
      </c>
      <c r="P149" s="1">
        <v>1.28716232225106E-10</v>
      </c>
      <c r="Q149">
        <v>66.393646024773602</v>
      </c>
      <c r="S149">
        <v>19.317184638067701</v>
      </c>
      <c r="AA149">
        <v>0.44482547796021898</v>
      </c>
      <c r="AB149">
        <v>6.2621140718580799</v>
      </c>
      <c r="AC149">
        <v>7.58222978734028</v>
      </c>
      <c r="AJ149">
        <v>0.54469854273003804</v>
      </c>
      <c r="AK149">
        <v>2.1381377595453499E-2</v>
      </c>
      <c r="AL149">
        <v>0.43392007967450802</v>
      </c>
    </row>
    <row r="150" spans="1:38" x14ac:dyDescent="0.2">
      <c r="A150">
        <v>149</v>
      </c>
      <c r="B150">
        <v>778</v>
      </c>
      <c r="C150">
        <v>115</v>
      </c>
      <c r="D150">
        <v>0.48541169195642903</v>
      </c>
      <c r="E150">
        <v>11.1957060862844</v>
      </c>
      <c r="F150">
        <v>2.5502826590493801</v>
      </c>
      <c r="G150">
        <v>-181.64252995951497</v>
      </c>
      <c r="H150">
        <v>-156.55238694552531</v>
      </c>
      <c r="I150">
        <v>23.8692318070586</v>
      </c>
      <c r="J150">
        <v>13.567320280435499</v>
      </c>
      <c r="K150">
        <v>4.3899863595737898</v>
      </c>
      <c r="L150">
        <v>3.0636354418913464E-5</v>
      </c>
      <c r="M150">
        <v>1.8280935765436381E-6</v>
      </c>
      <c r="N150" s="1">
        <v>-7.0873346834134104E-8</v>
      </c>
      <c r="O150" s="1">
        <v>4.0224478010342903E-11</v>
      </c>
      <c r="P150" s="1">
        <v>2.9907258519039601E-10</v>
      </c>
      <c r="Q150">
        <v>66.076664848383103</v>
      </c>
      <c r="S150">
        <v>20.5004157364375</v>
      </c>
      <c r="AA150">
        <v>1.4949664735330901</v>
      </c>
      <c r="AB150">
        <v>8.6577326710368698</v>
      </c>
      <c r="AC150">
        <v>3.27022027060932</v>
      </c>
      <c r="AJ150">
        <v>0.74408446722321397</v>
      </c>
      <c r="AK150">
        <v>7.1000320714831797E-2</v>
      </c>
      <c r="AL150">
        <v>0.18491521206195299</v>
      </c>
    </row>
    <row r="151" spans="1:38" x14ac:dyDescent="0.2">
      <c r="A151">
        <v>149</v>
      </c>
      <c r="B151">
        <v>778</v>
      </c>
      <c r="C151">
        <v>115</v>
      </c>
      <c r="D151">
        <v>0.48541169195642903</v>
      </c>
      <c r="E151">
        <v>14.474405752721101</v>
      </c>
      <c r="F151">
        <v>2.52237558608882</v>
      </c>
      <c r="G151">
        <v>-231.60545667713887</v>
      </c>
      <c r="H151">
        <v>-199.44950960895835</v>
      </c>
      <c r="I151">
        <v>30.591206838396499</v>
      </c>
      <c r="J151">
        <v>17.308714995496299</v>
      </c>
      <c r="K151">
        <v>5.7384022556153296</v>
      </c>
      <c r="L151">
        <v>2.9122507034853146E-5</v>
      </c>
      <c r="M151">
        <v>1.8145279114480216E-6</v>
      </c>
      <c r="N151" s="1">
        <v>-5.3635997598834698E-8</v>
      </c>
      <c r="O151" s="1">
        <v>5.44744445607292E-11</v>
      </c>
      <c r="P151" s="1">
        <v>2.7197503497603599E-10</v>
      </c>
      <c r="Q151">
        <v>66.350802675171593</v>
      </c>
      <c r="S151">
        <v>19.287897771771899</v>
      </c>
      <c r="AA151">
        <v>0.43066042331615501</v>
      </c>
      <c r="AB151">
        <v>6.0898606368918697</v>
      </c>
      <c r="AC151">
        <v>7.8407784928483499</v>
      </c>
      <c r="AJ151">
        <v>0.53017539961666205</v>
      </c>
      <c r="AK151">
        <v>2.0718483867031501E-2</v>
      </c>
      <c r="AL151">
        <v>0.449106116516306</v>
      </c>
    </row>
    <row r="152" spans="1:38" x14ac:dyDescent="0.2">
      <c r="A152">
        <v>150</v>
      </c>
      <c r="B152">
        <v>777</v>
      </c>
      <c r="C152">
        <v>115</v>
      </c>
      <c r="D152">
        <v>0.48485502071132902</v>
      </c>
      <c r="E152">
        <v>11.440821203949801</v>
      </c>
      <c r="F152">
        <v>2.5519742280494402</v>
      </c>
      <c r="G152">
        <v>-185.67644716867224</v>
      </c>
      <c r="H152">
        <v>-160.07477425004546</v>
      </c>
      <c r="I152">
        <v>24.379062913514002</v>
      </c>
      <c r="J152">
        <v>13.8690196804931</v>
      </c>
      <c r="K152">
        <v>4.4831256829323003</v>
      </c>
      <c r="L152">
        <v>3.0651921873695831E-5</v>
      </c>
      <c r="M152">
        <v>1.8267597703035343E-6</v>
      </c>
      <c r="N152" s="1">
        <v>-7.52044541666404E-8</v>
      </c>
      <c r="O152" s="1">
        <v>4.09758866949296E-11</v>
      </c>
      <c r="P152" s="1">
        <v>3.1386095861985802E-10</v>
      </c>
      <c r="Q152">
        <v>65.984707344062599</v>
      </c>
      <c r="S152">
        <v>20.593527064921499</v>
      </c>
      <c r="AA152">
        <v>1.59324129940972</v>
      </c>
      <c r="AB152">
        <v>8.6969137561422105</v>
      </c>
      <c r="AC152">
        <v>3.1316105354639201</v>
      </c>
      <c r="AJ152">
        <v>0.74730461416425498</v>
      </c>
      <c r="AK152">
        <v>7.5652772098494803E-2</v>
      </c>
      <c r="AL152">
        <v>0.177042613737249</v>
      </c>
    </row>
    <row r="153" spans="1:38" x14ac:dyDescent="0.2">
      <c r="A153">
        <v>150</v>
      </c>
      <c r="B153">
        <v>777</v>
      </c>
      <c r="C153">
        <v>115</v>
      </c>
      <c r="D153">
        <v>0.48485502071132902</v>
      </c>
      <c r="E153">
        <v>19.839200357658701</v>
      </c>
      <c r="F153">
        <v>2.5218827174734999</v>
      </c>
      <c r="G153">
        <v>-317.22805434677764</v>
      </c>
      <c r="H153">
        <v>-273.24429766154134</v>
      </c>
      <c r="I153">
        <v>41.883308751355798</v>
      </c>
      <c r="J153">
        <v>23.7102320879088</v>
      </c>
      <c r="K153">
        <v>7.8668211730061302</v>
      </c>
      <c r="L153">
        <v>2.9049001006382233E-5</v>
      </c>
      <c r="M153">
        <v>1.8132718855887002E-6</v>
      </c>
      <c r="N153" s="1">
        <v>-7.3745569374517195E-8</v>
      </c>
      <c r="O153" s="1">
        <v>7.4735421038187806E-11</v>
      </c>
      <c r="P153" s="1">
        <v>3.7330115655788702E-10</v>
      </c>
      <c r="Q153">
        <v>66.319601933470395</v>
      </c>
      <c r="S153">
        <v>19.266843312091201</v>
      </c>
      <c r="AA153">
        <v>0.42057054503372299</v>
      </c>
      <c r="AB153">
        <v>5.9651344536083801</v>
      </c>
      <c r="AC153">
        <v>8.0278497557961401</v>
      </c>
      <c r="AJ153">
        <v>0.51964364854312195</v>
      </c>
      <c r="AK153">
        <v>2.0245804084470301E-2</v>
      </c>
      <c r="AL153">
        <v>0.46011054737240697</v>
      </c>
    </row>
    <row r="154" spans="1:38" x14ac:dyDescent="0.2">
      <c r="A154">
        <v>151</v>
      </c>
      <c r="B154">
        <v>776</v>
      </c>
      <c r="C154">
        <v>115</v>
      </c>
      <c r="D154">
        <v>0.484297288280991</v>
      </c>
      <c r="E154">
        <v>13.2257909393145</v>
      </c>
      <c r="F154">
        <v>2.5555848701999802</v>
      </c>
      <c r="G154">
        <v>-214.80089555206376</v>
      </c>
      <c r="H154">
        <v>-185.25152944786674</v>
      </c>
      <c r="I154">
        <v>28.165053714146701</v>
      </c>
      <c r="J154">
        <v>16.039648115073899</v>
      </c>
      <c r="K154">
        <v>5.1752501329684097</v>
      </c>
      <c r="L154">
        <v>3.0633615015782099E-5</v>
      </c>
      <c r="M154">
        <v>1.82278086807515E-6</v>
      </c>
      <c r="N154" s="1">
        <v>-9.0362947640863996E-8</v>
      </c>
      <c r="O154" s="1">
        <v>4.7065083924834897E-11</v>
      </c>
      <c r="P154" s="1">
        <v>3.7309969265131502E-10</v>
      </c>
      <c r="Q154">
        <v>65.7526673966522</v>
      </c>
      <c r="S154">
        <v>20.809710555376899</v>
      </c>
      <c r="AA154">
        <v>1.82573824211623</v>
      </c>
      <c r="AB154">
        <v>8.7465783008232005</v>
      </c>
      <c r="AC154">
        <v>2.8653055050313698</v>
      </c>
      <c r="AJ154">
        <v>0.75138279234358096</v>
      </c>
      <c r="AK154">
        <v>8.6670711004221607E-2</v>
      </c>
      <c r="AL154">
        <v>0.16194649665219699</v>
      </c>
    </row>
    <row r="155" spans="1:38" x14ac:dyDescent="0.2">
      <c r="A155">
        <v>151</v>
      </c>
      <c r="B155">
        <v>776</v>
      </c>
      <c r="C155">
        <v>115</v>
      </c>
      <c r="D155">
        <v>0.484297288280991</v>
      </c>
      <c r="E155">
        <v>32.476185165518501</v>
      </c>
      <c r="F155">
        <v>2.5209870931475802</v>
      </c>
      <c r="G155">
        <v>-518.65040471381428</v>
      </c>
      <c r="H155">
        <v>-446.8410196064051</v>
      </c>
      <c r="I155">
        <v>68.4452986774143</v>
      </c>
      <c r="J155">
        <v>38.765032895275297</v>
      </c>
      <c r="K155">
        <v>12.8823290106457</v>
      </c>
      <c r="L155">
        <v>2.8888843933710721E-5</v>
      </c>
      <c r="M155">
        <v>1.8105491427543411E-6</v>
      </c>
      <c r="N155" s="1">
        <v>-1.1662364845673701E-7</v>
      </c>
      <c r="O155" s="1">
        <v>1.2259496971038E-10</v>
      </c>
      <c r="P155" s="1">
        <v>5.9857185211732202E-10</v>
      </c>
      <c r="Q155">
        <v>66.249217325826706</v>
      </c>
      <c r="S155">
        <v>19.231109463223699</v>
      </c>
      <c r="AA155">
        <v>0.40751303980706899</v>
      </c>
      <c r="AB155">
        <v>5.7146051988226096</v>
      </c>
      <c r="AC155">
        <v>8.3975549723198704</v>
      </c>
      <c r="AJ155">
        <v>0.49844904056832301</v>
      </c>
      <c r="AK155">
        <v>1.9642050932151E-2</v>
      </c>
      <c r="AL155">
        <v>0.481908908499525</v>
      </c>
    </row>
    <row r="156" spans="1:38" x14ac:dyDescent="0.2">
      <c r="A156">
        <v>152</v>
      </c>
      <c r="B156">
        <v>775</v>
      </c>
      <c r="C156">
        <v>115</v>
      </c>
      <c r="D156">
        <v>0.483738491628109</v>
      </c>
      <c r="E156">
        <v>14.186978406820201</v>
      </c>
      <c r="F156">
        <v>2.5570520415963398</v>
      </c>
      <c r="G156">
        <v>-230.45703637710344</v>
      </c>
      <c r="H156">
        <v>-198.80925944891194</v>
      </c>
      <c r="I156">
        <v>30.1939387761212</v>
      </c>
      <c r="J156">
        <v>17.2092717450228</v>
      </c>
      <c r="K156">
        <v>5.5481774230779601</v>
      </c>
      <c r="L156">
        <v>3.0634383124641494E-5</v>
      </c>
      <c r="M156">
        <v>1.8211750264099767E-6</v>
      </c>
      <c r="N156" s="1">
        <v>-1.00244918357382E-7</v>
      </c>
      <c r="O156" s="1">
        <v>5.0339089813682403E-11</v>
      </c>
      <c r="P156" s="1">
        <v>4.1000765497201298E-10</v>
      </c>
      <c r="Q156">
        <v>65.657483911651795</v>
      </c>
      <c r="S156">
        <v>20.896707576273698</v>
      </c>
      <c r="AA156">
        <v>1.9197214401175999</v>
      </c>
      <c r="AB156">
        <v>8.7625410086996691</v>
      </c>
      <c r="AC156">
        <v>2.76354606325713</v>
      </c>
      <c r="AJ156">
        <v>0.75269281402516197</v>
      </c>
      <c r="AK156">
        <v>9.1124825978699295E-2</v>
      </c>
      <c r="AL156">
        <v>0.156182359996138</v>
      </c>
    </row>
    <row r="157" spans="1:38" x14ac:dyDescent="0.2">
      <c r="A157">
        <v>152</v>
      </c>
      <c r="B157">
        <v>775</v>
      </c>
      <c r="C157">
        <v>115</v>
      </c>
      <c r="D157">
        <v>0.483738491628109</v>
      </c>
      <c r="E157">
        <v>37.069063095360498</v>
      </c>
      <c r="F157">
        <v>2.5206710060950699</v>
      </c>
      <c r="G157">
        <v>-591.65627675991345</v>
      </c>
      <c r="H157">
        <v>-509.85298755604089</v>
      </c>
      <c r="I157">
        <v>78.045403047152107</v>
      </c>
      <c r="J157">
        <v>44.226856681223303</v>
      </c>
      <c r="K157">
        <v>14.7060298649551</v>
      </c>
      <c r="L157">
        <v>2.8831030836206898E-5</v>
      </c>
      <c r="M157">
        <v>1.8095615419250112E-6</v>
      </c>
      <c r="N157" s="1">
        <v>-1.34277841580453E-7</v>
      </c>
      <c r="O157" s="1">
        <v>1.4002738288147399E-10</v>
      </c>
      <c r="P157" s="1">
        <v>6.86394130926323E-10</v>
      </c>
      <c r="Q157">
        <v>66.222615050222402</v>
      </c>
      <c r="S157">
        <v>19.215433493778999</v>
      </c>
      <c r="AA157">
        <v>0.40078748184197999</v>
      </c>
      <c r="AB157">
        <v>5.6142268620811802</v>
      </c>
      <c r="AC157">
        <v>8.5469371120753692</v>
      </c>
      <c r="AJ157">
        <v>0.48994205911340699</v>
      </c>
      <c r="AK157">
        <v>1.9327678994263599E-2</v>
      </c>
      <c r="AL157">
        <v>0.49073026189232799</v>
      </c>
    </row>
    <row r="158" spans="1:38" x14ac:dyDescent="0.2">
      <c r="A158">
        <v>153</v>
      </c>
      <c r="B158">
        <v>774</v>
      </c>
      <c r="C158">
        <v>115</v>
      </c>
      <c r="D158">
        <v>0.48317862770377201</v>
      </c>
      <c r="E158">
        <v>15.053095033333999</v>
      </c>
      <c r="F158">
        <v>2.5582359364062399</v>
      </c>
      <c r="G158">
        <v>-244.55728901446568</v>
      </c>
      <c r="H158">
        <v>-211.02943101401468</v>
      </c>
      <c r="I158">
        <v>32.0181998762841</v>
      </c>
      <c r="J158">
        <v>18.263646306317199</v>
      </c>
      <c r="K158">
        <v>5.8841699544258299</v>
      </c>
      <c r="L158">
        <v>3.063767849738661E-5</v>
      </c>
      <c r="M158">
        <v>1.8198684895012784E-6</v>
      </c>
      <c r="N158" s="1">
        <v>-1.09912407494091E-7</v>
      </c>
      <c r="O158" s="1">
        <v>5.3281172464555903E-11</v>
      </c>
      <c r="P158" s="1">
        <v>4.4548697874461499E-10</v>
      </c>
      <c r="Q158">
        <v>65.579862304031593</v>
      </c>
      <c r="S158">
        <v>20.966866854645701</v>
      </c>
      <c r="AA158">
        <v>1.9957155041308401</v>
      </c>
      <c r="AB158">
        <v>8.7734970876030793</v>
      </c>
      <c r="AC158">
        <v>2.68405824958867</v>
      </c>
      <c r="AJ158">
        <v>0.75359164413669799</v>
      </c>
      <c r="AK158">
        <v>9.4726776695472595E-2</v>
      </c>
      <c r="AL158">
        <v>0.15168157916782901</v>
      </c>
    </row>
    <row r="159" spans="1:38" x14ac:dyDescent="0.2">
      <c r="A159">
        <v>153</v>
      </c>
      <c r="B159">
        <v>774</v>
      </c>
      <c r="C159">
        <v>115</v>
      </c>
      <c r="D159">
        <v>0.48317862770377201</v>
      </c>
      <c r="E159">
        <v>40.630728310694899</v>
      </c>
      <c r="F159">
        <v>2.5204361910774602</v>
      </c>
      <c r="G159">
        <v>-648.18507986827024</v>
      </c>
      <c r="H159">
        <v>-558.69083411715849</v>
      </c>
      <c r="I159">
        <v>85.464590317635199</v>
      </c>
      <c r="J159">
        <v>48.458894470114402</v>
      </c>
      <c r="K159">
        <v>16.120514557968399</v>
      </c>
      <c r="L159">
        <v>2.8786879302861445E-5</v>
      </c>
      <c r="M159">
        <v>1.8088047707933129E-6</v>
      </c>
      <c r="N159" s="1">
        <v>-1.49333647165592E-7</v>
      </c>
      <c r="O159" s="1">
        <v>1.5355579653126201E-10</v>
      </c>
      <c r="P159" s="1">
        <v>7.5844675206625902E-10</v>
      </c>
      <c r="Q159">
        <v>66.201731227612498</v>
      </c>
      <c r="S159">
        <v>19.202558339669899</v>
      </c>
      <c r="AA159">
        <v>0.39503830237682103</v>
      </c>
      <c r="AB159">
        <v>5.53393449275982</v>
      </c>
      <c r="AC159">
        <v>8.6667376375808107</v>
      </c>
      <c r="AJ159">
        <v>0.48313113576120498</v>
      </c>
      <c r="AK159">
        <v>1.9058161791286402E-2</v>
      </c>
      <c r="AL159">
        <v>0.49781070244750703</v>
      </c>
    </row>
    <row r="160" spans="1:38" x14ac:dyDescent="0.2">
      <c r="A160">
        <v>154</v>
      </c>
      <c r="B160">
        <v>773</v>
      </c>
      <c r="C160">
        <v>115</v>
      </c>
      <c r="D160">
        <v>0.48261769344740202</v>
      </c>
      <c r="E160">
        <v>15.5293711737402</v>
      </c>
      <c r="F160">
        <v>2.5588545832740901</v>
      </c>
      <c r="G160">
        <v>-252.29614587740684</v>
      </c>
      <c r="H160">
        <v>-217.76003652554937</v>
      </c>
      <c r="I160">
        <v>33.012578838462403</v>
      </c>
      <c r="J160">
        <v>18.845077629692</v>
      </c>
      <c r="K160">
        <v>6.0688760022737203</v>
      </c>
      <c r="L160">
        <v>3.0652364294355455E-5</v>
      </c>
      <c r="M160">
        <v>1.8193619217111711E-6</v>
      </c>
      <c r="N160" s="1">
        <v>-1.17130759990194E-7</v>
      </c>
      <c r="O160" s="1">
        <v>5.4884124010057797E-11</v>
      </c>
      <c r="P160" s="1">
        <v>4.7054496175271401E-10</v>
      </c>
      <c r="Q160">
        <v>65.544098012656804</v>
      </c>
      <c r="S160">
        <v>21.000469267542002</v>
      </c>
      <c r="AA160">
        <v>2.0317829472946198</v>
      </c>
      <c r="AB160">
        <v>8.7818913758983292</v>
      </c>
      <c r="AC160">
        <v>2.6417583966081701</v>
      </c>
      <c r="AJ160">
        <v>0.754280597229946</v>
      </c>
      <c r="AK160">
        <v>9.6434620692868997E-2</v>
      </c>
      <c r="AL160">
        <v>0.14928478207718399</v>
      </c>
    </row>
    <row r="161" spans="1:38" x14ac:dyDescent="0.2">
      <c r="A161">
        <v>154</v>
      </c>
      <c r="B161">
        <v>773</v>
      </c>
      <c r="C161">
        <v>115</v>
      </c>
      <c r="D161">
        <v>0.48261769344740202</v>
      </c>
      <c r="E161">
        <v>42.2202951120032</v>
      </c>
      <c r="F161">
        <v>2.52032136529039</v>
      </c>
      <c r="G161">
        <v>-673.32043539034476</v>
      </c>
      <c r="H161">
        <v>-580.48408117450947</v>
      </c>
      <c r="I161">
        <v>88.740958959838693</v>
      </c>
      <c r="J161">
        <v>50.3464053544512</v>
      </c>
      <c r="K161">
        <v>16.751949054377199</v>
      </c>
      <c r="L161">
        <v>2.8768114335196011E-5</v>
      </c>
      <c r="M161">
        <v>1.8084730224089792E-6</v>
      </c>
      <c r="N161" s="1">
        <v>-1.5920960579492801E-7</v>
      </c>
      <c r="O161" s="1">
        <v>1.5958598576655299E-10</v>
      </c>
      <c r="P161" s="1">
        <v>7.9980643444422199E-10</v>
      </c>
      <c r="Q161">
        <v>66.192101468597798</v>
      </c>
      <c r="S161">
        <v>19.194140125744902</v>
      </c>
      <c r="AA161">
        <v>0.39034016231193103</v>
      </c>
      <c r="AB161">
        <v>5.4904056488757398</v>
      </c>
      <c r="AC161">
        <v>8.7330125944694803</v>
      </c>
      <c r="AJ161">
        <v>0.47943643957472798</v>
      </c>
      <c r="AK161">
        <v>1.8835651024629901E-2</v>
      </c>
      <c r="AL161">
        <v>0.50172790940064105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033C7-15A9-4F7F-8FB6-2FFFD8BE1AEF}">
  <sheetPr codeName="Sheet12"/>
  <dimension ref="A1:AJ112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756</v>
      </c>
      <c r="C2">
        <v>275</v>
      </c>
      <c r="D2">
        <v>0.30190011174270298</v>
      </c>
      <c r="E2">
        <v>0.109762342479661</v>
      </c>
      <c r="F2">
        <v>2.54384628309294</v>
      </c>
      <c r="G2">
        <v>-1.7896206703858879</v>
      </c>
      <c r="H2">
        <v>-1.567330788922801</v>
      </c>
      <c r="I2">
        <v>0.21599366609637699</v>
      </c>
      <c r="J2">
        <v>0.12718546499064701</v>
      </c>
      <c r="K2">
        <v>4.3148182030168299E-2</v>
      </c>
      <c r="L2">
        <v>0</v>
      </c>
      <c r="M2">
        <v>1.2383112330061072E-6</v>
      </c>
      <c r="N2">
        <v>0</v>
      </c>
      <c r="O2" s="1">
        <v>6.1366751684998096E-14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755</v>
      </c>
      <c r="C3">
        <v>275</v>
      </c>
      <c r="D3">
        <v>0.30115304187132302</v>
      </c>
      <c r="E3">
        <v>0.32069488138325503</v>
      </c>
      <c r="F3">
        <v>2.54384628309294</v>
      </c>
      <c r="G3">
        <v>-5.2281404296326075</v>
      </c>
      <c r="H3">
        <v>-4.579674004986277</v>
      </c>
      <c r="I3">
        <v>0.63071188508129095</v>
      </c>
      <c r="J3">
        <v>0.371553182693655</v>
      </c>
      <c r="K3">
        <v>0.12606692610110701</v>
      </c>
      <c r="L3">
        <v>0</v>
      </c>
      <c r="M3">
        <v>1.2383112330061067E-6</v>
      </c>
      <c r="N3">
        <v>0</v>
      </c>
      <c r="O3" s="1">
        <v>1.79296493750967E-13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754</v>
      </c>
      <c r="C4">
        <v>275</v>
      </c>
      <c r="D4">
        <v>0.30040451735384299</v>
      </c>
      <c r="E4">
        <v>0.53060242919028799</v>
      </c>
      <c r="F4">
        <v>2.54384628309294</v>
      </c>
      <c r="G4">
        <v>-8.6491229257866635</v>
      </c>
      <c r="H4">
        <v>-7.5778673982625122</v>
      </c>
      <c r="I4">
        <v>1.0429397142814101</v>
      </c>
      <c r="J4">
        <v>0.614671259305415</v>
      </c>
      <c r="K4">
        <v>0.20858274052045001</v>
      </c>
      <c r="L4">
        <v>0</v>
      </c>
      <c r="M4">
        <v>1.238311233006107E-6</v>
      </c>
      <c r="N4">
        <v>0</v>
      </c>
      <c r="O4" s="1">
        <v>2.9665317612559699E-13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753</v>
      </c>
      <c r="C5">
        <v>275</v>
      </c>
      <c r="D5">
        <v>0.29965453393753799</v>
      </c>
      <c r="E5">
        <v>0.73949343281110103</v>
      </c>
      <c r="F5">
        <v>2.54384628309294</v>
      </c>
      <c r="G5">
        <v>-12.052712587864754</v>
      </c>
      <c r="H5">
        <v>-10.562027958776445</v>
      </c>
      <c r="I5">
        <v>1.45269661266706</v>
      </c>
      <c r="J5">
        <v>0.85654973003311696</v>
      </c>
      <c r="K5">
        <v>0.29069894581522598</v>
      </c>
      <c r="L5">
        <v>0</v>
      </c>
      <c r="M5">
        <v>1.238311233006107E-6</v>
      </c>
      <c r="N5">
        <v>0</v>
      </c>
      <c r="O5" s="1">
        <v>4.1344152137072302E-13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752</v>
      </c>
      <c r="C6">
        <v>275</v>
      </c>
      <c r="D6">
        <v>0.29890308735307097</v>
      </c>
      <c r="E6">
        <v>0.94737624829042</v>
      </c>
      <c r="F6">
        <v>2.54384628309294</v>
      </c>
      <c r="G6">
        <v>-15.439052291588194</v>
      </c>
      <c r="H6">
        <v>-13.532271418405466</v>
      </c>
      <c r="I6">
        <v>1.8600018272279399</v>
      </c>
      <c r="J6">
        <v>1.0971985209472701</v>
      </c>
      <c r="K6">
        <v>0.37241882679269001</v>
      </c>
      <c r="L6">
        <v>0</v>
      </c>
      <c r="M6">
        <v>1.238311233006107E-6</v>
      </c>
      <c r="N6">
        <v>0</v>
      </c>
      <c r="O6" s="1">
        <v>5.2966620124635099E-13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751</v>
      </c>
      <c r="C7">
        <v>275</v>
      </c>
      <c r="D7">
        <v>0.29815017331445698</v>
      </c>
      <c r="E7">
        <v>1.15425914385253</v>
      </c>
      <c r="F7">
        <v>2.54384628309294</v>
      </c>
      <c r="G7">
        <v>-18.808283409982142</v>
      </c>
      <c r="H7">
        <v>-16.488712293843669</v>
      </c>
      <c r="I7">
        <v>2.2648743993931202</v>
      </c>
      <c r="J7">
        <v>1.3366274525542801</v>
      </c>
      <c r="K7">
        <v>0.45374563373740001</v>
      </c>
      <c r="L7">
        <v>0</v>
      </c>
      <c r="M7">
        <v>1.238311233006107E-6</v>
      </c>
      <c r="N7">
        <v>0</v>
      </c>
      <c r="O7" s="1">
        <v>6.4533183841318103E-13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750</v>
      </c>
      <c r="C8">
        <v>275</v>
      </c>
      <c r="D8">
        <v>0.29739578751893703</v>
      </c>
      <c r="E8">
        <v>1.3601502995492301</v>
      </c>
      <c r="F8">
        <v>2.54384628309294</v>
      </c>
      <c r="G8">
        <v>-22.160545808586949</v>
      </c>
      <c r="H8">
        <v>-19.431463881053244</v>
      </c>
      <c r="I8">
        <v>2.6673331647692899</v>
      </c>
      <c r="J8">
        <v>1.57484623943307</v>
      </c>
      <c r="K8">
        <v>0.53468258227281196</v>
      </c>
      <c r="L8">
        <v>0</v>
      </c>
      <c r="M8">
        <v>1.2383112330061065E-6</v>
      </c>
      <c r="N8">
        <v>0</v>
      </c>
      <c r="O8" s="1">
        <v>7.6044300623576502E-13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749</v>
      </c>
      <c r="C9">
        <v>275</v>
      </c>
      <c r="D9">
        <v>0.29663992564692099</v>
      </c>
      <c r="E9">
        <v>1.5650578094710199</v>
      </c>
      <c r="F9">
        <v>2.54384628309294</v>
      </c>
      <c r="G9">
        <v>-25.495977882431152</v>
      </c>
      <c r="H9">
        <v>-22.360638286337164</v>
      </c>
      <c r="I9">
        <v>3.0673967579063599</v>
      </c>
      <c r="J9">
        <v>1.8118644928399099</v>
      </c>
      <c r="K9">
        <v>0.61523285423053997</v>
      </c>
      <c r="L9">
        <v>0</v>
      </c>
      <c r="M9">
        <v>1.2383112330061072E-6</v>
      </c>
      <c r="N9">
        <v>0</v>
      </c>
      <c r="O9" s="1">
        <v>8.7500423001879298E-13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748</v>
      </c>
      <c r="C10">
        <v>275</v>
      </c>
      <c r="D10">
        <v>0.29588258336189799</v>
      </c>
      <c r="E10">
        <v>1.7689896828354601</v>
      </c>
      <c r="F10">
        <v>2.54384628309294</v>
      </c>
      <c r="G10">
        <v>-28.814716574685033</v>
      </c>
      <c r="H10">
        <v>-25.276346441381559</v>
      </c>
      <c r="I10">
        <v>3.46508361484941</v>
      </c>
      <c r="J10">
        <v>2.04769172201165</v>
      </c>
      <c r="K10">
        <v>0.69539959807816498</v>
      </c>
      <c r="L10">
        <v>0</v>
      </c>
      <c r="M10">
        <v>1.238311233006107E-6</v>
      </c>
      <c r="N10">
        <v>0</v>
      </c>
      <c r="O10" s="1">
        <v>9.8901998761554109E-13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747</v>
      </c>
      <c r="C11">
        <v>275</v>
      </c>
      <c r="D11">
        <v>0.29512375631034898</v>
      </c>
      <c r="E11">
        <v>1.97195384401187</v>
      </c>
      <c r="F11">
        <v>2.54384628309294</v>
      </c>
      <c r="G11">
        <v>-32.116897377978205</v>
      </c>
      <c r="H11">
        <v>-28.178698103107909</v>
      </c>
      <c r="I11">
        <v>3.86041197360221</v>
      </c>
      <c r="J11">
        <v>2.2823373342373001</v>
      </c>
      <c r="K11">
        <v>0.77518592892895399</v>
      </c>
      <c r="L11">
        <v>0</v>
      </c>
      <c r="M11">
        <v>1.2383112330061072E-6</v>
      </c>
      <c r="N11">
        <v>0</v>
      </c>
      <c r="O11" s="1">
        <v>1.1024947094416901E-12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746</v>
      </c>
      <c r="C12">
        <v>275</v>
      </c>
      <c r="D12">
        <v>0.29436344012167098</v>
      </c>
      <c r="E12">
        <v>2.1739581356645301</v>
      </c>
      <c r="F12">
        <v>2.54384628309294</v>
      </c>
      <c r="G12">
        <v>-35.402654386500075</v>
      </c>
      <c r="H12">
        <v>-31.067801898091794</v>
      </c>
      <c r="I12">
        <v>4.2533998806930002</v>
      </c>
      <c r="J12">
        <v>2.5158106385388002</v>
      </c>
      <c r="K12">
        <v>0.85459492977748497</v>
      </c>
      <c r="L12">
        <v>0</v>
      </c>
      <c r="M12">
        <v>1.2383112330061072E-6</v>
      </c>
      <c r="N12">
        <v>0</v>
      </c>
      <c r="O12" s="1">
        <v>1.2154327802326799E-12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745</v>
      </c>
      <c r="C13">
        <v>275</v>
      </c>
      <c r="D13">
        <v>0.29360163040809401</v>
      </c>
      <c r="E13">
        <v>2.37501031807084</v>
      </c>
      <c r="F13">
        <v>2.54384628309294</v>
      </c>
      <c r="G13">
        <v>-38.672120285777851</v>
      </c>
      <c r="H13">
        <v>-33.94376531233474</v>
      </c>
      <c r="I13">
        <v>4.6440651902402497</v>
      </c>
      <c r="J13">
        <v>2.7481208449230898</v>
      </c>
      <c r="K13">
        <v>0.93362965123159003</v>
      </c>
      <c r="L13">
        <v>0</v>
      </c>
      <c r="M13">
        <v>1.2383112330061067E-6</v>
      </c>
      <c r="N13">
        <v>0</v>
      </c>
      <c r="O13" s="1">
        <v>1.32783853866245E-12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744</v>
      </c>
      <c r="C14">
        <v>275</v>
      </c>
      <c r="D14">
        <v>0.29283832276459099</v>
      </c>
      <c r="E14">
        <v>2.5751180714914201</v>
      </c>
      <c r="F14">
        <v>2.54384628309294</v>
      </c>
      <c r="G14">
        <v>-41.925426392151294</v>
      </c>
      <c r="H14">
        <v>-36.806694724654655</v>
      </c>
      <c r="I14">
        <v>5.0324255689884803</v>
      </c>
      <c r="J14">
        <v>2.9792770671662399</v>
      </c>
      <c r="K14">
        <v>1.01229311244406</v>
      </c>
      <c r="L14">
        <v>0</v>
      </c>
      <c r="M14">
        <v>1.238311233006107E-6</v>
      </c>
      <c r="N14">
        <v>0</v>
      </c>
      <c r="O14" s="1">
        <v>1.43971627866859E-12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743</v>
      </c>
      <c r="C15">
        <v>275</v>
      </c>
      <c r="D15">
        <v>0.29207351276878402</v>
      </c>
      <c r="E15">
        <v>2.7742889961386501</v>
      </c>
      <c r="F15">
        <v>2.54384628309294</v>
      </c>
      <c r="G15">
        <v>-45.162702653122345</v>
      </c>
      <c r="H15">
        <v>-39.65669540576333</v>
      </c>
      <c r="I15">
        <v>5.4184984966382999</v>
      </c>
      <c r="J15">
        <v>3.2092883228173998</v>
      </c>
      <c r="K15">
        <v>1.0905883011002999</v>
      </c>
      <c r="L15">
        <v>0</v>
      </c>
      <c r="M15">
        <v>1.2383112330061072E-6</v>
      </c>
      <c r="N15">
        <v>0</v>
      </c>
      <c r="O15" s="1">
        <v>1.5510702494346799E-12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742</v>
      </c>
      <c r="C16">
        <v>275</v>
      </c>
      <c r="D16">
        <v>0.291307195980888</v>
      </c>
      <c r="E16">
        <v>2.9725306146420798</v>
      </c>
      <c r="F16">
        <v>2.54384628309294</v>
      </c>
      <c r="G16">
        <v>-48.384077688346466</v>
      </c>
      <c r="H16">
        <v>-42.493871553038566</v>
      </c>
      <c r="I16">
        <v>5.8023012710514701</v>
      </c>
      <c r="J16">
        <v>3.43816353609119</v>
      </c>
      <c r="K16">
        <v>1.16851817438745</v>
      </c>
      <c r="L16">
        <v>0</v>
      </c>
      <c r="M16">
        <v>1.238311233006107E-6</v>
      </c>
      <c r="N16">
        <v>0</v>
      </c>
      <c r="O16" s="1">
        <v>1.6619046567687401E-12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741</v>
      </c>
      <c r="C17">
        <v>275</v>
      </c>
      <c r="D17">
        <v>0.29053936794360102</v>
      </c>
      <c r="E17">
        <v>4.6947137793670004</v>
      </c>
      <c r="F17">
        <v>2.54384628309294</v>
      </c>
      <c r="G17">
        <v>-76.407005840536499</v>
      </c>
      <c r="H17">
        <v>-67.118805596598321</v>
      </c>
      <c r="I17">
        <v>9.15860596947015</v>
      </c>
      <c r="J17">
        <v>5.4294062466518902</v>
      </c>
      <c r="K17">
        <v>1.8455178721172201</v>
      </c>
      <c r="L17">
        <v>0</v>
      </c>
      <c r="M17">
        <v>1.2383112330061072E-6</v>
      </c>
      <c r="N17">
        <v>0</v>
      </c>
      <c r="O17" s="1">
        <v>2.62475570602857E-12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740</v>
      </c>
      <c r="C18">
        <v>275</v>
      </c>
      <c r="D18">
        <v>0.28977002418201098</v>
      </c>
      <c r="E18">
        <v>12.1444425829631</v>
      </c>
      <c r="F18">
        <v>2.54384628309294</v>
      </c>
      <c r="G18">
        <v>-197.62851268967279</v>
      </c>
      <c r="H18">
        <v>-173.63921463469327</v>
      </c>
      <c r="I18">
        <v>23.677933232965898</v>
      </c>
      <c r="J18">
        <v>14.043122861476601</v>
      </c>
      <c r="K18">
        <v>4.7740473407053798</v>
      </c>
      <c r="L18">
        <v>0</v>
      </c>
      <c r="M18">
        <v>1.2383112330061072E-6</v>
      </c>
      <c r="N18">
        <v>0</v>
      </c>
      <c r="O18" s="1">
        <v>6.7898058250671003E-12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739</v>
      </c>
      <c r="C19">
        <v>275</v>
      </c>
      <c r="D19">
        <v>0.28899916020352701</v>
      </c>
      <c r="E19">
        <v>16.773418946068201</v>
      </c>
      <c r="F19">
        <v>2.54384628309294</v>
      </c>
      <c r="G19">
        <v>-272.92391336826103</v>
      </c>
      <c r="H19">
        <v>-239.84294118912021</v>
      </c>
      <c r="I19">
        <v>32.683863240765398</v>
      </c>
      <c r="J19">
        <v>19.393243988381201</v>
      </c>
      <c r="K19">
        <v>6.5937234720308</v>
      </c>
      <c r="L19">
        <v>0</v>
      </c>
      <c r="M19">
        <v>1.238311233006107E-6</v>
      </c>
      <c r="N19">
        <v>0</v>
      </c>
      <c r="O19" s="1">
        <v>9.3778085645588497E-12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738</v>
      </c>
      <c r="C20">
        <v>275</v>
      </c>
      <c r="D20">
        <v>0.28822677149780002</v>
      </c>
      <c r="E20">
        <v>28.089562680754199</v>
      </c>
      <c r="F20">
        <v>2.54384628309294</v>
      </c>
      <c r="G20">
        <v>-456.99660814751479</v>
      </c>
      <c r="H20">
        <v>-401.68483619859899</v>
      </c>
      <c r="I20">
        <v>54.701846361979797</v>
      </c>
      <c r="J20">
        <v>32.472555530627702</v>
      </c>
      <c r="K20">
        <v>11.0421619684509</v>
      </c>
      <c r="L20">
        <v>0</v>
      </c>
      <c r="M20">
        <v>1.238311233006107E-6</v>
      </c>
      <c r="N20">
        <v>0</v>
      </c>
      <c r="O20" s="1">
        <v>1.57045228721266E-11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737</v>
      </c>
      <c r="C21">
        <v>275</v>
      </c>
      <c r="D21">
        <v>0.28745285353660599</v>
      </c>
      <c r="E21">
        <v>30.8180591795909</v>
      </c>
      <c r="F21">
        <v>2.54384628309294</v>
      </c>
      <c r="G21">
        <v>-501.32724973560278</v>
      </c>
      <c r="H21">
        <v>-440.7383578420924</v>
      </c>
      <c r="I21">
        <v>59.980093940019103</v>
      </c>
      <c r="J21">
        <v>35.6220791089901</v>
      </c>
      <c r="K21">
        <v>12.114748986373799</v>
      </c>
      <c r="L21">
        <v>0</v>
      </c>
      <c r="M21">
        <v>1.2383112330061072E-6</v>
      </c>
      <c r="N21">
        <v>0</v>
      </c>
      <c r="O21" s="1">
        <v>1.72299911095462E-11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736</v>
      </c>
      <c r="C22">
        <v>275</v>
      </c>
      <c r="D22">
        <v>0.28667740177377199</v>
      </c>
      <c r="E22">
        <v>31.786450660501899</v>
      </c>
      <c r="F22">
        <v>2.54384628309294</v>
      </c>
      <c r="G22">
        <v>-517.01853779820021</v>
      </c>
      <c r="H22">
        <v>-454.62435542862318</v>
      </c>
      <c r="I22">
        <v>61.828452033470803</v>
      </c>
      <c r="J22">
        <v>36.736550042502998</v>
      </c>
      <c r="K22">
        <v>12.4954290169822</v>
      </c>
      <c r="L22">
        <v>0</v>
      </c>
      <c r="M22">
        <v>1.238311233006107E-6</v>
      </c>
      <c r="N22">
        <v>0</v>
      </c>
      <c r="O22" s="1">
        <v>1.77714066642838E-11</v>
      </c>
      <c r="P22">
        <v>0</v>
      </c>
      <c r="Q22">
        <v>100</v>
      </c>
      <c r="AJ22">
        <v>1</v>
      </c>
    </row>
    <row r="23" spans="1:36" x14ac:dyDescent="0.2">
      <c r="A23">
        <v>24</v>
      </c>
      <c r="B23">
        <v>756</v>
      </c>
      <c r="C23">
        <v>255</v>
      </c>
      <c r="D23">
        <v>0.32327697614536499</v>
      </c>
      <c r="E23">
        <v>8.2008994966712601E-2</v>
      </c>
      <c r="F23">
        <v>2.54321635207668</v>
      </c>
      <c r="G23">
        <v>-1.3377609185259896</v>
      </c>
      <c r="H23">
        <v>-1.1716769104934959</v>
      </c>
      <c r="I23">
        <v>0.161379787234605</v>
      </c>
      <c r="J23">
        <v>9.5026690599188696E-2</v>
      </c>
      <c r="K23">
        <v>3.2246173197080702E-2</v>
      </c>
      <c r="L23">
        <v>0</v>
      </c>
      <c r="M23">
        <v>1.2382889668785757E-6</v>
      </c>
      <c r="N23">
        <v>0</v>
      </c>
      <c r="O23" s="1">
        <v>4.5850202504479499E-14</v>
      </c>
      <c r="P23">
        <v>0</v>
      </c>
      <c r="Q23">
        <v>100</v>
      </c>
      <c r="AJ23">
        <v>1</v>
      </c>
    </row>
    <row r="24" spans="1:36" x14ac:dyDescent="0.2">
      <c r="A24">
        <v>25</v>
      </c>
      <c r="B24">
        <v>755</v>
      </c>
      <c r="C24">
        <v>255</v>
      </c>
      <c r="D24">
        <v>0.322550697855369</v>
      </c>
      <c r="E24">
        <v>0.28806452996557602</v>
      </c>
      <c r="F24">
        <v>2.54321635207668</v>
      </c>
      <c r="G24">
        <v>-4.6984479674252109</v>
      </c>
      <c r="H24">
        <v>-4.1159622881762088</v>
      </c>
      <c r="I24">
        <v>0.56653764455478395</v>
      </c>
      <c r="J24">
        <v>0.33374805506156902</v>
      </c>
      <c r="K24">
        <v>0.113267803476631</v>
      </c>
      <c r="L24">
        <v>0</v>
      </c>
      <c r="M24">
        <v>1.2382889668785759E-6</v>
      </c>
      <c r="N24">
        <v>0</v>
      </c>
      <c r="O24" s="1">
        <v>1.6105327273722101E-13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754</v>
      </c>
      <c r="C25">
        <v>255</v>
      </c>
      <c r="D25">
        <v>0.321823005403299</v>
      </c>
      <c r="E25">
        <v>0.49313293816086201</v>
      </c>
      <c r="F25">
        <v>2.54321635207668</v>
      </c>
      <c r="G25">
        <v>-8.0422263474663236</v>
      </c>
      <c r="H25">
        <v>-7.046619548953915</v>
      </c>
      <c r="I25">
        <v>0.96929055981347201</v>
      </c>
      <c r="J25">
        <v>0.57126508931909104</v>
      </c>
      <c r="K25">
        <v>0.19390129265179901</v>
      </c>
      <c r="L25">
        <v>0</v>
      </c>
      <c r="M25">
        <v>1.2382889668785757E-6</v>
      </c>
      <c r="N25">
        <v>0</v>
      </c>
      <c r="O25" s="1">
        <v>2.7570445273084902E-13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753</v>
      </c>
      <c r="C26">
        <v>255</v>
      </c>
      <c r="D26">
        <v>0.321093894654779</v>
      </c>
      <c r="E26">
        <v>0.69722212739478795</v>
      </c>
      <c r="F26">
        <v>2.54321635207668</v>
      </c>
      <c r="G26">
        <v>-11.369231524047725</v>
      </c>
      <c r="H26">
        <v>-9.963758179386998</v>
      </c>
      <c r="I26">
        <v>1.36965681884785</v>
      </c>
      <c r="J26">
        <v>0.80758719211732799</v>
      </c>
      <c r="K26">
        <v>0.274149750108937</v>
      </c>
      <c r="L26">
        <v>0</v>
      </c>
      <c r="M26">
        <v>1.2382889668785759E-6</v>
      </c>
      <c r="N26">
        <v>0</v>
      </c>
      <c r="O26" s="1">
        <v>3.8980816366095802E-13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752</v>
      </c>
      <c r="C27">
        <v>255</v>
      </c>
      <c r="D27">
        <v>0.3203633614593</v>
      </c>
      <c r="E27">
        <v>0.90033992306537503</v>
      </c>
      <c r="F27">
        <v>2.54321635207668</v>
      </c>
      <c r="G27">
        <v>-14.679597550337451</v>
      </c>
      <c r="H27">
        <v>-12.86748652500637</v>
      </c>
      <c r="I27">
        <v>1.7676545142965201</v>
      </c>
      <c r="J27">
        <v>1.0427236630850001</v>
      </c>
      <c r="K27">
        <v>0.35401625281710403</v>
      </c>
      <c r="L27">
        <v>0</v>
      </c>
      <c r="M27">
        <v>1.2382889668785759E-6</v>
      </c>
      <c r="N27">
        <v>0</v>
      </c>
      <c r="O27" s="1">
        <v>5.0336878060962398E-13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751</v>
      </c>
      <c r="C28">
        <v>255</v>
      </c>
      <c r="D28">
        <v>0.31963140165015202</v>
      </c>
      <c r="E28">
        <v>1.1024940681039299</v>
      </c>
      <c r="F28">
        <v>2.54321635207668</v>
      </c>
      <c r="G28">
        <v>-17.973457067796648</v>
      </c>
      <c r="H28">
        <v>-15.75791178950462</v>
      </c>
      <c r="I28">
        <v>2.1633015459571601</v>
      </c>
      <c r="J28">
        <v>1.27668370274936</v>
      </c>
      <c r="K28">
        <v>0.43350384531920799</v>
      </c>
      <c r="L28">
        <v>0</v>
      </c>
      <c r="M28">
        <v>1.2382889668785759E-6</v>
      </c>
      <c r="N28">
        <v>0</v>
      </c>
      <c r="O28" s="1">
        <v>6.1639063255281696E-13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750</v>
      </c>
      <c r="C29">
        <v>255</v>
      </c>
      <c r="D29">
        <v>0.31889801104432502</v>
      </c>
      <c r="E29">
        <v>1.3036922226496901</v>
      </c>
      <c r="F29">
        <v>2.54321635207668</v>
      </c>
      <c r="G29">
        <v>-21.250941301765526</v>
      </c>
      <c r="H29">
        <v>-18.635140029598279</v>
      </c>
      <c r="I29">
        <v>2.5566156205514701</v>
      </c>
      <c r="J29">
        <v>1.5094764122012401</v>
      </c>
      <c r="K29">
        <v>0.51261553960407402</v>
      </c>
      <c r="L29">
        <v>0</v>
      </c>
      <c r="M29">
        <v>1.2382889668785759E-6</v>
      </c>
      <c r="N29">
        <v>0</v>
      </c>
      <c r="O29" s="1">
        <v>7.2887800217849301E-13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749</v>
      </c>
      <c r="C30">
        <v>255</v>
      </c>
      <c r="D30">
        <v>0.31816318544244998</v>
      </c>
      <c r="E30">
        <v>1.5039419676991499</v>
      </c>
      <c r="F30">
        <v>2.54321635207668</v>
      </c>
      <c r="G30">
        <v>-24.512180121833904</v>
      </c>
      <c r="H30">
        <v>-21.499276206707322</v>
      </c>
      <c r="I30">
        <v>2.94761425928345</v>
      </c>
      <c r="J30">
        <v>1.7411107973621101</v>
      </c>
      <c r="K30">
        <v>0.59135431654137405</v>
      </c>
      <c r="L30">
        <v>0</v>
      </c>
      <c r="M30">
        <v>1.2382889668785759E-6</v>
      </c>
      <c r="N30">
        <v>0</v>
      </c>
      <c r="O30" s="1">
        <v>8.4083512792689296E-13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748</v>
      </c>
      <c r="C31">
        <v>255</v>
      </c>
      <c r="D31">
        <v>0.31742692062870498</v>
      </c>
      <c r="E31">
        <v>1.7032508047324599</v>
      </c>
      <c r="F31">
        <v>2.54321635207668</v>
      </c>
      <c r="G31">
        <v>-27.757302036607136</v>
      </c>
      <c r="H31">
        <v>-24.350424181146522</v>
      </c>
      <c r="I31">
        <v>3.3363147974936198</v>
      </c>
      <c r="J31">
        <v>1.97159576859145</v>
      </c>
      <c r="K31">
        <v>0.66972312573472303</v>
      </c>
      <c r="L31">
        <v>0</v>
      </c>
      <c r="M31">
        <v>1.2382889668785757E-6</v>
      </c>
      <c r="N31">
        <v>0</v>
      </c>
      <c r="O31" s="1">
        <v>9.5226620378166293E-13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747</v>
      </c>
      <c r="C32">
        <v>255</v>
      </c>
      <c r="D32">
        <v>0.316689212370732</v>
      </c>
      <c r="E32">
        <v>1.9016261550948801</v>
      </c>
      <c r="F32">
        <v>2.54321635207668</v>
      </c>
      <c r="G32">
        <v>-30.986434184484398</v>
      </c>
      <c r="H32">
        <v>-27.188686702812625</v>
      </c>
      <c r="I32">
        <v>3.72273438383744</v>
      </c>
      <c r="J32">
        <v>2.2009401400112401</v>
      </c>
      <c r="K32">
        <v>0.74772488527847403</v>
      </c>
      <c r="L32">
        <v>0</v>
      </c>
      <c r="M32">
        <v>1.2382889668785759E-6</v>
      </c>
      <c r="N32">
        <v>0</v>
      </c>
      <c r="O32" s="1">
        <v>1.0631753789240401E-12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746</v>
      </c>
      <c r="C33">
        <v>255</v>
      </c>
      <c r="D33">
        <v>0.31595005641956603</v>
      </c>
      <c r="E33">
        <v>2.0990753657130998</v>
      </c>
      <c r="F33">
        <v>2.54321635207668</v>
      </c>
      <c r="G33">
        <v>-34.19970242765401</v>
      </c>
      <c r="H33">
        <v>-30.014165492446875</v>
      </c>
      <c r="I33">
        <v>4.1068899918629604</v>
      </c>
      <c r="J33">
        <v>2.4291526361621898</v>
      </c>
      <c r="K33">
        <v>0.82536248400537404</v>
      </c>
      <c r="L33">
        <v>0</v>
      </c>
      <c r="M33">
        <v>1.2382889668785759E-6</v>
      </c>
      <c r="N33">
        <v>0</v>
      </c>
      <c r="O33" s="1">
        <v>1.1735667609287801E-12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745</v>
      </c>
      <c r="C34">
        <v>255</v>
      </c>
      <c r="D34">
        <v>0.31520944850955201</v>
      </c>
      <c r="E34">
        <v>2.29560570417497</v>
      </c>
      <c r="F34">
        <v>2.54321635207668</v>
      </c>
      <c r="G34">
        <v>-37.397231272743689</v>
      </c>
      <c r="H34">
        <v>-32.826961170836562</v>
      </c>
      <c r="I34">
        <v>4.4887984107519703</v>
      </c>
      <c r="J34">
        <v>2.6562418863476398</v>
      </c>
      <c r="K34">
        <v>0.90263877955191196</v>
      </c>
      <c r="L34">
        <v>0</v>
      </c>
      <c r="M34">
        <v>1.2382889668785759E-6</v>
      </c>
      <c r="N34">
        <v>0</v>
      </c>
      <c r="O34" s="1">
        <v>1.2834444130132601E-12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744</v>
      </c>
      <c r="C35">
        <v>255</v>
      </c>
      <c r="D35">
        <v>0.31446738435825899</v>
      </c>
      <c r="E35">
        <v>6.1196870087634903</v>
      </c>
      <c r="F35">
        <v>2.54321635207668</v>
      </c>
      <c r="G35">
        <v>-99.682575239775474</v>
      </c>
      <c r="H35">
        <v>-87.518070616194066</v>
      </c>
      <c r="I35">
        <v>11.9594008981776</v>
      </c>
      <c r="J35">
        <v>7.08015813538396</v>
      </c>
      <c r="K35">
        <v>2.40627857074228</v>
      </c>
      <c r="L35">
        <v>0</v>
      </c>
      <c r="M35">
        <v>1.2382889668785759E-6</v>
      </c>
      <c r="N35">
        <v>0</v>
      </c>
      <c r="O35" s="1">
        <v>3.4214404008941801E-12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743</v>
      </c>
      <c r="C36">
        <v>255</v>
      </c>
      <c r="D36">
        <v>0.31372385966638899</v>
      </c>
      <c r="E36">
        <v>12.9975286015194</v>
      </c>
      <c r="F36">
        <v>2.54321635207668</v>
      </c>
      <c r="G36">
        <v>-211.68921278017331</v>
      </c>
      <c r="H36">
        <v>-185.89359928160565</v>
      </c>
      <c r="I36">
        <v>25.385635485477199</v>
      </c>
      <c r="J36">
        <v>15.035498040903001</v>
      </c>
      <c r="K36">
        <v>5.1106657091545298</v>
      </c>
      <c r="L36">
        <v>0</v>
      </c>
      <c r="M36">
        <v>1.2382889668785759E-6</v>
      </c>
      <c r="N36">
        <v>0</v>
      </c>
      <c r="O36" s="1">
        <v>7.2667555391859204E-12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742</v>
      </c>
      <c r="C37">
        <v>255</v>
      </c>
      <c r="D37">
        <v>0.31297887011771702</v>
      </c>
      <c r="E37">
        <v>21.272666315374</v>
      </c>
      <c r="F37">
        <v>2.54321635207668</v>
      </c>
      <c r="G37">
        <v>-346.42386728683539</v>
      </c>
      <c r="H37">
        <v>-304.27110054055868</v>
      </c>
      <c r="I37">
        <v>41.523682949590302</v>
      </c>
      <c r="J37">
        <v>24.604929308612299</v>
      </c>
      <c r="K37">
        <v>8.3644737098373998</v>
      </c>
      <c r="L37">
        <v>0</v>
      </c>
      <c r="M37">
        <v>1.2382889668785759E-6</v>
      </c>
      <c r="N37">
        <v>0</v>
      </c>
      <c r="O37" s="1">
        <v>1.18932814475536E-11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741</v>
      </c>
      <c r="C38">
        <v>255</v>
      </c>
      <c r="D38">
        <v>0.31223241137898899</v>
      </c>
      <c r="E38">
        <v>28.8164707713402</v>
      </c>
      <c r="F38">
        <v>2.54321635207668</v>
      </c>
      <c r="G38">
        <v>-469.21795704933641</v>
      </c>
      <c r="H38">
        <v>-412.20635561281875</v>
      </c>
      <c r="I38">
        <v>56.216143012885297</v>
      </c>
      <c r="J38">
        <v>33.326062836885299</v>
      </c>
      <c r="K38">
        <v>11.330719365582</v>
      </c>
      <c r="L38">
        <v>0</v>
      </c>
      <c r="M38">
        <v>1.2382889668785757E-6</v>
      </c>
      <c r="N38">
        <v>0</v>
      </c>
      <c r="O38" s="1">
        <v>1.6110928086201399E-11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740</v>
      </c>
      <c r="C39">
        <v>255</v>
      </c>
      <c r="D39">
        <v>0.31148447909983901</v>
      </c>
      <c r="E39">
        <v>30.977286931614501</v>
      </c>
      <c r="F39">
        <v>2.54321635207668</v>
      </c>
      <c r="G39">
        <v>-504.34206498888449</v>
      </c>
      <c r="H39">
        <v>-443.15165924892784</v>
      </c>
      <c r="I39">
        <v>60.396195765638403</v>
      </c>
      <c r="J39">
        <v>35.820322202860403</v>
      </c>
      <c r="K39">
        <v>12.180358507965501</v>
      </c>
      <c r="L39">
        <v>0</v>
      </c>
      <c r="M39">
        <v>1.2382889668785757E-6</v>
      </c>
      <c r="N39">
        <v>0</v>
      </c>
      <c r="O39" s="1">
        <v>1.73190133525035E-11</v>
      </c>
      <c r="P39">
        <v>0</v>
      </c>
      <c r="Q39">
        <v>100</v>
      </c>
      <c r="AJ39">
        <v>1</v>
      </c>
    </row>
    <row r="40" spans="1:36" x14ac:dyDescent="0.2">
      <c r="A40">
        <v>42</v>
      </c>
      <c r="B40">
        <v>756</v>
      </c>
      <c r="C40">
        <v>235</v>
      </c>
      <c r="D40">
        <v>0.344653840548026</v>
      </c>
      <c r="E40">
        <v>8.3377693673368294E-2</v>
      </c>
      <c r="F40">
        <v>2.5425865883876599</v>
      </c>
      <c r="G40">
        <v>-1.3607434039210509</v>
      </c>
      <c r="H40">
        <v>-1.1918875174247063</v>
      </c>
      <c r="I40">
        <v>0.16407315405562301</v>
      </c>
      <c r="J40">
        <v>9.6612649658602598E-2</v>
      </c>
      <c r="K40">
        <v>3.2792469705521701E-2</v>
      </c>
      <c r="L40">
        <v>0</v>
      </c>
      <c r="M40">
        <v>1.2382666413665599E-6</v>
      </c>
      <c r="N40">
        <v>0</v>
      </c>
      <c r="O40" s="1">
        <v>4.6615424818120297E-14</v>
      </c>
      <c r="P40">
        <v>0</v>
      </c>
      <c r="Q40">
        <v>100</v>
      </c>
      <c r="AJ40">
        <v>1</v>
      </c>
    </row>
    <row r="41" spans="1:36" x14ac:dyDescent="0.2">
      <c r="A41">
        <v>43</v>
      </c>
      <c r="B41">
        <v>755</v>
      </c>
      <c r="C41">
        <v>235</v>
      </c>
      <c r="D41">
        <v>0.34394835383941902</v>
      </c>
      <c r="E41">
        <v>0.28426749755335401</v>
      </c>
      <c r="F41">
        <v>2.5425865883876502</v>
      </c>
      <c r="G41">
        <v>-4.6387526193977466</v>
      </c>
      <c r="H41">
        <v>-4.0639447927605481</v>
      </c>
      <c r="I41">
        <v>0.55907000596916601</v>
      </c>
      <c r="J41">
        <v>0.32934885956625198</v>
      </c>
      <c r="K41">
        <v>0.111802484466661</v>
      </c>
      <c r="L41">
        <v>0</v>
      </c>
      <c r="M41">
        <v>1.2382666413665599E-6</v>
      </c>
      <c r="N41">
        <v>0</v>
      </c>
      <c r="O41" s="1">
        <v>1.5893039944646601E-13</v>
      </c>
      <c r="P41">
        <v>0</v>
      </c>
      <c r="Q41">
        <v>100</v>
      </c>
      <c r="AJ41">
        <v>1</v>
      </c>
    </row>
    <row r="42" spans="1:36" x14ac:dyDescent="0.2">
      <c r="A42">
        <v>44</v>
      </c>
      <c r="B42">
        <v>754</v>
      </c>
      <c r="C42">
        <v>235</v>
      </c>
      <c r="D42">
        <v>0.34324149345275801</v>
      </c>
      <c r="E42">
        <v>0.48421262085849698</v>
      </c>
      <c r="F42">
        <v>2.5425865883876599</v>
      </c>
      <c r="G42">
        <v>-7.9005582822728151</v>
      </c>
      <c r="H42">
        <v>-6.9229610869806759</v>
      </c>
      <c r="I42">
        <v>0.95175699293398097</v>
      </c>
      <c r="J42">
        <v>0.56093143389648803</v>
      </c>
      <c r="K42">
        <v>0.19044095609957201</v>
      </c>
      <c r="L42">
        <v>0</v>
      </c>
      <c r="M42">
        <v>1.2382666413665602E-6</v>
      </c>
      <c r="N42">
        <v>0</v>
      </c>
      <c r="O42" s="1">
        <v>2.70717214990847E-13</v>
      </c>
      <c r="P42">
        <v>0</v>
      </c>
      <c r="Q42">
        <v>100</v>
      </c>
      <c r="AJ42">
        <v>1</v>
      </c>
    </row>
    <row r="43" spans="1:36" x14ac:dyDescent="0.2">
      <c r="A43">
        <v>45</v>
      </c>
      <c r="B43">
        <v>753</v>
      </c>
      <c r="C43">
        <v>235</v>
      </c>
      <c r="D43">
        <v>0.342533255372025</v>
      </c>
      <c r="E43">
        <v>0.68322042498489499</v>
      </c>
      <c r="F43">
        <v>2.5425865883876502</v>
      </c>
      <c r="G43">
        <v>-11.146286737536283</v>
      </c>
      <c r="H43">
        <v>-9.7690382852645943</v>
      </c>
      <c r="I43">
        <v>1.3421511984326699</v>
      </c>
      <c r="J43">
        <v>0.79136912460372399</v>
      </c>
      <c r="K43">
        <v>0.26871077984335101</v>
      </c>
      <c r="L43">
        <v>0</v>
      </c>
      <c r="M43">
        <v>1.2382666413665602E-6</v>
      </c>
      <c r="N43">
        <v>0</v>
      </c>
      <c r="O43" s="1">
        <v>3.81979987115671E-13</v>
      </c>
      <c r="P43">
        <v>0</v>
      </c>
      <c r="Q43">
        <v>100</v>
      </c>
      <c r="AJ43">
        <v>1</v>
      </c>
    </row>
    <row r="44" spans="1:36" x14ac:dyDescent="0.2">
      <c r="A44">
        <v>46</v>
      </c>
      <c r="B44">
        <v>752</v>
      </c>
      <c r="C44">
        <v>235</v>
      </c>
      <c r="D44">
        <v>0.34182363556552797</v>
      </c>
      <c r="E44">
        <v>0.88129819239683005</v>
      </c>
      <c r="F44">
        <v>2.5425865883876599</v>
      </c>
      <c r="G44">
        <v>-14.376062979154979</v>
      </c>
      <c r="H44">
        <v>-12.602277178777129</v>
      </c>
      <c r="I44">
        <v>1.7302695219020101</v>
      </c>
      <c r="J44">
        <v>1.0206705888565599</v>
      </c>
      <c r="K44">
        <v>0.34661481989318998</v>
      </c>
      <c r="L44">
        <v>0</v>
      </c>
      <c r="M44">
        <v>1.2382666413665602E-6</v>
      </c>
      <c r="N44">
        <v>0</v>
      </c>
      <c r="O44" s="1">
        <v>4.9272278735555605E-13</v>
      </c>
      <c r="P44">
        <v>0</v>
      </c>
      <c r="Q44">
        <v>100</v>
      </c>
      <c r="AJ44">
        <v>1</v>
      </c>
    </row>
    <row r="45" spans="1:36" x14ac:dyDescent="0.2">
      <c r="A45">
        <v>47</v>
      </c>
      <c r="B45">
        <v>751</v>
      </c>
      <c r="C45">
        <v>235</v>
      </c>
      <c r="D45">
        <v>0.34111262998584302</v>
      </c>
      <c r="E45">
        <v>1.0784531311971799</v>
      </c>
      <c r="F45">
        <v>2.5425865883876502</v>
      </c>
      <c r="G45">
        <v>-17.590010725468314</v>
      </c>
      <c r="H45">
        <v>-15.422777529563323</v>
      </c>
      <c r="I45">
        <v>2.1161286880876702</v>
      </c>
      <c r="J45">
        <v>1.24884439437063</v>
      </c>
      <c r="K45">
        <v>0.42415591119792301</v>
      </c>
      <c r="L45">
        <v>0</v>
      </c>
      <c r="M45">
        <v>1.2382666413665599E-6</v>
      </c>
      <c r="N45">
        <v>0</v>
      </c>
      <c r="O45" s="1">
        <v>6.0294964567059602E-13</v>
      </c>
      <c r="P45">
        <v>0</v>
      </c>
      <c r="Q45">
        <v>100</v>
      </c>
      <c r="AJ45">
        <v>1</v>
      </c>
    </row>
    <row r="46" spans="1:36" x14ac:dyDescent="0.2">
      <c r="A46">
        <v>48</v>
      </c>
      <c r="B46">
        <v>750</v>
      </c>
      <c r="C46">
        <v>235</v>
      </c>
      <c r="D46">
        <v>0.34040023456971302</v>
      </c>
      <c r="E46">
        <v>1.2746923720513801</v>
      </c>
      <c r="F46">
        <v>2.5425865883876599</v>
      </c>
      <c r="G46">
        <v>-20.788252369826399</v>
      </c>
      <c r="H46">
        <v>-18.230638026114974</v>
      </c>
      <c r="I46">
        <v>2.4997452413736201</v>
      </c>
      <c r="J46">
        <v>1.4758990158840799</v>
      </c>
      <c r="K46">
        <v>0.50133685825020702</v>
      </c>
      <c r="L46">
        <v>0</v>
      </c>
      <c r="M46">
        <v>1.2382666413665602E-6</v>
      </c>
      <c r="N46">
        <v>0</v>
      </c>
      <c r="O46" s="1">
        <v>7.1266454872656304E-13</v>
      </c>
      <c r="P46">
        <v>0</v>
      </c>
      <c r="Q46">
        <v>100</v>
      </c>
      <c r="AJ46">
        <v>1</v>
      </c>
    </row>
    <row r="47" spans="1:36" x14ac:dyDescent="0.2">
      <c r="A47">
        <v>49</v>
      </c>
      <c r="B47">
        <v>749</v>
      </c>
      <c r="C47">
        <v>235</v>
      </c>
      <c r="D47">
        <v>0.33968644523797997</v>
      </c>
      <c r="E47">
        <v>1.47002297446973</v>
      </c>
      <c r="F47">
        <v>2.5425865883876502</v>
      </c>
      <c r="G47">
        <v>-23.970909083867031</v>
      </c>
      <c r="H47">
        <v>-21.025956372771557</v>
      </c>
      <c r="I47">
        <v>2.8811355584752398</v>
      </c>
      <c r="J47">
        <v>1.70184284247038</v>
      </c>
      <c r="K47">
        <v>0.578160437557381</v>
      </c>
      <c r="L47">
        <v>0</v>
      </c>
      <c r="M47">
        <v>1.2382666413665599E-6</v>
      </c>
      <c r="N47">
        <v>0</v>
      </c>
      <c r="O47" s="1">
        <v>8.2187144340730795E-13</v>
      </c>
      <c r="P47">
        <v>0</v>
      </c>
      <c r="Q47">
        <v>100</v>
      </c>
      <c r="AJ47">
        <v>1</v>
      </c>
    </row>
    <row r="48" spans="1:36" x14ac:dyDescent="0.2">
      <c r="A48">
        <v>50</v>
      </c>
      <c r="B48">
        <v>748</v>
      </c>
      <c r="C48">
        <v>235</v>
      </c>
      <c r="D48">
        <v>0.33897125789551102</v>
      </c>
      <c r="E48">
        <v>1.6644519220993099</v>
      </c>
      <c r="F48">
        <v>2.5425865883876599</v>
      </c>
      <c r="G48">
        <v>-27.138100741521473</v>
      </c>
      <c r="H48">
        <v>-23.808829221952337</v>
      </c>
      <c r="I48">
        <v>3.2603158395623901</v>
      </c>
      <c r="J48">
        <v>1.9266841721236501</v>
      </c>
      <c r="K48">
        <v>0.654629395789739</v>
      </c>
      <c r="L48">
        <v>0</v>
      </c>
      <c r="M48">
        <v>1.2382666413665602E-6</v>
      </c>
      <c r="N48">
        <v>0</v>
      </c>
      <c r="O48" s="1">
        <v>9.3057423418248004E-13</v>
      </c>
      <c r="P48">
        <v>0</v>
      </c>
      <c r="Q48">
        <v>100</v>
      </c>
      <c r="AJ48">
        <v>1</v>
      </c>
    </row>
    <row r="49" spans="1:36" x14ac:dyDescent="0.2">
      <c r="A49">
        <v>51</v>
      </c>
      <c r="B49">
        <v>747</v>
      </c>
      <c r="C49">
        <v>235</v>
      </c>
      <c r="D49">
        <v>0.33825466843111501</v>
      </c>
      <c r="E49">
        <v>8.7790517020586307</v>
      </c>
      <c r="F49">
        <v>2.5425865883876599</v>
      </c>
      <c r="G49">
        <v>-143.12109118065038</v>
      </c>
      <c r="H49">
        <v>-125.58840138059033</v>
      </c>
      <c r="I49">
        <v>17.186384159251102</v>
      </c>
      <c r="J49">
        <v>10.1608653365049</v>
      </c>
      <c r="K49">
        <v>3.4528034333830502</v>
      </c>
      <c r="L49">
        <v>0</v>
      </c>
      <c r="M49">
        <v>1.2382666413665599E-6</v>
      </c>
      <c r="N49">
        <v>0</v>
      </c>
      <c r="O49" s="1">
        <v>4.9082579112213996E-12</v>
      </c>
      <c r="P49">
        <v>0</v>
      </c>
      <c r="Q49">
        <v>100</v>
      </c>
      <c r="AJ49">
        <v>1</v>
      </c>
    </row>
    <row r="50" spans="1:36" x14ac:dyDescent="0.2">
      <c r="A50">
        <v>52</v>
      </c>
      <c r="B50">
        <v>746</v>
      </c>
      <c r="C50">
        <v>235</v>
      </c>
      <c r="D50">
        <v>0.33753667271746202</v>
      </c>
      <c r="E50">
        <v>14.409948715640599</v>
      </c>
      <c r="F50">
        <v>2.5425865883876599</v>
      </c>
      <c r="G50">
        <v>-234.89097352336165</v>
      </c>
      <c r="H50">
        <v>-206.15766857922736</v>
      </c>
      <c r="I50">
        <v>28.193401309065599</v>
      </c>
      <c r="J50">
        <v>16.6758971503955</v>
      </c>
      <c r="K50">
        <v>5.6674367675236201</v>
      </c>
      <c r="L50">
        <v>0</v>
      </c>
      <c r="M50">
        <v>1.2382666413665602E-6</v>
      </c>
      <c r="N50">
        <v>0</v>
      </c>
      <c r="O50" s="1">
        <v>8.0564219444399504E-12</v>
      </c>
      <c r="P50">
        <v>0</v>
      </c>
      <c r="Q50">
        <v>100</v>
      </c>
      <c r="AJ50">
        <v>1</v>
      </c>
    </row>
    <row r="51" spans="1:36" x14ac:dyDescent="0.2">
      <c r="A51">
        <v>53</v>
      </c>
      <c r="B51">
        <v>745</v>
      </c>
      <c r="C51">
        <v>235</v>
      </c>
      <c r="D51">
        <v>0.33681726661101002</v>
      </c>
      <c r="E51">
        <v>24.163358449207401</v>
      </c>
      <c r="F51">
        <v>2.5425865883876599</v>
      </c>
      <c r="G51">
        <v>-393.83025243178201</v>
      </c>
      <c r="H51">
        <v>-345.72396201734574</v>
      </c>
      <c r="I51">
        <v>47.248726036867097</v>
      </c>
      <c r="J51">
        <v>27.959385495029601</v>
      </c>
      <c r="K51">
        <v>9.5034554809518692</v>
      </c>
      <c r="L51">
        <v>0</v>
      </c>
      <c r="M51">
        <v>1.2382666413665599E-6</v>
      </c>
      <c r="N51">
        <v>0</v>
      </c>
      <c r="O51" s="1">
        <v>1.35094312341491E-11</v>
      </c>
      <c r="P51">
        <v>0</v>
      </c>
      <c r="Q51">
        <v>100</v>
      </c>
      <c r="AJ51">
        <v>1</v>
      </c>
    </row>
    <row r="52" spans="1:36" x14ac:dyDescent="0.2">
      <c r="A52">
        <v>54</v>
      </c>
      <c r="B52">
        <v>744</v>
      </c>
      <c r="C52">
        <v>235</v>
      </c>
      <c r="D52">
        <v>0.336096445951927</v>
      </c>
      <c r="E52">
        <v>29.624232732038301</v>
      </c>
      <c r="F52">
        <v>2.5425865883876599</v>
      </c>
      <c r="G52">
        <v>-482.77725048412617</v>
      </c>
      <c r="H52">
        <v>-423.89121341672643</v>
      </c>
      <c r="I52">
        <v>57.893169215356302</v>
      </c>
      <c r="J52">
        <v>34.273689501095603</v>
      </c>
      <c r="K52">
        <v>11.6512188286276</v>
      </c>
      <c r="L52">
        <v>0</v>
      </c>
      <c r="M52">
        <v>1.2382666413665599E-6</v>
      </c>
      <c r="N52">
        <v>0</v>
      </c>
      <c r="O52" s="1">
        <v>1.6562537686934301E-11</v>
      </c>
      <c r="P52">
        <v>0</v>
      </c>
      <c r="Q52">
        <v>100</v>
      </c>
      <c r="AJ52">
        <v>1</v>
      </c>
    </row>
    <row r="53" spans="1:36" x14ac:dyDescent="0.2">
      <c r="A53">
        <v>55</v>
      </c>
      <c r="B53">
        <v>743</v>
      </c>
      <c r="C53">
        <v>235</v>
      </c>
      <c r="D53">
        <v>0.33537420656399403</v>
      </c>
      <c r="E53">
        <v>31.208468074705099</v>
      </c>
      <c r="F53">
        <v>2.5425865883876599</v>
      </c>
      <c r="G53">
        <v>-508.53408808994334</v>
      </c>
      <c r="H53">
        <v>-446.59603778679781</v>
      </c>
      <c r="I53">
        <v>60.953648873833103</v>
      </c>
      <c r="J53">
        <v>36.101852512327604</v>
      </c>
      <c r="K53">
        <v>12.274299021806501</v>
      </c>
      <c r="L53">
        <v>0</v>
      </c>
      <c r="M53">
        <v>1.2382666413665599E-6</v>
      </c>
      <c r="N53">
        <v>0</v>
      </c>
      <c r="O53" s="1">
        <v>1.7448263835700199E-11</v>
      </c>
      <c r="P53">
        <v>0</v>
      </c>
      <c r="Q53">
        <v>100</v>
      </c>
      <c r="AJ53">
        <v>1</v>
      </c>
    </row>
    <row r="54" spans="1:36" x14ac:dyDescent="0.2">
      <c r="A54">
        <v>57</v>
      </c>
      <c r="B54">
        <v>756</v>
      </c>
      <c r="C54">
        <v>215</v>
      </c>
      <c r="D54">
        <v>0.36603070495068801</v>
      </c>
      <c r="E54">
        <v>0.12589714525861101</v>
      </c>
      <c r="F54">
        <v>2.5419569920089802</v>
      </c>
      <c r="G54">
        <v>-2.0556611993385743</v>
      </c>
      <c r="H54">
        <v>-1.800695235021045</v>
      </c>
      <c r="I54">
        <v>0.24774422029590301</v>
      </c>
      <c r="J54">
        <v>0.14588142525910899</v>
      </c>
      <c r="K54">
        <v>4.9527645689674403E-2</v>
      </c>
      <c r="L54">
        <v>0</v>
      </c>
      <c r="M54">
        <v>1.2382442565179703E-6</v>
      </c>
      <c r="N54">
        <v>0</v>
      </c>
      <c r="O54" s="1">
        <v>7.03875179446623E-14</v>
      </c>
      <c r="P54">
        <v>0</v>
      </c>
      <c r="Q54">
        <v>100</v>
      </c>
      <c r="AJ54">
        <v>1</v>
      </c>
    </row>
    <row r="55" spans="1:36" x14ac:dyDescent="0.2">
      <c r="A55">
        <v>58</v>
      </c>
      <c r="B55">
        <v>755</v>
      </c>
      <c r="C55">
        <v>215</v>
      </c>
      <c r="D55">
        <v>0.36534600982346799</v>
      </c>
      <c r="E55">
        <v>0.32120846032927902</v>
      </c>
      <c r="F55">
        <v>2.5419569920089802</v>
      </c>
      <c r="G55">
        <v>-5.2440920139564398</v>
      </c>
      <c r="H55">
        <v>-4.5945870984509289</v>
      </c>
      <c r="I55">
        <v>0.63172194281525995</v>
      </c>
      <c r="J55">
        <v>0.372148209003826</v>
      </c>
      <c r="K55">
        <v>0.126362665198131</v>
      </c>
      <c r="L55">
        <v>0</v>
      </c>
      <c r="M55">
        <v>1.2382442565179705E-6</v>
      </c>
      <c r="N55">
        <v>0</v>
      </c>
      <c r="O55" s="1">
        <v>1.7958362931075301E-13</v>
      </c>
      <c r="P55">
        <v>0</v>
      </c>
      <c r="Q55">
        <v>100</v>
      </c>
      <c r="AJ55">
        <v>1</v>
      </c>
    </row>
    <row r="56" spans="1:36" x14ac:dyDescent="0.2">
      <c r="A56">
        <v>59</v>
      </c>
      <c r="B56">
        <v>754</v>
      </c>
      <c r="C56">
        <v>215</v>
      </c>
      <c r="D56">
        <v>0.36465998150221401</v>
      </c>
      <c r="E56">
        <v>0.51562249811916006</v>
      </c>
      <c r="F56">
        <v>2.5419569920089802</v>
      </c>
      <c r="G56">
        <v>-8.4171076475648654</v>
      </c>
      <c r="H56">
        <v>-7.3760957319788751</v>
      </c>
      <c r="I56">
        <v>1.01349551242368</v>
      </c>
      <c r="J56">
        <v>0.59731790283878605</v>
      </c>
      <c r="K56">
        <v>0.20284469790012</v>
      </c>
      <c r="L56">
        <v>0</v>
      </c>
      <c r="M56">
        <v>1.2382442565179703E-6</v>
      </c>
      <c r="N56">
        <v>0</v>
      </c>
      <c r="O56" s="1">
        <v>2.8827808418119398E-13</v>
      </c>
      <c r="P56">
        <v>0</v>
      </c>
      <c r="Q56">
        <v>100</v>
      </c>
      <c r="AJ56">
        <v>1</v>
      </c>
    </row>
    <row r="57" spans="1:36" x14ac:dyDescent="0.2">
      <c r="A57">
        <v>60</v>
      </c>
      <c r="B57">
        <v>753</v>
      </c>
      <c r="C57">
        <v>215</v>
      </c>
      <c r="D57">
        <v>0.36397261608926701</v>
      </c>
      <c r="E57">
        <v>0.82523281500916501</v>
      </c>
      <c r="F57">
        <v>2.5419569920089802</v>
      </c>
      <c r="G57">
        <v>-13.469616500115606</v>
      </c>
      <c r="H57">
        <v>-11.806096828173265</v>
      </c>
      <c r="I57">
        <v>1.6211271957728699</v>
      </c>
      <c r="J57">
        <v>0.95586101721491601</v>
      </c>
      <c r="K57">
        <v>0.32464468030081001</v>
      </c>
      <c r="L57">
        <v>0</v>
      </c>
      <c r="M57">
        <v>1.2382442565179701E-6</v>
      </c>
      <c r="N57">
        <v>0</v>
      </c>
      <c r="O57" s="1">
        <v>4.61377336679591E-13</v>
      </c>
      <c r="P57">
        <v>0</v>
      </c>
      <c r="Q57">
        <v>100</v>
      </c>
      <c r="AJ57">
        <v>1</v>
      </c>
    </row>
    <row r="58" spans="1:36" x14ac:dyDescent="0.2">
      <c r="A58">
        <v>61</v>
      </c>
      <c r="B58">
        <v>752</v>
      </c>
      <c r="C58">
        <v>215</v>
      </c>
      <c r="D58">
        <v>0.363283909671757</v>
      </c>
      <c r="E58">
        <v>1.7217032093935201</v>
      </c>
      <c r="F58">
        <v>2.5419569920089802</v>
      </c>
      <c r="G58">
        <v>-28.098605918267154</v>
      </c>
      <c r="H58">
        <v>-24.633339869120334</v>
      </c>
      <c r="I58">
        <v>3.3802526938953501</v>
      </c>
      <c r="J58">
        <v>1.99398097457648</v>
      </c>
      <c r="K58">
        <v>0.67731405952419599</v>
      </c>
      <c r="L58">
        <v>0</v>
      </c>
      <c r="M58">
        <v>1.2382442565179703E-6</v>
      </c>
      <c r="N58">
        <v>0</v>
      </c>
      <c r="O58" s="1">
        <v>9.6258271224207805E-13</v>
      </c>
      <c r="P58">
        <v>0</v>
      </c>
      <c r="Q58">
        <v>100</v>
      </c>
      <c r="AJ58">
        <v>1</v>
      </c>
    </row>
    <row r="59" spans="1:36" x14ac:dyDescent="0.2">
      <c r="A59">
        <v>62</v>
      </c>
      <c r="B59">
        <v>751</v>
      </c>
      <c r="C59">
        <v>215</v>
      </c>
      <c r="D59">
        <v>0.36259385832153801</v>
      </c>
      <c r="E59">
        <v>5.4700380947778999</v>
      </c>
      <c r="F59">
        <v>2.5419569920089802</v>
      </c>
      <c r="G59">
        <v>-89.261586523666608</v>
      </c>
      <c r="H59">
        <v>-78.269130941746695</v>
      </c>
      <c r="I59">
        <v>10.733247651144699</v>
      </c>
      <c r="J59">
        <v>6.3342821436049697</v>
      </c>
      <c r="K59">
        <v>2.1519003318993</v>
      </c>
      <c r="L59">
        <v>0</v>
      </c>
      <c r="M59">
        <v>1.2382442565179703E-6</v>
      </c>
      <c r="N59">
        <v>0</v>
      </c>
      <c r="O59" s="1">
        <v>3.0582298253329902E-12</v>
      </c>
      <c r="P59">
        <v>0</v>
      </c>
      <c r="Q59">
        <v>100</v>
      </c>
      <c r="AJ59">
        <v>1</v>
      </c>
    </row>
    <row r="60" spans="1:36" x14ac:dyDescent="0.2">
      <c r="A60">
        <v>63</v>
      </c>
      <c r="B60">
        <v>750</v>
      </c>
      <c r="C60">
        <v>215</v>
      </c>
      <c r="D60">
        <v>0.36190245809509802</v>
      </c>
      <c r="E60">
        <v>12.1816958835203</v>
      </c>
      <c r="F60">
        <v>2.5419569920089802</v>
      </c>
      <c r="G60">
        <v>-198.76036890366515</v>
      </c>
      <c r="H60">
        <v>-174.31833033377706</v>
      </c>
      <c r="I60">
        <v>23.889008033903199</v>
      </c>
      <c r="J60">
        <v>14.1045426806414</v>
      </c>
      <c r="K60">
        <v>4.7922509789958303</v>
      </c>
      <c r="L60">
        <v>0</v>
      </c>
      <c r="M60">
        <v>1.2382442565179701E-6</v>
      </c>
      <c r="N60">
        <v>0</v>
      </c>
      <c r="O60" s="1">
        <v>6.8106336790750901E-12</v>
      </c>
      <c r="P60">
        <v>0</v>
      </c>
      <c r="Q60">
        <v>100</v>
      </c>
      <c r="AJ60">
        <v>1</v>
      </c>
    </row>
    <row r="61" spans="1:36" x14ac:dyDescent="0.2">
      <c r="A61">
        <v>64</v>
      </c>
      <c r="B61">
        <v>749</v>
      </c>
      <c r="C61">
        <v>215</v>
      </c>
      <c r="D61">
        <v>0.36120970503350902</v>
      </c>
      <c r="E61">
        <v>20.480522067023401</v>
      </c>
      <c r="F61">
        <v>2.5419569920089802</v>
      </c>
      <c r="G61">
        <v>-334.12646663897402</v>
      </c>
      <c r="H61">
        <v>-293.09706095387742</v>
      </c>
      <c r="I61">
        <v>40.140298082567703</v>
      </c>
      <c r="J61">
        <v>23.7102620130091</v>
      </c>
      <c r="K61">
        <v>8.0569900007777395</v>
      </c>
      <c r="L61">
        <v>0</v>
      </c>
      <c r="M61">
        <v>1.2382442565179703E-6</v>
      </c>
      <c r="N61">
        <v>0</v>
      </c>
      <c r="O61" s="1">
        <v>1.1450403514292999E-11</v>
      </c>
      <c r="P61">
        <v>0</v>
      </c>
      <c r="Q61">
        <v>100</v>
      </c>
      <c r="AJ61">
        <v>1</v>
      </c>
    </row>
    <row r="62" spans="1:36" x14ac:dyDescent="0.2">
      <c r="A62">
        <v>65</v>
      </c>
      <c r="B62">
        <v>748</v>
      </c>
      <c r="C62">
        <v>215</v>
      </c>
      <c r="D62">
        <v>0.36051559516231801</v>
      </c>
      <c r="E62">
        <v>27.625636936769901</v>
      </c>
      <c r="F62">
        <v>2.5419569920089802</v>
      </c>
      <c r="G62">
        <v>-450.64026431203649</v>
      </c>
      <c r="H62">
        <v>-395.38288796947273</v>
      </c>
      <c r="I62">
        <v>54.112888745594397</v>
      </c>
      <c r="J62">
        <v>31.978020346648002</v>
      </c>
      <c r="K62">
        <v>10.867861660765699</v>
      </c>
      <c r="L62">
        <v>0</v>
      </c>
      <c r="M62">
        <v>1.2382442565179703E-6</v>
      </c>
      <c r="N62">
        <v>0</v>
      </c>
      <c r="O62" s="1">
        <v>1.54451477960467E-11</v>
      </c>
      <c r="P62">
        <v>0</v>
      </c>
      <c r="Q62">
        <v>100</v>
      </c>
      <c r="AJ62">
        <v>1</v>
      </c>
    </row>
    <row r="63" spans="1:36" x14ac:dyDescent="0.2">
      <c r="A63">
        <v>66</v>
      </c>
      <c r="B63">
        <v>747</v>
      </c>
      <c r="C63">
        <v>215</v>
      </c>
      <c r="D63">
        <v>0.35982012449149797</v>
      </c>
      <c r="E63">
        <v>30.484831256759801</v>
      </c>
      <c r="F63">
        <v>2.5419569920089802</v>
      </c>
      <c r="G63">
        <v>-497.22087138382784</v>
      </c>
      <c r="H63">
        <v>-436.33945637785246</v>
      </c>
      <c r="I63">
        <v>59.678885463878103</v>
      </c>
      <c r="J63">
        <v>35.283112085258601</v>
      </c>
      <c r="K63">
        <v>11.992662091685</v>
      </c>
      <c r="L63">
        <v>0</v>
      </c>
      <c r="M63">
        <v>1.2382442565179703E-6</v>
      </c>
      <c r="N63">
        <v>0</v>
      </c>
      <c r="O63" s="1">
        <v>1.70436875492092E-11</v>
      </c>
      <c r="P63">
        <v>0</v>
      </c>
      <c r="Q63">
        <v>100</v>
      </c>
      <c r="AJ63">
        <v>1</v>
      </c>
    </row>
    <row r="64" spans="1:36" x14ac:dyDescent="0.2">
      <c r="A64">
        <v>67</v>
      </c>
      <c r="B64">
        <v>746</v>
      </c>
      <c r="C64">
        <v>215</v>
      </c>
      <c r="D64">
        <v>0.35912328901535701</v>
      </c>
      <c r="E64">
        <v>31.531513358461599</v>
      </c>
      <c r="F64">
        <v>2.5419569920089802</v>
      </c>
      <c r="G64">
        <v>-514.23100216528394</v>
      </c>
      <c r="H64">
        <v>-451.35745510710899</v>
      </c>
      <c r="I64">
        <v>61.6921425287494</v>
      </c>
      <c r="J64">
        <v>36.4898088215473</v>
      </c>
      <c r="K64">
        <v>12.4044244090618</v>
      </c>
      <c r="L64">
        <v>0</v>
      </c>
      <c r="M64">
        <v>1.2382442565179705E-6</v>
      </c>
      <c r="N64">
        <v>0</v>
      </c>
      <c r="O64" s="1">
        <v>1.76288744099959E-11</v>
      </c>
      <c r="P64">
        <v>0</v>
      </c>
      <c r="Q64">
        <v>100</v>
      </c>
      <c r="AJ64">
        <v>1</v>
      </c>
    </row>
    <row r="65" spans="1:36" x14ac:dyDescent="0.2">
      <c r="A65">
        <v>70</v>
      </c>
      <c r="B65">
        <v>757</v>
      </c>
      <c r="C65">
        <v>195</v>
      </c>
      <c r="D65">
        <v>0.388070183953793</v>
      </c>
      <c r="E65">
        <v>0.85839851881413198</v>
      </c>
      <c r="F65">
        <v>2.54132756292374</v>
      </c>
      <c r="G65">
        <v>-14.024461345894927</v>
      </c>
      <c r="H65">
        <v>-12.283354650442487</v>
      </c>
      <c r="I65">
        <v>1.6901487117919101</v>
      </c>
      <c r="J65">
        <v>0.99478242946304696</v>
      </c>
      <c r="K65">
        <v>0.33777563008310502</v>
      </c>
      <c r="L65">
        <v>0</v>
      </c>
      <c r="M65">
        <v>1.238221812380692E-6</v>
      </c>
      <c r="N65">
        <v>0</v>
      </c>
      <c r="O65" s="1">
        <v>4.7991986651157602E-13</v>
      </c>
      <c r="P65">
        <v>0</v>
      </c>
      <c r="Q65">
        <v>100</v>
      </c>
      <c r="AJ65">
        <v>1</v>
      </c>
    </row>
    <row r="66" spans="1:36" x14ac:dyDescent="0.2">
      <c r="A66">
        <v>71</v>
      </c>
      <c r="B66">
        <v>756</v>
      </c>
      <c r="C66">
        <v>195</v>
      </c>
      <c r="D66">
        <v>0.38740756935335302</v>
      </c>
      <c r="E66">
        <v>1.7938797927586601</v>
      </c>
      <c r="F66">
        <v>2.54132756292374</v>
      </c>
      <c r="G66">
        <v>-29.304764866377202</v>
      </c>
      <c r="H66">
        <v>-25.671812822143643</v>
      </c>
      <c r="I66">
        <v>3.5300510559525402</v>
      </c>
      <c r="J66">
        <v>2.0786312538985001</v>
      </c>
      <c r="K66">
        <v>0.70588294831809895</v>
      </c>
      <c r="L66">
        <v>0</v>
      </c>
      <c r="M66">
        <v>1.238221812380692E-6</v>
      </c>
      <c r="N66">
        <v>0</v>
      </c>
      <c r="O66" s="1">
        <v>1.0029357365013801E-12</v>
      </c>
      <c r="P66">
        <v>0</v>
      </c>
      <c r="Q66">
        <v>100</v>
      </c>
      <c r="AJ66">
        <v>1</v>
      </c>
    </row>
    <row r="67" spans="1:36" x14ac:dyDescent="0.2">
      <c r="A67">
        <v>72</v>
      </c>
      <c r="B67">
        <v>755</v>
      </c>
      <c r="C67">
        <v>195</v>
      </c>
      <c r="D67">
        <v>0.38674366580751801</v>
      </c>
      <c r="E67">
        <v>5.21082564181172</v>
      </c>
      <c r="F67">
        <v>2.54132756292374</v>
      </c>
      <c r="G67">
        <v>-85.113635591714655</v>
      </c>
      <c r="H67">
        <v>-74.576998839589976</v>
      </c>
      <c r="I67">
        <v>10.2481512932205</v>
      </c>
      <c r="J67">
        <v>6.0371991075313503</v>
      </c>
      <c r="K67">
        <v>2.0504344728456698</v>
      </c>
      <c r="L67">
        <v>0</v>
      </c>
      <c r="M67">
        <v>1.2382218123806924E-6</v>
      </c>
      <c r="N67">
        <v>0</v>
      </c>
      <c r="O67" s="1">
        <v>2.91330738767837E-12</v>
      </c>
      <c r="P67">
        <v>0</v>
      </c>
      <c r="Q67">
        <v>100</v>
      </c>
      <c r="AJ67">
        <v>1</v>
      </c>
    </row>
    <row r="68" spans="1:36" x14ac:dyDescent="0.2">
      <c r="A68">
        <v>73</v>
      </c>
      <c r="B68">
        <v>754</v>
      </c>
      <c r="C68">
        <v>195</v>
      </c>
      <c r="D68">
        <v>0.38607846955167302</v>
      </c>
      <c r="E68">
        <v>11.7265957294195</v>
      </c>
      <c r="F68">
        <v>2.54132756292374</v>
      </c>
      <c r="G68">
        <v>-191.51918002181282</v>
      </c>
      <c r="H68">
        <v>-167.84386343241837</v>
      </c>
      <c r="I68">
        <v>23.0495220653209</v>
      </c>
      <c r="J68">
        <v>13.5845615621613</v>
      </c>
      <c r="K68">
        <v>4.6143582198936697</v>
      </c>
      <c r="L68">
        <v>0</v>
      </c>
      <c r="M68">
        <v>1.2382218123806917E-6</v>
      </c>
      <c r="N68">
        <v>0</v>
      </c>
      <c r="O68" s="1">
        <v>6.5561928798211598E-12</v>
      </c>
      <c r="P68">
        <v>0</v>
      </c>
      <c r="Q68">
        <v>100</v>
      </c>
      <c r="AJ68">
        <v>1</v>
      </c>
    </row>
    <row r="69" spans="1:36" x14ac:dyDescent="0.2">
      <c r="A69">
        <v>74</v>
      </c>
      <c r="B69">
        <v>753</v>
      </c>
      <c r="C69">
        <v>195</v>
      </c>
      <c r="D69">
        <v>0.38541197680651201</v>
      </c>
      <c r="E69">
        <v>19.5585447607113</v>
      </c>
      <c r="F69">
        <v>2.54132756292374</v>
      </c>
      <c r="G69">
        <v>-319.3924183689648</v>
      </c>
      <c r="H69">
        <v>-279.96593971682012</v>
      </c>
      <c r="I69">
        <v>38.421749892456901</v>
      </c>
      <c r="J69">
        <v>22.654516580280902</v>
      </c>
      <c r="K69">
        <v>7.6961919612635903</v>
      </c>
      <c r="L69">
        <v>0</v>
      </c>
      <c r="M69">
        <v>1.2382218123806922E-6</v>
      </c>
      <c r="N69">
        <v>0</v>
      </c>
      <c r="O69" s="1">
        <v>1.0934937543565E-11</v>
      </c>
      <c r="P69">
        <v>0</v>
      </c>
      <c r="Q69">
        <v>100</v>
      </c>
      <c r="AJ69">
        <v>1</v>
      </c>
    </row>
    <row r="70" spans="1:36" x14ac:dyDescent="0.2">
      <c r="A70">
        <v>75</v>
      </c>
      <c r="B70">
        <v>752</v>
      </c>
      <c r="C70">
        <v>195</v>
      </c>
      <c r="D70">
        <v>0.38474418377798603</v>
      </c>
      <c r="E70">
        <v>26.737084337673199</v>
      </c>
      <c r="F70">
        <v>2.54132756292374</v>
      </c>
      <c r="G70">
        <v>-436.5659685250485</v>
      </c>
      <c r="H70">
        <v>-382.75233206144958</v>
      </c>
      <c r="I70">
        <v>52.493426780079801</v>
      </c>
      <c r="J70">
        <v>30.965405183711798</v>
      </c>
      <c r="K70">
        <v>10.520912269535501</v>
      </c>
      <c r="L70">
        <v>0</v>
      </c>
      <c r="M70">
        <v>1.2382218123806917E-6</v>
      </c>
      <c r="N70">
        <v>0</v>
      </c>
      <c r="O70" s="1">
        <v>1.4948369160715299E-11</v>
      </c>
      <c r="P70">
        <v>0</v>
      </c>
      <c r="Q70">
        <v>100</v>
      </c>
      <c r="AJ70">
        <v>1</v>
      </c>
    </row>
    <row r="71" spans="1:36" x14ac:dyDescent="0.2">
      <c r="A71">
        <v>76</v>
      </c>
      <c r="B71">
        <v>751</v>
      </c>
      <c r="C71">
        <v>195</v>
      </c>
      <c r="D71">
        <v>0.38407508665723</v>
      </c>
      <c r="E71">
        <v>30.0442290045549</v>
      </c>
      <c r="F71">
        <v>2.54132756292374</v>
      </c>
      <c r="G71">
        <v>-490.50641041026518</v>
      </c>
      <c r="H71">
        <v>-430.13025815990136</v>
      </c>
      <c r="I71">
        <v>58.952450569119499</v>
      </c>
      <c r="J71">
        <v>34.791096516057799</v>
      </c>
      <c r="K71">
        <v>11.8222575644635</v>
      </c>
      <c r="L71">
        <v>0</v>
      </c>
      <c r="M71">
        <v>1.2382218123806917E-6</v>
      </c>
      <c r="N71">
        <v>0</v>
      </c>
      <c r="O71" s="1">
        <v>1.6797352345421799E-11</v>
      </c>
      <c r="P71">
        <v>0</v>
      </c>
      <c r="Q71">
        <v>100</v>
      </c>
      <c r="AJ71">
        <v>1</v>
      </c>
    </row>
    <row r="72" spans="1:36" x14ac:dyDescent="0.2">
      <c r="A72">
        <v>77</v>
      </c>
      <c r="B72">
        <v>750</v>
      </c>
      <c r="C72">
        <v>195</v>
      </c>
      <c r="D72">
        <v>0.38340468162048602</v>
      </c>
      <c r="E72">
        <v>31.291009651152901</v>
      </c>
      <c r="F72">
        <v>2.54132756292374</v>
      </c>
      <c r="G72">
        <v>-510.80014966310893</v>
      </c>
      <c r="H72">
        <v>-448.01611104506406</v>
      </c>
      <c r="I72">
        <v>61.3634741905339</v>
      </c>
      <c r="J72">
        <v>36.230208450870201</v>
      </c>
      <c r="K72">
        <v>12.312859667391001</v>
      </c>
      <c r="L72">
        <v>0</v>
      </c>
      <c r="M72">
        <v>1.2382218123806922E-6</v>
      </c>
      <c r="N72">
        <v>0</v>
      </c>
      <c r="O72" s="1">
        <v>1.7494411797843899E-11</v>
      </c>
      <c r="P72">
        <v>0</v>
      </c>
      <c r="Q72">
        <v>100</v>
      </c>
      <c r="AJ72">
        <v>1</v>
      </c>
    </row>
    <row r="73" spans="1:36" x14ac:dyDescent="0.2">
      <c r="A73">
        <v>83</v>
      </c>
      <c r="B73">
        <v>762</v>
      </c>
      <c r="C73">
        <v>175</v>
      </c>
      <c r="D73">
        <v>0.41261701202724399</v>
      </c>
      <c r="E73">
        <v>0.54608564132075699</v>
      </c>
      <c r="F73">
        <v>2.5406983011149902</v>
      </c>
      <c r="G73">
        <v>-8.9315950081970517</v>
      </c>
      <c r="H73">
        <v>-7.8154096980657304</v>
      </c>
      <c r="I73">
        <v>1.0782836401790199</v>
      </c>
      <c r="J73">
        <v>0.63324705119864</v>
      </c>
      <c r="K73">
        <v>0.21493525661079199</v>
      </c>
      <c r="L73">
        <v>0</v>
      </c>
      <c r="M73">
        <v>1.2381993090025822E-6</v>
      </c>
      <c r="N73">
        <v>0</v>
      </c>
      <c r="O73" s="1">
        <v>3.0530964621025101E-13</v>
      </c>
      <c r="P73">
        <v>0</v>
      </c>
      <c r="Q73">
        <v>100</v>
      </c>
      <c r="AJ73">
        <v>1</v>
      </c>
    </row>
    <row r="74" spans="1:36" x14ac:dyDescent="0.2">
      <c r="A74">
        <v>84</v>
      </c>
      <c r="B74">
        <v>761</v>
      </c>
      <c r="C74">
        <v>175</v>
      </c>
      <c r="D74">
        <v>0.411981337330175</v>
      </c>
      <c r="E74">
        <v>1.4869327834255299</v>
      </c>
      <c r="F74">
        <v>2.5406983011149902</v>
      </c>
      <c r="G74">
        <v>-24.31684252582771</v>
      </c>
      <c r="H74">
        <v>-21.282248704973778</v>
      </c>
      <c r="I74">
        <v>2.9343845872010101</v>
      </c>
      <c r="J74">
        <v>1.72404799029202</v>
      </c>
      <c r="K74">
        <v>0.58524571090278199</v>
      </c>
      <c r="L74">
        <v>0</v>
      </c>
      <c r="M74">
        <v>1.238199309002582E-6</v>
      </c>
      <c r="N74">
        <v>0</v>
      </c>
      <c r="O74" s="1">
        <v>8.3132550591899001E-13</v>
      </c>
      <c r="P74">
        <v>0</v>
      </c>
      <c r="Q74">
        <v>100</v>
      </c>
      <c r="AJ74">
        <v>1</v>
      </c>
    </row>
    <row r="75" spans="1:36" x14ac:dyDescent="0.2">
      <c r="A75">
        <v>85</v>
      </c>
      <c r="B75">
        <v>760</v>
      </c>
      <c r="C75">
        <v>175</v>
      </c>
      <c r="D75">
        <v>0.41134443207665999</v>
      </c>
      <c r="E75">
        <v>2.53489587075383</v>
      </c>
      <c r="F75">
        <v>2.5406983011149902</v>
      </c>
      <c r="G75">
        <v>-41.449908260618251</v>
      </c>
      <c r="H75">
        <v>-36.284528105019852</v>
      </c>
      <c r="I75">
        <v>4.9996420225508196</v>
      </c>
      <c r="J75">
        <v>2.9387565395984998</v>
      </c>
      <c r="K75">
        <v>0.99771620646236603</v>
      </c>
      <c r="L75">
        <v>0</v>
      </c>
      <c r="M75">
        <v>1.238199309002582E-6</v>
      </c>
      <c r="N75">
        <v>0</v>
      </c>
      <c r="O75" s="1">
        <v>1.41722854973418E-12</v>
      </c>
      <c r="P75">
        <v>0</v>
      </c>
      <c r="Q75">
        <v>100</v>
      </c>
      <c r="AJ75">
        <v>1</v>
      </c>
    </row>
    <row r="76" spans="1:36" x14ac:dyDescent="0.2">
      <c r="A76">
        <v>86</v>
      </c>
      <c r="B76">
        <v>759</v>
      </c>
      <c r="C76">
        <v>175</v>
      </c>
      <c r="D76">
        <v>0.41070629269001901</v>
      </c>
      <c r="E76">
        <v>8.7719053112653995</v>
      </c>
      <c r="F76">
        <v>2.5406983011149902</v>
      </c>
      <c r="G76">
        <v>-143.41844598430657</v>
      </c>
      <c r="H76">
        <v>-125.5713204421496</v>
      </c>
      <c r="I76">
        <v>17.291213042829899</v>
      </c>
      <c r="J76">
        <v>10.168169229072401</v>
      </c>
      <c r="K76">
        <v>3.4525568452640698</v>
      </c>
      <c r="L76">
        <v>0</v>
      </c>
      <c r="M76">
        <v>1.238199309002582E-6</v>
      </c>
      <c r="N76">
        <v>0</v>
      </c>
      <c r="O76" s="1">
        <v>4.9042624535868003E-12</v>
      </c>
      <c r="P76">
        <v>0</v>
      </c>
      <c r="Q76">
        <v>100</v>
      </c>
      <c r="AJ76">
        <v>1</v>
      </c>
    </row>
    <row r="77" spans="1:36" x14ac:dyDescent="0.2">
      <c r="A77">
        <v>87</v>
      </c>
      <c r="B77">
        <v>758</v>
      </c>
      <c r="C77">
        <v>175</v>
      </c>
      <c r="D77">
        <v>0.41006691557969399</v>
      </c>
      <c r="E77">
        <v>13.721537685079999</v>
      </c>
      <c r="F77">
        <v>2.5406983011149902</v>
      </c>
      <c r="G77">
        <v>-224.31665038134477</v>
      </c>
      <c r="H77">
        <v>-196.44205661008738</v>
      </c>
      <c r="I77">
        <v>27.032530447808099</v>
      </c>
      <c r="J77">
        <v>15.903650899126299</v>
      </c>
      <c r="K77">
        <v>5.4006954226160202</v>
      </c>
      <c r="L77">
        <v>0</v>
      </c>
      <c r="M77">
        <v>1.2381993090025822E-6</v>
      </c>
      <c r="N77">
        <v>0</v>
      </c>
      <c r="O77" s="1">
        <v>7.6715399547224499E-12</v>
      </c>
      <c r="P77">
        <v>0</v>
      </c>
      <c r="Q77">
        <v>100</v>
      </c>
      <c r="AJ77">
        <v>1</v>
      </c>
    </row>
    <row r="78" spans="1:36" x14ac:dyDescent="0.2">
      <c r="A78">
        <v>88</v>
      </c>
      <c r="B78">
        <v>757</v>
      </c>
      <c r="C78">
        <v>175</v>
      </c>
      <c r="D78">
        <v>0.40942629714119499</v>
      </c>
      <c r="E78">
        <v>23.130299150148701</v>
      </c>
      <c r="F78">
        <v>2.5406983011149902</v>
      </c>
      <c r="G78">
        <v>-378.08343748724059</v>
      </c>
      <c r="H78">
        <v>-331.16779418699622</v>
      </c>
      <c r="I78">
        <v>45.542535844531699</v>
      </c>
      <c r="J78">
        <v>26.805282952467699</v>
      </c>
      <c r="K78">
        <v>9.1039141247104904</v>
      </c>
      <c r="L78">
        <v>0</v>
      </c>
      <c r="M78">
        <v>1.238199309002582E-6</v>
      </c>
      <c r="N78">
        <v>0</v>
      </c>
      <c r="O78" s="1">
        <v>1.29318607117911E-11</v>
      </c>
      <c r="P78">
        <v>0</v>
      </c>
      <c r="Q78">
        <v>100</v>
      </c>
      <c r="AJ78">
        <v>1</v>
      </c>
    </row>
    <row r="79" spans="1:36" x14ac:dyDescent="0.2">
      <c r="A79">
        <v>89</v>
      </c>
      <c r="B79">
        <v>756</v>
      </c>
      <c r="C79">
        <v>175</v>
      </c>
      <c r="D79">
        <v>0.40878443375601398</v>
      </c>
      <c r="E79">
        <v>28.097857462778499</v>
      </c>
      <c r="F79">
        <v>2.5406983011149902</v>
      </c>
      <c r="G79">
        <v>-459.22688611104797</v>
      </c>
      <c r="H79">
        <v>-402.32331368660658</v>
      </c>
      <c r="I79">
        <v>55.291815988380002</v>
      </c>
      <c r="J79">
        <v>32.557970119001297</v>
      </c>
      <c r="K79">
        <v>11.059108218574201</v>
      </c>
      <c r="L79">
        <v>0</v>
      </c>
      <c r="M79">
        <v>1.238199309002582E-6</v>
      </c>
      <c r="N79">
        <v>0</v>
      </c>
      <c r="O79" s="1">
        <v>1.5709160380922998E-11</v>
      </c>
      <c r="P79">
        <v>0</v>
      </c>
      <c r="Q79">
        <v>100</v>
      </c>
      <c r="AJ79">
        <v>1</v>
      </c>
    </row>
    <row r="80" spans="1:36" x14ac:dyDescent="0.2">
      <c r="A80">
        <v>90</v>
      </c>
      <c r="B80">
        <v>755</v>
      </c>
      <c r="C80">
        <v>175</v>
      </c>
      <c r="D80">
        <v>0.40814132179156798</v>
      </c>
      <c r="E80">
        <v>30.395281359952399</v>
      </c>
      <c r="F80">
        <v>2.5406983011149902</v>
      </c>
      <c r="G80">
        <v>-496.71581900895961</v>
      </c>
      <c r="H80">
        <v>-435.25453423699508</v>
      </c>
      <c r="I80">
        <v>59.778519449462102</v>
      </c>
      <c r="J80">
        <v>35.215602692027197</v>
      </c>
      <c r="K80">
        <v>11.9633572182156</v>
      </c>
      <c r="L80">
        <v>0</v>
      </c>
      <c r="M80">
        <v>1.238199309002582E-6</v>
      </c>
      <c r="N80">
        <v>0</v>
      </c>
      <c r="O80" s="1">
        <v>1.6993621322882001E-11</v>
      </c>
      <c r="P80">
        <v>0</v>
      </c>
      <c r="Q80">
        <v>100</v>
      </c>
      <c r="AJ80">
        <v>1</v>
      </c>
    </row>
    <row r="81" spans="1:36" x14ac:dyDescent="0.2">
      <c r="A81">
        <v>91</v>
      </c>
      <c r="B81">
        <v>754</v>
      </c>
      <c r="C81">
        <v>175</v>
      </c>
      <c r="D81">
        <v>0.40749695760112897</v>
      </c>
      <c r="E81">
        <v>31.413402389597302</v>
      </c>
      <c r="F81">
        <v>2.5406983011149902</v>
      </c>
      <c r="G81">
        <v>-513.29206012239138</v>
      </c>
      <c r="H81">
        <v>-449.87022279769235</v>
      </c>
      <c r="I81">
        <v>61.745448400622102</v>
      </c>
      <c r="J81">
        <v>36.390552593864697</v>
      </c>
      <c r="K81">
        <v>12.3640821012913</v>
      </c>
      <c r="L81">
        <v>0</v>
      </c>
      <c r="M81">
        <v>1.238199309002582E-6</v>
      </c>
      <c r="N81">
        <v>0</v>
      </c>
      <c r="O81" s="1">
        <v>1.75628400458067E-11</v>
      </c>
      <c r="P81">
        <v>0</v>
      </c>
      <c r="Q81">
        <v>100</v>
      </c>
      <c r="AJ81">
        <v>1</v>
      </c>
    </row>
    <row r="82" spans="1:36" x14ac:dyDescent="0.2">
      <c r="A82">
        <v>99</v>
      </c>
      <c r="B82">
        <v>768</v>
      </c>
      <c r="C82">
        <v>155</v>
      </c>
      <c r="D82">
        <v>0.43753589780531399</v>
      </c>
      <c r="E82">
        <v>0.11807888543142001</v>
      </c>
      <c r="F82">
        <v>2.54006920656574</v>
      </c>
      <c r="G82">
        <v>-1.933589873409354</v>
      </c>
      <c r="H82">
        <v>-1.6900164357812306</v>
      </c>
      <c r="I82">
        <v>0.23394653760565001</v>
      </c>
      <c r="J82">
        <v>0.13702774286778699</v>
      </c>
      <c r="K82">
        <v>4.6486483567534903E-2</v>
      </c>
      <c r="L82">
        <v>0</v>
      </c>
      <c r="M82">
        <v>1.2381767464314707E-6</v>
      </c>
      <c r="N82">
        <v>0</v>
      </c>
      <c r="O82" s="1">
        <v>6.6016426743570702E-14</v>
      </c>
      <c r="P82">
        <v>0</v>
      </c>
      <c r="Q82">
        <v>100</v>
      </c>
      <c r="AJ82">
        <v>1</v>
      </c>
    </row>
    <row r="83" spans="1:36" x14ac:dyDescent="0.2">
      <c r="A83">
        <v>100</v>
      </c>
      <c r="B83">
        <v>767</v>
      </c>
      <c r="C83">
        <v>155</v>
      </c>
      <c r="D83">
        <v>0.43692784694515202</v>
      </c>
      <c r="E83">
        <v>1.04885687715271</v>
      </c>
      <c r="F83">
        <v>2.54006920656574</v>
      </c>
      <c r="G83">
        <v>-17.173381350228304</v>
      </c>
      <c r="H83">
        <v>-15.013091191599283</v>
      </c>
      <c r="I83">
        <v>2.0769025223564102</v>
      </c>
      <c r="J83">
        <v>1.2170231007474399</v>
      </c>
      <c r="K83">
        <v>0.41292452758435</v>
      </c>
      <c r="L83">
        <v>0</v>
      </c>
      <c r="M83">
        <v>1.2381767464314709E-6</v>
      </c>
      <c r="N83">
        <v>0</v>
      </c>
      <c r="O83" s="1">
        <v>5.86402750517645E-13</v>
      </c>
      <c r="P83">
        <v>0</v>
      </c>
      <c r="Q83">
        <v>100</v>
      </c>
      <c r="AJ83">
        <v>1</v>
      </c>
    </row>
    <row r="84" spans="1:36" x14ac:dyDescent="0.2">
      <c r="A84">
        <v>101</v>
      </c>
      <c r="B84">
        <v>766</v>
      </c>
      <c r="C84">
        <v>155</v>
      </c>
      <c r="D84">
        <v>0.43631862579993802</v>
      </c>
      <c r="E84">
        <v>2.0655830365011698</v>
      </c>
      <c r="F84">
        <v>2.54006920656574</v>
      </c>
      <c r="G84">
        <v>-33.816583714276568</v>
      </c>
      <c r="H84">
        <v>-29.568667444565243</v>
      </c>
      <c r="I84">
        <v>4.0878759271628899</v>
      </c>
      <c r="J84">
        <v>2.3964670431041202</v>
      </c>
      <c r="K84">
        <v>0.81319951092746401</v>
      </c>
      <c r="L84">
        <v>0</v>
      </c>
      <c r="M84">
        <v>1.2381767464314707E-6</v>
      </c>
      <c r="N84">
        <v>0</v>
      </c>
      <c r="O84" s="1">
        <v>1.1548416189204401E-12</v>
      </c>
      <c r="P84">
        <v>0</v>
      </c>
      <c r="Q84">
        <v>100</v>
      </c>
      <c r="AJ84">
        <v>1</v>
      </c>
    </row>
    <row r="85" spans="1:36" x14ac:dyDescent="0.2">
      <c r="A85">
        <v>102</v>
      </c>
      <c r="B85">
        <v>765</v>
      </c>
      <c r="C85">
        <v>155</v>
      </c>
      <c r="D85">
        <v>0.43570823098781702</v>
      </c>
      <c r="E85">
        <v>4.10201891144931</v>
      </c>
      <c r="F85">
        <v>2.54006920656574</v>
      </c>
      <c r="G85">
        <v>-67.147870432974003</v>
      </c>
      <c r="H85">
        <v>-58.724854263263616</v>
      </c>
      <c r="I85">
        <v>8.1134866538654205</v>
      </c>
      <c r="J85">
        <v>4.7585271255101098</v>
      </c>
      <c r="K85">
        <v>1.6149240740552</v>
      </c>
      <c r="L85">
        <v>0</v>
      </c>
      <c r="M85">
        <v>1.2381767464314709E-6</v>
      </c>
      <c r="N85">
        <v>0</v>
      </c>
      <c r="O85" s="1">
        <v>2.2933874246781899E-12</v>
      </c>
      <c r="P85">
        <v>0</v>
      </c>
      <c r="Q85">
        <v>100</v>
      </c>
      <c r="AJ85">
        <v>1</v>
      </c>
    </row>
    <row r="86" spans="1:36" x14ac:dyDescent="0.2">
      <c r="A86">
        <v>103</v>
      </c>
      <c r="B86">
        <v>764</v>
      </c>
      <c r="C86">
        <v>155</v>
      </c>
      <c r="D86">
        <v>0.43509665911391998</v>
      </c>
      <c r="E86">
        <v>10.2472030028311</v>
      </c>
      <c r="F86">
        <v>2.54006920656574</v>
      </c>
      <c r="G86">
        <v>-167.72100698044423</v>
      </c>
      <c r="H86">
        <v>-146.71172281261198</v>
      </c>
      <c r="I86">
        <v>20.256746052000398</v>
      </c>
      <c r="J86">
        <v>11.885739204315</v>
      </c>
      <c r="K86">
        <v>4.0342219717256</v>
      </c>
      <c r="L86">
        <v>0</v>
      </c>
      <c r="M86">
        <v>1.2381767464314712E-6</v>
      </c>
      <c r="N86">
        <v>0</v>
      </c>
      <c r="O86" s="1">
        <v>5.7290829252940398E-12</v>
      </c>
      <c r="P86">
        <v>0</v>
      </c>
      <c r="Q86">
        <v>100</v>
      </c>
      <c r="AJ86">
        <v>1</v>
      </c>
    </row>
    <row r="87" spans="1:36" x14ac:dyDescent="0.2">
      <c r="A87">
        <v>104</v>
      </c>
      <c r="B87">
        <v>763</v>
      </c>
      <c r="C87">
        <v>155</v>
      </c>
      <c r="D87">
        <v>0.43448390677026</v>
      </c>
      <c r="E87">
        <v>14.4663386477828</v>
      </c>
      <c r="F87">
        <v>2.54006920656574</v>
      </c>
      <c r="G87">
        <v>-236.74908427431615</v>
      </c>
      <c r="H87">
        <v>-207.13490282495397</v>
      </c>
      <c r="I87">
        <v>28.580979056470699</v>
      </c>
      <c r="J87">
        <v>16.7774258084537</v>
      </c>
      <c r="K87">
        <v>5.69525373969703</v>
      </c>
      <c r="L87">
        <v>0</v>
      </c>
      <c r="M87">
        <v>1.2381767464314709E-6</v>
      </c>
      <c r="N87">
        <v>0</v>
      </c>
      <c r="O87" s="1">
        <v>8.0879488496164094E-12</v>
      </c>
      <c r="P87">
        <v>0</v>
      </c>
      <c r="Q87">
        <v>100</v>
      </c>
      <c r="AJ87">
        <v>1</v>
      </c>
    </row>
    <row r="88" spans="1:36" x14ac:dyDescent="0.2">
      <c r="A88">
        <v>105</v>
      </c>
      <c r="B88">
        <v>762</v>
      </c>
      <c r="C88">
        <v>155</v>
      </c>
      <c r="D88">
        <v>0.433869970535674</v>
      </c>
      <c r="E88">
        <v>23.878833563239098</v>
      </c>
      <c r="F88">
        <v>2.54006920656574</v>
      </c>
      <c r="G88">
        <v>-390.74224862268329</v>
      </c>
      <c r="H88">
        <v>-341.93451366394112</v>
      </c>
      <c r="I88">
        <v>47.150398453115102</v>
      </c>
      <c r="J88">
        <v>27.690163951962301</v>
      </c>
      <c r="K88">
        <v>9.4008594338750608</v>
      </c>
      <c r="L88">
        <v>0</v>
      </c>
      <c r="M88">
        <v>1.2381767464314709E-6</v>
      </c>
      <c r="N88">
        <v>0</v>
      </c>
      <c r="O88" s="1">
        <v>1.33503569320618E-11</v>
      </c>
      <c r="P88">
        <v>0</v>
      </c>
      <c r="Q88">
        <v>100</v>
      </c>
      <c r="AJ88">
        <v>1</v>
      </c>
    </row>
    <row r="89" spans="1:36" x14ac:dyDescent="0.2">
      <c r="A89">
        <v>106</v>
      </c>
      <c r="B89">
        <v>761</v>
      </c>
      <c r="C89">
        <v>155</v>
      </c>
      <c r="D89">
        <v>0.43325484697577799</v>
      </c>
      <c r="E89">
        <v>28.144323329084902</v>
      </c>
      <c r="F89">
        <v>2.54006920656574</v>
      </c>
      <c r="G89">
        <v>-460.48520397469116</v>
      </c>
      <c r="H89">
        <v>-403.04710682695071</v>
      </c>
      <c r="I89">
        <v>55.541359713523597</v>
      </c>
      <c r="J89">
        <v>32.632385683133698</v>
      </c>
      <c r="K89">
        <v>11.0801403585128</v>
      </c>
      <c r="L89">
        <v>0</v>
      </c>
      <c r="M89">
        <v>1.2381767464314709E-6</v>
      </c>
      <c r="N89">
        <v>0</v>
      </c>
      <c r="O89" s="1">
        <v>1.57351388651192E-11</v>
      </c>
      <c r="P89">
        <v>0</v>
      </c>
      <c r="Q89">
        <v>100</v>
      </c>
      <c r="AJ89">
        <v>1</v>
      </c>
    </row>
    <row r="90" spans="1:36" x14ac:dyDescent="0.2">
      <c r="A90">
        <v>107</v>
      </c>
      <c r="B90">
        <v>760</v>
      </c>
      <c r="C90">
        <v>155</v>
      </c>
      <c r="D90">
        <v>0.43263853264288998</v>
      </c>
      <c r="E90">
        <v>30.224627059153502</v>
      </c>
      <c r="F90">
        <v>2.54006920656574</v>
      </c>
      <c r="G90">
        <v>-494.46260099378105</v>
      </c>
      <c r="H90">
        <v>-432.8736061072629</v>
      </c>
      <c r="I90">
        <v>59.612829585750397</v>
      </c>
      <c r="J90">
        <v>35.040027265734999</v>
      </c>
      <c r="K90">
        <v>11.899135260183799</v>
      </c>
      <c r="L90">
        <v>0</v>
      </c>
      <c r="M90">
        <v>1.2381767464314707E-6</v>
      </c>
      <c r="N90">
        <v>0</v>
      </c>
      <c r="O90" s="1">
        <v>1.6898210639540899E-11</v>
      </c>
      <c r="P90">
        <v>0</v>
      </c>
      <c r="Q90">
        <v>100</v>
      </c>
      <c r="AJ90">
        <v>1</v>
      </c>
    </row>
    <row r="91" spans="1:36" x14ac:dyDescent="0.2">
      <c r="A91">
        <v>108</v>
      </c>
      <c r="B91">
        <v>759</v>
      </c>
      <c r="C91">
        <v>155</v>
      </c>
      <c r="D91">
        <v>0.43202102407596099</v>
      </c>
      <c r="E91">
        <v>31.303795819663499</v>
      </c>
      <c r="F91">
        <v>2.54006920656574</v>
      </c>
      <c r="G91">
        <v>-512.0556390928524</v>
      </c>
      <c r="H91">
        <v>-448.36562488099241</v>
      </c>
      <c r="I91">
        <v>61.706161131482801</v>
      </c>
      <c r="J91">
        <v>36.286562851731603</v>
      </c>
      <c r="K91">
        <v>12.3239932749656</v>
      </c>
      <c r="L91">
        <v>0</v>
      </c>
      <c r="M91">
        <v>1.2381767464314707E-6</v>
      </c>
      <c r="N91">
        <v>0</v>
      </c>
      <c r="O91" s="1">
        <v>1.7501560384602101E-11</v>
      </c>
      <c r="P91">
        <v>0</v>
      </c>
      <c r="Q91">
        <v>100</v>
      </c>
      <c r="AJ91">
        <v>1</v>
      </c>
    </row>
    <row r="92" spans="1:36" x14ac:dyDescent="0.2">
      <c r="A92">
        <v>120</v>
      </c>
      <c r="B92">
        <v>774</v>
      </c>
      <c r="C92">
        <v>135</v>
      </c>
      <c r="D92">
        <v>0.46216922121950399</v>
      </c>
      <c r="E92">
        <v>0.85183800621846895</v>
      </c>
      <c r="F92">
        <v>2.5394402792589501</v>
      </c>
      <c r="G92">
        <v>-13.966045967332123</v>
      </c>
      <c r="H92">
        <v>-12.192795453139434</v>
      </c>
      <c r="I92">
        <v>1.6934064023231501</v>
      </c>
      <c r="J92">
        <v>0.98926521557748004</v>
      </c>
      <c r="K92">
        <v>0.33544321289061602</v>
      </c>
      <c r="L92">
        <v>0</v>
      </c>
      <c r="M92">
        <v>1.2381541247151614E-6</v>
      </c>
      <c r="N92">
        <v>0</v>
      </c>
      <c r="O92" s="1">
        <v>4.7625196604326202E-13</v>
      </c>
      <c r="P92">
        <v>0</v>
      </c>
      <c r="Q92">
        <v>100</v>
      </c>
      <c r="AJ92">
        <v>1</v>
      </c>
    </row>
    <row r="93" spans="1:36" x14ac:dyDescent="0.2">
      <c r="A93">
        <v>121</v>
      </c>
      <c r="B93">
        <v>773</v>
      </c>
      <c r="C93">
        <v>135</v>
      </c>
      <c r="D93">
        <v>0.46158820436839998</v>
      </c>
      <c r="E93">
        <v>1.8616773190862801</v>
      </c>
      <c r="F93">
        <v>2.5394402792589501</v>
      </c>
      <c r="G93">
        <v>-30.518853500612398</v>
      </c>
      <c r="H93">
        <v>-26.649306753222589</v>
      </c>
      <c r="I93">
        <v>3.6988450484058699</v>
      </c>
      <c r="J93">
        <v>2.1617585683242502</v>
      </c>
      <c r="K93">
        <v>0.733105375342612</v>
      </c>
      <c r="L93">
        <v>0</v>
      </c>
      <c r="M93">
        <v>1.2381541247151614E-6</v>
      </c>
      <c r="N93">
        <v>0</v>
      </c>
      <c r="O93" s="1">
        <v>1.0408404847876599E-12</v>
      </c>
      <c r="P93">
        <v>0</v>
      </c>
      <c r="Q93">
        <v>100</v>
      </c>
      <c r="AJ93">
        <v>1</v>
      </c>
    </row>
    <row r="94" spans="1:36" x14ac:dyDescent="0.2">
      <c r="A94">
        <v>122</v>
      </c>
      <c r="B94">
        <v>772</v>
      </c>
      <c r="C94">
        <v>135</v>
      </c>
      <c r="D94">
        <v>0.46100607568291702</v>
      </c>
      <c r="E94">
        <v>3.0395496934533801</v>
      </c>
      <c r="F94">
        <v>2.5394402792589501</v>
      </c>
      <c r="G94">
        <v>-49.82191659607939</v>
      </c>
      <c r="H94">
        <v>-43.513696876105413</v>
      </c>
      <c r="I94">
        <v>6.03570752521071</v>
      </c>
      <c r="J94">
        <v>3.5290593758267299</v>
      </c>
      <c r="K94">
        <v>1.19693686765508</v>
      </c>
      <c r="L94">
        <v>0</v>
      </c>
      <c r="M94">
        <v>1.2381541247151612E-6</v>
      </c>
      <c r="N94">
        <v>0</v>
      </c>
      <c r="O94" s="1">
        <v>1.69937418479319E-12</v>
      </c>
      <c r="P94">
        <v>0</v>
      </c>
      <c r="Q94">
        <v>100</v>
      </c>
      <c r="AJ94">
        <v>1</v>
      </c>
    </row>
    <row r="95" spans="1:36" x14ac:dyDescent="0.2">
      <c r="A95">
        <v>123</v>
      </c>
      <c r="B95">
        <v>771</v>
      </c>
      <c r="C95">
        <v>135</v>
      </c>
      <c r="D95">
        <v>0.46042283196858502</v>
      </c>
      <c r="E95">
        <v>7.2096844341495698</v>
      </c>
      <c r="F95">
        <v>2.5394402792589501</v>
      </c>
      <c r="G95">
        <v>-118.16118485074693</v>
      </c>
      <c r="H95">
        <v>-103.2210348667453</v>
      </c>
      <c r="I95">
        <v>14.3084326811297</v>
      </c>
      <c r="J95">
        <v>8.3697558521180007</v>
      </c>
      <c r="K95">
        <v>2.8390840662941099</v>
      </c>
      <c r="L95">
        <v>0</v>
      </c>
      <c r="M95">
        <v>1.2381541247151612E-6</v>
      </c>
      <c r="N95">
        <v>0</v>
      </c>
      <c r="O95" s="1">
        <v>4.0308443169353298E-12</v>
      </c>
      <c r="P95">
        <v>0</v>
      </c>
      <c r="Q95">
        <v>100</v>
      </c>
      <c r="AJ95">
        <v>1</v>
      </c>
    </row>
    <row r="96" spans="1:36" x14ac:dyDescent="0.2">
      <c r="A96">
        <v>124</v>
      </c>
      <c r="B96">
        <v>770</v>
      </c>
      <c r="C96">
        <v>135</v>
      </c>
      <c r="D96">
        <v>0.45983847001869499</v>
      </c>
      <c r="E96">
        <v>11.987678603103801</v>
      </c>
      <c r="F96">
        <v>2.5394402792589501</v>
      </c>
      <c r="G96">
        <v>-196.44505157687888</v>
      </c>
      <c r="H96">
        <v>-171.64148169775606</v>
      </c>
      <c r="I96">
        <v>23.777567827371701</v>
      </c>
      <c r="J96">
        <v>13.914843307376</v>
      </c>
      <c r="K96">
        <v>4.7205987480839697</v>
      </c>
      <c r="L96">
        <v>0</v>
      </c>
      <c r="M96">
        <v>1.238154124715161E-6</v>
      </c>
      <c r="N96">
        <v>0</v>
      </c>
      <c r="O96" s="1">
        <v>6.7021610462855297E-12</v>
      </c>
      <c r="P96">
        <v>0</v>
      </c>
      <c r="Q96">
        <v>100</v>
      </c>
      <c r="AJ96">
        <v>1</v>
      </c>
    </row>
    <row r="97" spans="1:36" x14ac:dyDescent="0.2">
      <c r="A97">
        <v>125</v>
      </c>
      <c r="B97">
        <v>769</v>
      </c>
      <c r="C97">
        <v>135</v>
      </c>
      <c r="D97">
        <v>0.45925298661421299</v>
      </c>
      <c r="E97">
        <v>18.429802096616498</v>
      </c>
      <c r="F97">
        <v>2.5394402792589501</v>
      </c>
      <c r="G97">
        <v>-301.97717592870623</v>
      </c>
      <c r="H97">
        <v>-263.90221793918118</v>
      </c>
      <c r="I97">
        <v>36.535007426498098</v>
      </c>
      <c r="J97">
        <v>21.389984822901901</v>
      </c>
      <c r="K97">
        <v>7.2574268617943698</v>
      </c>
      <c r="L97">
        <v>0</v>
      </c>
      <c r="M97">
        <v>1.2381541247151612E-6</v>
      </c>
      <c r="N97">
        <v>0</v>
      </c>
      <c r="O97" s="1">
        <v>1.0303871649571301E-11</v>
      </c>
      <c r="P97">
        <v>0</v>
      </c>
      <c r="Q97">
        <v>100</v>
      </c>
      <c r="AJ97">
        <v>1</v>
      </c>
    </row>
    <row r="98" spans="1:36" x14ac:dyDescent="0.2">
      <c r="A98">
        <v>126</v>
      </c>
      <c r="B98">
        <v>768</v>
      </c>
      <c r="C98">
        <v>135</v>
      </c>
      <c r="D98">
        <v>0.45866637852374798</v>
      </c>
      <c r="E98">
        <v>24.7429638577951</v>
      </c>
      <c r="F98">
        <v>2.5394402792589501</v>
      </c>
      <c r="G98">
        <v>-405.37096276687879</v>
      </c>
      <c r="H98">
        <v>-354.3311113833571</v>
      </c>
      <c r="I98">
        <v>49.0225725241527</v>
      </c>
      <c r="J98">
        <v>28.713622057875</v>
      </c>
      <c r="K98">
        <v>9.7434714491554892</v>
      </c>
      <c r="L98">
        <v>0</v>
      </c>
      <c r="M98">
        <v>1.2381541247151612E-6</v>
      </c>
      <c r="N98">
        <v>0</v>
      </c>
      <c r="O98" s="1">
        <v>1.38334813626408E-11</v>
      </c>
      <c r="P98">
        <v>0</v>
      </c>
      <c r="Q98">
        <v>100</v>
      </c>
      <c r="AJ98">
        <v>1</v>
      </c>
    </row>
    <row r="99" spans="1:36" x14ac:dyDescent="0.2">
      <c r="A99">
        <v>127</v>
      </c>
      <c r="B99">
        <v>767</v>
      </c>
      <c r="C99">
        <v>135</v>
      </c>
      <c r="D99">
        <v>0.45807864250348701</v>
      </c>
      <c r="E99">
        <v>28.316930065048901</v>
      </c>
      <c r="F99">
        <v>2.5394402792589501</v>
      </c>
      <c r="G99">
        <v>-463.86817241700197</v>
      </c>
      <c r="H99">
        <v>-405.54488096071242</v>
      </c>
      <c r="I99">
        <v>56.072000630956502</v>
      </c>
      <c r="J99">
        <v>32.857064469051203</v>
      </c>
      <c r="K99">
        <v>11.1508548936272</v>
      </c>
      <c r="L99">
        <v>0</v>
      </c>
      <c r="M99">
        <v>1.238154124715161E-6</v>
      </c>
      <c r="N99">
        <v>0</v>
      </c>
      <c r="O99" s="1">
        <v>1.5831641130520699E-11</v>
      </c>
      <c r="P99">
        <v>0</v>
      </c>
      <c r="Q99">
        <v>100</v>
      </c>
      <c r="AJ99">
        <v>1</v>
      </c>
    </row>
    <row r="100" spans="1:36" x14ac:dyDescent="0.2">
      <c r="A100">
        <v>128</v>
      </c>
      <c r="B100">
        <v>766</v>
      </c>
      <c r="C100">
        <v>135</v>
      </c>
      <c r="D100">
        <v>0.45748977529712298</v>
      </c>
      <c r="E100">
        <v>30.2017452939245</v>
      </c>
      <c r="F100">
        <v>2.5394402792589501</v>
      </c>
      <c r="G100">
        <v>-494.68411180124417</v>
      </c>
      <c r="H100">
        <v>-432.57356822074831</v>
      </c>
      <c r="I100">
        <v>59.770527431550597</v>
      </c>
      <c r="J100">
        <v>35.039737431090103</v>
      </c>
      <c r="K100">
        <v>11.893071690088201</v>
      </c>
      <c r="L100">
        <v>0</v>
      </c>
      <c r="M100">
        <v>1.2381541247151612E-6</v>
      </c>
      <c r="N100">
        <v>0</v>
      </c>
      <c r="O100" s="1">
        <v>1.68854177310332E-11</v>
      </c>
      <c r="P100">
        <v>0</v>
      </c>
      <c r="Q100">
        <v>100</v>
      </c>
      <c r="AJ100">
        <v>1</v>
      </c>
    </row>
    <row r="101" spans="1:36" x14ac:dyDescent="0.2">
      <c r="A101">
        <v>129</v>
      </c>
      <c r="B101">
        <v>765</v>
      </c>
      <c r="C101">
        <v>135</v>
      </c>
      <c r="D101">
        <v>0.45689977363579698</v>
      </c>
      <c r="E101">
        <v>31.207197312087299</v>
      </c>
      <c r="F101">
        <v>2.5394402792589501</v>
      </c>
      <c r="G101">
        <v>-511.09099125117945</v>
      </c>
      <c r="H101">
        <v>-447.01066074919709</v>
      </c>
      <c r="I101">
        <v>61.725502578608399</v>
      </c>
      <c r="J101">
        <v>36.201757750611101</v>
      </c>
      <c r="K101">
        <v>12.289006190448401</v>
      </c>
      <c r="L101">
        <v>0</v>
      </c>
      <c r="M101">
        <v>1.2381541247151614E-6</v>
      </c>
      <c r="N101">
        <v>0</v>
      </c>
      <c r="O101" s="1">
        <v>1.74475533682279E-11</v>
      </c>
      <c r="P101">
        <v>0</v>
      </c>
      <c r="Q101">
        <v>100</v>
      </c>
      <c r="AJ101">
        <v>1</v>
      </c>
    </row>
    <row r="102" spans="1:36" x14ac:dyDescent="0.2">
      <c r="A102">
        <v>144</v>
      </c>
      <c r="B102">
        <v>783</v>
      </c>
      <c r="C102">
        <v>115</v>
      </c>
      <c r="D102">
        <v>0.48817923590399198</v>
      </c>
      <c r="E102">
        <v>0.46941814420188299</v>
      </c>
      <c r="F102">
        <v>2.5388115191775502</v>
      </c>
      <c r="G102">
        <v>-7.7083167708560616</v>
      </c>
      <c r="H102">
        <v>-6.7178117646554281</v>
      </c>
      <c r="I102">
        <v>0.93784500894819101</v>
      </c>
      <c r="J102">
        <v>0.54574125943439999</v>
      </c>
      <c r="K102">
        <v>0.184896807287982</v>
      </c>
      <c r="L102">
        <v>0</v>
      </c>
      <c r="M102">
        <v>1.2381314439014291E-6</v>
      </c>
      <c r="N102">
        <v>0</v>
      </c>
      <c r="O102" s="1">
        <v>2.62445808288096E-13</v>
      </c>
      <c r="P102">
        <v>0</v>
      </c>
      <c r="Q102">
        <v>100</v>
      </c>
      <c r="AJ102">
        <v>1</v>
      </c>
    </row>
    <row r="103" spans="1:36" x14ac:dyDescent="0.2">
      <c r="A103">
        <v>145</v>
      </c>
      <c r="B103">
        <v>782</v>
      </c>
      <c r="C103">
        <v>115</v>
      </c>
      <c r="D103">
        <v>0.48762782542766497</v>
      </c>
      <c r="E103">
        <v>1.44494320342924</v>
      </c>
      <c r="F103">
        <v>2.5388115191775502</v>
      </c>
      <c r="G103">
        <v>-23.724530690042101</v>
      </c>
      <c r="H103">
        <v>-20.680165624610073</v>
      </c>
      <c r="I103">
        <v>2.88524386621051</v>
      </c>
      <c r="J103">
        <v>1.67967711792091</v>
      </c>
      <c r="K103">
        <v>0.56914158160796802</v>
      </c>
      <c r="L103">
        <v>0</v>
      </c>
      <c r="M103">
        <v>1.2381314439014289E-6</v>
      </c>
      <c r="N103">
        <v>0</v>
      </c>
      <c r="O103" s="1">
        <v>8.0784965736494297E-13</v>
      </c>
      <c r="P103">
        <v>0</v>
      </c>
      <c r="Q103">
        <v>100</v>
      </c>
      <c r="AJ103">
        <v>1</v>
      </c>
    </row>
    <row r="104" spans="1:36" x14ac:dyDescent="0.2">
      <c r="A104">
        <v>146</v>
      </c>
      <c r="B104">
        <v>781</v>
      </c>
      <c r="C104">
        <v>115</v>
      </c>
      <c r="D104">
        <v>0.48707536878053398</v>
      </c>
      <c r="E104">
        <v>2.53766976449409</v>
      </c>
      <c r="F104">
        <v>2.5388115191775502</v>
      </c>
      <c r="G104">
        <v>-41.660948534406444</v>
      </c>
      <c r="H104">
        <v>-36.322322646654044</v>
      </c>
      <c r="I104">
        <v>5.0643892119265699</v>
      </c>
      <c r="J104">
        <v>2.9495660878005698</v>
      </c>
      <c r="K104">
        <v>0.99955027985542</v>
      </c>
      <c r="L104">
        <v>0</v>
      </c>
      <c r="M104">
        <v>1.2381314439014291E-6</v>
      </c>
      <c r="N104">
        <v>0</v>
      </c>
      <c r="O104" s="1">
        <v>1.4187793990010001E-12</v>
      </c>
      <c r="P104">
        <v>0</v>
      </c>
      <c r="Q104">
        <v>100</v>
      </c>
      <c r="AJ104">
        <v>1</v>
      </c>
    </row>
    <row r="105" spans="1:36" x14ac:dyDescent="0.2">
      <c r="A105">
        <v>147</v>
      </c>
      <c r="B105">
        <v>780</v>
      </c>
      <c r="C105">
        <v>115</v>
      </c>
      <c r="D105">
        <v>0.48652186298248101</v>
      </c>
      <c r="E105">
        <v>3.8986135913743198</v>
      </c>
      <c r="F105">
        <v>2.5388115191775502</v>
      </c>
      <c r="G105">
        <v>-63.995797962826671</v>
      </c>
      <c r="H105">
        <v>-55.806394216734077</v>
      </c>
      <c r="I105">
        <v>7.7761038276528298</v>
      </c>
      <c r="J105">
        <v>4.53086475881548</v>
      </c>
      <c r="K105">
        <v>1.53560575959465</v>
      </c>
      <c r="L105">
        <v>0</v>
      </c>
      <c r="M105">
        <v>1.2381314439014289E-6</v>
      </c>
      <c r="N105">
        <v>0</v>
      </c>
      <c r="O105" s="1">
        <v>2.1796660564342198E-12</v>
      </c>
      <c r="P105">
        <v>0</v>
      </c>
      <c r="Q105">
        <v>100</v>
      </c>
      <c r="AJ105">
        <v>1</v>
      </c>
    </row>
    <row r="106" spans="1:36" x14ac:dyDescent="0.2">
      <c r="A106">
        <v>148</v>
      </c>
      <c r="B106">
        <v>779</v>
      </c>
      <c r="C106">
        <v>115</v>
      </c>
      <c r="D106">
        <v>0.48596730504205599</v>
      </c>
      <c r="E106">
        <v>7.9010195380484998</v>
      </c>
      <c r="F106">
        <v>2.5388115191775502</v>
      </c>
      <c r="G106">
        <v>-129.67959405574206</v>
      </c>
      <c r="H106">
        <v>-113.10769765156257</v>
      </c>
      <c r="I106">
        <v>15.7505074411248</v>
      </c>
      <c r="J106">
        <v>9.1812498546366701</v>
      </c>
      <c r="K106">
        <v>3.1120937802456501</v>
      </c>
      <c r="L106">
        <v>0</v>
      </c>
      <c r="M106">
        <v>1.2381314439014291E-6</v>
      </c>
      <c r="N106">
        <v>0</v>
      </c>
      <c r="O106" s="1">
        <v>4.4173611194529998E-12</v>
      </c>
      <c r="P106">
        <v>0</v>
      </c>
      <c r="Q106">
        <v>100</v>
      </c>
      <c r="AJ106">
        <v>1</v>
      </c>
    </row>
    <row r="107" spans="1:36" x14ac:dyDescent="0.2">
      <c r="A107">
        <v>149</v>
      </c>
      <c r="B107">
        <v>778</v>
      </c>
      <c r="C107">
        <v>115</v>
      </c>
      <c r="D107">
        <v>0.48541169195642903</v>
      </c>
      <c r="E107">
        <v>12.102867052265401</v>
      </c>
      <c r="F107">
        <v>2.5388115191775502</v>
      </c>
      <c r="G107">
        <v>-198.6204824850935</v>
      </c>
      <c r="H107">
        <v>-173.2736558140918</v>
      </c>
      <c r="I107">
        <v>24.113424983115301</v>
      </c>
      <c r="J107">
        <v>14.0622424023507</v>
      </c>
      <c r="K107">
        <v>4.7671388603854101</v>
      </c>
      <c r="L107">
        <v>0</v>
      </c>
      <c r="M107">
        <v>1.2381314439014291E-6</v>
      </c>
      <c r="N107">
        <v>0</v>
      </c>
      <c r="O107" s="1">
        <v>6.7665614662928701E-12</v>
      </c>
      <c r="P107">
        <v>0</v>
      </c>
      <c r="Q107">
        <v>100</v>
      </c>
      <c r="AJ107">
        <v>1</v>
      </c>
    </row>
    <row r="108" spans="1:36" x14ac:dyDescent="0.2">
      <c r="A108">
        <v>150</v>
      </c>
      <c r="B108">
        <v>777</v>
      </c>
      <c r="C108">
        <v>115</v>
      </c>
      <c r="D108">
        <v>0.48485502071132902</v>
      </c>
      <c r="E108">
        <v>15.2988758073477</v>
      </c>
      <c r="F108">
        <v>2.5388115191775502</v>
      </c>
      <c r="G108">
        <v>-251.03979704001927</v>
      </c>
      <c r="H108">
        <v>-219.04787130566183</v>
      </c>
      <c r="I108">
        <v>30.464148678148302</v>
      </c>
      <c r="J108">
        <v>17.7735166645679</v>
      </c>
      <c r="K108">
        <v>6.0259990518334501</v>
      </c>
      <c r="L108">
        <v>0</v>
      </c>
      <c r="M108">
        <v>1.2381314439014291E-6</v>
      </c>
      <c r="N108">
        <v>0</v>
      </c>
      <c r="O108" s="1">
        <v>8.5534099539019898E-12</v>
      </c>
      <c r="P108">
        <v>0</v>
      </c>
      <c r="Q108">
        <v>100</v>
      </c>
      <c r="AJ108">
        <v>1</v>
      </c>
    </row>
    <row r="109" spans="1:36" x14ac:dyDescent="0.2">
      <c r="A109">
        <v>151</v>
      </c>
      <c r="B109">
        <v>776</v>
      </c>
      <c r="C109">
        <v>115</v>
      </c>
      <c r="D109">
        <v>0.484297288280991</v>
      </c>
      <c r="E109">
        <v>23.679248795057301</v>
      </c>
      <c r="F109">
        <v>2.5388115191775502</v>
      </c>
      <c r="G109">
        <v>-388.50649673219067</v>
      </c>
      <c r="H109">
        <v>-339.06477482715502</v>
      </c>
      <c r="I109">
        <v>47.1255034123201</v>
      </c>
      <c r="J109">
        <v>27.506110203401299</v>
      </c>
      <c r="K109">
        <v>9.3269030080374709</v>
      </c>
      <c r="L109">
        <v>0</v>
      </c>
      <c r="M109">
        <v>1.2381314439014293E-6</v>
      </c>
      <c r="N109">
        <v>0</v>
      </c>
      <c r="O109" s="1">
        <v>1.3238771586555999E-11</v>
      </c>
      <c r="P109">
        <v>0</v>
      </c>
      <c r="Q109">
        <v>100</v>
      </c>
      <c r="AJ109">
        <v>1</v>
      </c>
    </row>
    <row r="110" spans="1:36" x14ac:dyDescent="0.2">
      <c r="A110">
        <v>152</v>
      </c>
      <c r="B110">
        <v>775</v>
      </c>
      <c r="C110">
        <v>115</v>
      </c>
      <c r="D110">
        <v>0.483738491628109</v>
      </c>
      <c r="E110">
        <v>26.922524853163999</v>
      </c>
      <c r="F110">
        <v>2.5388115191775502</v>
      </c>
      <c r="G110">
        <v>-441.66550720785852</v>
      </c>
      <c r="H110">
        <v>-385.53673704547731</v>
      </c>
      <c r="I110">
        <v>53.550322150819198</v>
      </c>
      <c r="J110">
        <v>31.2697448646853</v>
      </c>
      <c r="K110">
        <v>10.604381085321901</v>
      </c>
      <c r="L110">
        <v>0</v>
      </c>
      <c r="M110">
        <v>1.2381314439014291E-6</v>
      </c>
      <c r="N110">
        <v>0</v>
      </c>
      <c r="O110" s="1">
        <v>1.50520466315981E-11</v>
      </c>
      <c r="P110">
        <v>0</v>
      </c>
      <c r="Q110">
        <v>100</v>
      </c>
      <c r="AJ110">
        <v>1</v>
      </c>
    </row>
    <row r="111" spans="1:36" x14ac:dyDescent="0.2">
      <c r="A111">
        <v>153</v>
      </c>
      <c r="B111">
        <v>774</v>
      </c>
      <c r="C111">
        <v>115</v>
      </c>
      <c r="D111">
        <v>0.48317862770377201</v>
      </c>
      <c r="E111">
        <v>29.501047168934001</v>
      </c>
      <c r="F111">
        <v>2.5388115191775502</v>
      </c>
      <c r="G111">
        <v>-483.90764542642734</v>
      </c>
      <c r="H111">
        <v>-422.49603115276415</v>
      </c>
      <c r="I111">
        <v>58.646434869563301</v>
      </c>
      <c r="J111">
        <v>34.260457474648099</v>
      </c>
      <c r="K111">
        <v>11.620022575953399</v>
      </c>
      <c r="L111">
        <v>0</v>
      </c>
      <c r="M111">
        <v>1.2381314439014291E-6</v>
      </c>
      <c r="N111">
        <v>0</v>
      </c>
      <c r="O111" s="1">
        <v>1.6493666180628799E-11</v>
      </c>
      <c r="P111">
        <v>0</v>
      </c>
      <c r="Q111">
        <v>100</v>
      </c>
      <c r="AJ111">
        <v>1</v>
      </c>
    </row>
    <row r="112" spans="1:36" x14ac:dyDescent="0.2">
      <c r="A112">
        <v>154</v>
      </c>
      <c r="B112">
        <v>773</v>
      </c>
      <c r="C112">
        <v>115</v>
      </c>
      <c r="D112">
        <v>0.48261769344740202</v>
      </c>
      <c r="E112">
        <v>30.708812788784499</v>
      </c>
      <c r="F112">
        <v>2.5388115191775502</v>
      </c>
      <c r="G112">
        <v>-503.65767511538945</v>
      </c>
      <c r="H112">
        <v>-439.82857571949341</v>
      </c>
      <c r="I112">
        <v>61.013334030393402</v>
      </c>
      <c r="J112">
        <v>35.658724790073897</v>
      </c>
      <c r="K112">
        <v>12.095743444055501</v>
      </c>
      <c r="L112">
        <v>0</v>
      </c>
      <c r="M112">
        <v>1.2381314439014291E-6</v>
      </c>
      <c r="N112">
        <v>0</v>
      </c>
      <c r="O112" s="1">
        <v>1.71689128199831E-11</v>
      </c>
      <c r="P112">
        <v>0</v>
      </c>
      <c r="Q112">
        <v>100</v>
      </c>
      <c r="AJ112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BE1FB-DEEE-4535-8E4A-7DC471DBC7FA}">
  <sheetPr codeName="Sheet13"/>
  <dimension ref="A1:AJ155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757</v>
      </c>
      <c r="C2">
        <v>275</v>
      </c>
      <c r="D2">
        <v>0.30264573120419402</v>
      </c>
      <c r="E2">
        <v>4.1076402695702496</v>
      </c>
      <c r="F2">
        <v>0.553927036865275</v>
      </c>
      <c r="G2">
        <v>-89.010242457462667</v>
      </c>
      <c r="H2">
        <v>-52.290062129683577</v>
      </c>
      <c r="I2">
        <v>35.647751270959901</v>
      </c>
      <c r="J2">
        <v>15.858692931172101</v>
      </c>
      <c r="K2">
        <v>7.41548975983509</v>
      </c>
      <c r="L2">
        <v>1.1994105535029585E-3</v>
      </c>
      <c r="M2">
        <v>1.9425669200678956E-4</v>
      </c>
      <c r="N2" s="1">
        <v>5.7782790891415799E-6</v>
      </c>
      <c r="O2" s="1">
        <v>1.1719870032554699E-6</v>
      </c>
      <c r="P2" s="1">
        <v>-4.3493288618910901E-6</v>
      </c>
      <c r="AE2">
        <v>100</v>
      </c>
      <c r="AJ2">
        <v>1</v>
      </c>
    </row>
    <row r="3" spans="1:36" x14ac:dyDescent="0.2">
      <c r="A3">
        <v>2</v>
      </c>
      <c r="B3">
        <v>756</v>
      </c>
      <c r="C3">
        <v>275</v>
      </c>
      <c r="D3">
        <v>0.30190011174270298</v>
      </c>
      <c r="E3">
        <v>4.1142799627835496</v>
      </c>
      <c r="F3">
        <v>0.55459200373927897</v>
      </c>
      <c r="G3">
        <v>-89.1184231958688</v>
      </c>
      <c r="H3">
        <v>-52.390472807811811</v>
      </c>
      <c r="I3">
        <v>35.689942993438599</v>
      </c>
      <c r="J3">
        <v>15.891079690721501</v>
      </c>
      <c r="K3">
        <v>7.41857065201705</v>
      </c>
      <c r="L3">
        <v>1.2000672419984482E-3</v>
      </c>
      <c r="M3">
        <v>1.9390280436198251E-4</v>
      </c>
      <c r="N3" s="1">
        <v>5.8321720736349101E-6</v>
      </c>
      <c r="O3" s="1">
        <v>1.1698117736927599E-6</v>
      </c>
      <c r="P3" s="1">
        <v>-4.3542941746074499E-6</v>
      </c>
      <c r="AE3">
        <v>100</v>
      </c>
      <c r="AJ3">
        <v>1</v>
      </c>
    </row>
    <row r="4" spans="1:36" x14ac:dyDescent="0.2">
      <c r="A4">
        <v>3</v>
      </c>
      <c r="B4">
        <v>755</v>
      </c>
      <c r="C4">
        <v>275</v>
      </c>
      <c r="D4">
        <v>0.30115304187132302</v>
      </c>
      <c r="E4">
        <v>4.1261886931151404</v>
      </c>
      <c r="F4">
        <v>0.55525813201767704</v>
      </c>
      <c r="G4">
        <v>-89.340589822707116</v>
      </c>
      <c r="H4">
        <v>-52.558056813923734</v>
      </c>
      <c r="I4">
        <v>35.777750588270699</v>
      </c>
      <c r="J4">
        <v>15.943837434832799</v>
      </c>
      <c r="K4">
        <v>7.4311179885318301</v>
      </c>
      <c r="L4">
        <v>1.2007185476741171E-3</v>
      </c>
      <c r="M4">
        <v>1.9354819573302138E-4</v>
      </c>
      <c r="N4" s="1">
        <v>5.89378641697375E-6</v>
      </c>
      <c r="O4" s="1">
        <v>1.1691145619047999E-6</v>
      </c>
      <c r="P4" s="1">
        <v>-4.3647769571856301E-6</v>
      </c>
      <c r="AE4">
        <v>100</v>
      </c>
      <c r="AJ4">
        <v>1</v>
      </c>
    </row>
    <row r="5" spans="1:36" x14ac:dyDescent="0.2">
      <c r="A5">
        <v>4</v>
      </c>
      <c r="B5">
        <v>754</v>
      </c>
      <c r="C5">
        <v>275</v>
      </c>
      <c r="D5">
        <v>0.30040451735384299</v>
      </c>
      <c r="E5">
        <v>4.1380246435390804</v>
      </c>
      <c r="F5">
        <v>0.55592542096507103</v>
      </c>
      <c r="G5">
        <v>-89.560990232321728</v>
      </c>
      <c r="H5">
        <v>-52.72481227968504</v>
      </c>
      <c r="I5">
        <v>35.864816223961</v>
      </c>
      <c r="J5">
        <v>15.9963419345696</v>
      </c>
      <c r="K5">
        <v>7.4434887981117699</v>
      </c>
      <c r="L5">
        <v>1.2013644355344702E-3</v>
      </c>
      <c r="M5">
        <v>1.9319286989129213E-4</v>
      </c>
      <c r="N5" s="1">
        <v>5.9556038328503903E-6</v>
      </c>
      <c r="O5" s="1">
        <v>1.1683715214796401E-6</v>
      </c>
      <c r="P5" s="1">
        <v>-4.3751206073244701E-6</v>
      </c>
      <c r="AE5">
        <v>100</v>
      </c>
      <c r="AJ5">
        <v>1</v>
      </c>
    </row>
    <row r="6" spans="1:36" x14ac:dyDescent="0.2">
      <c r="A6">
        <v>5</v>
      </c>
      <c r="B6">
        <v>753</v>
      </c>
      <c r="C6">
        <v>275</v>
      </c>
      <c r="D6">
        <v>0.29965453393753799</v>
      </c>
      <c r="E6">
        <v>4.1497883548761401</v>
      </c>
      <c r="F6">
        <v>0.55659386981720904</v>
      </c>
      <c r="G6">
        <v>-89.779638173267642</v>
      </c>
      <c r="H6">
        <v>-52.890745301299049</v>
      </c>
      <c r="I6">
        <v>35.951145188999099</v>
      </c>
      <c r="J6">
        <v>16.048594628184802</v>
      </c>
      <c r="K6">
        <v>7.4556846201683298</v>
      </c>
      <c r="L6">
        <v>1.2020048706808954E-3</v>
      </c>
      <c r="M6">
        <v>1.9283683065854625E-4</v>
      </c>
      <c r="N6" s="1">
        <v>6.0176211935085703E-6</v>
      </c>
      <c r="O6" s="1">
        <v>1.16758308064522E-6</v>
      </c>
      <c r="P6" s="1">
        <v>-4.3853252242229401E-6</v>
      </c>
      <c r="AE6">
        <v>100</v>
      </c>
      <c r="AJ6">
        <v>1</v>
      </c>
    </row>
    <row r="7" spans="1:36" x14ac:dyDescent="0.2">
      <c r="A7">
        <v>6</v>
      </c>
      <c r="B7">
        <v>752</v>
      </c>
      <c r="C7">
        <v>275</v>
      </c>
      <c r="D7">
        <v>0.29890308735307097</v>
      </c>
      <c r="E7">
        <v>4.1614803613639797</v>
      </c>
      <c r="F7">
        <v>0.55726347778082896</v>
      </c>
      <c r="G7">
        <v>-89.996547231630601</v>
      </c>
      <c r="H7">
        <v>-53.055861898363844</v>
      </c>
      <c r="I7">
        <v>36.036742708748598</v>
      </c>
      <c r="J7">
        <v>16.100596930566599</v>
      </c>
      <c r="K7">
        <v>7.4677069775613196</v>
      </c>
      <c r="L7">
        <v>1.2026398183147555E-3</v>
      </c>
      <c r="M7">
        <v>1.924800819068232E-4</v>
      </c>
      <c r="N7" s="1">
        <v>6.0798353457858903E-6</v>
      </c>
      <c r="O7" s="1">
        <v>1.16674966526741E-6</v>
      </c>
      <c r="P7" s="1">
        <v>-4.3953909059502801E-6</v>
      </c>
      <c r="AE7">
        <v>100</v>
      </c>
      <c r="AJ7">
        <v>1</v>
      </c>
    </row>
    <row r="8" spans="1:36" x14ac:dyDescent="0.2">
      <c r="A8">
        <v>7</v>
      </c>
      <c r="B8">
        <v>751</v>
      </c>
      <c r="C8">
        <v>275</v>
      </c>
      <c r="D8">
        <v>0.29815017331445698</v>
      </c>
      <c r="E8">
        <v>4.17310119098466</v>
      </c>
      <c r="F8">
        <v>0.55793424403356595</v>
      </c>
      <c r="G8">
        <v>-90.211730838410688</v>
      </c>
      <c r="H8">
        <v>-53.2201680179299</v>
      </c>
      <c r="I8">
        <v>36.121613948386504</v>
      </c>
      <c r="J8">
        <v>16.1523502344794</v>
      </c>
      <c r="K8">
        <v>7.4795573772553698</v>
      </c>
      <c r="L8">
        <v>1.2032692437403823E-3</v>
      </c>
      <c r="M8">
        <v>1.9212262755833811E-4</v>
      </c>
      <c r="N8" s="1">
        <v>6.14224311169658E-6</v>
      </c>
      <c r="O8" s="1">
        <v>1.1658716989613999E-6</v>
      </c>
      <c r="P8" s="1">
        <v>-4.4053177498620202E-6</v>
      </c>
      <c r="AE8">
        <v>100</v>
      </c>
      <c r="AJ8">
        <v>1</v>
      </c>
    </row>
    <row r="9" spans="1:36" x14ac:dyDescent="0.2">
      <c r="A9">
        <v>8</v>
      </c>
      <c r="B9">
        <v>750</v>
      </c>
      <c r="C9">
        <v>275</v>
      </c>
      <c r="D9">
        <v>0.29739578751893703</v>
      </c>
      <c r="E9">
        <v>4.1846513653638198</v>
      </c>
      <c r="F9">
        <v>0.55860616772383997</v>
      </c>
      <c r="G9">
        <v>-90.425202267630638</v>
      </c>
      <c r="H9">
        <v>-53.383669533100985</v>
      </c>
      <c r="I9">
        <v>36.205764012127197</v>
      </c>
      <c r="J9">
        <v>16.203855910152701</v>
      </c>
      <c r="K9">
        <v>7.4912373102056398</v>
      </c>
      <c r="L9">
        <v>1.2038931123682386E-3</v>
      </c>
      <c r="M9">
        <v>1.917644715853801E-4</v>
      </c>
      <c r="N9" s="1">
        <v>6.2048412883987002E-6</v>
      </c>
      <c r="O9" s="1">
        <v>1.1649496030815899E-6</v>
      </c>
      <c r="P9" s="1">
        <v>-4.4151058525619402E-6</v>
      </c>
      <c r="AE9">
        <v>100</v>
      </c>
      <c r="AJ9">
        <v>1</v>
      </c>
    </row>
    <row r="10" spans="1:36" x14ac:dyDescent="0.2">
      <c r="A10">
        <v>9</v>
      </c>
      <c r="B10">
        <v>749</v>
      </c>
      <c r="C10">
        <v>275</v>
      </c>
      <c r="D10">
        <v>0.29663992564692099</v>
      </c>
      <c r="E10">
        <v>4.1961314000185901</v>
      </c>
      <c r="F10">
        <v>0.55927924797073003</v>
      </c>
      <c r="G10">
        <v>-90.636974641981752</v>
      </c>
      <c r="H10">
        <v>-53.546372246080693</v>
      </c>
      <c r="I10">
        <v>36.289197945467997</v>
      </c>
      <c r="J10">
        <v>16.2551153062183</v>
      </c>
      <c r="K10">
        <v>7.5027482518682502</v>
      </c>
      <c r="L10">
        <v>1.2045113897179512E-3</v>
      </c>
      <c r="M10">
        <v>1.914056180101959E-4</v>
      </c>
      <c r="N10" s="1">
        <v>6.2676266486920802E-6</v>
      </c>
      <c r="O10" s="1">
        <v>1.16398379680891E-6</v>
      </c>
      <c r="P10" s="1">
        <v>-4.4247553102343802E-6</v>
      </c>
      <c r="AE10">
        <v>100</v>
      </c>
      <c r="AJ10">
        <v>1</v>
      </c>
    </row>
    <row r="11" spans="1:36" x14ac:dyDescent="0.2">
      <c r="A11">
        <v>10</v>
      </c>
      <c r="B11">
        <v>748</v>
      </c>
      <c r="C11">
        <v>275</v>
      </c>
      <c r="D11">
        <v>0.29588258336189799</v>
      </c>
      <c r="E11">
        <v>4.2075418042572297</v>
      </c>
      <c r="F11">
        <v>0.55995348386390498</v>
      </c>
      <c r="G11">
        <v>-90.847060930938341</v>
      </c>
      <c r="H11">
        <v>-53.70828188678211</v>
      </c>
      <c r="I11">
        <v>36.3719207344163</v>
      </c>
      <c r="J11">
        <v>16.3061297493044</v>
      </c>
      <c r="K11">
        <v>7.51409166208503</v>
      </c>
      <c r="L11">
        <v>1.2051240414215599E-3</v>
      </c>
      <c r="M11">
        <v>1.9104607090488277E-4</v>
      </c>
      <c r="N11" s="1">
        <v>6.3305959409995396E-6</v>
      </c>
      <c r="O11" s="1">
        <v>1.1629746971400799E-6</v>
      </c>
      <c r="P11" s="1">
        <v>-4.4342662186067002E-6</v>
      </c>
      <c r="AE11">
        <v>100</v>
      </c>
      <c r="AJ11">
        <v>1</v>
      </c>
    </row>
    <row r="12" spans="1:36" x14ac:dyDescent="0.2">
      <c r="A12">
        <v>11</v>
      </c>
      <c r="B12">
        <v>747</v>
      </c>
      <c r="C12">
        <v>275</v>
      </c>
      <c r="D12">
        <v>0.29512375631034898</v>
      </c>
      <c r="E12">
        <v>4.2188830813474301</v>
      </c>
      <c r="F12">
        <v>0.56062887446346599</v>
      </c>
      <c r="G12">
        <v>-91.055473954673019</v>
      </c>
      <c r="H12">
        <v>-53.869404114862064</v>
      </c>
      <c r="I12">
        <v>36.453937307042203</v>
      </c>
      <c r="J12">
        <v>16.356900544661698</v>
      </c>
      <c r="K12">
        <v>7.5252689854495802</v>
      </c>
      <c r="L12">
        <v>1.2057310332263733E-3</v>
      </c>
      <c r="M12">
        <v>1.9068583439123634E-4</v>
      </c>
      <c r="N12" s="1">
        <v>6.3937458897557399E-6</v>
      </c>
      <c r="O12" s="1">
        <v>1.1619227189510599E-6</v>
      </c>
      <c r="P12" s="1">
        <v>-4.4436386731948897E-6</v>
      </c>
      <c r="AE12">
        <v>100</v>
      </c>
      <c r="AJ12">
        <v>1</v>
      </c>
    </row>
    <row r="13" spans="1:36" x14ac:dyDescent="0.2">
      <c r="A13">
        <v>12</v>
      </c>
      <c r="B13">
        <v>746</v>
      </c>
      <c r="C13">
        <v>275</v>
      </c>
      <c r="D13">
        <v>0.29436344012167098</v>
      </c>
      <c r="E13">
        <v>4.2301557285813098</v>
      </c>
      <c r="F13">
        <v>0.56130541879990004</v>
      </c>
      <c r="G13">
        <v>-91.262226385737776</v>
      </c>
      <c r="H13">
        <v>-54.029744520442925</v>
      </c>
      <c r="I13">
        <v>36.535252534135303</v>
      </c>
      <c r="J13">
        <v>16.407428976401501</v>
      </c>
      <c r="K13">
        <v>7.5362816514859201</v>
      </c>
      <c r="L13">
        <v>1.2063323309982942E-3</v>
      </c>
      <c r="M13">
        <v>1.9032491264064461E-4</v>
      </c>
      <c r="N13" s="1">
        <v>6.45707319566251E-6</v>
      </c>
      <c r="O13" s="1">
        <v>1.16082827503137E-6</v>
      </c>
      <c r="P13" s="1">
        <v>-4.4528727694418098E-6</v>
      </c>
      <c r="AE13">
        <v>100</v>
      </c>
      <c r="AJ13">
        <v>1</v>
      </c>
    </row>
    <row r="14" spans="1:36" x14ac:dyDescent="0.2">
      <c r="A14">
        <v>13</v>
      </c>
      <c r="B14">
        <v>745</v>
      </c>
      <c r="C14">
        <v>275</v>
      </c>
      <c r="D14">
        <v>0.29360163040809401</v>
      </c>
      <c r="E14">
        <v>4.2413602373290296</v>
      </c>
      <c r="F14">
        <v>0.56198311587393401</v>
      </c>
      <c r="G14">
        <v>-91.467330750492124</v>
      </c>
      <c r="H14">
        <v>-54.189308624688067</v>
      </c>
      <c r="I14">
        <v>36.615871229760998</v>
      </c>
      <c r="J14">
        <v>16.457716307681299</v>
      </c>
      <c r="K14">
        <v>7.547131074807</v>
      </c>
      <c r="L14">
        <v>1.2069279007246572E-3</v>
      </c>
      <c r="M14">
        <v>1.8996330987391317E-4</v>
      </c>
      <c r="N14" s="1">
        <v>6.5205745359187999E-6</v>
      </c>
      <c r="O14" s="1">
        <v>1.1596917761142401E-6</v>
      </c>
      <c r="P14" s="1">
        <v>-4.4619686028401E-6</v>
      </c>
      <c r="AE14">
        <v>100</v>
      </c>
      <c r="AJ14">
        <v>1</v>
      </c>
    </row>
    <row r="15" spans="1:36" x14ac:dyDescent="0.2">
      <c r="A15">
        <v>14</v>
      </c>
      <c r="B15">
        <v>744</v>
      </c>
      <c r="C15">
        <v>275</v>
      </c>
      <c r="D15">
        <v>0.29283832276459099</v>
      </c>
      <c r="E15">
        <v>4.2524970930705903</v>
      </c>
      <c r="F15">
        <v>0.56266196465644502</v>
      </c>
      <c r="G15">
        <v>-91.670799430061379</v>
      </c>
      <c r="H15">
        <v>-54.348101880100714</v>
      </c>
      <c r="I15">
        <v>36.6957981516301</v>
      </c>
      <c r="J15">
        <v>16.5077637808124</v>
      </c>
      <c r="K15">
        <v>7.5578186552331097</v>
      </c>
      <c r="L15">
        <v>1.2075177085175582E-3</v>
      </c>
      <c r="M15">
        <v>1.896010303611445E-4</v>
      </c>
      <c r="N15" s="1">
        <v>6.5842465644364603E-6</v>
      </c>
      <c r="O15" s="1">
        <v>1.1585136309008099E-6</v>
      </c>
      <c r="P15" s="1">
        <v>-4.4709262690346302E-6</v>
      </c>
      <c r="AE15">
        <v>100</v>
      </c>
      <c r="AJ15">
        <v>1</v>
      </c>
    </row>
    <row r="16" spans="1:36" x14ac:dyDescent="0.2">
      <c r="A16">
        <v>15</v>
      </c>
      <c r="B16">
        <v>743</v>
      </c>
      <c r="C16">
        <v>275</v>
      </c>
      <c r="D16">
        <v>0.29207351276878402</v>
      </c>
      <c r="E16">
        <v>4.2635667755601396</v>
      </c>
      <c r="F16">
        <v>0.563341964088373</v>
      </c>
      <c r="G16">
        <v>-91.872644664145227</v>
      </c>
      <c r="H16">
        <v>-54.506129672517005</v>
      </c>
      <c r="I16">
        <v>36.775038002607999</v>
      </c>
      <c r="J16">
        <v>16.557572617878002</v>
      </c>
      <c r="K16">
        <v>7.5683457781449697</v>
      </c>
      <c r="L16">
        <v>1.2081017206166231E-3</v>
      </c>
      <c r="M16">
        <v>1.8923807842155036E-4</v>
      </c>
      <c r="N16" s="1">
        <v>6.6480859122634201E-6</v>
      </c>
      <c r="O16" s="1">
        <v>1.1572942461192599E-6</v>
      </c>
      <c r="P16" s="1">
        <v>-4.4797458640611702E-6</v>
      </c>
      <c r="AE16">
        <v>100</v>
      </c>
      <c r="AJ16">
        <v>1</v>
      </c>
    </row>
    <row r="17" spans="1:36" x14ac:dyDescent="0.2">
      <c r="A17">
        <v>16</v>
      </c>
      <c r="B17">
        <v>742</v>
      </c>
      <c r="C17">
        <v>275</v>
      </c>
      <c r="D17">
        <v>0.291307195980888</v>
      </c>
      <c r="E17">
        <v>4.2745697588038398</v>
      </c>
      <c r="F17">
        <v>0.56402311308061603</v>
      </c>
      <c r="G17">
        <v>-92.072878550804163</v>
      </c>
      <c r="H17">
        <v>-54.663397320719206</v>
      </c>
      <c r="I17">
        <v>36.853595430615698</v>
      </c>
      <c r="J17">
        <v>16.607144020632099</v>
      </c>
      <c r="K17">
        <v>7.5787138145043897</v>
      </c>
      <c r="L17">
        <v>1.2086799033924219E-3</v>
      </c>
      <c r="M17">
        <v>1.8887445842331584E-4</v>
      </c>
      <c r="N17" s="1">
        <v>6.7120891877276703E-6</v>
      </c>
      <c r="O17" s="1">
        <v>1.1560340265331001E-6</v>
      </c>
      <c r="P17" s="1">
        <v>-4.4884274843912304E-6</v>
      </c>
      <c r="AE17">
        <v>100</v>
      </c>
      <c r="AJ17">
        <v>1</v>
      </c>
    </row>
    <row r="18" spans="1:36" x14ac:dyDescent="0.2">
      <c r="A18">
        <v>17</v>
      </c>
      <c r="B18">
        <v>741</v>
      </c>
      <c r="C18">
        <v>275</v>
      </c>
      <c r="D18">
        <v>0.29053936794360102</v>
      </c>
      <c r="E18">
        <v>4.5644510622545598</v>
      </c>
      <c r="F18">
        <v>0.56470541051391998</v>
      </c>
      <c r="G18">
        <v>-98.277485906277064</v>
      </c>
      <c r="H18">
        <v>-58.388149950266452</v>
      </c>
      <c r="I18">
        <v>39.335352773453501</v>
      </c>
      <c r="J18">
        <v>17.740653023608999</v>
      </c>
      <c r="K18">
        <v>8.0828888430528707</v>
      </c>
      <c r="L18">
        <v>1.2092522233491973E-3</v>
      </c>
      <c r="M18">
        <v>1.8851017478340308E-4</v>
      </c>
      <c r="N18" s="1">
        <v>7.2173207571661601E-6</v>
      </c>
      <c r="O18" s="1">
        <v>1.22989522156369E-6</v>
      </c>
      <c r="P18" s="1">
        <v>-4.7896800625603199E-6</v>
      </c>
      <c r="AE18">
        <v>100</v>
      </c>
      <c r="AJ18">
        <v>1</v>
      </c>
    </row>
    <row r="19" spans="1:36" x14ac:dyDescent="0.2">
      <c r="A19">
        <v>18</v>
      </c>
      <c r="B19">
        <v>740</v>
      </c>
      <c r="C19">
        <v>275</v>
      </c>
      <c r="D19">
        <v>0.28977002418201098</v>
      </c>
      <c r="E19">
        <v>6.1241543608832503</v>
      </c>
      <c r="F19">
        <v>0.56538885523881099</v>
      </c>
      <c r="G19">
        <v>-131.80679198922604</v>
      </c>
      <c r="H19">
        <v>-78.363576922080043</v>
      </c>
      <c r="I19">
        <v>52.753017504157697</v>
      </c>
      <c r="J19">
        <v>23.812513217485201</v>
      </c>
      <c r="K19">
        <v>10.8317564170883</v>
      </c>
      <c r="L19">
        <v>1.2098186471282174E-3</v>
      </c>
      <c r="M19">
        <v>1.881452319673947E-4</v>
      </c>
      <c r="N19" s="1">
        <v>9.7507097963605794E-6</v>
      </c>
      <c r="O19" s="1">
        <v>1.6440722200492199E-6</v>
      </c>
      <c r="P19" s="1">
        <v>-6.4220672869546104E-6</v>
      </c>
      <c r="AE19">
        <v>100</v>
      </c>
      <c r="AJ19">
        <v>1</v>
      </c>
    </row>
    <row r="20" spans="1:36" x14ac:dyDescent="0.2">
      <c r="A20">
        <v>19</v>
      </c>
      <c r="B20">
        <v>739</v>
      </c>
      <c r="C20">
        <v>275</v>
      </c>
      <c r="D20">
        <v>0.28899916020352701</v>
      </c>
      <c r="E20">
        <v>7.0997903390634098</v>
      </c>
      <c r="F20">
        <v>0.56607344607547905</v>
      </c>
      <c r="G20">
        <v>-152.74372286767681</v>
      </c>
      <c r="H20">
        <v>-90.875251016097934</v>
      </c>
      <c r="I20">
        <v>61.129807624944803</v>
      </c>
      <c r="J20">
        <v>27.617364880565599</v>
      </c>
      <c r="K20">
        <v>12.542171670982601</v>
      </c>
      <c r="L20">
        <v>1.2103791415105356E-3</v>
      </c>
      <c r="M20">
        <v>1.8777963448927701E-4</v>
      </c>
      <c r="N20" s="1">
        <v>1.13820084956051E-5</v>
      </c>
      <c r="O20" s="1">
        <v>1.89893162899915E-6</v>
      </c>
      <c r="P20" s="1">
        <v>-7.4401146315136496E-6</v>
      </c>
      <c r="AE20">
        <v>100</v>
      </c>
      <c r="AJ20">
        <v>1</v>
      </c>
    </row>
    <row r="21" spans="1:36" x14ac:dyDescent="0.2">
      <c r="A21">
        <v>20</v>
      </c>
      <c r="B21">
        <v>738</v>
      </c>
      <c r="C21">
        <v>275</v>
      </c>
      <c r="D21">
        <v>0.28822677149780002</v>
      </c>
      <c r="E21">
        <v>9.5358277580470503</v>
      </c>
      <c r="F21">
        <v>0.56675918181370799</v>
      </c>
      <c r="G21">
        <v>-205.07014569416592</v>
      </c>
      <c r="H21">
        <v>-122.0929221764561</v>
      </c>
      <c r="I21">
        <v>82.067626468792795</v>
      </c>
      <c r="J21">
        <v>37.108403076916602</v>
      </c>
      <c r="K21">
        <v>16.8251844240636</v>
      </c>
      <c r="L21">
        <v>1.2109336734201098E-3</v>
      </c>
      <c r="M21">
        <v>1.8741338691124579E-4</v>
      </c>
      <c r="N21" s="1">
        <v>1.53920266066288E-5</v>
      </c>
      <c r="O21" s="1">
        <v>2.54100236063287E-6</v>
      </c>
      <c r="P21" s="1">
        <v>-9.9860208069971594E-6</v>
      </c>
      <c r="AE21">
        <v>100</v>
      </c>
      <c r="AJ21">
        <v>1</v>
      </c>
    </row>
    <row r="22" spans="1:36" x14ac:dyDescent="0.2">
      <c r="A22">
        <v>21</v>
      </c>
      <c r="B22">
        <v>737</v>
      </c>
      <c r="C22">
        <v>275</v>
      </c>
      <c r="D22">
        <v>0.28745285353660599</v>
      </c>
      <c r="E22">
        <v>10.129095085404501</v>
      </c>
      <c r="F22">
        <v>0.56744606121277097</v>
      </c>
      <c r="G22">
        <v>-217.74134063204792</v>
      </c>
      <c r="H22">
        <v>-129.72830470703573</v>
      </c>
      <c r="I22">
        <v>87.134418071789</v>
      </c>
      <c r="J22">
        <v>39.433126201115499</v>
      </c>
      <c r="K22">
        <v>17.850322308619401</v>
      </c>
      <c r="L22">
        <v>1.2114822099271985E-3</v>
      </c>
      <c r="M22">
        <v>1.8704649384357149E-4</v>
      </c>
      <c r="N22" s="1">
        <v>1.64608760467653E-5</v>
      </c>
      <c r="O22" s="1">
        <v>2.6890197700109699E-6</v>
      </c>
      <c r="P22" s="1">
        <v>-1.05998384714546E-5</v>
      </c>
      <c r="AE22">
        <v>100</v>
      </c>
      <c r="AJ22">
        <v>1</v>
      </c>
    </row>
    <row r="23" spans="1:36" x14ac:dyDescent="0.2">
      <c r="A23">
        <v>22</v>
      </c>
      <c r="B23">
        <v>736</v>
      </c>
      <c r="C23">
        <v>275</v>
      </c>
      <c r="D23">
        <v>0.28667740177377199</v>
      </c>
      <c r="E23">
        <v>10.3396200904702</v>
      </c>
      <c r="F23">
        <v>0.56813408300133506</v>
      </c>
      <c r="G23">
        <v>-222.17799184208405</v>
      </c>
      <c r="H23">
        <v>-132.46486291748693</v>
      </c>
      <c r="I23">
        <v>88.905560015991995</v>
      </c>
      <c r="J23">
        <v>40.269048741603797</v>
      </c>
      <c r="K23">
        <v>18.199260350387998</v>
      </c>
      <c r="L23">
        <v>1.2120247182506813E-3</v>
      </c>
      <c r="M23">
        <v>1.8667895994427741E-4</v>
      </c>
      <c r="N23" s="1">
        <v>1.6916586946771499E-5</v>
      </c>
      <c r="O23" s="1">
        <v>2.7346289190877399E-6</v>
      </c>
      <c r="P23" s="1">
        <v>-1.08124037760475E-5</v>
      </c>
      <c r="AE23">
        <v>100</v>
      </c>
      <c r="AJ23">
        <v>1</v>
      </c>
    </row>
    <row r="24" spans="1:36" x14ac:dyDescent="0.2">
      <c r="A24">
        <v>23</v>
      </c>
      <c r="B24">
        <v>757</v>
      </c>
      <c r="C24">
        <v>255</v>
      </c>
      <c r="D24">
        <v>0.32400184439159502</v>
      </c>
      <c r="E24">
        <v>4.43645206405954</v>
      </c>
      <c r="F24">
        <v>0.53143867304734604</v>
      </c>
      <c r="G24">
        <v>-96.298882329909731</v>
      </c>
      <c r="H24">
        <v>-56.431056606777084</v>
      </c>
      <c r="I24">
        <v>38.703455354494999</v>
      </c>
      <c r="J24">
        <v>17.260905944976699</v>
      </c>
      <c r="K24">
        <v>8.3480038037508297</v>
      </c>
      <c r="L24">
        <v>1.2747331376960433E-3</v>
      </c>
      <c r="M24">
        <v>2.2120537379198216E-4</v>
      </c>
      <c r="N24" s="1">
        <v>6.6217323051565099E-6</v>
      </c>
      <c r="O24" s="1">
        <v>1.6663023501877299E-6</v>
      </c>
      <c r="P24" s="1">
        <v>-5.6987494094654304E-6</v>
      </c>
      <c r="AE24">
        <v>100</v>
      </c>
      <c r="AJ24">
        <v>1</v>
      </c>
    </row>
    <row r="25" spans="1:36" x14ac:dyDescent="0.2">
      <c r="A25">
        <v>24</v>
      </c>
      <c r="B25">
        <v>756</v>
      </c>
      <c r="C25">
        <v>255</v>
      </c>
      <c r="D25">
        <v>0.32327697614536499</v>
      </c>
      <c r="E25">
        <v>4.4415816800865899</v>
      </c>
      <c r="F25">
        <v>0.53211676824282905</v>
      </c>
      <c r="G25">
        <v>-96.371487410775643</v>
      </c>
      <c r="H25">
        <v>-56.513589613781534</v>
      </c>
      <c r="I25">
        <v>38.73141868802</v>
      </c>
      <c r="J25">
        <v>17.289135600998801</v>
      </c>
      <c r="K25">
        <v>8.3470056671089399</v>
      </c>
      <c r="L25">
        <v>1.2755618021488768E-3</v>
      </c>
      <c r="M25">
        <v>2.2080419518490641E-4</v>
      </c>
      <c r="N25" s="1">
        <v>6.6898752307045504E-6</v>
      </c>
      <c r="O25" s="1">
        <v>1.66252999742336E-6</v>
      </c>
      <c r="P25" s="1">
        <v>-5.7038061790790697E-6</v>
      </c>
      <c r="AE25">
        <v>100</v>
      </c>
      <c r="AJ25">
        <v>1</v>
      </c>
    </row>
    <row r="26" spans="1:36" x14ac:dyDescent="0.2">
      <c r="A26">
        <v>25</v>
      </c>
      <c r="B26">
        <v>755</v>
      </c>
      <c r="C26">
        <v>255</v>
      </c>
      <c r="D26">
        <v>0.322550697855369</v>
      </c>
      <c r="E26">
        <v>4.4529604525697497</v>
      </c>
      <c r="F26">
        <v>0.532796168529304</v>
      </c>
      <c r="G26">
        <v>-96.579556797239874</v>
      </c>
      <c r="H26">
        <v>-56.675707877536844</v>
      </c>
      <c r="I26">
        <v>38.813789016308</v>
      </c>
      <c r="J26">
        <v>17.341709139796698</v>
      </c>
      <c r="K26">
        <v>8.3577186090909894</v>
      </c>
      <c r="L26">
        <v>1.2763842974784594E-3</v>
      </c>
      <c r="M26">
        <v>2.2040200272310209E-4</v>
      </c>
      <c r="N26" s="1">
        <v>6.7677628936941102E-6</v>
      </c>
      <c r="O26" s="1">
        <v>1.6610702378105599E-6</v>
      </c>
      <c r="P26" s="1">
        <v>-5.7168106481493401E-6</v>
      </c>
      <c r="AE26">
        <v>100</v>
      </c>
      <c r="AJ26">
        <v>1</v>
      </c>
    </row>
    <row r="27" spans="1:36" x14ac:dyDescent="0.2">
      <c r="A27">
        <v>26</v>
      </c>
      <c r="B27">
        <v>754</v>
      </c>
      <c r="C27">
        <v>255</v>
      </c>
      <c r="D27">
        <v>0.321823005403299</v>
      </c>
      <c r="E27">
        <v>4.46427411544005</v>
      </c>
      <c r="F27">
        <v>0.53347687339181105</v>
      </c>
      <c r="G27">
        <v>-96.786033102021548</v>
      </c>
      <c r="H27">
        <v>-56.837094097785354</v>
      </c>
      <c r="I27">
        <v>38.8954814155896</v>
      </c>
      <c r="J27">
        <v>17.394058913940199</v>
      </c>
      <c r="K27">
        <v>8.3682617524851395</v>
      </c>
      <c r="L27">
        <v>1.2772005760462292E-3</v>
      </c>
      <c r="M27">
        <v>2.1999880049450819E-4</v>
      </c>
      <c r="N27" s="1">
        <v>6.8459659715813497E-6</v>
      </c>
      <c r="O27" s="1">
        <v>1.65955178690818E-6</v>
      </c>
      <c r="P27" s="1">
        <v>-5.7296511186690801E-6</v>
      </c>
      <c r="AE27">
        <v>100</v>
      </c>
      <c r="AJ27">
        <v>1</v>
      </c>
    </row>
    <row r="28" spans="1:36" x14ac:dyDescent="0.2">
      <c r="A28">
        <v>27</v>
      </c>
      <c r="B28">
        <v>753</v>
      </c>
      <c r="C28">
        <v>255</v>
      </c>
      <c r="D28">
        <v>0.321093894654779</v>
      </c>
      <c r="E28">
        <v>4.4755231759010599</v>
      </c>
      <c r="F28">
        <v>0.53415888227988895</v>
      </c>
      <c r="G28">
        <v>-96.990929172291715</v>
      </c>
      <c r="H28">
        <v>-56.997754023615308</v>
      </c>
      <c r="I28">
        <v>38.9765008213869</v>
      </c>
      <c r="J28">
        <v>17.446186168625399</v>
      </c>
      <c r="K28">
        <v>8.3786366273620594</v>
      </c>
      <c r="L28">
        <v>1.2780105903174939E-3</v>
      </c>
      <c r="M28">
        <v>2.1959459266514641E-4</v>
      </c>
      <c r="N28" s="1">
        <v>6.9244803691549297E-6</v>
      </c>
      <c r="O28" s="1">
        <v>1.65797514797414E-6</v>
      </c>
      <c r="P28" s="1">
        <v>-5.7423274061611003E-6</v>
      </c>
      <c r="AE28">
        <v>100</v>
      </c>
      <c r="AJ28">
        <v>1</v>
      </c>
    </row>
    <row r="29" spans="1:36" x14ac:dyDescent="0.2">
      <c r="A29">
        <v>28</v>
      </c>
      <c r="B29">
        <v>752</v>
      </c>
      <c r="C29">
        <v>255</v>
      </c>
      <c r="D29">
        <v>0.3203633614593</v>
      </c>
      <c r="E29">
        <v>4.48670813581258</v>
      </c>
      <c r="F29">
        <v>0.53484219460739701</v>
      </c>
      <c r="G29">
        <v>-97.194257720598003</v>
      </c>
      <c r="H29">
        <v>-57.157693342822228</v>
      </c>
      <c r="I29">
        <v>39.056852116945301</v>
      </c>
      <c r="J29">
        <v>17.498092129803702</v>
      </c>
      <c r="K29">
        <v>8.3888447490685802</v>
      </c>
      <c r="L29">
        <v>1.2788142928664818E-3</v>
      </c>
      <c r="M29">
        <v>2.1918938347915531E-4</v>
      </c>
      <c r="N29" s="1">
        <v>7.0033019453541903E-6</v>
      </c>
      <c r="O29" s="1">
        <v>1.65634082248362E-6</v>
      </c>
      <c r="P29" s="1">
        <v>-5.7548393262936503E-6</v>
      </c>
      <c r="AE29">
        <v>100</v>
      </c>
      <c r="AJ29">
        <v>1</v>
      </c>
    </row>
    <row r="30" spans="1:36" x14ac:dyDescent="0.2">
      <c r="A30">
        <v>29</v>
      </c>
      <c r="B30">
        <v>751</v>
      </c>
      <c r="C30">
        <v>255</v>
      </c>
      <c r="D30">
        <v>0.31963140165015202</v>
      </c>
      <c r="E30">
        <v>4.4978294916499504</v>
      </c>
      <c r="F30">
        <v>0.53552680975235101</v>
      </c>
      <c r="G30">
        <v>-97.396031324231714</v>
      </c>
      <c r="H30">
        <v>-57.316917681292153</v>
      </c>
      <c r="I30">
        <v>39.136540132961997</v>
      </c>
      <c r="J30">
        <v>17.5497780040116</v>
      </c>
      <c r="K30">
        <v>8.3988876182126493</v>
      </c>
      <c r="L30">
        <v>1.2796116363813998E-3</v>
      </c>
      <c r="M30">
        <v>2.1878317725882064E-4</v>
      </c>
      <c r="N30" s="1">
        <v>7.0824265134178804E-6</v>
      </c>
      <c r="O30" s="1">
        <v>1.65464931013783E-6</v>
      </c>
      <c r="P30" s="1">
        <v>-5.7671866949667897E-6</v>
      </c>
      <c r="AE30">
        <v>100</v>
      </c>
      <c r="AJ30">
        <v>1</v>
      </c>
    </row>
    <row r="31" spans="1:36" x14ac:dyDescent="0.2">
      <c r="A31">
        <v>30</v>
      </c>
      <c r="B31">
        <v>750</v>
      </c>
      <c r="C31">
        <v>255</v>
      </c>
      <c r="D31">
        <v>0.31889801104432502</v>
      </c>
      <c r="E31">
        <v>4.5088877344975202</v>
      </c>
      <c r="F31">
        <v>0.53621272705675704</v>
      </c>
      <c r="G31">
        <v>-97.59626242533713</v>
      </c>
      <c r="H31">
        <v>-57.475432602822714</v>
      </c>
      <c r="I31">
        <v>39.215569647611296</v>
      </c>
      <c r="J31">
        <v>17.601244978338801</v>
      </c>
      <c r="K31">
        <v>8.4087667207127907</v>
      </c>
      <c r="L31">
        <v>1.2804025736697035E-3</v>
      </c>
      <c r="M31">
        <v>2.183759784046197E-4</v>
      </c>
      <c r="N31" s="1">
        <v>7.1618498410978099E-6</v>
      </c>
      <c r="O31" s="1">
        <v>1.6529011088857001E-6</v>
      </c>
      <c r="P31" s="1">
        <v>-5.7793693284446303E-6</v>
      </c>
      <c r="AE31">
        <v>100</v>
      </c>
      <c r="AJ31">
        <v>1</v>
      </c>
    </row>
    <row r="32" spans="1:36" x14ac:dyDescent="0.2">
      <c r="A32">
        <v>31</v>
      </c>
      <c r="B32">
        <v>749</v>
      </c>
      <c r="C32">
        <v>255</v>
      </c>
      <c r="D32">
        <v>0.31816318544244998</v>
      </c>
      <c r="E32">
        <v>4.5198833502103097</v>
      </c>
      <c r="F32">
        <v>0.53689994582643397</v>
      </c>
      <c r="G32">
        <v>-97.794963334658917</v>
      </c>
      <c r="H32">
        <v>-57.633243611084225</v>
      </c>
      <c r="I32">
        <v>39.293945388035297</v>
      </c>
      <c r="J32">
        <v>17.6524942210471</v>
      </c>
      <c r="K32">
        <v>8.4184835281609001</v>
      </c>
      <c r="L32">
        <v>1.2811870576626733E-3</v>
      </c>
      <c r="M32">
        <v>2.1796779139515853E-4</v>
      </c>
      <c r="N32" s="1">
        <v>7.2415676511462901E-6</v>
      </c>
      <c r="O32" s="1">
        <v>1.6510967150053501E-6</v>
      </c>
      <c r="P32" s="1">
        <v>-5.7913870436983904E-6</v>
      </c>
      <c r="AE32">
        <v>100</v>
      </c>
      <c r="AJ32">
        <v>1</v>
      </c>
    </row>
    <row r="33" spans="1:36" x14ac:dyDescent="0.2">
      <c r="A33">
        <v>32</v>
      </c>
      <c r="B33">
        <v>748</v>
      </c>
      <c r="C33">
        <v>255</v>
      </c>
      <c r="D33">
        <v>0.31742692062870498</v>
      </c>
      <c r="E33">
        <v>4.5308168194780496</v>
      </c>
      <c r="F33">
        <v>0.537588465330889</v>
      </c>
      <c r="G33">
        <v>-97.992146233169748</v>
      </c>
      <c r="H33">
        <v>-57.79035615034298</v>
      </c>
      <c r="I33">
        <v>39.371672030979603</v>
      </c>
      <c r="J33">
        <v>17.7035268818194</v>
      </c>
      <c r="K33">
        <v>8.42803949800021</v>
      </c>
      <c r="L33">
        <v>1.281965041421023E-3</v>
      </c>
      <c r="M33">
        <v>2.1755862078722164E-4</v>
      </c>
      <c r="N33" s="1">
        <v>7.3215756216740501E-6</v>
      </c>
      <c r="O33" s="1">
        <v>1.6492366231499001E-6</v>
      </c>
      <c r="P33" s="1">
        <v>-5.8032396586302199E-6</v>
      </c>
      <c r="AE33">
        <v>100</v>
      </c>
      <c r="AJ33">
        <v>1</v>
      </c>
    </row>
    <row r="34" spans="1:36" x14ac:dyDescent="0.2">
      <c r="A34">
        <v>33</v>
      </c>
      <c r="B34">
        <v>747</v>
      </c>
      <c r="C34">
        <v>255</v>
      </c>
      <c r="D34">
        <v>0.316689212370732</v>
      </c>
      <c r="E34">
        <v>4.5416886177766296</v>
      </c>
      <c r="F34">
        <v>0.53827828480312301</v>
      </c>
      <c r="G34">
        <v>-98.187823171260888</v>
      </c>
      <c r="H34">
        <v>-57.946775604747273</v>
      </c>
      <c r="I34">
        <v>39.448754202452903</v>
      </c>
      <c r="J34">
        <v>17.754344091558</v>
      </c>
      <c r="K34">
        <v>8.4374360734945295</v>
      </c>
      <c r="L34">
        <v>1.2827364781397884E-3</v>
      </c>
      <c r="M34">
        <v>2.1714847121573477E-4</v>
      </c>
      <c r="N34" s="1">
        <v>7.4018693863372198E-6</v>
      </c>
      <c r="O34" s="1">
        <v>1.64732132635082E-6</v>
      </c>
      <c r="P34" s="1">
        <v>-5.81492699214913E-6</v>
      </c>
      <c r="AE34">
        <v>100</v>
      </c>
      <c r="AJ34">
        <v>1</v>
      </c>
    </row>
    <row r="35" spans="1:36" x14ac:dyDescent="0.2">
      <c r="A35">
        <v>34</v>
      </c>
      <c r="B35">
        <v>746</v>
      </c>
      <c r="C35">
        <v>255</v>
      </c>
      <c r="D35">
        <v>0.31595005641956603</v>
      </c>
      <c r="E35">
        <v>4.5524992156416797</v>
      </c>
      <c r="F35">
        <v>0.53896940343949995</v>
      </c>
      <c r="G35">
        <v>-98.382006074895756</v>
      </c>
      <c r="H35">
        <v>-58.102507301724238</v>
      </c>
      <c r="I35">
        <v>39.5251964801827</v>
      </c>
      <c r="J35">
        <v>17.8049469634514</v>
      </c>
      <c r="K35">
        <v>8.4466746842944005</v>
      </c>
      <c r="L35">
        <v>1.2835013211531974E-3</v>
      </c>
      <c r="M35">
        <v>2.1673734739369367E-4</v>
      </c>
      <c r="N35" s="1">
        <v>7.4824445350719004E-6</v>
      </c>
      <c r="O35" s="1">
        <v>1.64535131613715E-6</v>
      </c>
      <c r="P35" s="1">
        <v>-5.8264488646593703E-6</v>
      </c>
      <c r="AE35">
        <v>100</v>
      </c>
      <c r="AJ35">
        <v>1</v>
      </c>
    </row>
    <row r="36" spans="1:36" x14ac:dyDescent="0.2">
      <c r="A36">
        <v>35</v>
      </c>
      <c r="B36">
        <v>745</v>
      </c>
      <c r="C36">
        <v>255</v>
      </c>
      <c r="D36">
        <v>0.31520944850955201</v>
      </c>
      <c r="E36">
        <v>4.5632490784635902</v>
      </c>
      <c r="F36">
        <v>0.539661820399579</v>
      </c>
      <c r="G36">
        <v>-98.574706741411603</v>
      </c>
      <c r="H36">
        <v>-58.257556509273918</v>
      </c>
      <c r="I36">
        <v>39.601003391912698</v>
      </c>
      <c r="J36">
        <v>17.855336592168499</v>
      </c>
      <c r="K36">
        <v>8.4557567461134102</v>
      </c>
      <c r="L36">
        <v>1.2842595239402589E-3</v>
      </c>
      <c r="M36">
        <v>2.1632525411217896E-4</v>
      </c>
      <c r="N36" s="1">
        <v>7.5632966140517697E-6</v>
      </c>
      <c r="O36" s="1">
        <v>1.64332708248129E-6</v>
      </c>
      <c r="P36" s="1">
        <v>-5.8378050979391304E-6</v>
      </c>
      <c r="AE36">
        <v>100</v>
      </c>
      <c r="AJ36">
        <v>1</v>
      </c>
    </row>
    <row r="37" spans="1:36" x14ac:dyDescent="0.2">
      <c r="A37">
        <v>36</v>
      </c>
      <c r="B37">
        <v>744</v>
      </c>
      <c r="C37">
        <v>255</v>
      </c>
      <c r="D37">
        <v>0.31446738435825899</v>
      </c>
      <c r="E37">
        <v>5.2888823181607396</v>
      </c>
      <c r="F37">
        <v>0.54035553480597098</v>
      </c>
      <c r="G37">
        <v>-114.20385253865089</v>
      </c>
      <c r="H37">
        <v>-67.542185849074315</v>
      </c>
      <c r="I37">
        <v>45.8778875414772</v>
      </c>
      <c r="J37">
        <v>20.704290892845901</v>
      </c>
      <c r="K37">
        <v>9.7877822609142999</v>
      </c>
      <c r="L37">
        <v>1.2850110401293165E-3</v>
      </c>
      <c r="M37">
        <v>2.1591219624022352E-4</v>
      </c>
      <c r="N37" s="1">
        <v>8.8393060497355893E-6</v>
      </c>
      <c r="O37" s="1">
        <v>1.89778964054903E-6</v>
      </c>
      <c r="P37" s="1">
        <v>-6.7632408773633998E-6</v>
      </c>
      <c r="AE37">
        <v>100</v>
      </c>
      <c r="AJ37">
        <v>1</v>
      </c>
    </row>
    <row r="38" spans="1:36" x14ac:dyDescent="0.2">
      <c r="A38">
        <v>37</v>
      </c>
      <c r="B38">
        <v>743</v>
      </c>
      <c r="C38">
        <v>255</v>
      </c>
      <c r="D38">
        <v>0.31372385966638899</v>
      </c>
      <c r="E38">
        <v>6.6386159228051698</v>
      </c>
      <c r="F38">
        <v>0.54105054574419098</v>
      </c>
      <c r="G38">
        <v>-143.29133647568389</v>
      </c>
      <c r="H38">
        <v>-84.805084192221216</v>
      </c>
      <c r="I38">
        <v>57.560450039021198</v>
      </c>
      <c r="J38">
        <v>26.000165516228801</v>
      </c>
      <c r="K38">
        <v>12.269862723590901</v>
      </c>
      <c r="L38">
        <v>1.2857558235033378E-3</v>
      </c>
      <c r="M38">
        <v>2.1549817872475993E-4</v>
      </c>
      <c r="N38" s="1">
        <v>1.1187249017896199E-5</v>
      </c>
      <c r="O38" s="1">
        <v>2.3735002161075001E-6</v>
      </c>
      <c r="P38" s="1">
        <v>-8.4855144481841604E-6</v>
      </c>
      <c r="AE38">
        <v>100</v>
      </c>
      <c r="AJ38">
        <v>1</v>
      </c>
    </row>
    <row r="39" spans="1:36" x14ac:dyDescent="0.2">
      <c r="A39">
        <v>38</v>
      </c>
      <c r="B39">
        <v>742</v>
      </c>
      <c r="C39">
        <v>255</v>
      </c>
      <c r="D39">
        <v>0.31297887011771702</v>
      </c>
      <c r="E39">
        <v>8.2764865010546593</v>
      </c>
      <c r="F39">
        <v>0.54174685226250696</v>
      </c>
      <c r="G39">
        <v>-178.57224058332548</v>
      </c>
      <c r="H39">
        <v>-105.76050530733272</v>
      </c>
      <c r="I39">
        <v>71.7297656403518</v>
      </c>
      <c r="J39">
        <v>32.429944730657198</v>
      </c>
      <c r="K39">
        <v>15.2774057966177</v>
      </c>
      <c r="L39">
        <v>1.2864938280053803E-3</v>
      </c>
      <c r="M39">
        <v>2.1508320659058904E-4</v>
      </c>
      <c r="N39" s="1">
        <v>1.4062341998724E-5</v>
      </c>
      <c r="O39" s="1">
        <v>2.9483464947623302E-6</v>
      </c>
      <c r="P39" s="1">
        <v>-1.05742711947605E-5</v>
      </c>
      <c r="AE39">
        <v>100</v>
      </c>
      <c r="AJ39">
        <v>1</v>
      </c>
    </row>
    <row r="40" spans="1:36" x14ac:dyDescent="0.2">
      <c r="A40">
        <v>39</v>
      </c>
      <c r="B40">
        <v>741</v>
      </c>
      <c r="C40">
        <v>255</v>
      </c>
      <c r="D40">
        <v>0.31223241137898899</v>
      </c>
      <c r="E40">
        <v>9.78517887507879</v>
      </c>
      <c r="F40">
        <v>0.54244445337179503</v>
      </c>
      <c r="G40">
        <v>-211.03877639326788</v>
      </c>
      <c r="H40">
        <v>-125.07757592001322</v>
      </c>
      <c r="I40">
        <v>84.767342260499703</v>
      </c>
      <c r="J40">
        <v>38.359249710966601</v>
      </c>
      <c r="K40">
        <v>18.0390431024869</v>
      </c>
      <c r="L40">
        <v>1.2872250077430357E-3</v>
      </c>
      <c r="M40">
        <v>2.1466728494018677E-4</v>
      </c>
      <c r="N40" s="1">
        <v>1.6761808864969102E-5</v>
      </c>
      <c r="O40" s="1">
        <v>3.4730836989545602E-6</v>
      </c>
      <c r="P40" s="1">
        <v>-1.24960020740515E-5</v>
      </c>
      <c r="AE40">
        <v>100</v>
      </c>
      <c r="AJ40">
        <v>1</v>
      </c>
    </row>
    <row r="41" spans="1:36" x14ac:dyDescent="0.2">
      <c r="A41">
        <v>40</v>
      </c>
      <c r="B41">
        <v>740</v>
      </c>
      <c r="C41">
        <v>255</v>
      </c>
      <c r="D41">
        <v>0.31148447909983901</v>
      </c>
      <c r="E41">
        <v>10.2186113899456</v>
      </c>
      <c r="F41">
        <v>0.54314334804540298</v>
      </c>
      <c r="G41">
        <v>-220.29819388190774</v>
      </c>
      <c r="H41">
        <v>-130.6579294163117</v>
      </c>
      <c r="I41">
        <v>88.482566433921903</v>
      </c>
      <c r="J41">
        <v>40.076875823599501</v>
      </c>
      <c r="K41">
        <v>18.8138387899237</v>
      </c>
      <c r="L41">
        <v>1.2879493169939192E-3</v>
      </c>
      <c r="M41">
        <v>2.1425041895364164E-4</v>
      </c>
      <c r="N41" s="1">
        <v>1.76465272557241E-5</v>
      </c>
      <c r="O41" s="1">
        <v>3.6136451711206502E-6</v>
      </c>
      <c r="P41" s="1">
        <v>-1.3043259836481801E-5</v>
      </c>
      <c r="AE41">
        <v>100</v>
      </c>
      <c r="AJ41">
        <v>1</v>
      </c>
    </row>
    <row r="42" spans="1:36" x14ac:dyDescent="0.2">
      <c r="A42">
        <v>41</v>
      </c>
      <c r="B42">
        <v>757</v>
      </c>
      <c r="C42">
        <v>235</v>
      </c>
      <c r="D42">
        <v>0.34535795757899301</v>
      </c>
      <c r="E42">
        <v>4.7594716411558897</v>
      </c>
      <c r="F42">
        <v>0.50678156046789502</v>
      </c>
      <c r="G42">
        <v>-103.49377204581272</v>
      </c>
      <c r="H42">
        <v>-60.474453370441303</v>
      </c>
      <c r="I42">
        <v>41.7628911685769</v>
      </c>
      <c r="J42">
        <v>18.666348404535199</v>
      </c>
      <c r="K42">
        <v>9.3915643591325999</v>
      </c>
      <c r="L42">
        <v>1.3600194876367279E-3</v>
      </c>
      <c r="M42">
        <v>2.5524045675653169E-4</v>
      </c>
      <c r="N42" s="1">
        <v>7.2689891686418196E-6</v>
      </c>
      <c r="O42" s="1">
        <v>2.4131374292817299E-6</v>
      </c>
      <c r="P42" s="1">
        <v>-7.5130433112349703E-6</v>
      </c>
      <c r="AE42">
        <v>100</v>
      </c>
      <c r="AJ42">
        <v>1</v>
      </c>
    </row>
    <row r="43" spans="1:36" x14ac:dyDescent="0.2">
      <c r="A43">
        <v>42</v>
      </c>
      <c r="B43">
        <v>756</v>
      </c>
      <c r="C43">
        <v>235</v>
      </c>
      <c r="D43">
        <v>0.344653840548026</v>
      </c>
      <c r="E43">
        <v>4.7645200895967301</v>
      </c>
      <c r="F43">
        <v>0.50747153451353499</v>
      </c>
      <c r="G43">
        <v>-103.56175144584472</v>
      </c>
      <c r="H43">
        <v>-60.557290867640205</v>
      </c>
      <c r="I43">
        <v>41.789036709104401</v>
      </c>
      <c r="J43">
        <v>18.696385400896901</v>
      </c>
      <c r="K43">
        <v>9.3887435364508107</v>
      </c>
      <c r="L43">
        <v>1.3610916946776735E-3</v>
      </c>
      <c r="M43">
        <v>2.5478688722703084E-4</v>
      </c>
      <c r="N43" s="1">
        <v>7.3591734027120198E-6</v>
      </c>
      <c r="O43" s="1">
        <v>2.4077015352100701E-6</v>
      </c>
      <c r="P43" s="1">
        <v>-7.5211435461422E-6</v>
      </c>
      <c r="AE43">
        <v>100</v>
      </c>
      <c r="AJ43">
        <v>1</v>
      </c>
    </row>
    <row r="44" spans="1:36" x14ac:dyDescent="0.2">
      <c r="A44">
        <v>43</v>
      </c>
      <c r="B44">
        <v>755</v>
      </c>
      <c r="C44">
        <v>235</v>
      </c>
      <c r="D44">
        <v>0.34394835383941902</v>
      </c>
      <c r="E44">
        <v>4.7752759392691502</v>
      </c>
      <c r="F44">
        <v>0.50816299103810403</v>
      </c>
      <c r="G44">
        <v>-103.75366665019105</v>
      </c>
      <c r="H44">
        <v>-60.712741977254893</v>
      </c>
      <c r="I44">
        <v>41.865153313294797</v>
      </c>
      <c r="J44">
        <v>18.748840180506001</v>
      </c>
      <c r="K44">
        <v>9.3971344302621294</v>
      </c>
      <c r="L44">
        <v>1.3621569476059765E-3</v>
      </c>
      <c r="M44">
        <v>2.5433187270120042E-4</v>
      </c>
      <c r="N44" s="1">
        <v>7.4586753711730903E-6</v>
      </c>
      <c r="O44" s="1">
        <v>2.4051106736135099E-6</v>
      </c>
      <c r="P44" s="1">
        <v>-7.5381532529393997E-6</v>
      </c>
      <c r="AE44">
        <v>100</v>
      </c>
      <c r="AJ44">
        <v>1</v>
      </c>
    </row>
    <row r="45" spans="1:36" x14ac:dyDescent="0.2">
      <c r="A45">
        <v>44</v>
      </c>
      <c r="B45">
        <v>754</v>
      </c>
      <c r="C45">
        <v>235</v>
      </c>
      <c r="D45">
        <v>0.34324149345275801</v>
      </c>
      <c r="E45">
        <v>4.78597384807229</v>
      </c>
      <c r="F45">
        <v>0.50885592998479501</v>
      </c>
      <c r="G45">
        <v>-103.94415310708263</v>
      </c>
      <c r="H45">
        <v>-60.867550901917113</v>
      </c>
      <c r="I45">
        <v>41.940652322731601</v>
      </c>
      <c r="J45">
        <v>18.8011005963698</v>
      </c>
      <c r="K45">
        <v>9.4053612546390006</v>
      </c>
      <c r="L45">
        <v>1.3632151792697114E-3</v>
      </c>
      <c r="M45">
        <v>2.5387541684712646E-4</v>
      </c>
      <c r="N45" s="1">
        <v>7.5586840629305302E-6</v>
      </c>
      <c r="O45" s="1">
        <v>2.4024420451102498E-6</v>
      </c>
      <c r="P45" s="1">
        <v>-7.5549701146217301E-6</v>
      </c>
      <c r="AE45">
        <v>100</v>
      </c>
      <c r="AJ45">
        <v>1</v>
      </c>
    </row>
    <row r="46" spans="1:36" x14ac:dyDescent="0.2">
      <c r="A46">
        <v>45</v>
      </c>
      <c r="B46">
        <v>753</v>
      </c>
      <c r="C46">
        <v>235</v>
      </c>
      <c r="D46">
        <v>0.342533255372025</v>
      </c>
      <c r="E46">
        <v>4.7966142837201504</v>
      </c>
      <c r="F46">
        <v>0.50955035125273895</v>
      </c>
      <c r="G46">
        <v>-104.13322264444804</v>
      </c>
      <c r="H46">
        <v>-61.021722964848479</v>
      </c>
      <c r="I46">
        <v>42.015538271050502</v>
      </c>
      <c r="J46">
        <v>18.853167645350801</v>
      </c>
      <c r="K46">
        <v>9.4134255268936293</v>
      </c>
      <c r="L46">
        <v>1.3642663225760889E-3</v>
      </c>
      <c r="M46">
        <v>2.5341752345273529E-4</v>
      </c>
      <c r="N46" s="1">
        <v>7.6591943236547007E-6</v>
      </c>
      <c r="O46" s="1">
        <v>2.3996962207521E-6</v>
      </c>
      <c r="P46" s="1">
        <v>-7.5715934143876799E-6</v>
      </c>
      <c r="AE46">
        <v>100</v>
      </c>
      <c r="AJ46">
        <v>1</v>
      </c>
    </row>
    <row r="47" spans="1:36" x14ac:dyDescent="0.2">
      <c r="A47">
        <v>46</v>
      </c>
      <c r="B47">
        <v>752</v>
      </c>
      <c r="C47">
        <v>235</v>
      </c>
      <c r="D47">
        <v>0.34182363556552797</v>
      </c>
      <c r="E47">
        <v>4.8071977092412101</v>
      </c>
      <c r="F47">
        <v>0.51024625469670704</v>
      </c>
      <c r="G47">
        <v>-104.32088697111021</v>
      </c>
      <c r="H47">
        <v>-61.175263435753841</v>
      </c>
      <c r="I47">
        <v>42.089815645594598</v>
      </c>
      <c r="J47">
        <v>18.905042306377698</v>
      </c>
      <c r="K47">
        <v>9.4213287505630703</v>
      </c>
      <c r="L47">
        <v>1.3653103104994482E-3</v>
      </c>
      <c r="M47">
        <v>2.5295819642620789E-4</v>
      </c>
      <c r="N47" s="1">
        <v>7.7602009113715496E-6</v>
      </c>
      <c r="O47" s="1">
        <v>2.39687377077249E-6</v>
      </c>
      <c r="P47" s="1">
        <v>-7.5880224344360304E-6</v>
      </c>
      <c r="AE47">
        <v>100</v>
      </c>
      <c r="AJ47">
        <v>1</v>
      </c>
    </row>
    <row r="48" spans="1:36" x14ac:dyDescent="0.2">
      <c r="A48">
        <v>47</v>
      </c>
      <c r="B48">
        <v>751</v>
      </c>
      <c r="C48">
        <v>235</v>
      </c>
      <c r="D48">
        <v>0.34111262998584302</v>
      </c>
      <c r="E48">
        <v>4.8177245831519802</v>
      </c>
      <c r="F48">
        <v>0.51094364012685101</v>
      </c>
      <c r="G48">
        <v>-104.50715768077187</v>
      </c>
      <c r="H48">
        <v>-61.328177532944324</v>
      </c>
      <c r="I48">
        <v>42.163488889006601</v>
      </c>
      <c r="J48">
        <v>18.956725541132801</v>
      </c>
      <c r="K48">
        <v>9.4290724158067594</v>
      </c>
      <c r="L48">
        <v>1.3663470760897451E-3</v>
      </c>
      <c r="M48">
        <v>2.5249743979648435E-4</v>
      </c>
      <c r="N48" s="1">
        <v>7.8616984968820299E-6</v>
      </c>
      <c r="O48" s="1">
        <v>2.3939752647180501E-6</v>
      </c>
      <c r="P48" s="1">
        <v>-7.6042564565108902E-6</v>
      </c>
      <c r="AE48">
        <v>100</v>
      </c>
      <c r="AJ48">
        <v>1</v>
      </c>
    </row>
    <row r="49" spans="1:36" x14ac:dyDescent="0.2">
      <c r="A49">
        <v>48</v>
      </c>
      <c r="B49">
        <v>750</v>
      </c>
      <c r="C49">
        <v>235</v>
      </c>
      <c r="D49">
        <v>0.34040023456971302</v>
      </c>
      <c r="E49">
        <v>4.8281953593719802</v>
      </c>
      <c r="F49">
        <v>0.51164250730841698</v>
      </c>
      <c r="G49">
        <v>-104.69204625038388</v>
      </c>
      <c r="H49">
        <v>-61.480470422173475</v>
      </c>
      <c r="I49">
        <v>42.236562398553602</v>
      </c>
      <c r="J49">
        <v>19.008218293727101</v>
      </c>
      <c r="K49">
        <v>9.4366579992962798</v>
      </c>
      <c r="L49">
        <v>1.3673765524807081E-3</v>
      </c>
      <c r="M49">
        <v>2.520352577136376E-4</v>
      </c>
      <c r="N49" s="1">
        <v>7.9636816637731807E-6</v>
      </c>
      <c r="O49" s="1">
        <v>2.3910012714475999E-6</v>
      </c>
      <c r="P49" s="1">
        <v>-7.6202947620330199E-6</v>
      </c>
      <c r="AE49">
        <v>100</v>
      </c>
      <c r="AJ49">
        <v>1</v>
      </c>
    </row>
    <row r="50" spans="1:36" x14ac:dyDescent="0.2">
      <c r="A50">
        <v>49</v>
      </c>
      <c r="B50">
        <v>749</v>
      </c>
      <c r="C50">
        <v>235</v>
      </c>
      <c r="D50">
        <v>0.33968644523797997</v>
      </c>
      <c r="E50">
        <v>4.8386104875584799</v>
      </c>
      <c r="F50">
        <v>0.51234285596148199</v>
      </c>
      <c r="G50">
        <v>-104.87556404761642</v>
      </c>
      <c r="H50">
        <v>-61.632147220815511</v>
      </c>
      <c r="I50">
        <v>42.309040529126399</v>
      </c>
      <c r="J50">
        <v>19.0595214920274</v>
      </c>
      <c r="K50">
        <v>9.4440869649253898</v>
      </c>
      <c r="L50">
        <v>1.368398672898335E-3</v>
      </c>
      <c r="M50">
        <v>2.5157165444931909E-4</v>
      </c>
      <c r="N50" s="1">
        <v>8.0661449091738907E-6</v>
      </c>
      <c r="O50" s="1">
        <v>2.3879523593404398E-6</v>
      </c>
      <c r="P50" s="1">
        <v>-7.6361366329034601E-6</v>
      </c>
      <c r="AE50">
        <v>100</v>
      </c>
      <c r="AJ50">
        <v>1</v>
      </c>
    </row>
    <row r="51" spans="1:36" x14ac:dyDescent="0.2">
      <c r="A51">
        <v>50</v>
      </c>
      <c r="B51">
        <v>748</v>
      </c>
      <c r="C51">
        <v>235</v>
      </c>
      <c r="D51">
        <v>0.33897125789551102</v>
      </c>
      <c r="E51">
        <v>4.8489704127467004</v>
      </c>
      <c r="F51">
        <v>0.51304468576070095</v>
      </c>
      <c r="G51">
        <v>-105.05772232326386</v>
      </c>
      <c r="H51">
        <v>-61.783212993203968</v>
      </c>
      <c r="I51">
        <v>42.380927590159096</v>
      </c>
      <c r="J51">
        <v>19.110636046254701</v>
      </c>
      <c r="K51">
        <v>9.4513607631604906</v>
      </c>
      <c r="L51">
        <v>1.3694133706692495E-3</v>
      </c>
      <c r="M51">
        <v>2.5110663439711011E-4</v>
      </c>
      <c r="N51" s="1">
        <v>8.1690826433755694E-6</v>
      </c>
      <c r="O51" s="1">
        <v>2.3848290961571201E-6</v>
      </c>
      <c r="P51" s="1">
        <v>-7.6517813512050997E-6</v>
      </c>
      <c r="AE51">
        <v>100</v>
      </c>
      <c r="AJ51">
        <v>1</v>
      </c>
    </row>
    <row r="52" spans="1:36" x14ac:dyDescent="0.2">
      <c r="A52">
        <v>51</v>
      </c>
      <c r="B52">
        <v>747</v>
      </c>
      <c r="C52">
        <v>235</v>
      </c>
      <c r="D52">
        <v>0.33825466843111501</v>
      </c>
      <c r="E52">
        <v>6.17368729756185</v>
      </c>
      <c r="F52">
        <v>0.51374799633502</v>
      </c>
      <c r="G52">
        <v>-133.70507176497821</v>
      </c>
      <c r="H52">
        <v>-78.686446739311805</v>
      </c>
      <c r="I52">
        <v>53.935360475073097</v>
      </c>
      <c r="J52">
        <v>24.3446775816399</v>
      </c>
      <c r="K52">
        <v>12.0169564486942</v>
      </c>
      <c r="L52">
        <v>1.3704205792291766E-3</v>
      </c>
      <c r="M52">
        <v>2.5064020207291347E-4</v>
      </c>
      <c r="N52" s="1">
        <v>1.0510159516583E-5</v>
      </c>
      <c r="O52" s="1">
        <v>3.0258525784101201E-6</v>
      </c>
      <c r="P52" s="1">
        <v>-9.7411782082831493E-6</v>
      </c>
      <c r="AE52">
        <v>100</v>
      </c>
      <c r="AJ52">
        <v>1</v>
      </c>
    </row>
    <row r="53" spans="1:36" x14ac:dyDescent="0.2">
      <c r="A53">
        <v>52</v>
      </c>
      <c r="B53">
        <v>746</v>
      </c>
      <c r="C53">
        <v>235</v>
      </c>
      <c r="D53">
        <v>0.33753667271746202</v>
      </c>
      <c r="E53">
        <v>7.2050276249554797</v>
      </c>
      <c r="F53">
        <v>0.51445278726744403</v>
      </c>
      <c r="G53">
        <v>-155.97813259746709</v>
      </c>
      <c r="H53">
        <v>-91.859766513029967</v>
      </c>
      <c r="I53">
        <v>62.917616880423402</v>
      </c>
      <c r="J53">
        <v>28.426824406776401</v>
      </c>
      <c r="K53">
        <v>14.0052261417914</v>
      </c>
      <c r="L53">
        <v>1.3714202321314193E-3</v>
      </c>
      <c r="M53">
        <v>2.501723621152808E-4</v>
      </c>
      <c r="N53" s="1">
        <v>1.23937917896559E-5</v>
      </c>
      <c r="O53" s="1">
        <v>3.5190613859389901E-6</v>
      </c>
      <c r="P53" s="1">
        <v>-1.1367112621626E-5</v>
      </c>
      <c r="AE53">
        <v>100</v>
      </c>
      <c r="AJ53">
        <v>1</v>
      </c>
    </row>
    <row r="54" spans="1:36" x14ac:dyDescent="0.2">
      <c r="A54">
        <v>53</v>
      </c>
      <c r="B54">
        <v>745</v>
      </c>
      <c r="C54">
        <v>235</v>
      </c>
      <c r="D54">
        <v>0.33681726661101002</v>
      </c>
      <c r="E54">
        <v>9.0036563233083307</v>
      </c>
      <c r="F54">
        <v>0.51515905809475904</v>
      </c>
      <c r="G54">
        <v>-194.83716232111098</v>
      </c>
      <c r="H54">
        <v>-114.82673275936294</v>
      </c>
      <c r="I54">
        <v>78.589188240223905</v>
      </c>
      <c r="J54">
        <v>35.542207802333898</v>
      </c>
      <c r="K54">
        <v>17.477429896325599</v>
      </c>
      <c r="L54">
        <v>1.3724122630553472E-3</v>
      </c>
      <c r="M54">
        <v>2.497031192857262E-4</v>
      </c>
      <c r="N54" s="1">
        <v>1.5647849865532401E-5</v>
      </c>
      <c r="O54" s="1">
        <v>4.3821856530010398E-6</v>
      </c>
      <c r="P54" s="1">
        <v>-1.42028284048524E-5</v>
      </c>
      <c r="AE54">
        <v>100</v>
      </c>
      <c r="AJ54">
        <v>1</v>
      </c>
    </row>
    <row r="55" spans="1:36" x14ac:dyDescent="0.2">
      <c r="A55">
        <v>54</v>
      </c>
      <c r="B55">
        <v>744</v>
      </c>
      <c r="C55">
        <v>235</v>
      </c>
      <c r="D55">
        <v>0.336096445951927</v>
      </c>
      <c r="E55">
        <v>10.017416058014801</v>
      </c>
      <c r="F55">
        <v>0.51586680830729004</v>
      </c>
      <c r="G55">
        <v>-216.68728378960938</v>
      </c>
      <c r="H55">
        <v>-127.79511474747062</v>
      </c>
      <c r="I55">
        <v>87.399008624831097</v>
      </c>
      <c r="J55">
        <v>39.565211359672197</v>
      </c>
      <c r="K55">
        <v>19.418609409829799</v>
      </c>
      <c r="L55">
        <v>1.3733966058151006E-3</v>
      </c>
      <c r="M55">
        <v>2.4923247846905295E-4</v>
      </c>
      <c r="N55" s="1">
        <v>1.7588242081559298E-5</v>
      </c>
      <c r="O55" s="1">
        <v>4.85848460463484E-6</v>
      </c>
      <c r="P55" s="1">
        <v>-1.57996251405635E-5</v>
      </c>
      <c r="AE55">
        <v>100</v>
      </c>
      <c r="AJ55">
        <v>1</v>
      </c>
    </row>
    <row r="56" spans="1:36" x14ac:dyDescent="0.2">
      <c r="A56">
        <v>55</v>
      </c>
      <c r="B56">
        <v>743</v>
      </c>
      <c r="C56">
        <v>235</v>
      </c>
      <c r="D56">
        <v>0.33537420656399403</v>
      </c>
      <c r="E56">
        <v>10.3108408177094</v>
      </c>
      <c r="F56">
        <v>0.51657603734864999</v>
      </c>
      <c r="G56">
        <v>-222.94443205856848</v>
      </c>
      <c r="H56">
        <v>-131.57915547476401</v>
      </c>
      <c r="I56">
        <v>89.918985464821603</v>
      </c>
      <c r="J56">
        <v>40.745873053162299</v>
      </c>
      <c r="K56">
        <v>19.959967308259699</v>
      </c>
      <c r="L56">
        <v>1.3743731943679214E-3</v>
      </c>
      <c r="M56">
        <v>2.4876044467360084E-4</v>
      </c>
      <c r="N56" s="1">
        <v>1.8287565652859099E-5</v>
      </c>
      <c r="O56" s="1">
        <v>4.9831620522620601E-6</v>
      </c>
      <c r="P56" s="1">
        <v>-1.6259754066516299E-5</v>
      </c>
      <c r="AE56">
        <v>100</v>
      </c>
      <c r="AJ56">
        <v>1</v>
      </c>
    </row>
    <row r="57" spans="1:36" x14ac:dyDescent="0.2">
      <c r="A57">
        <v>56</v>
      </c>
      <c r="B57">
        <v>757</v>
      </c>
      <c r="C57">
        <v>215</v>
      </c>
      <c r="D57">
        <v>0.36671407076639501</v>
      </c>
      <c r="E57">
        <v>5.0799296870271196</v>
      </c>
      <c r="F57">
        <v>0.47955072945348198</v>
      </c>
      <c r="G57">
        <v>-110.66803683160026</v>
      </c>
      <c r="H57">
        <v>-64.453552093768536</v>
      </c>
      <c r="I57">
        <v>44.864720463565497</v>
      </c>
      <c r="J57">
        <v>20.080376823946601</v>
      </c>
      <c r="K57">
        <v>10.5931017826131</v>
      </c>
      <c r="L57">
        <v>1.4559824446835829E-3</v>
      </c>
      <c r="M57">
        <v>2.989402771591835E-4</v>
      </c>
      <c r="N57" s="1">
        <v>7.3737638728596604E-6</v>
      </c>
      <c r="O57" s="1">
        <v>3.5760066409332699E-6</v>
      </c>
      <c r="P57" s="1">
        <v>-9.9763140419354099E-6</v>
      </c>
      <c r="AE57">
        <v>100</v>
      </c>
      <c r="AJ57">
        <v>1</v>
      </c>
    </row>
    <row r="58" spans="1:36" x14ac:dyDescent="0.2">
      <c r="A58">
        <v>57</v>
      </c>
      <c r="B58">
        <v>756</v>
      </c>
      <c r="C58">
        <v>215</v>
      </c>
      <c r="D58">
        <v>0.36603070495068801</v>
      </c>
      <c r="E58">
        <v>5.0867347292742497</v>
      </c>
      <c r="F58">
        <v>0.48024979673423501</v>
      </c>
      <c r="G58">
        <v>-110.77137198982332</v>
      </c>
      <c r="H58">
        <v>-64.560007362043578</v>
      </c>
      <c r="I58">
        <v>44.905286469176602</v>
      </c>
      <c r="J58">
        <v>20.120102662568801</v>
      </c>
      <c r="K58">
        <v>10.591851915117401</v>
      </c>
      <c r="L58">
        <v>1.4574025249480169E-3</v>
      </c>
      <c r="M58">
        <v>2.9843272030909059E-4</v>
      </c>
      <c r="N58" s="1">
        <v>7.4955507467506098E-6</v>
      </c>
      <c r="O58" s="1">
        <v>3.5695917677150199E-6</v>
      </c>
      <c r="P58" s="1">
        <v>-9.9937014941580303E-6</v>
      </c>
      <c r="AE58">
        <v>100</v>
      </c>
      <c r="AJ58">
        <v>1</v>
      </c>
    </row>
    <row r="59" spans="1:36" x14ac:dyDescent="0.2">
      <c r="A59">
        <v>58</v>
      </c>
      <c r="B59">
        <v>755</v>
      </c>
      <c r="C59">
        <v>215</v>
      </c>
      <c r="D59">
        <v>0.36534600982346799</v>
      </c>
      <c r="E59">
        <v>5.0967767411432998</v>
      </c>
      <c r="F59">
        <v>0.48095056427386801</v>
      </c>
      <c r="G59">
        <v>-110.94506790831215</v>
      </c>
      <c r="H59">
        <v>-64.70762518298028</v>
      </c>
      <c r="I59">
        <v>44.974331969032797</v>
      </c>
      <c r="J59">
        <v>20.172664348690201</v>
      </c>
      <c r="K59">
        <v>10.597298599365001</v>
      </c>
      <c r="L59">
        <v>1.4588151140113932E-3</v>
      </c>
      <c r="M59">
        <v>2.9792309618794705E-4</v>
      </c>
      <c r="N59" s="1">
        <v>7.6229567449122302E-6</v>
      </c>
      <c r="O59" s="1">
        <v>3.5653848366042401E-6</v>
      </c>
      <c r="P59" s="1">
        <v>-1.0017329841633199E-5</v>
      </c>
      <c r="AE59">
        <v>100</v>
      </c>
      <c r="AJ59">
        <v>1</v>
      </c>
    </row>
    <row r="60" spans="1:36" x14ac:dyDescent="0.2">
      <c r="A60">
        <v>59</v>
      </c>
      <c r="B60">
        <v>754</v>
      </c>
      <c r="C60">
        <v>215</v>
      </c>
      <c r="D60">
        <v>0.36465998150221401</v>
      </c>
      <c r="E60">
        <v>5.1067675967781803</v>
      </c>
      <c r="F60">
        <v>0.48165303290848699</v>
      </c>
      <c r="G60">
        <v>-111.11749312242054</v>
      </c>
      <c r="H60">
        <v>-64.854685659608876</v>
      </c>
      <c r="I60">
        <v>45.042817377035398</v>
      </c>
      <c r="J60">
        <v>20.225063320589999</v>
      </c>
      <c r="K60">
        <v>10.6025857782742</v>
      </c>
      <c r="L60">
        <v>1.460220115512193E-3</v>
      </c>
      <c r="M60">
        <v>2.9741140619924419E-4</v>
      </c>
      <c r="N60" s="1">
        <v>7.7512029043509198E-6</v>
      </c>
      <c r="O60" s="1">
        <v>3.56107146469955E-6</v>
      </c>
      <c r="P60" s="1">
        <v>-1.0040739161213801E-5</v>
      </c>
      <c r="AE60">
        <v>100</v>
      </c>
      <c r="AJ60">
        <v>1</v>
      </c>
    </row>
    <row r="61" spans="1:36" x14ac:dyDescent="0.2">
      <c r="A61">
        <v>60</v>
      </c>
      <c r="B61">
        <v>753</v>
      </c>
      <c r="C61">
        <v>215</v>
      </c>
      <c r="D61">
        <v>0.36397261608926701</v>
      </c>
      <c r="E61">
        <v>5.1412625660504299</v>
      </c>
      <c r="F61">
        <v>0.48235720342023503</v>
      </c>
      <c r="G61">
        <v>-111.82272752673892</v>
      </c>
      <c r="H61">
        <v>-65.313131384694032</v>
      </c>
      <c r="I61">
        <v>45.327231192510702</v>
      </c>
      <c r="J61">
        <v>20.374610108196801</v>
      </c>
      <c r="K61">
        <v>10.658620892557201</v>
      </c>
      <c r="L61">
        <v>1.4616174329603194E-3</v>
      </c>
      <c r="M61">
        <v>2.9689765192114534E-4</v>
      </c>
      <c r="N61" s="1">
        <v>7.9181007144361596E-6</v>
      </c>
      <c r="O61" s="1">
        <v>3.5737204519476401E-6</v>
      </c>
      <c r="P61" s="1">
        <v>-1.011222413678E-5</v>
      </c>
      <c r="AE61">
        <v>100</v>
      </c>
      <c r="AJ61">
        <v>1</v>
      </c>
    </row>
    <row r="62" spans="1:36" x14ac:dyDescent="0.2">
      <c r="A62">
        <v>61</v>
      </c>
      <c r="B62">
        <v>752</v>
      </c>
      <c r="C62">
        <v>215</v>
      </c>
      <c r="D62">
        <v>0.363283909671757</v>
      </c>
      <c r="E62">
        <v>5.3003225508482901</v>
      </c>
      <c r="F62">
        <v>0.48306307653678698</v>
      </c>
      <c r="G62">
        <v>-115.23557112645837</v>
      </c>
      <c r="H62">
        <v>-67.354795625719859</v>
      </c>
      <c r="I62">
        <v>46.709075423868804</v>
      </c>
      <c r="J62">
        <v>21.018277480765999</v>
      </c>
      <c r="K62">
        <v>10.9723197824345</v>
      </c>
      <c r="L62">
        <v>1.4630069697494129E-3</v>
      </c>
      <c r="M62">
        <v>2.9638183510798241E-4</v>
      </c>
      <c r="N62" s="1">
        <v>8.2816344467716193E-6</v>
      </c>
      <c r="O62" s="1">
        <v>3.6724987139805201E-6</v>
      </c>
      <c r="P62" s="1">
        <v>-1.04287087294651E-5</v>
      </c>
      <c r="AE62">
        <v>100</v>
      </c>
      <c r="AJ62">
        <v>1</v>
      </c>
    </row>
    <row r="63" spans="1:36" x14ac:dyDescent="0.2">
      <c r="A63">
        <v>62</v>
      </c>
      <c r="B63">
        <v>751</v>
      </c>
      <c r="C63">
        <v>215</v>
      </c>
      <c r="D63">
        <v>0.36259385832153801</v>
      </c>
      <c r="E63">
        <v>5.9478004288011199</v>
      </c>
      <c r="F63">
        <v>0.48377065293088001</v>
      </c>
      <c r="G63">
        <v>-129.26013795068221</v>
      </c>
      <c r="H63">
        <v>-75.606329720200691</v>
      </c>
      <c r="I63">
        <v>52.391946421055103</v>
      </c>
      <c r="J63">
        <v>23.6007644426228</v>
      </c>
      <c r="K63">
        <v>12.29466978364</v>
      </c>
      <c r="L63">
        <v>1.4643886291698998E-3</v>
      </c>
      <c r="M63">
        <v>2.9586395769182205E-4</v>
      </c>
      <c r="N63" s="1">
        <v>9.42688372453605E-6</v>
      </c>
      <c r="O63" s="1">
        <v>4.1078692951440703E-6</v>
      </c>
      <c r="P63" s="1">
        <v>-1.17065769300588E-5</v>
      </c>
      <c r="AE63">
        <v>100</v>
      </c>
      <c r="AJ63">
        <v>1</v>
      </c>
    </row>
    <row r="64" spans="1:36" x14ac:dyDescent="0.2">
      <c r="A64">
        <v>63</v>
      </c>
      <c r="B64">
        <v>750</v>
      </c>
      <c r="C64">
        <v>215</v>
      </c>
      <c r="D64">
        <v>0.36190245809509802</v>
      </c>
      <c r="E64">
        <v>7.0944012892273296</v>
      </c>
      <c r="F64">
        <v>0.48447993321983401</v>
      </c>
      <c r="G64">
        <v>-154.11607914389467</v>
      </c>
      <c r="H64">
        <v>-90.209672580607986</v>
      </c>
      <c r="I64">
        <v>62.464415203391901</v>
      </c>
      <c r="J64">
        <v>28.168248521416199</v>
      </c>
      <c r="K64">
        <v>14.6433336094608</v>
      </c>
      <c r="L64">
        <v>1.4657623144217514E-3</v>
      </c>
      <c r="M64">
        <v>2.953440217839206E-4</v>
      </c>
      <c r="N64" s="1">
        <v>1.1404129833915299E-5</v>
      </c>
      <c r="O64" s="1">
        <v>4.8839265805432202E-6</v>
      </c>
      <c r="P64" s="1">
        <v>-1.3967815277709399E-5</v>
      </c>
      <c r="AE64">
        <v>100</v>
      </c>
      <c r="AJ64">
        <v>1</v>
      </c>
    </row>
    <row r="65" spans="1:36" x14ac:dyDescent="0.2">
      <c r="A65">
        <v>64</v>
      </c>
      <c r="B65">
        <v>749</v>
      </c>
      <c r="C65">
        <v>215</v>
      </c>
      <c r="D65">
        <v>0.36120970503350902</v>
      </c>
      <c r="E65">
        <v>8.5141863274652998</v>
      </c>
      <c r="F65">
        <v>0.48519091796507702</v>
      </c>
      <c r="G65">
        <v>-184.88400134283853</v>
      </c>
      <c r="H65">
        <v>-108.29692809356661</v>
      </c>
      <c r="I65">
        <v>74.932197416738603</v>
      </c>
      <c r="J65">
        <v>33.826821694195097</v>
      </c>
      <c r="K65">
        <v>17.548115622556001</v>
      </c>
      <c r="L65">
        <v>1.4671279286276315E-3</v>
      </c>
      <c r="M65">
        <v>2.9482202967621974E-4</v>
      </c>
      <c r="N65" s="1">
        <v>1.38791202532176E-5</v>
      </c>
      <c r="O65" s="1">
        <v>5.84227372503167E-6</v>
      </c>
      <c r="P65" s="1">
        <v>-1.6768295471979999E-5</v>
      </c>
      <c r="AE65">
        <v>100</v>
      </c>
      <c r="AJ65">
        <v>1</v>
      </c>
    </row>
    <row r="66" spans="1:36" x14ac:dyDescent="0.2">
      <c r="A66">
        <v>65</v>
      </c>
      <c r="B66">
        <v>748</v>
      </c>
      <c r="C66">
        <v>215</v>
      </c>
      <c r="D66">
        <v>0.36051559516231801</v>
      </c>
      <c r="E66">
        <v>9.7391712731564404</v>
      </c>
      <c r="F66">
        <v>0.48590360767167601</v>
      </c>
      <c r="G66">
        <v>-211.39863156074648</v>
      </c>
      <c r="H66">
        <v>-123.91693574357403</v>
      </c>
      <c r="I66">
        <v>85.675237887703602</v>
      </c>
      <c r="J66">
        <v>38.718054486127301</v>
      </c>
      <c r="K66">
        <v>20.0434224389154</v>
      </c>
      <c r="L66">
        <v>1.4684853748459876E-3</v>
      </c>
      <c r="M66">
        <v>2.942979838427493E-4</v>
      </c>
      <c r="N66" s="1">
        <v>1.6097261376981801E-5</v>
      </c>
      <c r="O66" s="1">
        <v>6.6609827793078598E-6</v>
      </c>
      <c r="P66" s="1">
        <v>-1.9186448093568E-5</v>
      </c>
      <c r="AE66">
        <v>100</v>
      </c>
      <c r="AJ66">
        <v>1</v>
      </c>
    </row>
    <row r="67" spans="1:36" x14ac:dyDescent="0.2">
      <c r="A67">
        <v>66</v>
      </c>
      <c r="B67">
        <v>747</v>
      </c>
      <c r="C67">
        <v>215</v>
      </c>
      <c r="D67">
        <v>0.35982012449149797</v>
      </c>
      <c r="E67">
        <v>10.2292360115832</v>
      </c>
      <c r="F67">
        <v>0.48661800278787198</v>
      </c>
      <c r="G67">
        <v>-221.9460194236697</v>
      </c>
      <c r="H67">
        <v>-130.19298322729443</v>
      </c>
      <c r="I67">
        <v>89.946468650069207</v>
      </c>
      <c r="J67">
        <v>40.691876623381901</v>
      </c>
      <c r="K67">
        <v>21.021080093582899</v>
      </c>
      <c r="L67">
        <v>1.4698345560846511E-3</v>
      </c>
      <c r="M67">
        <v>2.9377188694107941E-4</v>
      </c>
      <c r="N67" s="1">
        <v>1.7140530147698499E-5</v>
      </c>
      <c r="O67" s="1">
        <v>6.9731531066179702E-6</v>
      </c>
      <c r="P67" s="1">
        <v>-2.0157483142698599E-5</v>
      </c>
      <c r="AE67">
        <v>100</v>
      </c>
      <c r="AJ67">
        <v>1</v>
      </c>
    </row>
    <row r="68" spans="1:36" x14ac:dyDescent="0.2">
      <c r="A68">
        <v>67</v>
      </c>
      <c r="B68">
        <v>746</v>
      </c>
      <c r="C68">
        <v>215</v>
      </c>
      <c r="D68">
        <v>0.35912328901535701</v>
      </c>
      <c r="E68">
        <v>10.408138499112599</v>
      </c>
      <c r="F68">
        <v>0.48733410370461799</v>
      </c>
      <c r="G68">
        <v>-225.73620740221975</v>
      </c>
      <c r="H68">
        <v>-132.5113878628934</v>
      </c>
      <c r="I68">
        <v>91.478953750977198</v>
      </c>
      <c r="J68">
        <v>41.429537635268296</v>
      </c>
      <c r="K68">
        <v>21.357295580161502</v>
      </c>
      <c r="L68">
        <v>1.4711753753141191E-3</v>
      </c>
      <c r="M68">
        <v>2.9324374181369326E-4</v>
      </c>
      <c r="N68" s="1">
        <v>1.7678525118342699E-5</v>
      </c>
      <c r="O68" s="1">
        <v>7.0716515440011604E-6</v>
      </c>
      <c r="P68" s="1">
        <v>-2.0515417005236801E-5</v>
      </c>
      <c r="AE68">
        <v>100</v>
      </c>
      <c r="AJ68">
        <v>1</v>
      </c>
    </row>
    <row r="69" spans="1:36" x14ac:dyDescent="0.2">
      <c r="A69">
        <v>68</v>
      </c>
      <c r="B69">
        <v>759</v>
      </c>
      <c r="C69">
        <v>195</v>
      </c>
      <c r="D69">
        <v>0.38939156130407598</v>
      </c>
      <c r="E69">
        <v>5.3998876192525103</v>
      </c>
      <c r="F69">
        <v>0.44786796074135798</v>
      </c>
      <c r="G69">
        <v>-117.96704895731662</v>
      </c>
      <c r="H69">
        <v>-68.341300387616059</v>
      </c>
      <c r="I69">
        <v>48.082971193128301</v>
      </c>
      <c r="J69">
        <v>21.460718189817701</v>
      </c>
      <c r="K69">
        <v>12.0568741070784</v>
      </c>
      <c r="L69">
        <v>1.558324849206414E-3</v>
      </c>
      <c r="M69">
        <v>3.5706488191763059E-4</v>
      </c>
      <c r="N69" s="1">
        <v>5.9816368102284303E-6</v>
      </c>
      <c r="O69" s="1">
        <v>5.4756430250371901E-6</v>
      </c>
      <c r="P69" s="1">
        <v>-1.33073765140499E-5</v>
      </c>
      <c r="AE69">
        <v>100</v>
      </c>
      <c r="AJ69">
        <v>1</v>
      </c>
    </row>
    <row r="70" spans="1:36" x14ac:dyDescent="0.2">
      <c r="A70">
        <v>69</v>
      </c>
      <c r="B70">
        <v>758</v>
      </c>
      <c r="C70">
        <v>195</v>
      </c>
      <c r="D70">
        <v>0.38873151335887302</v>
      </c>
      <c r="E70">
        <v>5.42233814337441</v>
      </c>
      <c r="F70">
        <v>0.44856686145323699</v>
      </c>
      <c r="G70">
        <v>-118.409235262206</v>
      </c>
      <c r="H70">
        <v>-68.646993646738821</v>
      </c>
      <c r="I70">
        <v>48.261983814500802</v>
      </c>
      <c r="J70">
        <v>21.566225515348499</v>
      </c>
      <c r="K70">
        <v>12.0881380443652</v>
      </c>
      <c r="L70">
        <v>1.5602536752947851E-3</v>
      </c>
      <c r="M70">
        <v>3.5651613474174546E-4</v>
      </c>
      <c r="N70" s="1">
        <v>6.1531003271589199E-6</v>
      </c>
      <c r="O70" s="1">
        <v>5.48288498478238E-6</v>
      </c>
      <c r="P70" s="1">
        <v>-1.3375004620295299E-5</v>
      </c>
      <c r="AE70">
        <v>100</v>
      </c>
      <c r="AJ70">
        <v>1</v>
      </c>
    </row>
    <row r="71" spans="1:36" x14ac:dyDescent="0.2">
      <c r="A71">
        <v>70</v>
      </c>
      <c r="B71">
        <v>757</v>
      </c>
      <c r="C71">
        <v>195</v>
      </c>
      <c r="D71">
        <v>0.388070183953793</v>
      </c>
      <c r="E71">
        <v>5.5635387511792702</v>
      </c>
      <c r="F71">
        <v>0.449267717805515</v>
      </c>
      <c r="G71">
        <v>-121.44316755303851</v>
      </c>
      <c r="H71">
        <v>-70.456734535786595</v>
      </c>
      <c r="I71">
        <v>49.497274004529203</v>
      </c>
      <c r="J71">
        <v>22.144528044077902</v>
      </c>
      <c r="K71">
        <v>12.3835711552008</v>
      </c>
      <c r="L71">
        <v>1.5621755480064617E-3</v>
      </c>
      <c r="M71">
        <v>3.5596447742919298E-4</v>
      </c>
      <c r="N71" s="1">
        <v>6.4647362126289302E-6</v>
      </c>
      <c r="O71" s="1">
        <v>5.6096826721330203E-6</v>
      </c>
      <c r="P71" s="1">
        <v>-1.37357720368516E-5</v>
      </c>
      <c r="AE71">
        <v>100</v>
      </c>
      <c r="AJ71">
        <v>1</v>
      </c>
    </row>
    <row r="72" spans="1:36" x14ac:dyDescent="0.2">
      <c r="A72">
        <v>71</v>
      </c>
      <c r="B72">
        <v>756</v>
      </c>
      <c r="C72">
        <v>195</v>
      </c>
      <c r="D72">
        <v>0.38740756935335302</v>
      </c>
      <c r="E72">
        <v>5.7184101864427399</v>
      </c>
      <c r="F72">
        <v>0.44997053239551899</v>
      </c>
      <c r="G72">
        <v>-124.77289963050369</v>
      </c>
      <c r="H72">
        <v>-72.440798160625647</v>
      </c>
      <c r="I72">
        <v>50.853008691966501</v>
      </c>
      <c r="J72">
        <v>22.778132760797899</v>
      </c>
      <c r="K72">
        <v>12.708410384118899</v>
      </c>
      <c r="L72">
        <v>1.5640903323792697E-3</v>
      </c>
      <c r="M72">
        <v>3.5540990479693155E-4</v>
      </c>
      <c r="N72" s="1">
        <v>6.80133179535738E-6</v>
      </c>
      <c r="O72" s="1">
        <v>5.7493608533714296E-6</v>
      </c>
      <c r="P72" s="1">
        <v>-1.4130801280866599E-5</v>
      </c>
      <c r="AE72">
        <v>100</v>
      </c>
      <c r="AJ72">
        <v>1</v>
      </c>
    </row>
    <row r="73" spans="1:36" x14ac:dyDescent="0.2">
      <c r="A73">
        <v>72</v>
      </c>
      <c r="B73">
        <v>755</v>
      </c>
      <c r="C73">
        <v>195</v>
      </c>
      <c r="D73">
        <v>0.38674366580751801</v>
      </c>
      <c r="E73">
        <v>6.2688695664992098</v>
      </c>
      <c r="F73">
        <v>0.45067530776014297</v>
      </c>
      <c r="G73">
        <v>-136.72791672182896</v>
      </c>
      <c r="H73">
        <v>-79.438995649294156</v>
      </c>
      <c r="I73">
        <v>55.723881247535303</v>
      </c>
      <c r="J73">
        <v>24.989598395552399</v>
      </c>
      <c r="K73">
        <v>13.9099468254773</v>
      </c>
      <c r="L73">
        <v>1.5659978927838459E-3</v>
      </c>
      <c r="M73">
        <v>3.5485241187653392E-4</v>
      </c>
      <c r="N73" s="1">
        <v>7.6288596120349396E-6</v>
      </c>
      <c r="O73" s="1">
        <v>6.2846771072883201E-6</v>
      </c>
      <c r="P73" s="1">
        <v>-1.5504761113678199E-5</v>
      </c>
      <c r="AE73">
        <v>100</v>
      </c>
      <c r="AJ73">
        <v>1</v>
      </c>
    </row>
    <row r="74" spans="1:36" x14ac:dyDescent="0.2">
      <c r="A74">
        <v>73</v>
      </c>
      <c r="B74">
        <v>754</v>
      </c>
      <c r="C74">
        <v>195</v>
      </c>
      <c r="D74">
        <v>0.38607846955167302</v>
      </c>
      <c r="E74">
        <v>7.3039747281776997</v>
      </c>
      <c r="F74">
        <v>0.45138204637499801</v>
      </c>
      <c r="G74">
        <v>-159.23928880271845</v>
      </c>
      <c r="H74">
        <v>-92.584955329198309</v>
      </c>
      <c r="I74">
        <v>64.896571344375204</v>
      </c>
      <c r="J74">
        <v>29.137765362285698</v>
      </c>
      <c r="K74">
        <v>16.181358533940699</v>
      </c>
      <c r="L74">
        <v>1.5678980929386649E-3</v>
      </c>
      <c r="M74">
        <v>3.5429199391792557E-4</v>
      </c>
      <c r="N74" s="1">
        <v>9.0911724540243595E-6</v>
      </c>
      <c r="O74" s="1">
        <v>7.3012092816896303E-6</v>
      </c>
      <c r="P74" s="1">
        <v>-1.8080657584887001E-5</v>
      </c>
      <c r="AE74">
        <v>100</v>
      </c>
      <c r="AJ74">
        <v>1</v>
      </c>
    </row>
    <row r="75" spans="1:36" x14ac:dyDescent="0.2">
      <c r="A75">
        <v>74</v>
      </c>
      <c r="B75">
        <v>753</v>
      </c>
      <c r="C75">
        <v>195</v>
      </c>
      <c r="D75">
        <v>0.38541197680651201</v>
      </c>
      <c r="E75">
        <v>8.5467648681485802</v>
      </c>
      <c r="F75">
        <v>0.45209075065360899</v>
      </c>
      <c r="G75">
        <v>-186.25834225288307</v>
      </c>
      <c r="H75">
        <v>-108.37263275153902</v>
      </c>
      <c r="I75">
        <v>75.905667285516799</v>
      </c>
      <c r="J75">
        <v>34.121284213739898</v>
      </c>
      <c r="K75">
        <v>18.904976170806599</v>
      </c>
      <c r="L75">
        <v>1.5697907959257827E-3</v>
      </c>
      <c r="M75">
        <v>3.537286463931348E-4</v>
      </c>
      <c r="N75" s="1">
        <v>1.08766856743935E-5</v>
      </c>
      <c r="O75" s="1">
        <v>8.5186614351677102E-6</v>
      </c>
      <c r="P75" s="1">
        <v>-2.1175345355933199E-5</v>
      </c>
      <c r="AE75">
        <v>100</v>
      </c>
      <c r="AJ75">
        <v>1</v>
      </c>
    </row>
    <row r="76" spans="1:36" x14ac:dyDescent="0.2">
      <c r="A76">
        <v>75</v>
      </c>
      <c r="B76">
        <v>752</v>
      </c>
      <c r="C76">
        <v>195</v>
      </c>
      <c r="D76">
        <v>0.38474418377798603</v>
      </c>
      <c r="E76">
        <v>9.6841745167872801</v>
      </c>
      <c r="F76">
        <v>0.45280142294654702</v>
      </c>
      <c r="G76">
        <v>-210.95974872030752</v>
      </c>
      <c r="H76">
        <v>-122.83361778020809</v>
      </c>
      <c r="I76">
        <v>85.969538915704305</v>
      </c>
      <c r="J76">
        <v>38.6912296651711</v>
      </c>
      <c r="K76">
        <v>21.387244001506801</v>
      </c>
      <c r="L76">
        <v>1.5716758642066043E-3</v>
      </c>
      <c r="M76">
        <v>3.5316236500003418E-4</v>
      </c>
      <c r="N76" s="1">
        <v>1.25962332066294E-5</v>
      </c>
      <c r="O76" s="1">
        <v>9.6240635520654704E-6</v>
      </c>
      <c r="P76" s="1">
        <v>-2.4013735925502499E-5</v>
      </c>
      <c r="AE76">
        <v>100</v>
      </c>
      <c r="AJ76">
        <v>1</v>
      </c>
    </row>
    <row r="77" spans="1:36" x14ac:dyDescent="0.2">
      <c r="A77">
        <v>76</v>
      </c>
      <c r="B77">
        <v>751</v>
      </c>
      <c r="C77">
        <v>195</v>
      </c>
      <c r="D77">
        <v>0.38407508665723</v>
      </c>
      <c r="E77">
        <v>10.208607185198099</v>
      </c>
      <c r="F77">
        <v>0.45351406554060503</v>
      </c>
      <c r="G77">
        <v>-222.29336804566779</v>
      </c>
      <c r="H77">
        <v>-129.52629909190719</v>
      </c>
      <c r="I77">
        <v>90.585276517768094</v>
      </c>
      <c r="J77">
        <v>40.817123755150597</v>
      </c>
      <c r="K77">
        <v>22.5100122816016</v>
      </c>
      <c r="L77">
        <v>1.5735531596382203E-3</v>
      </c>
      <c r="M77">
        <v>3.5259314566607502E-4</v>
      </c>
      <c r="N77" s="1">
        <v>1.35669359965458E-5</v>
      </c>
      <c r="O77" s="1">
        <v>1.0115347041132801E-5</v>
      </c>
      <c r="P77" s="1">
        <v>-2.53353263589922E-5</v>
      </c>
      <c r="AE77">
        <v>100</v>
      </c>
      <c r="AJ77">
        <v>1</v>
      </c>
    </row>
    <row r="78" spans="1:36" x14ac:dyDescent="0.2">
      <c r="A78">
        <v>77</v>
      </c>
      <c r="B78">
        <v>750</v>
      </c>
      <c r="C78">
        <v>195</v>
      </c>
      <c r="D78">
        <v>0.38340468162048602</v>
      </c>
      <c r="E78">
        <v>10.4053685165325</v>
      </c>
      <c r="F78">
        <v>0.45422868065796301</v>
      </c>
      <c r="G78">
        <v>-226.48555338037943</v>
      </c>
      <c r="H78">
        <v>-132.06441649527932</v>
      </c>
      <c r="I78">
        <v>92.290564898527194</v>
      </c>
      <c r="J78">
        <v>41.635041621971403</v>
      </c>
      <c r="K78">
        <v>22.907775223396499</v>
      </c>
      <c r="L78">
        <v>1.5754225434902235E-3</v>
      </c>
      <c r="M78">
        <v>3.520209845520217E-4</v>
      </c>
      <c r="N78" s="1">
        <v>1.4124350406487E-5</v>
      </c>
      <c r="O78" s="1">
        <v>1.02797431835534E-5</v>
      </c>
      <c r="P78" s="1">
        <v>-2.58448960731476E-5</v>
      </c>
      <c r="AE78">
        <v>100</v>
      </c>
      <c r="AJ78">
        <v>1</v>
      </c>
    </row>
    <row r="79" spans="1:36" x14ac:dyDescent="0.2">
      <c r="A79">
        <v>78</v>
      </c>
      <c r="B79">
        <v>767</v>
      </c>
      <c r="C79">
        <v>175</v>
      </c>
      <c r="D79">
        <v>0.41577705138682203</v>
      </c>
      <c r="E79">
        <v>5.7231346124181899</v>
      </c>
      <c r="F79">
        <v>0.40854861540745302</v>
      </c>
      <c r="G79">
        <v>-125.7061461590592</v>
      </c>
      <c r="H79">
        <v>-72.073225009530759</v>
      </c>
      <c r="I79">
        <v>51.565828273416699</v>
      </c>
      <c r="J79">
        <v>22.677277503225099</v>
      </c>
      <c r="K79">
        <v>14.0084543101691</v>
      </c>
      <c r="L79">
        <v>1.6493854536155936E-3</v>
      </c>
      <c r="M79">
        <v>4.3702689054680907E-4</v>
      </c>
      <c r="N79" s="1">
        <v>1.08053414054883E-6</v>
      </c>
      <c r="O79" s="1">
        <v>8.7617433602060095E-6</v>
      </c>
      <c r="P79" s="1">
        <v>-1.7616852569473599E-5</v>
      </c>
      <c r="AE79">
        <v>100</v>
      </c>
      <c r="AJ79">
        <v>1</v>
      </c>
    </row>
    <row r="80" spans="1:36" x14ac:dyDescent="0.2">
      <c r="A80">
        <v>79</v>
      </c>
      <c r="B80">
        <v>766</v>
      </c>
      <c r="C80">
        <v>175</v>
      </c>
      <c r="D80">
        <v>0.41514747630275201</v>
      </c>
      <c r="E80">
        <v>5.7284486928830898</v>
      </c>
      <c r="F80">
        <v>0.40922356621307199</v>
      </c>
      <c r="G80">
        <v>-125.77126481930874</v>
      </c>
      <c r="H80">
        <v>-72.16285541262701</v>
      </c>
      <c r="I80">
        <v>51.591866022028398</v>
      </c>
      <c r="J80">
        <v>22.718720711323499</v>
      </c>
      <c r="K80">
        <v>13.9983353009059</v>
      </c>
      <c r="L80">
        <v>1.652027144719714E-3</v>
      </c>
      <c r="M80">
        <v>4.3648824607725825E-4</v>
      </c>
      <c r="N80" s="1">
        <v>1.24831770985708E-6</v>
      </c>
      <c r="O80" s="1">
        <v>8.7493961620542896E-6</v>
      </c>
      <c r="P80" s="1">
        <v>-1.7660596585048198E-5</v>
      </c>
      <c r="AE80">
        <v>100</v>
      </c>
      <c r="AJ80">
        <v>1</v>
      </c>
    </row>
    <row r="81" spans="1:36" x14ac:dyDescent="0.2">
      <c r="A81">
        <v>80</v>
      </c>
      <c r="B81">
        <v>765</v>
      </c>
      <c r="C81">
        <v>175</v>
      </c>
      <c r="D81">
        <v>0.41451668833983701</v>
      </c>
      <c r="E81">
        <v>5.7603710561235602</v>
      </c>
      <c r="F81">
        <v>0.40990071422263102</v>
      </c>
      <c r="G81">
        <v>-126.42026962258134</v>
      </c>
      <c r="H81">
        <v>-72.587845852405906</v>
      </c>
      <c r="I81">
        <v>51.857361853509602</v>
      </c>
      <c r="J81">
        <v>22.865851629869699</v>
      </c>
      <c r="K81">
        <v>14.053088604756301</v>
      </c>
      <c r="L81">
        <v>1.6546654349248423E-3</v>
      </c>
      <c r="M81">
        <v>4.3594582259703311E-4</v>
      </c>
      <c r="N81" s="1">
        <v>1.42472809534704E-6</v>
      </c>
      <c r="O81" s="1">
        <v>8.7774743126598601E-6</v>
      </c>
      <c r="P81" s="1">
        <v>-1.7786486512868199E-5</v>
      </c>
      <c r="AE81">
        <v>100</v>
      </c>
      <c r="AJ81">
        <v>1</v>
      </c>
    </row>
    <row r="82" spans="1:36" x14ac:dyDescent="0.2">
      <c r="A82">
        <v>81</v>
      </c>
      <c r="B82">
        <v>764</v>
      </c>
      <c r="C82">
        <v>175</v>
      </c>
      <c r="D82">
        <v>0.41388468398978101</v>
      </c>
      <c r="E82">
        <v>5.7923583889359298</v>
      </c>
      <c r="F82">
        <v>0.41058006522061502</v>
      </c>
      <c r="G82">
        <v>-127.07014696673832</v>
      </c>
      <c r="H82">
        <v>-73.013929222317373</v>
      </c>
      <c r="I82">
        <v>52.123157197688499</v>
      </c>
      <c r="J82">
        <v>23.013495744934499</v>
      </c>
      <c r="K82">
        <v>14.1077438472896</v>
      </c>
      <c r="L82">
        <v>1.6573001620850665E-3</v>
      </c>
      <c r="M82">
        <v>4.3539960093590108E-4</v>
      </c>
      <c r="N82" s="1">
        <v>1.60479363049839E-6</v>
      </c>
      <c r="O82" s="1">
        <v>8.8053391234403597E-6</v>
      </c>
      <c r="P82" s="1">
        <v>-1.7912813119966999E-5</v>
      </c>
      <c r="AE82">
        <v>100</v>
      </c>
      <c r="AJ82">
        <v>1</v>
      </c>
    </row>
    <row r="83" spans="1:36" x14ac:dyDescent="0.2">
      <c r="A83">
        <v>82</v>
      </c>
      <c r="B83">
        <v>763</v>
      </c>
      <c r="C83">
        <v>175</v>
      </c>
      <c r="D83">
        <v>0.41325145973073701</v>
      </c>
      <c r="E83">
        <v>5.8243931436788001</v>
      </c>
      <c r="F83">
        <v>0.41126162494439</v>
      </c>
      <c r="G83">
        <v>-127.72051071156082</v>
      </c>
      <c r="H83">
        <v>-73.440885404347938</v>
      </c>
      <c r="I83">
        <v>52.389092682167998</v>
      </c>
      <c r="J83">
        <v>23.161583628667</v>
      </c>
      <c r="K83">
        <v>14.1622577707471</v>
      </c>
      <c r="L83">
        <v>1.6599311622991152E-3</v>
      </c>
      <c r="M83">
        <v>4.3484956205187592E-4</v>
      </c>
      <c r="N83" s="1">
        <v>1.7885486247078001E-6</v>
      </c>
      <c r="O83" s="1">
        <v>8.8329613492177707E-6</v>
      </c>
      <c r="P83" s="1">
        <v>-1.8039517832731899E-5</v>
      </c>
      <c r="AE83">
        <v>100</v>
      </c>
      <c r="AJ83">
        <v>1</v>
      </c>
    </row>
    <row r="84" spans="1:36" x14ac:dyDescent="0.2">
      <c r="A84">
        <v>83</v>
      </c>
      <c r="B84">
        <v>762</v>
      </c>
      <c r="C84">
        <v>175</v>
      </c>
      <c r="D84">
        <v>0.41261701202724399</v>
      </c>
      <c r="E84">
        <v>5.9195834824915501</v>
      </c>
      <c r="F84">
        <v>0.411945399082977</v>
      </c>
      <c r="G84">
        <v>-129.7546631100785</v>
      </c>
      <c r="H84">
        <v>-74.664709273716667</v>
      </c>
      <c r="I84">
        <v>53.222568116248397</v>
      </c>
      <c r="J84">
        <v>23.5613003817984</v>
      </c>
      <c r="K84">
        <v>14.3698254566479</v>
      </c>
      <c r="L84">
        <v>1.6625582699135511E-3</v>
      </c>
      <c r="M84">
        <v>4.3429568703726639E-4</v>
      </c>
      <c r="N84" s="1">
        <v>1.99732442384906E-6</v>
      </c>
      <c r="O84" s="1">
        <v>8.9558157019207798E-6</v>
      </c>
      <c r="P84" s="1">
        <v>-1.8362355489892099E-5</v>
      </c>
      <c r="AE84">
        <v>100</v>
      </c>
      <c r="AJ84">
        <v>1</v>
      </c>
    </row>
    <row r="85" spans="1:36" x14ac:dyDescent="0.2">
      <c r="A85">
        <v>84</v>
      </c>
      <c r="B85">
        <v>761</v>
      </c>
      <c r="C85">
        <v>175</v>
      </c>
      <c r="D85">
        <v>0.411981337330175</v>
      </c>
      <c r="E85">
        <v>6.0633541053209496</v>
      </c>
      <c r="F85">
        <v>0.412631393275806</v>
      </c>
      <c r="G85">
        <v>-132.85154831414121</v>
      </c>
      <c r="H85">
        <v>-76.50225689254998</v>
      </c>
      <c r="I85">
        <v>54.491864086585998</v>
      </c>
      <c r="J85">
        <v>24.155259014796702</v>
      </c>
      <c r="K85">
        <v>14.694359673375899</v>
      </c>
      <c r="L85">
        <v>1.665181317526713E-3</v>
      </c>
      <c r="M85">
        <v>4.3373795712486934E-4</v>
      </c>
      <c r="N85" s="1">
        <v>2.2315948522377599E-6</v>
      </c>
      <c r="O85" s="1">
        <v>9.1512111239541898E-6</v>
      </c>
      <c r="P85" s="1">
        <v>-1.88369336519137E-5</v>
      </c>
      <c r="AE85">
        <v>100</v>
      </c>
      <c r="AJ85">
        <v>1</v>
      </c>
    </row>
    <row r="86" spans="1:36" x14ac:dyDescent="0.2">
      <c r="A86">
        <v>85</v>
      </c>
      <c r="B86">
        <v>760</v>
      </c>
      <c r="C86">
        <v>175</v>
      </c>
      <c r="D86">
        <v>0.41134443207665999</v>
      </c>
      <c r="E86">
        <v>6.2251086681461603</v>
      </c>
      <c r="F86">
        <v>0.41331961311145299</v>
      </c>
      <c r="G86">
        <v>-136.33974951803131</v>
      </c>
      <c r="H86">
        <v>-78.567949524039847</v>
      </c>
      <c r="I86">
        <v>55.921562583784301</v>
      </c>
      <c r="J86">
        <v>24.821982750004</v>
      </c>
      <c r="K86">
        <v>15.0612467220797</v>
      </c>
      <c r="L86">
        <v>1.6678001359930626E-3</v>
      </c>
      <c r="M86">
        <v>4.3317635369420935E-4</v>
      </c>
      <c r="N86" s="1">
        <v>2.4837534719602899E-6</v>
      </c>
      <c r="O86" s="1">
        <v>9.3725431672117795E-6</v>
      </c>
      <c r="P86" s="1">
        <v>-1.9368732262659602E-5</v>
      </c>
      <c r="AE86">
        <v>100</v>
      </c>
      <c r="AJ86">
        <v>1</v>
      </c>
    </row>
    <row r="87" spans="1:36" x14ac:dyDescent="0.2">
      <c r="A87">
        <v>86</v>
      </c>
      <c r="B87">
        <v>759</v>
      </c>
      <c r="C87">
        <v>175</v>
      </c>
      <c r="D87">
        <v>0.41070629269001901</v>
      </c>
      <c r="E87">
        <v>7.14669873645978</v>
      </c>
      <c r="F87">
        <v>0.41401006412639402</v>
      </c>
      <c r="G87">
        <v>-156.4598465466257</v>
      </c>
      <c r="H87">
        <v>-90.227973616518696</v>
      </c>
      <c r="I87">
        <v>64.172806966023899</v>
      </c>
      <c r="J87">
        <v>28.5223866285586</v>
      </c>
      <c r="K87">
        <v>17.262137700782901</v>
      </c>
      <c r="L87">
        <v>1.6704145544284375E-3</v>
      </c>
      <c r="M87">
        <v>4.3261085827785297E-4</v>
      </c>
      <c r="N87" s="1">
        <v>3.0747968494248701E-6</v>
      </c>
      <c r="O87" s="1">
        <v>1.07338126720283E-5</v>
      </c>
      <c r="P87" s="1">
        <v>-2.22696594317111E-5</v>
      </c>
      <c r="AE87">
        <v>100</v>
      </c>
      <c r="AJ87">
        <v>1</v>
      </c>
    </row>
    <row r="88" spans="1:36" x14ac:dyDescent="0.2">
      <c r="A88">
        <v>87</v>
      </c>
      <c r="B88">
        <v>758</v>
      </c>
      <c r="C88">
        <v>175</v>
      </c>
      <c r="D88">
        <v>0.41006691557969399</v>
      </c>
      <c r="E88">
        <v>7.8726278899807998</v>
      </c>
      <c r="F88">
        <v>0.41470275180371802</v>
      </c>
      <c r="G88">
        <v>-172.28165019991124</v>
      </c>
      <c r="H88">
        <v>-99.424354513620031</v>
      </c>
      <c r="I88">
        <v>70.660719475735405</v>
      </c>
      <c r="J88">
        <v>31.447855803319602</v>
      </c>
      <c r="K88">
        <v>18.9837850261166</v>
      </c>
      <c r="L88">
        <v>1.6730244002158931E-3</v>
      </c>
      <c r="M88">
        <v>4.3204145256789731E-4</v>
      </c>
      <c r="N88" s="1">
        <v>3.63556855752845E-6</v>
      </c>
      <c r="O88" s="1">
        <v>1.1795038671554099E-5</v>
      </c>
      <c r="P88" s="1">
        <v>-2.4568488254990799E-5</v>
      </c>
      <c r="AE88">
        <v>100</v>
      </c>
      <c r="AJ88">
        <v>1</v>
      </c>
    </row>
    <row r="89" spans="1:36" x14ac:dyDescent="0.2">
      <c r="A89">
        <v>88</v>
      </c>
      <c r="B89">
        <v>757</v>
      </c>
      <c r="C89">
        <v>175</v>
      </c>
      <c r="D89">
        <v>0.40942629714119499</v>
      </c>
      <c r="E89">
        <v>9.2512285408145694</v>
      </c>
      <c r="F89">
        <v>0.41539768157183499</v>
      </c>
      <c r="G89">
        <v>-202.36741585489503</v>
      </c>
      <c r="H89">
        <v>-116.8718376231123</v>
      </c>
      <c r="I89">
        <v>82.998468526762295</v>
      </c>
      <c r="J89">
        <v>36.988073185760598</v>
      </c>
      <c r="K89">
        <v>22.270775575368098</v>
      </c>
      <c r="L89">
        <v>1.6756294990119026E-3</v>
      </c>
      <c r="M89">
        <v>4.3146811842239522E-4</v>
      </c>
      <c r="N89" s="1">
        <v>4.5670114311530598E-6</v>
      </c>
      <c r="O89" s="1">
        <v>1.3826210839750099E-5</v>
      </c>
      <c r="P89" s="1">
        <v>-2.89138155354548E-5</v>
      </c>
      <c r="AE89">
        <v>100</v>
      </c>
      <c r="AJ89">
        <v>1</v>
      </c>
    </row>
    <row r="90" spans="1:36" x14ac:dyDescent="0.2">
      <c r="A90">
        <v>89</v>
      </c>
      <c r="B90">
        <v>756</v>
      </c>
      <c r="C90">
        <v>175</v>
      </c>
      <c r="D90">
        <v>0.40878443375601398</v>
      </c>
      <c r="E90">
        <v>9.9769097065556895</v>
      </c>
      <c r="F90">
        <v>0.41609485880319902</v>
      </c>
      <c r="G90">
        <v>-218.15195004945505</v>
      </c>
      <c r="H90">
        <v>-126.07935896319762</v>
      </c>
      <c r="I90">
        <v>89.470242905935905</v>
      </c>
      <c r="J90">
        <v>39.925407958211601</v>
      </c>
      <c r="K90">
        <v>23.977488535311299</v>
      </c>
      <c r="L90">
        <v>1.678229674753767E-3</v>
      </c>
      <c r="M90">
        <v>4.3089083787200747E-4</v>
      </c>
      <c r="N90" s="1">
        <v>5.2462683116654003E-6</v>
      </c>
      <c r="O90" s="1">
        <v>1.48736264042493E-5</v>
      </c>
      <c r="P90" s="1">
        <v>-3.1228124946838601E-5</v>
      </c>
      <c r="AE90">
        <v>100</v>
      </c>
      <c r="AJ90">
        <v>1</v>
      </c>
    </row>
    <row r="91" spans="1:36" x14ac:dyDescent="0.2">
      <c r="A91">
        <v>90</v>
      </c>
      <c r="B91">
        <v>755</v>
      </c>
      <c r="C91">
        <v>175</v>
      </c>
      <c r="D91">
        <v>0.40814132179156798</v>
      </c>
      <c r="E91">
        <v>10.3118417695333</v>
      </c>
      <c r="F91">
        <v>0.41679428881299901</v>
      </c>
      <c r="G91">
        <v>-225.38301477321687</v>
      </c>
      <c r="H91">
        <v>-130.35321839928275</v>
      </c>
      <c r="I91">
        <v>92.4336890949902</v>
      </c>
      <c r="J91">
        <v>41.302905627388199</v>
      </c>
      <c r="K91">
        <v>24.740842296329699</v>
      </c>
      <c r="L91">
        <v>1.6808247496673269E-3</v>
      </c>
      <c r="M91">
        <v>4.3030959312664798E-4</v>
      </c>
      <c r="N91" s="1">
        <v>5.7573677817295402E-6</v>
      </c>
      <c r="O91" s="1">
        <v>1.53344073895242E-5</v>
      </c>
      <c r="P91" s="1">
        <v>-3.23241019756153E-5</v>
      </c>
      <c r="AE91">
        <v>100</v>
      </c>
      <c r="AJ91">
        <v>1</v>
      </c>
    </row>
    <row r="92" spans="1:36" x14ac:dyDescent="0.2">
      <c r="A92">
        <v>91</v>
      </c>
      <c r="B92">
        <v>754</v>
      </c>
      <c r="C92">
        <v>175</v>
      </c>
      <c r="D92">
        <v>0.40749695760112897</v>
      </c>
      <c r="E92">
        <v>10.4595913532841</v>
      </c>
      <c r="F92">
        <v>0.41749597685781797</v>
      </c>
      <c r="G92">
        <v>-228.5185980131084</v>
      </c>
      <c r="H92">
        <v>-132.26285202912987</v>
      </c>
      <c r="I92">
        <v>93.717306726810406</v>
      </c>
      <c r="J92">
        <v>41.932439632933303</v>
      </c>
      <c r="K92">
        <v>25.053154839971501</v>
      </c>
      <c r="L92">
        <v>1.6834145442753245E-3</v>
      </c>
      <c r="M92">
        <v>4.2972436658222473E-4</v>
      </c>
      <c r="N92" s="1">
        <v>6.1828761570942201E-6</v>
      </c>
      <c r="O92" s="1">
        <v>1.55148720734479E-5</v>
      </c>
      <c r="P92" s="1">
        <v>-3.2835354016840101E-5</v>
      </c>
      <c r="AE92">
        <v>100</v>
      </c>
      <c r="AJ92">
        <v>1</v>
      </c>
    </row>
    <row r="93" spans="1:36" x14ac:dyDescent="0.2">
      <c r="A93">
        <v>92</v>
      </c>
      <c r="B93">
        <v>775</v>
      </c>
      <c r="C93">
        <v>155</v>
      </c>
      <c r="D93">
        <v>0.44175976720889598</v>
      </c>
      <c r="E93">
        <v>6.0612722075495702</v>
      </c>
      <c r="F93">
        <v>0.36565731967212201</v>
      </c>
      <c r="G93">
        <v>-133.88612894309861</v>
      </c>
      <c r="H93">
        <v>-75.900567856302899</v>
      </c>
      <c r="I93">
        <v>55.325124952495003</v>
      </c>
      <c r="J93">
        <v>23.767622262315701</v>
      </c>
      <c r="K93">
        <v>16.576373236517099</v>
      </c>
      <c r="L93">
        <v>1.7261228097276012E-3</v>
      </c>
      <c r="M93">
        <v>5.4161989327128693E-4</v>
      </c>
      <c r="N93" s="1">
        <v>-7.8718237915687498E-6</v>
      </c>
      <c r="O93" s="1">
        <v>1.4438368713082599E-5</v>
      </c>
      <c r="P93" s="1">
        <v>-2.31444400213779E-5</v>
      </c>
      <c r="AE93">
        <v>100</v>
      </c>
      <c r="AJ93">
        <v>1</v>
      </c>
    </row>
    <row r="94" spans="1:36" x14ac:dyDescent="0.2">
      <c r="A94">
        <v>93</v>
      </c>
      <c r="B94">
        <v>774</v>
      </c>
      <c r="C94">
        <v>155</v>
      </c>
      <c r="D94">
        <v>0.44115981473524002</v>
      </c>
      <c r="E94">
        <v>6.0797913933923198</v>
      </c>
      <c r="F94">
        <v>0.36628966703140398</v>
      </c>
      <c r="G94">
        <v>-134.23971244663014</v>
      </c>
      <c r="H94">
        <v>-76.156321769920837</v>
      </c>
      <c r="I94">
        <v>55.471393694013798</v>
      </c>
      <c r="J94">
        <v>23.865059803785002</v>
      </c>
      <c r="K94">
        <v>16.598315324224099</v>
      </c>
      <c r="L94">
        <v>1.7295789551901785E-3</v>
      </c>
      <c r="M94">
        <v>5.4115644029065658E-4</v>
      </c>
      <c r="N94" s="1">
        <v>-7.7421513961569802E-6</v>
      </c>
      <c r="O94" s="1">
        <v>1.44559389978929E-5</v>
      </c>
      <c r="P94" s="1">
        <v>-2.32634789131935E-5</v>
      </c>
      <c r="AE94">
        <v>100</v>
      </c>
      <c r="AJ94">
        <v>1</v>
      </c>
    </row>
    <row r="95" spans="1:36" x14ac:dyDescent="0.2">
      <c r="A95">
        <v>94</v>
      </c>
      <c r="B95">
        <v>773</v>
      </c>
      <c r="C95">
        <v>155</v>
      </c>
      <c r="D95">
        <v>0.440558715289395</v>
      </c>
      <c r="E95">
        <v>6.1078713968988501</v>
      </c>
      <c r="F95">
        <v>0.36692437671280398</v>
      </c>
      <c r="G95">
        <v>-134.80399317312038</v>
      </c>
      <c r="H95">
        <v>-76.532043622396444</v>
      </c>
      <c r="I95">
        <v>55.704674138320001</v>
      </c>
      <c r="J95">
        <v>24.000291285679701</v>
      </c>
      <c r="K95">
        <v>16.646131422550699</v>
      </c>
      <c r="L95">
        <v>1.7330385330751193E-3</v>
      </c>
      <c r="M95">
        <v>5.4068871345087043E-4</v>
      </c>
      <c r="N95" s="1">
        <v>-7.6209973001947798E-6</v>
      </c>
      <c r="O95" s="1">
        <v>1.4495931897456E-5</v>
      </c>
      <c r="P95" s="1">
        <v>-2.3419613688528801E-5</v>
      </c>
      <c r="AE95">
        <v>100</v>
      </c>
      <c r="AJ95">
        <v>1</v>
      </c>
    </row>
    <row r="96" spans="1:36" x14ac:dyDescent="0.2">
      <c r="A96">
        <v>95</v>
      </c>
      <c r="B96">
        <v>772</v>
      </c>
      <c r="C96">
        <v>155</v>
      </c>
      <c r="D96">
        <v>0.43995646557910401</v>
      </c>
      <c r="E96">
        <v>6.1359903077581803</v>
      </c>
      <c r="F96">
        <v>0.36756145843841098</v>
      </c>
      <c r="G96">
        <v>-135.36864300516166</v>
      </c>
      <c r="H96">
        <v>-76.908498860889608</v>
      </c>
      <c r="I96">
        <v>55.938052465884397</v>
      </c>
      <c r="J96">
        <v>24.135980101313201</v>
      </c>
      <c r="K96">
        <v>16.693780500890899</v>
      </c>
      <c r="L96">
        <v>1.7365013998536672E-3</v>
      </c>
      <c r="M96">
        <v>5.4021667625704379E-4</v>
      </c>
      <c r="N96" s="1">
        <v>-7.4959342865492599E-6</v>
      </c>
      <c r="O96" s="1">
        <v>1.4535662367639101E-5</v>
      </c>
      <c r="P96" s="1">
        <v>-2.3576485793931801E-5</v>
      </c>
      <c r="AE96">
        <v>100</v>
      </c>
      <c r="AJ96">
        <v>1</v>
      </c>
    </row>
    <row r="97" spans="1:36" x14ac:dyDescent="0.2">
      <c r="A97">
        <v>96</v>
      </c>
      <c r="B97">
        <v>771</v>
      </c>
      <c r="C97">
        <v>155</v>
      </c>
      <c r="D97">
        <v>0.43935306229947801</v>
      </c>
      <c r="E97">
        <v>6.16413386303973</v>
      </c>
      <c r="F97">
        <v>0.36820092192488102</v>
      </c>
      <c r="G97">
        <v>-135.93334671120905</v>
      </c>
      <c r="H97">
        <v>-77.285509536908648</v>
      </c>
      <c r="I97">
        <v>56.1713974718364</v>
      </c>
      <c r="J97">
        <v>24.2720710264181</v>
      </c>
      <c r="K97">
        <v>16.741223326695799</v>
      </c>
      <c r="L97">
        <v>1.7399674091840237E-3</v>
      </c>
      <c r="M97">
        <v>5.397402920596366E-4</v>
      </c>
      <c r="N97" s="1">
        <v>-7.3668837790156704E-6</v>
      </c>
      <c r="O97" s="1">
        <v>1.45750934500569E-5</v>
      </c>
      <c r="P97" s="1">
        <v>-2.3734040197045E-5</v>
      </c>
      <c r="AE97">
        <v>100</v>
      </c>
      <c r="AJ97">
        <v>1</v>
      </c>
    </row>
    <row r="98" spans="1:36" x14ac:dyDescent="0.2">
      <c r="A98">
        <v>97</v>
      </c>
      <c r="B98">
        <v>770</v>
      </c>
      <c r="C98">
        <v>155</v>
      </c>
      <c r="D98">
        <v>0.43874850213296301</v>
      </c>
      <c r="E98">
        <v>6.1922880882016802</v>
      </c>
      <c r="F98">
        <v>0.36884277688219602</v>
      </c>
      <c r="G98">
        <v>-136.49779593839489</v>
      </c>
      <c r="H98">
        <v>-77.662901095873835</v>
      </c>
      <c r="I98">
        <v>56.404580788971003</v>
      </c>
      <c r="J98">
        <v>24.4085097130253</v>
      </c>
      <c r="K98">
        <v>16.788421724141301</v>
      </c>
      <c r="L98">
        <v>1.7434364118831438E-3</v>
      </c>
      <c r="M98">
        <v>5.3925952405892825E-4</v>
      </c>
      <c r="N98" s="1">
        <v>-7.2337685874225201E-6</v>
      </c>
      <c r="O98" s="1">
        <v>1.46141890827894E-5</v>
      </c>
      <c r="P98" s="1">
        <v>-2.3892222368438398E-5</v>
      </c>
      <c r="AE98">
        <v>100</v>
      </c>
      <c r="AJ98">
        <v>1</v>
      </c>
    </row>
    <row r="99" spans="1:36" x14ac:dyDescent="0.2">
      <c r="A99">
        <v>98</v>
      </c>
      <c r="B99">
        <v>769</v>
      </c>
      <c r="C99">
        <v>155</v>
      </c>
      <c r="D99">
        <v>0.43814278174927401</v>
      </c>
      <c r="E99">
        <v>6.2204393514962897</v>
      </c>
      <c r="F99">
        <v>0.36948703301239699</v>
      </c>
      <c r="G99">
        <v>-137.06169039763677</v>
      </c>
      <c r="H99">
        <v>-78.040503064750126</v>
      </c>
      <c r="I99">
        <v>56.637477378748002</v>
      </c>
      <c r="J99">
        <v>24.545242907766902</v>
      </c>
      <c r="K99">
        <v>16.835338714816402</v>
      </c>
      <c r="L99">
        <v>1.7469082558989216E-3</v>
      </c>
      <c r="M99">
        <v>5.3877433530973658E-4</v>
      </c>
      <c r="N99" s="1">
        <v>-7.0965129995137898E-6</v>
      </c>
      <c r="O99" s="1">
        <v>1.46529142245125E-5</v>
      </c>
      <c r="P99" s="1">
        <v>-2.4050978496247399E-5</v>
      </c>
      <c r="AE99">
        <v>100</v>
      </c>
      <c r="AJ99">
        <v>1</v>
      </c>
    </row>
    <row r="100" spans="1:36" x14ac:dyDescent="0.2">
      <c r="A100">
        <v>99</v>
      </c>
      <c r="B100">
        <v>768</v>
      </c>
      <c r="C100">
        <v>155</v>
      </c>
      <c r="D100">
        <v>0.43753589780531399</v>
      </c>
      <c r="E100">
        <v>6.2613186467077604</v>
      </c>
      <c r="F100">
        <v>0.37013370000829698</v>
      </c>
      <c r="G100">
        <v>-137.90543044532427</v>
      </c>
      <c r="H100">
        <v>-78.578086830431971</v>
      </c>
      <c r="I100">
        <v>56.985954690400902</v>
      </c>
      <c r="J100">
        <v>24.732559086801398</v>
      </c>
      <c r="K100">
        <v>16.916370075373798</v>
      </c>
      <c r="L100">
        <v>1.7503827862826006E-3</v>
      </c>
      <c r="M100">
        <v>5.3828468872627229E-4</v>
      </c>
      <c r="N100" s="1">
        <v>-6.9692279637841103E-6</v>
      </c>
      <c r="O100" s="1">
        <v>1.47211983640814E-5</v>
      </c>
      <c r="P100" s="1">
        <v>-2.42596335306326E-5</v>
      </c>
      <c r="AE100">
        <v>100</v>
      </c>
      <c r="AJ100">
        <v>1</v>
      </c>
    </row>
    <row r="101" spans="1:36" x14ac:dyDescent="0.2">
      <c r="A101">
        <v>100</v>
      </c>
      <c r="B101">
        <v>767</v>
      </c>
      <c r="C101">
        <v>155</v>
      </c>
      <c r="D101">
        <v>0.43692784694515202</v>
      </c>
      <c r="E101">
        <v>6.3915662026256497</v>
      </c>
      <c r="F101">
        <v>0.37078278755216398</v>
      </c>
      <c r="G101">
        <v>-140.71597127884161</v>
      </c>
      <c r="H101">
        <v>-80.237923591911255</v>
      </c>
      <c r="I101">
        <v>58.147099296830802</v>
      </c>
      <c r="J101">
        <v>25.273670122352001</v>
      </c>
      <c r="K101">
        <v>17.2380337415917</v>
      </c>
      <c r="L101">
        <v>1.7538598451614256E-3</v>
      </c>
      <c r="M101">
        <v>5.377905470871924E-4</v>
      </c>
      <c r="N101" s="1">
        <v>-6.9339199367224201E-6</v>
      </c>
      <c r="O101" s="1">
        <v>1.4998714246189E-5</v>
      </c>
      <c r="P101" s="1">
        <v>-2.4816060450174401E-5</v>
      </c>
      <c r="AE101">
        <v>100</v>
      </c>
      <c r="AJ101">
        <v>1</v>
      </c>
    </row>
    <row r="102" spans="1:36" x14ac:dyDescent="0.2">
      <c r="A102">
        <v>101</v>
      </c>
      <c r="B102">
        <v>766</v>
      </c>
      <c r="C102">
        <v>155</v>
      </c>
      <c r="D102">
        <v>0.43631862579993802</v>
      </c>
      <c r="E102">
        <v>6.5351069105084498</v>
      </c>
      <c r="F102">
        <v>0.371434305314368</v>
      </c>
      <c r="G102">
        <v>-143.81670612814219</v>
      </c>
      <c r="H102">
        <v>-82.065748153161309</v>
      </c>
      <c r="I102">
        <v>59.428088114763597</v>
      </c>
      <c r="J102">
        <v>25.8685610876292</v>
      </c>
      <c r="K102">
        <v>17.594246996053201</v>
      </c>
      <c r="L102">
        <v>1.7573392717115642E-3</v>
      </c>
      <c r="M102">
        <v>5.3729187304081332E-4</v>
      </c>
      <c r="N102" s="1">
        <v>-6.9024820643444702E-6</v>
      </c>
      <c r="O102" s="1">
        <v>1.5306070951915301E-5</v>
      </c>
      <c r="P102" s="1">
        <v>-2.5426446407759001E-5</v>
      </c>
      <c r="AE102">
        <v>100</v>
      </c>
      <c r="AJ102">
        <v>1</v>
      </c>
    </row>
    <row r="103" spans="1:36" x14ac:dyDescent="0.2">
      <c r="A103">
        <v>102</v>
      </c>
      <c r="B103">
        <v>765</v>
      </c>
      <c r="C103">
        <v>155</v>
      </c>
      <c r="D103">
        <v>0.43570823098781702</v>
      </c>
      <c r="E103">
        <v>6.8185411786835903</v>
      </c>
      <c r="F103">
        <v>0.37208826295203501</v>
      </c>
      <c r="G103">
        <v>-149.9921911610397</v>
      </c>
      <c r="H103">
        <v>-85.652028335326023</v>
      </c>
      <c r="I103">
        <v>61.979545165614297</v>
      </c>
      <c r="J103">
        <v>27.019068039231499</v>
      </c>
      <c r="K103">
        <v>18.3250638560522</v>
      </c>
      <c r="L103">
        <v>1.7608209021315862E-3</v>
      </c>
      <c r="M103">
        <v>5.3678862911055853E-4</v>
      </c>
      <c r="N103" s="1">
        <v>-7.00359669721102E-6</v>
      </c>
      <c r="O103" s="1">
        <v>1.59390201174481E-5</v>
      </c>
      <c r="P103" s="1">
        <v>-2.6584720486536299E-5</v>
      </c>
      <c r="AE103">
        <v>100</v>
      </c>
      <c r="AJ103">
        <v>1</v>
      </c>
    </row>
    <row r="104" spans="1:36" x14ac:dyDescent="0.2">
      <c r="A104">
        <v>103</v>
      </c>
      <c r="B104">
        <v>764</v>
      </c>
      <c r="C104">
        <v>155</v>
      </c>
      <c r="D104">
        <v>0.43509665911391998</v>
      </c>
      <c r="E104">
        <v>7.65186059203858</v>
      </c>
      <c r="F104">
        <v>0.37274467010763102</v>
      </c>
      <c r="G104">
        <v>-168.2537580102252</v>
      </c>
      <c r="H104">
        <v>-96.150220219718207</v>
      </c>
      <c r="I104">
        <v>69.525060651801297</v>
      </c>
      <c r="J104">
        <v>30.353307429807298</v>
      </c>
      <c r="K104">
        <v>20.528423893570501</v>
      </c>
      <c r="L104">
        <v>1.7643045696159991E-3</v>
      </c>
      <c r="M104">
        <v>5.3628077770053405E-4</v>
      </c>
      <c r="N104" s="1">
        <v>-7.6336800881776406E-6</v>
      </c>
      <c r="O104" s="1">
        <v>1.7852173522362499E-5</v>
      </c>
      <c r="P104" s="1">
        <v>-2.9896166491862499E-5</v>
      </c>
      <c r="AE104">
        <v>100</v>
      </c>
      <c r="AJ104">
        <v>1</v>
      </c>
    </row>
    <row r="105" spans="1:36" x14ac:dyDescent="0.2">
      <c r="A105">
        <v>104</v>
      </c>
      <c r="B105">
        <v>763</v>
      </c>
      <c r="C105">
        <v>155</v>
      </c>
      <c r="D105">
        <v>0.43448390677026</v>
      </c>
      <c r="E105">
        <v>8.2203575805432294</v>
      </c>
      <c r="F105">
        <v>0.37340353640755503</v>
      </c>
      <c r="G105">
        <v>-180.67954035432501</v>
      </c>
      <c r="H105">
        <v>-103.32635175087127</v>
      </c>
      <c r="I105">
        <v>74.658970995366602</v>
      </c>
      <c r="J105">
        <v>32.643032104322103</v>
      </c>
      <c r="K105">
        <v>22.0146752214233</v>
      </c>
      <c r="L105">
        <v>1.7677901043293906E-3</v>
      </c>
      <c r="M105">
        <v>5.3576828110135611E-4</v>
      </c>
      <c r="N105" s="1">
        <v>-7.9545427958084804E-6</v>
      </c>
      <c r="O105" s="1">
        <v>1.9140944575264498E-5</v>
      </c>
      <c r="P105" s="1">
        <v>-3.2184522990526498E-5</v>
      </c>
      <c r="AE105">
        <v>100</v>
      </c>
      <c r="AJ105">
        <v>1</v>
      </c>
    </row>
    <row r="106" spans="1:36" x14ac:dyDescent="0.2">
      <c r="A106">
        <v>105</v>
      </c>
      <c r="B106">
        <v>762</v>
      </c>
      <c r="C106">
        <v>155</v>
      </c>
      <c r="D106">
        <v>0.433869970535674</v>
      </c>
      <c r="E106">
        <v>9.4864429169457907</v>
      </c>
      <c r="F106">
        <v>0.37406487146069101</v>
      </c>
      <c r="G106">
        <v>-208.42135278301882</v>
      </c>
      <c r="H106">
        <v>-119.27818941138445</v>
      </c>
      <c r="I106">
        <v>86.121424041738607</v>
      </c>
      <c r="J106">
        <v>37.710710303759399</v>
      </c>
      <c r="K106">
        <v>25.360421789680601</v>
      </c>
      <c r="L106">
        <v>1.7712773333808704E-3</v>
      </c>
      <c r="M106">
        <v>5.3525110149611917E-4</v>
      </c>
      <c r="N106" s="1">
        <v>-8.8912226126833497E-6</v>
      </c>
      <c r="O106" s="1">
        <v>2.2045466755171998E-5</v>
      </c>
      <c r="P106" s="1">
        <v>-3.72192563833719E-5</v>
      </c>
      <c r="AE106">
        <v>100</v>
      </c>
      <c r="AJ106">
        <v>1</v>
      </c>
    </row>
    <row r="107" spans="1:36" x14ac:dyDescent="0.2">
      <c r="A107">
        <v>106</v>
      </c>
      <c r="B107">
        <v>761</v>
      </c>
      <c r="C107">
        <v>155</v>
      </c>
      <c r="D107">
        <v>0.43325484697577799</v>
      </c>
      <c r="E107">
        <v>10.057511186637701</v>
      </c>
      <c r="F107">
        <v>0.374728684856938</v>
      </c>
      <c r="G107">
        <v>-220.87668914797459</v>
      </c>
      <c r="H107">
        <v>-126.4985424551828</v>
      </c>
      <c r="I107">
        <v>91.267129737750494</v>
      </c>
      <c r="J107">
        <v>40.023408964856799</v>
      </c>
      <c r="K107">
        <v>26.839448361092199</v>
      </c>
      <c r="L107">
        <v>1.7747660807991197E-3</v>
      </c>
      <c r="M107">
        <v>5.3472920096664996E-4</v>
      </c>
      <c r="N107" s="1">
        <v>-9.1160864808977405E-6</v>
      </c>
      <c r="O107" s="1">
        <v>2.33262130980946E-5</v>
      </c>
      <c r="P107" s="1">
        <v>-3.9542368799866001E-5</v>
      </c>
      <c r="AE107">
        <v>100</v>
      </c>
      <c r="AJ107">
        <v>1</v>
      </c>
    </row>
    <row r="108" spans="1:36" x14ac:dyDescent="0.2">
      <c r="A108">
        <v>107</v>
      </c>
      <c r="B108">
        <v>760</v>
      </c>
      <c r="C108">
        <v>155</v>
      </c>
      <c r="D108">
        <v>0.43263853264288998</v>
      </c>
      <c r="E108">
        <v>10.335632860258499</v>
      </c>
      <c r="F108">
        <v>0.37539498616570099</v>
      </c>
      <c r="G108">
        <v>-226.89085009903948</v>
      </c>
      <c r="H108">
        <v>-130.03777531631513</v>
      </c>
      <c r="I108">
        <v>93.7511392019818</v>
      </c>
      <c r="J108">
        <v>41.174046677474998</v>
      </c>
      <c r="K108">
        <v>27.532687545529299</v>
      </c>
      <c r="L108">
        <v>1.7782561675074543E-3</v>
      </c>
      <c r="M108">
        <v>5.3420254149982578E-4</v>
      </c>
      <c r="N108" s="1">
        <v>-9.0445121649620101E-6</v>
      </c>
      <c r="O108" s="1">
        <v>2.3923411055592001E-5</v>
      </c>
      <c r="P108" s="1">
        <v>-4.0720861208346698E-5</v>
      </c>
      <c r="AE108">
        <v>100</v>
      </c>
      <c r="AJ108">
        <v>1</v>
      </c>
    </row>
    <row r="109" spans="1:36" x14ac:dyDescent="0.2">
      <c r="A109">
        <v>108</v>
      </c>
      <c r="B109">
        <v>759</v>
      </c>
      <c r="C109">
        <v>155</v>
      </c>
      <c r="D109">
        <v>0.43202102407596099</v>
      </c>
      <c r="E109">
        <v>10.479010633134701</v>
      </c>
      <c r="F109">
        <v>0.37606378493437997</v>
      </c>
      <c r="G109">
        <v>-229.94328965126581</v>
      </c>
      <c r="H109">
        <v>-131.88345041531997</v>
      </c>
      <c r="I109">
        <v>95.011225082899799</v>
      </c>
      <c r="J109">
        <v>41.789806283049899</v>
      </c>
      <c r="K109">
        <v>27.864982093298899</v>
      </c>
      <c r="L109">
        <v>1.7817474113000619E-3</v>
      </c>
      <c r="M109">
        <v>5.3367108499426314E-4</v>
      </c>
      <c r="N109" s="1">
        <v>-8.8370161204466001E-6</v>
      </c>
      <c r="O109" s="1">
        <v>2.42065586855131E-5</v>
      </c>
      <c r="P109" s="1">
        <v>-4.1372109180949197E-5</v>
      </c>
      <c r="AE109">
        <v>100</v>
      </c>
      <c r="AJ109">
        <v>1</v>
      </c>
    </row>
    <row r="110" spans="1:36" x14ac:dyDescent="0.2">
      <c r="A110">
        <v>109</v>
      </c>
      <c r="B110">
        <v>785</v>
      </c>
      <c r="C110">
        <v>135</v>
      </c>
      <c r="D110">
        <v>0.46848792704248099</v>
      </c>
      <c r="E110">
        <v>6.4212444342187798</v>
      </c>
      <c r="F110">
        <v>0.31822304734854601</v>
      </c>
      <c r="G110">
        <v>-142.8038889737517</v>
      </c>
      <c r="H110">
        <v>-79.842405615513968</v>
      </c>
      <c r="I110">
        <v>59.504945412855001</v>
      </c>
      <c r="J110">
        <v>24.5948404072332</v>
      </c>
      <c r="K110">
        <v>20.1784392668004</v>
      </c>
      <c r="L110">
        <v>1.7646164406930765E-3</v>
      </c>
      <c r="M110">
        <v>6.7890902519569243E-4</v>
      </c>
      <c r="N110" s="1">
        <v>-2.17263509594065E-5</v>
      </c>
      <c r="O110" s="1">
        <v>2.47464063150033E-5</v>
      </c>
      <c r="P110" s="1">
        <v>-3.0079687212391899E-5</v>
      </c>
      <c r="AE110">
        <v>100</v>
      </c>
      <c r="AJ110">
        <v>1</v>
      </c>
    </row>
    <row r="111" spans="1:36" x14ac:dyDescent="0.2">
      <c r="A111">
        <v>110</v>
      </c>
      <c r="B111">
        <v>784</v>
      </c>
      <c r="C111">
        <v>135</v>
      </c>
      <c r="D111">
        <v>0.467918932980182</v>
      </c>
      <c r="E111">
        <v>6.4335874651410601</v>
      </c>
      <c r="F111">
        <v>0.31878575334848802</v>
      </c>
      <c r="G111">
        <v>-143.01878148895798</v>
      </c>
      <c r="H111">
        <v>-80.020536286922379</v>
      </c>
      <c r="I111">
        <v>59.596014658138103</v>
      </c>
      <c r="J111">
        <v>24.670246773086301</v>
      </c>
      <c r="K111">
        <v>20.181540101975699</v>
      </c>
      <c r="L111">
        <v>1.7688134784889513E-3</v>
      </c>
      <c r="M111">
        <v>6.7861446625114492E-4</v>
      </c>
      <c r="N111" s="1">
        <v>-2.1690810759724399E-5</v>
      </c>
      <c r="O111" s="1">
        <v>2.47598182669938E-5</v>
      </c>
      <c r="P111" s="1">
        <v>-3.0207676248396301E-5</v>
      </c>
      <c r="AE111">
        <v>100</v>
      </c>
      <c r="AJ111">
        <v>1</v>
      </c>
    </row>
    <row r="112" spans="1:36" x14ac:dyDescent="0.2">
      <c r="A112">
        <v>111</v>
      </c>
      <c r="B112">
        <v>783</v>
      </c>
      <c r="C112">
        <v>135</v>
      </c>
      <c r="D112">
        <v>0.46734886143066801</v>
      </c>
      <c r="E112">
        <v>6.45794337869218</v>
      </c>
      <c r="F112">
        <v>0.31935079675014399</v>
      </c>
      <c r="G112">
        <v>-143.50040403816348</v>
      </c>
      <c r="H112">
        <v>-80.34825134703317</v>
      </c>
      <c r="I112">
        <v>59.798180488467302</v>
      </c>
      <c r="J112">
        <v>24.792009497227198</v>
      </c>
      <c r="K112">
        <v>20.22209884682</v>
      </c>
      <c r="L112">
        <v>1.7730233971355682E-3</v>
      </c>
      <c r="M112">
        <v>6.7831610004687214E-4</v>
      </c>
      <c r="N112" s="1">
        <v>-2.1692885914351601E-5</v>
      </c>
      <c r="O112" s="1">
        <v>2.4819163027458701E-5</v>
      </c>
      <c r="P112" s="1">
        <v>-3.0392913078550401E-5</v>
      </c>
      <c r="AE112">
        <v>100</v>
      </c>
      <c r="AJ112">
        <v>1</v>
      </c>
    </row>
    <row r="113" spans="1:36" x14ac:dyDescent="0.2">
      <c r="A113">
        <v>112</v>
      </c>
      <c r="B113">
        <v>782</v>
      </c>
      <c r="C113">
        <v>135</v>
      </c>
      <c r="D113">
        <v>0.466777709330429</v>
      </c>
      <c r="E113">
        <v>6.4823240289502602</v>
      </c>
      <c r="F113">
        <v>0.319918190564426</v>
      </c>
      <c r="G113">
        <v>-143.98214844719126</v>
      </c>
      <c r="H113">
        <v>-80.676489708395465</v>
      </c>
      <c r="I113">
        <v>60.0003490713788</v>
      </c>
      <c r="J113">
        <v>24.914213184811199</v>
      </c>
      <c r="K113">
        <v>20.262442774865601</v>
      </c>
      <c r="L113">
        <v>1.777246149703259E-3</v>
      </c>
      <c r="M113">
        <v>6.7801388064372644E-4</v>
      </c>
      <c r="N113" s="1">
        <v>-2.1691945439556101E-5</v>
      </c>
      <c r="O113" s="1">
        <v>2.4878237229387601E-5</v>
      </c>
      <c r="P113" s="1">
        <v>-3.0579247923869903E-5</v>
      </c>
      <c r="AE113">
        <v>100</v>
      </c>
      <c r="AJ113">
        <v>1</v>
      </c>
    </row>
    <row r="114" spans="1:36" x14ac:dyDescent="0.2">
      <c r="A114">
        <v>113</v>
      </c>
      <c r="B114">
        <v>781</v>
      </c>
      <c r="C114">
        <v>135</v>
      </c>
      <c r="D114">
        <v>0.46620547360432502</v>
      </c>
      <c r="E114">
        <v>6.50671794864102</v>
      </c>
      <c r="F114">
        <v>0.32048794786150298</v>
      </c>
      <c r="G114">
        <v>-144.46375974525316</v>
      </c>
      <c r="H114">
        <v>-81.005109349232029</v>
      </c>
      <c r="I114">
        <v>60.202413261480402</v>
      </c>
      <c r="J114">
        <v>25.036815660193099</v>
      </c>
      <c r="K114">
        <v>20.302535530767699</v>
      </c>
      <c r="L114">
        <v>1.7814816867163159E-3</v>
      </c>
      <c r="M114">
        <v>6.7770776159018604E-4</v>
      </c>
      <c r="N114" s="1">
        <v>-2.1687881001123898E-5</v>
      </c>
      <c r="O114" s="1">
        <v>2.4936993824893399E-5</v>
      </c>
      <c r="P114" s="1">
        <v>-3.07666340529336E-5</v>
      </c>
      <c r="AE114">
        <v>100</v>
      </c>
      <c r="AJ114">
        <v>1</v>
      </c>
    </row>
    <row r="115" spans="1:36" x14ac:dyDescent="0.2">
      <c r="A115">
        <v>114</v>
      </c>
      <c r="B115">
        <v>780</v>
      </c>
      <c r="C115">
        <v>135</v>
      </c>
      <c r="D115">
        <v>0.46563215116555001</v>
      </c>
      <c r="E115">
        <v>6.5311139060765004</v>
      </c>
      <c r="F115">
        <v>0.32106008177037698</v>
      </c>
      <c r="G115">
        <v>-144.94498861574516</v>
      </c>
      <c r="H115">
        <v>-81.333971007764802</v>
      </c>
      <c r="I115">
        <v>60.404268254677604</v>
      </c>
      <c r="J115">
        <v>25.1597754426679</v>
      </c>
      <c r="K115">
        <v>20.342341751309799</v>
      </c>
      <c r="L115">
        <v>1.7857299560989914E-3</v>
      </c>
      <c r="M115">
        <v>6.7739769591905431E-4</v>
      </c>
      <c r="N115" s="1">
        <v>-2.1680584506291E-5</v>
      </c>
      <c r="O115" s="1">
        <v>2.49953868635522E-5</v>
      </c>
      <c r="P115" s="1">
        <v>-3.0955025315439101E-5</v>
      </c>
      <c r="AE115">
        <v>100</v>
      </c>
      <c r="AJ115">
        <v>1</v>
      </c>
    </row>
    <row r="116" spans="1:36" x14ac:dyDescent="0.2">
      <c r="A116">
        <v>115</v>
      </c>
      <c r="B116">
        <v>779</v>
      </c>
      <c r="C116">
        <v>135</v>
      </c>
      <c r="D116">
        <v>0.46505773891555402</v>
      </c>
      <c r="E116">
        <v>6.5555009450208699</v>
      </c>
      <c r="F116">
        <v>0.32163460547842998</v>
      </c>
      <c r="G116">
        <v>-145.42559226931718</v>
      </c>
      <c r="H116">
        <v>-81.662938682852811</v>
      </c>
      <c r="I116">
        <v>60.605811953294598</v>
      </c>
      <c r="J116">
        <v>25.28305190256</v>
      </c>
      <c r="K116">
        <v>20.381827183270801</v>
      </c>
      <c r="L116">
        <v>1.7899909031205664E-3</v>
      </c>
      <c r="M116">
        <v>6.7708363614413941E-4</v>
      </c>
      <c r="N116" s="1">
        <v>-2.1669948254117899E-5</v>
      </c>
      <c r="O116" s="1">
        <v>2.5053371639445301E-5</v>
      </c>
      <c r="P116" s="1">
        <v>-3.1144376333347703E-5</v>
      </c>
      <c r="AE116">
        <v>100</v>
      </c>
      <c r="AJ116">
        <v>1</v>
      </c>
    </row>
    <row r="117" spans="1:36" x14ac:dyDescent="0.2">
      <c r="A117">
        <v>116</v>
      </c>
      <c r="B117">
        <v>778</v>
      </c>
      <c r="C117">
        <v>135</v>
      </c>
      <c r="D117">
        <v>0.464482233743996</v>
      </c>
      <c r="E117">
        <v>6.5798684188778802</v>
      </c>
      <c r="F117">
        <v>0.32221153223094401</v>
      </c>
      <c r="G117">
        <v>-145.90533518882557</v>
      </c>
      <c r="H117">
        <v>-81.991880064803652</v>
      </c>
      <c r="I117">
        <v>60.806945277820802</v>
      </c>
      <c r="J117">
        <v>25.406605396510798</v>
      </c>
      <c r="K117">
        <v>20.420958782324899</v>
      </c>
      <c r="L117">
        <v>1.79426447033986E-3</v>
      </c>
      <c r="M117">
        <v>6.7676553425711106E-4</v>
      </c>
      <c r="N117" s="1">
        <v>-2.1655865064011599E-5</v>
      </c>
      <c r="O117" s="1">
        <v>2.5110904815223399E-5</v>
      </c>
      <c r="P117" s="1">
        <v>-3.1334642667766703E-5</v>
      </c>
      <c r="AE117">
        <v>100</v>
      </c>
      <c r="AJ117">
        <v>1</v>
      </c>
    </row>
    <row r="118" spans="1:36" x14ac:dyDescent="0.2">
      <c r="A118">
        <v>117</v>
      </c>
      <c r="B118">
        <v>777</v>
      </c>
      <c r="C118">
        <v>135</v>
      </c>
      <c r="D118">
        <v>0.46390563252868899</v>
      </c>
      <c r="E118">
        <v>6.6042060199950798</v>
      </c>
      <c r="F118">
        <v>0.32279087533060502</v>
      </c>
      <c r="G118">
        <v>-146.3839897641686</v>
      </c>
      <c r="H118">
        <v>-82.320666906125325</v>
      </c>
      <c r="I118">
        <v>61.007572432769201</v>
      </c>
      <c r="J118">
        <v>25.530397384892701</v>
      </c>
      <c r="K118">
        <v>20.4597047956544</v>
      </c>
      <c r="L118">
        <v>1.7985505975489432E-3</v>
      </c>
      <c r="M118">
        <v>6.7644334172440907E-4</v>
      </c>
      <c r="N118" s="1">
        <v>-2.1638228385179399E-5</v>
      </c>
      <c r="O118" s="1">
        <v>2.5167944526419502E-5</v>
      </c>
      <c r="P118" s="1">
        <v>-3.1525780964973003E-5</v>
      </c>
      <c r="AE118">
        <v>100</v>
      </c>
      <c r="AJ118">
        <v>1</v>
      </c>
    </row>
    <row r="119" spans="1:36" x14ac:dyDescent="0.2">
      <c r="A119">
        <v>118</v>
      </c>
      <c r="B119">
        <v>776</v>
      </c>
      <c r="C119">
        <v>135</v>
      </c>
      <c r="D119">
        <v>0.46332793213554102</v>
      </c>
      <c r="E119">
        <v>6.6285038027226104</v>
      </c>
      <c r="F119">
        <v>0.32337264813697397</v>
      </c>
      <c r="G119">
        <v>-146.861336787135</v>
      </c>
      <c r="H119">
        <v>-82.649175315094951</v>
      </c>
      <c r="I119">
        <v>61.207601114190197</v>
      </c>
      <c r="J119">
        <v>25.654390525915201</v>
      </c>
      <c r="K119">
        <v>20.498034824253001</v>
      </c>
      <c r="L119">
        <v>1.8028492217158315E-3</v>
      </c>
      <c r="M119">
        <v>6.7611700948418856E-4</v>
      </c>
      <c r="N119" s="1">
        <v>-2.1616932382767901E-5</v>
      </c>
      <c r="O119" s="1">
        <v>2.52244504609979E-5</v>
      </c>
      <c r="P119" s="1">
        <v>-3.1717749074722397E-5</v>
      </c>
      <c r="AE119">
        <v>100</v>
      </c>
      <c r="AJ119">
        <v>1</v>
      </c>
    </row>
    <row r="120" spans="1:36" x14ac:dyDescent="0.2">
      <c r="A120">
        <v>119</v>
      </c>
      <c r="B120">
        <v>775</v>
      </c>
      <c r="C120">
        <v>135</v>
      </c>
      <c r="D120">
        <v>0.46274912941850099</v>
      </c>
      <c r="E120">
        <v>6.65275220119939</v>
      </c>
      <c r="F120">
        <v>0.32395686406593099</v>
      </c>
      <c r="G120">
        <v>-147.33716582822711</v>
      </c>
      <c r="H120">
        <v>-82.977285984127136</v>
      </c>
      <c r="I120">
        <v>61.406942667972402</v>
      </c>
      <c r="J120">
        <v>25.778548750028701</v>
      </c>
      <c r="K120">
        <v>20.535919868163099</v>
      </c>
      <c r="L120">
        <v>1.8071602769268503E-3</v>
      </c>
      <c r="M120">
        <v>6.7578648794347604E-4</v>
      </c>
      <c r="N120" s="1">
        <v>-2.1591872004308602E-5</v>
      </c>
      <c r="O120" s="1">
        <v>2.52803839180697E-5</v>
      </c>
      <c r="P120" s="1">
        <v>-3.1910506145049502E-5</v>
      </c>
      <c r="AE120">
        <v>100</v>
      </c>
      <c r="AJ120">
        <v>1</v>
      </c>
    </row>
    <row r="121" spans="1:36" x14ac:dyDescent="0.2">
      <c r="A121">
        <v>120</v>
      </c>
      <c r="B121">
        <v>774</v>
      </c>
      <c r="C121">
        <v>135</v>
      </c>
      <c r="D121">
        <v>0.46216922121950399</v>
      </c>
      <c r="E121">
        <v>6.7632860500627103</v>
      </c>
      <c r="F121">
        <v>0.32454353658910101</v>
      </c>
      <c r="G121">
        <v>-149.72272206861373</v>
      </c>
      <c r="H121">
        <v>-84.382155590458382</v>
      </c>
      <c r="I121">
        <v>62.4021743262632</v>
      </c>
      <c r="J121">
        <v>26.237804247422702</v>
      </c>
      <c r="K121">
        <v>20.8393798907343</v>
      </c>
      <c r="L121">
        <v>1.8114836943278288E-3</v>
      </c>
      <c r="M121">
        <v>6.7545172697530762E-4</v>
      </c>
      <c r="N121" s="1">
        <v>-2.1841787880793799E-5</v>
      </c>
      <c r="O121" s="1">
        <v>2.5663340848040101E-5</v>
      </c>
      <c r="P121" s="1">
        <v>-3.2519171177063401E-5</v>
      </c>
      <c r="AE121">
        <v>100</v>
      </c>
      <c r="AJ121">
        <v>1</v>
      </c>
    </row>
    <row r="122" spans="1:36" x14ac:dyDescent="0.2">
      <c r="A122">
        <v>121</v>
      </c>
      <c r="B122">
        <v>773</v>
      </c>
      <c r="C122">
        <v>135</v>
      </c>
      <c r="D122">
        <v>0.46158820436839998</v>
      </c>
      <c r="E122">
        <v>6.8927770891146398</v>
      </c>
      <c r="F122">
        <v>0.32513267923323802</v>
      </c>
      <c r="G122">
        <v>-152.52575492101332</v>
      </c>
      <c r="H122">
        <v>-86.024506856674435</v>
      </c>
      <c r="I122">
        <v>63.571373641116701</v>
      </c>
      <c r="J122">
        <v>26.771842579826099</v>
      </c>
      <c r="K122">
        <v>21.199890165977401</v>
      </c>
      <c r="L122">
        <v>1.8158194020647094E-3</v>
      </c>
      <c r="M122">
        <v>6.7511267591603241E-4</v>
      </c>
      <c r="N122" s="1">
        <v>-2.21460007858541E-5</v>
      </c>
      <c r="O122" s="1">
        <v>2.6116787192054399E-5</v>
      </c>
      <c r="P122" s="1">
        <v>-3.3222259325093098E-5</v>
      </c>
      <c r="AE122">
        <v>100</v>
      </c>
      <c r="AJ122">
        <v>1</v>
      </c>
    </row>
    <row r="123" spans="1:36" x14ac:dyDescent="0.2">
      <c r="A123">
        <v>122</v>
      </c>
      <c r="B123">
        <v>772</v>
      </c>
      <c r="C123">
        <v>135</v>
      </c>
      <c r="D123">
        <v>0.46100607568291702</v>
      </c>
      <c r="E123">
        <v>7.0446617819763704</v>
      </c>
      <c r="F123">
        <v>0.32572430557959597</v>
      </c>
      <c r="G123">
        <v>-155.82175282192188</v>
      </c>
      <c r="H123">
        <v>-87.947464211259927</v>
      </c>
      <c r="I123">
        <v>64.946007748864105</v>
      </c>
      <c r="J123">
        <v>27.394296361377801</v>
      </c>
      <c r="K123">
        <v>21.627682249382701</v>
      </c>
      <c r="L123">
        <v>1.8201673252235082E-3</v>
      </c>
      <c r="M123">
        <v>6.7476928356274542E-4</v>
      </c>
      <c r="N123" s="1">
        <v>-2.2514331348227402E-5</v>
      </c>
      <c r="O123" s="1">
        <v>2.6653402877716601E-5</v>
      </c>
      <c r="P123" s="1">
        <v>-3.4037066815696503E-5</v>
      </c>
      <c r="AE123">
        <v>100</v>
      </c>
      <c r="AJ123">
        <v>1</v>
      </c>
    </row>
    <row r="124" spans="1:36" x14ac:dyDescent="0.2">
      <c r="A124">
        <v>123</v>
      </c>
      <c r="B124">
        <v>771</v>
      </c>
      <c r="C124">
        <v>135</v>
      </c>
      <c r="D124">
        <v>0.46042283196858502</v>
      </c>
      <c r="E124">
        <v>7.5651650083127899</v>
      </c>
      <c r="F124">
        <v>0.32631842926326499</v>
      </c>
      <c r="G124">
        <v>-167.26509808429194</v>
      </c>
      <c r="H124">
        <v>-94.475003240971958</v>
      </c>
      <c r="I124">
        <v>69.716443131055897</v>
      </c>
      <c r="J124">
        <v>29.453441714858201</v>
      </c>
      <c r="K124">
        <v>23.183382640670299</v>
      </c>
      <c r="L124">
        <v>1.824527385769339E-3</v>
      </c>
      <c r="M124">
        <v>6.7442149817079652E-4</v>
      </c>
      <c r="N124" s="1">
        <v>-2.40458567236924E-5</v>
      </c>
      <c r="O124" s="1">
        <v>2.8580827437821101E-5</v>
      </c>
      <c r="P124" s="1">
        <v>-3.6641331357611499E-5</v>
      </c>
      <c r="AE124">
        <v>100</v>
      </c>
      <c r="AJ124">
        <v>1</v>
      </c>
    </row>
    <row r="125" spans="1:36" x14ac:dyDescent="0.2">
      <c r="A125">
        <v>124</v>
      </c>
      <c r="B125">
        <v>770</v>
      </c>
      <c r="C125">
        <v>135</v>
      </c>
      <c r="D125">
        <v>0.45983847001869499</v>
      </c>
      <c r="E125">
        <v>8.1546110281687607</v>
      </c>
      <c r="F125">
        <v>0.326915063972468</v>
      </c>
      <c r="G125">
        <v>-180.22256177983951</v>
      </c>
      <c r="H125">
        <v>-101.86786770776054</v>
      </c>
      <c r="I125">
        <v>75.118018157752701</v>
      </c>
      <c r="J125">
        <v>31.786316289592101</v>
      </c>
      <c r="K125">
        <v>24.944127471762801</v>
      </c>
      <c r="L125">
        <v>1.8288995024846628E-3</v>
      </c>
      <c r="M125">
        <v>6.7406926745141335E-4</v>
      </c>
      <c r="N125" s="1">
        <v>-2.5773358304122201E-5</v>
      </c>
      <c r="O125" s="1">
        <v>3.0762409599355499E-5</v>
      </c>
      <c r="P125" s="1">
        <v>-3.9593212308778399E-5</v>
      </c>
      <c r="AE125">
        <v>100</v>
      </c>
      <c r="AJ125">
        <v>1</v>
      </c>
    </row>
    <row r="126" spans="1:36" x14ac:dyDescent="0.2">
      <c r="A126">
        <v>125</v>
      </c>
      <c r="B126">
        <v>769</v>
      </c>
      <c r="C126">
        <v>135</v>
      </c>
      <c r="D126">
        <v>0.45925298661421299</v>
      </c>
      <c r="E126">
        <v>8.9464071321258292</v>
      </c>
      <c r="F126">
        <v>0.32751422344784797</v>
      </c>
      <c r="G126">
        <v>-197.6394099656826</v>
      </c>
      <c r="H126">
        <v>-111.79392357420534</v>
      </c>
      <c r="I126">
        <v>82.378358273771099</v>
      </c>
      <c r="J126">
        <v>34.914559548178602</v>
      </c>
      <c r="K126">
        <v>27.316087337960699</v>
      </c>
      <c r="L126">
        <v>1.8332835909070234E-3</v>
      </c>
      <c r="M126">
        <v>6.7371253856949979E-4</v>
      </c>
      <c r="N126" s="1">
        <v>-2.8111438194646E-5</v>
      </c>
      <c r="O126" s="1">
        <v>3.3699484095426198E-5</v>
      </c>
      <c r="P126" s="1">
        <v>-4.35446254645397E-5</v>
      </c>
      <c r="AE126">
        <v>100</v>
      </c>
      <c r="AJ126">
        <v>1</v>
      </c>
    </row>
    <row r="127" spans="1:36" x14ac:dyDescent="0.2">
      <c r="A127">
        <v>126</v>
      </c>
      <c r="B127">
        <v>768</v>
      </c>
      <c r="C127">
        <v>135</v>
      </c>
      <c r="D127">
        <v>0.45866637852374798</v>
      </c>
      <c r="E127">
        <v>9.71685827371609</v>
      </c>
      <c r="F127">
        <v>0.32811592148170499</v>
      </c>
      <c r="G127">
        <v>-214.57036457669795</v>
      </c>
      <c r="H127">
        <v>-121.45939248127331</v>
      </c>
      <c r="I127">
        <v>89.436231742219903</v>
      </c>
      <c r="J127">
        <v>37.9670088720232</v>
      </c>
      <c r="K127">
        <v>29.614101716968499</v>
      </c>
      <c r="L127">
        <v>1.8376795632658763E-3</v>
      </c>
      <c r="M127">
        <v>6.733512581415602E-4</v>
      </c>
      <c r="N127" s="1">
        <v>-3.0349066068918799E-5</v>
      </c>
      <c r="O127" s="1">
        <v>3.6547249391581897E-5</v>
      </c>
      <c r="P127" s="1">
        <v>-4.7411524715179202E-5</v>
      </c>
      <c r="AE127">
        <v>100</v>
      </c>
      <c r="AJ127">
        <v>1</v>
      </c>
    </row>
    <row r="128" spans="1:36" x14ac:dyDescent="0.2">
      <c r="A128">
        <v>127</v>
      </c>
      <c r="B128">
        <v>767</v>
      </c>
      <c r="C128">
        <v>135</v>
      </c>
      <c r="D128">
        <v>0.45807864250348701</v>
      </c>
      <c r="E128">
        <v>10.151892194614099</v>
      </c>
      <c r="F128">
        <v>0.32872017191721598</v>
      </c>
      <c r="G128">
        <v>-224.08348318549346</v>
      </c>
      <c r="H128">
        <v>-126.93694745111993</v>
      </c>
      <c r="I128">
        <v>93.402245128572602</v>
      </c>
      <c r="J128">
        <v>39.714743033794498</v>
      </c>
      <c r="K128">
        <v>30.8830825178892</v>
      </c>
      <c r="L128">
        <v>1.8420873284186539E-3</v>
      </c>
      <c r="M128">
        <v>6.7298537223370921E-4</v>
      </c>
      <c r="N128" s="1">
        <v>-3.1511386091245099E-5</v>
      </c>
      <c r="O128" s="1">
        <v>3.8126483701539001E-5</v>
      </c>
      <c r="P128" s="1">
        <v>-4.9657050137947297E-5</v>
      </c>
      <c r="AE128">
        <v>100</v>
      </c>
      <c r="AJ128">
        <v>1</v>
      </c>
    </row>
    <row r="129" spans="1:36" x14ac:dyDescent="0.2">
      <c r="A129">
        <v>128</v>
      </c>
      <c r="B129">
        <v>766</v>
      </c>
      <c r="C129">
        <v>135</v>
      </c>
      <c r="D129">
        <v>0.45748977529712298</v>
      </c>
      <c r="E129">
        <v>10.3809311759859</v>
      </c>
      <c r="F129">
        <v>0.32932698864760901</v>
      </c>
      <c r="G129">
        <v>-229.04358794349903</v>
      </c>
      <c r="H129">
        <v>-129.84143404040839</v>
      </c>
      <c r="I129">
        <v>95.470427281308503</v>
      </c>
      <c r="J129">
        <v>40.659959851925898</v>
      </c>
      <c r="K129">
        <v>31.521653353147698</v>
      </c>
      <c r="L129">
        <v>1.8465067917861834E-3</v>
      </c>
      <c r="M129">
        <v>6.7261482635988155E-4</v>
      </c>
      <c r="N129" s="1">
        <v>-3.2016314598343002E-5</v>
      </c>
      <c r="O129" s="1">
        <v>3.89281389023137E-5</v>
      </c>
      <c r="P129" s="1">
        <v>-5.0903750683644597E-5</v>
      </c>
      <c r="AE129">
        <v>100</v>
      </c>
      <c r="AJ129">
        <v>1</v>
      </c>
    </row>
    <row r="130" spans="1:36" x14ac:dyDescent="0.2">
      <c r="A130">
        <v>129</v>
      </c>
      <c r="B130">
        <v>765</v>
      </c>
      <c r="C130">
        <v>135</v>
      </c>
      <c r="D130">
        <v>0.45689977363579698</v>
      </c>
      <c r="E130">
        <v>10.5024288745138</v>
      </c>
      <c r="F130">
        <v>0.32993638561532002</v>
      </c>
      <c r="G130">
        <v>-231.62773021261975</v>
      </c>
      <c r="H130">
        <v>-131.40224999983371</v>
      </c>
      <c r="I130">
        <v>96.548177380447001</v>
      </c>
      <c r="J130">
        <v>41.185835252743701</v>
      </c>
      <c r="K130">
        <v>31.831678264060201</v>
      </c>
      <c r="L130">
        <v>1.8509378552875198E-3</v>
      </c>
      <c r="M130">
        <v>6.7223956548022378E-4</v>
      </c>
      <c r="N130" s="1">
        <v>-3.2177339787534E-5</v>
      </c>
      <c r="O130" s="1">
        <v>3.9324322484846002E-5</v>
      </c>
      <c r="P130" s="1">
        <v>-5.1628134085523E-5</v>
      </c>
      <c r="AE130">
        <v>100</v>
      </c>
      <c r="AJ130">
        <v>1</v>
      </c>
    </row>
    <row r="131" spans="1:36" x14ac:dyDescent="0.2">
      <c r="A131">
        <v>130</v>
      </c>
      <c r="B131">
        <v>797</v>
      </c>
      <c r="C131">
        <v>115</v>
      </c>
      <c r="D131">
        <v>0.49579077699387802</v>
      </c>
      <c r="E131">
        <v>6.8121275801351198</v>
      </c>
      <c r="F131">
        <v>0.26740133780309999</v>
      </c>
      <c r="G131">
        <v>-152.72717421051118</v>
      </c>
      <c r="H131">
        <v>-83.988459679563093</v>
      </c>
      <c r="I131">
        <v>64.236427462189297</v>
      </c>
      <c r="J131">
        <v>25.0755334937522</v>
      </c>
      <c r="K131">
        <v>25.4752935647284</v>
      </c>
      <c r="L131">
        <v>1.7455560605220742E-3</v>
      </c>
      <c r="M131">
        <v>8.5774214530028221E-4</v>
      </c>
      <c r="N131" s="1">
        <v>-3.9295021144178397E-5</v>
      </c>
      <c r="O131" s="1">
        <v>4.4618485147255498E-5</v>
      </c>
      <c r="P131" s="1">
        <v>-3.9073014614500701E-5</v>
      </c>
      <c r="AE131">
        <v>100</v>
      </c>
      <c r="AJ131">
        <v>1</v>
      </c>
    </row>
    <row r="132" spans="1:36" x14ac:dyDescent="0.2">
      <c r="A132">
        <v>131</v>
      </c>
      <c r="B132">
        <v>796</v>
      </c>
      <c r="C132">
        <v>115</v>
      </c>
      <c r="D132">
        <v>0.49525370621521903</v>
      </c>
      <c r="E132">
        <v>6.81668088955628</v>
      </c>
      <c r="F132">
        <v>0.26786912507113297</v>
      </c>
      <c r="G132">
        <v>-152.76499129036452</v>
      </c>
      <c r="H132">
        <v>-84.069705284781762</v>
      </c>
      <c r="I132">
        <v>64.255891997362298</v>
      </c>
      <c r="J132">
        <v>25.121116760317001</v>
      </c>
      <c r="K132">
        <v>25.447803615837</v>
      </c>
      <c r="L132">
        <v>1.7501560284871982E-3</v>
      </c>
      <c r="M132">
        <v>8.5770454378524582E-4</v>
      </c>
      <c r="N132" s="1">
        <v>-3.9379534296100097E-5</v>
      </c>
      <c r="O132" s="1">
        <v>4.4602058998239702E-5</v>
      </c>
      <c r="P132" s="1">
        <v>-3.9184570862802297E-5</v>
      </c>
      <c r="AE132">
        <v>100</v>
      </c>
      <c r="AJ132">
        <v>1</v>
      </c>
    </row>
    <row r="133" spans="1:36" x14ac:dyDescent="0.2">
      <c r="A133">
        <v>132</v>
      </c>
      <c r="B133">
        <v>795</v>
      </c>
      <c r="C133">
        <v>115</v>
      </c>
      <c r="D133">
        <v>0.49471562982727202</v>
      </c>
      <c r="E133">
        <v>6.8374821499487801</v>
      </c>
      <c r="F133">
        <v>0.26833896785649902</v>
      </c>
      <c r="G133">
        <v>-153.16671703876654</v>
      </c>
      <c r="H133">
        <v>-84.351458248986404</v>
      </c>
      <c r="I133">
        <v>64.428377678168602</v>
      </c>
      <c r="J133">
        <v>25.226858146637401</v>
      </c>
      <c r="K133">
        <v>25.4807648869145</v>
      </c>
      <c r="L133">
        <v>1.7547771083429506E-3</v>
      </c>
      <c r="M133">
        <v>8.5766476341403333E-4</v>
      </c>
      <c r="N133" s="1">
        <v>-3.9556916454059199E-5</v>
      </c>
      <c r="O133" s="1">
        <v>4.46917046070589E-5</v>
      </c>
      <c r="P133" s="1">
        <v>-3.9390521173114397E-5</v>
      </c>
      <c r="AE133">
        <v>100</v>
      </c>
      <c r="AJ133">
        <v>1</v>
      </c>
    </row>
    <row r="134" spans="1:36" x14ac:dyDescent="0.2">
      <c r="A134">
        <v>133</v>
      </c>
      <c r="B134">
        <v>794</v>
      </c>
      <c r="C134">
        <v>115</v>
      </c>
      <c r="D134">
        <v>0.49417654500304597</v>
      </c>
      <c r="E134">
        <v>6.8582952806470301</v>
      </c>
      <c r="F134">
        <v>0.26881087978783602</v>
      </c>
      <c r="G134">
        <v>-153.56834018679885</v>
      </c>
      <c r="H134">
        <v>-84.633540359775068</v>
      </c>
      <c r="I134">
        <v>64.600782050068801</v>
      </c>
      <c r="J134">
        <v>25.332995129062802</v>
      </c>
      <c r="K134">
        <v>25.513458703978198</v>
      </c>
      <c r="L134">
        <v>1.7594193885841715E-3</v>
      </c>
      <c r="M134">
        <v>8.5762276767328946E-4</v>
      </c>
      <c r="N134" s="1">
        <v>-3.9733466684159003E-5</v>
      </c>
      <c r="O134" s="1">
        <v>4.4781076049319603E-5</v>
      </c>
      <c r="P134" s="1">
        <v>-3.9597752013129503E-5</v>
      </c>
      <c r="AE134">
        <v>100</v>
      </c>
      <c r="AJ134">
        <v>1</v>
      </c>
    </row>
    <row r="135" spans="1:36" x14ac:dyDescent="0.2">
      <c r="A135">
        <v>134</v>
      </c>
      <c r="B135">
        <v>793</v>
      </c>
      <c r="C135">
        <v>115</v>
      </c>
      <c r="D135">
        <v>0.49363644890494002</v>
      </c>
      <c r="E135">
        <v>6.8791112518019499</v>
      </c>
      <c r="F135">
        <v>0.26928487460016098</v>
      </c>
      <c r="G135">
        <v>-153.96965855658209</v>
      </c>
      <c r="H135">
        <v>-84.915840726230016</v>
      </c>
      <c r="I135">
        <v>64.773019256423694</v>
      </c>
      <c r="J135">
        <v>25.4394970370859</v>
      </c>
      <c r="K135">
        <v>25.545850883812701</v>
      </c>
      <c r="L135">
        <v>1.764082957129573E-3</v>
      </c>
      <c r="M135">
        <v>8.5757851946208512E-4</v>
      </c>
      <c r="N135" s="1">
        <v>-3.9909086601682301E-5</v>
      </c>
      <c r="O135" s="1">
        <v>4.4870112530974802E-5</v>
      </c>
      <c r="P135" s="1">
        <v>-3.9806224693213503E-5</v>
      </c>
      <c r="AE135">
        <v>100</v>
      </c>
      <c r="AJ135">
        <v>1</v>
      </c>
    </row>
    <row r="136" spans="1:36" x14ac:dyDescent="0.2">
      <c r="A136">
        <v>135</v>
      </c>
      <c r="B136">
        <v>792</v>
      </c>
      <c r="C136">
        <v>115</v>
      </c>
      <c r="D136">
        <v>0.49309533868469302</v>
      </c>
      <c r="E136">
        <v>6.8999212294891299</v>
      </c>
      <c r="F136">
        <v>0.26976096613558198</v>
      </c>
      <c r="G136">
        <v>-154.3704746947619</v>
      </c>
      <c r="H136">
        <v>-85.198250746419546</v>
      </c>
      <c r="I136">
        <v>64.945005404847706</v>
      </c>
      <c r="J136">
        <v>25.546333783376401</v>
      </c>
      <c r="K136">
        <v>25.577908206412701</v>
      </c>
      <c r="L136">
        <v>1.7687679012866058E-3</v>
      </c>
      <c r="M136">
        <v>8.575319810824628E-4</v>
      </c>
      <c r="N136" s="1">
        <v>-4.0083677514232002E-5</v>
      </c>
      <c r="O136" s="1">
        <v>4.4958754746327501E-5</v>
      </c>
      <c r="P136" s="1">
        <v>-4.0015901344865297E-5</v>
      </c>
      <c r="AE136">
        <v>100</v>
      </c>
      <c r="AJ136">
        <v>1</v>
      </c>
    </row>
    <row r="137" spans="1:36" x14ac:dyDescent="0.2">
      <c r="A137">
        <v>136</v>
      </c>
      <c r="B137">
        <v>791</v>
      </c>
      <c r="C137">
        <v>115</v>
      </c>
      <c r="D137">
        <v>0.49255321148334702</v>
      </c>
      <c r="E137">
        <v>6.92071660354949</v>
      </c>
      <c r="F137">
        <v>0.27023916834401102</v>
      </c>
      <c r="G137">
        <v>-154.77059648559319</v>
      </c>
      <c r="H137">
        <v>-85.480664454526902</v>
      </c>
      <c r="I137">
        <v>65.116658826375499</v>
      </c>
      <c r="J137">
        <v>25.65347596874</v>
      </c>
      <c r="K137">
        <v>25.6095985121575</v>
      </c>
      <c r="L137">
        <v>1.7734743077154821E-3</v>
      </c>
      <c r="M137">
        <v>8.5748311422990605E-4</v>
      </c>
      <c r="N137" s="1">
        <v>-4.0257140584127203E-5</v>
      </c>
      <c r="O137" s="1">
        <v>4.5046945052617897E-5</v>
      </c>
      <c r="P137" s="1">
        <v>-4.0226745086902703E-5</v>
      </c>
      <c r="AE137">
        <v>100</v>
      </c>
      <c r="AJ137">
        <v>1</v>
      </c>
    </row>
    <row r="138" spans="1:36" x14ac:dyDescent="0.2">
      <c r="A138">
        <v>137</v>
      </c>
      <c r="B138">
        <v>790</v>
      </c>
      <c r="C138">
        <v>115</v>
      </c>
      <c r="D138">
        <v>0.49201006443117301</v>
      </c>
      <c r="E138">
        <v>6.9414890118771098</v>
      </c>
      <c r="F138">
        <v>0.27071949528387201</v>
      </c>
      <c r="G138">
        <v>-155.16983768304289</v>
      </c>
      <c r="H138">
        <v>-85.762978824708213</v>
      </c>
      <c r="I138">
        <v>65.287900300619398</v>
      </c>
      <c r="J138">
        <v>25.7608949746711</v>
      </c>
      <c r="K138">
        <v>25.6408907847525</v>
      </c>
      <c r="L138">
        <v>1.7782022623921837E-3</v>
      </c>
      <c r="M138">
        <v>8.5743187998370155E-4</v>
      </c>
      <c r="N138" s="1">
        <v>-4.0429376971292298E-5</v>
      </c>
      <c r="O138" s="1">
        <v>4.5134627620342801E-5</v>
      </c>
      <c r="P138" s="1">
        <v>-4.0438720173231801E-5</v>
      </c>
      <c r="AE138">
        <v>100</v>
      </c>
      <c r="AJ138">
        <v>1</v>
      </c>
    </row>
    <row r="139" spans="1:36" x14ac:dyDescent="0.2">
      <c r="A139">
        <v>138</v>
      </c>
      <c r="B139">
        <v>789</v>
      </c>
      <c r="C139">
        <v>115</v>
      </c>
      <c r="D139">
        <v>0.49146589464765</v>
      </c>
      <c r="E139">
        <v>6.9622303612775402</v>
      </c>
      <c r="F139">
        <v>0.27120196112280598</v>
      </c>
      <c r="G139">
        <v>-155.56801836490175</v>
      </c>
      <c r="H139">
        <v>-86.045094033117067</v>
      </c>
      <c r="I139">
        <v>65.458653248154505</v>
      </c>
      <c r="J139">
        <v>25.8685630438587</v>
      </c>
      <c r="K139">
        <v>25.671755220548999</v>
      </c>
      <c r="L139">
        <v>1.7829518505703564E-3</v>
      </c>
      <c r="M139">
        <v>8.5737823879712108E-4</v>
      </c>
      <c r="N139" s="1">
        <v>-4.0600287957024603E-5</v>
      </c>
      <c r="O139" s="1">
        <v>4.5221748560264501E-5</v>
      </c>
      <c r="P139" s="1">
        <v>-4.0651792122646997E-5</v>
      </c>
      <c r="AE139">
        <v>100</v>
      </c>
      <c r="AJ139">
        <v>1</v>
      </c>
    </row>
    <row r="140" spans="1:36" x14ac:dyDescent="0.2">
      <c r="A140">
        <v>139</v>
      </c>
      <c r="B140">
        <v>788</v>
      </c>
      <c r="C140">
        <v>115</v>
      </c>
      <c r="D140">
        <v>0.49092069924139198</v>
      </c>
      <c r="E140">
        <v>6.9829328440731198</v>
      </c>
      <c r="F140">
        <v>0.27168658013837299</v>
      </c>
      <c r="G140">
        <v>-155.96496529073883</v>
      </c>
      <c r="H140">
        <v>-86.326913667828848</v>
      </c>
      <c r="I140">
        <v>65.628843882471401</v>
      </c>
      <c r="J140">
        <v>25.976453345483499</v>
      </c>
      <c r="K140">
        <v>25.702163281368598</v>
      </c>
      <c r="L140">
        <v>1.7877231567421463E-3</v>
      </c>
      <c r="M140">
        <v>8.5732215048748834E-4</v>
      </c>
      <c r="N140" s="1">
        <v>-4.0769775043564797E-5</v>
      </c>
      <c r="O140" s="1">
        <v>4.5308256021932103E-5</v>
      </c>
      <c r="P140" s="1">
        <v>-4.0865927825586498E-5</v>
      </c>
      <c r="AE140">
        <v>100</v>
      </c>
      <c r="AJ140">
        <v>1</v>
      </c>
    </row>
    <row r="141" spans="1:36" x14ac:dyDescent="0.2">
      <c r="A141">
        <v>140</v>
      </c>
      <c r="B141">
        <v>787</v>
      </c>
      <c r="C141">
        <v>115</v>
      </c>
      <c r="D141">
        <v>0.49037447531009798</v>
      </c>
      <c r="E141">
        <v>7.0035889516391396</v>
      </c>
      <c r="F141">
        <v>0.27217336671874998</v>
      </c>
      <c r="G141">
        <v>-156.36051219041357</v>
      </c>
      <c r="H141">
        <v>-86.608344901195039</v>
      </c>
      <c r="I141">
        <v>65.798401332722904</v>
      </c>
      <c r="J141">
        <v>26.084540029609801</v>
      </c>
      <c r="K141">
        <v>25.732087735374499</v>
      </c>
      <c r="L141">
        <v>1.7925162645979716E-3</v>
      </c>
      <c r="M141">
        <v>8.5726357422610138E-4</v>
      </c>
      <c r="N141" s="1">
        <v>-4.0937740036079703E-5</v>
      </c>
      <c r="O141" s="1">
        <v>4.5394100271581097E-5</v>
      </c>
      <c r="P141" s="1">
        <v>-4.10810956344261E-5</v>
      </c>
      <c r="AE141">
        <v>100</v>
      </c>
      <c r="AJ141">
        <v>1</v>
      </c>
    </row>
    <row r="142" spans="1:36" x14ac:dyDescent="0.2">
      <c r="A142">
        <v>141</v>
      </c>
      <c r="B142">
        <v>786</v>
      </c>
      <c r="C142">
        <v>115</v>
      </c>
      <c r="D142">
        <v>0.48982721994052197</v>
      </c>
      <c r="E142">
        <v>7.0241914838878703</v>
      </c>
      <c r="F142">
        <v>0.27266233536342399</v>
      </c>
      <c r="G142">
        <v>-156.75449996140787</v>
      </c>
      <c r="H142">
        <v>-86.889298612389098</v>
      </c>
      <c r="I142">
        <v>65.967257728103306</v>
      </c>
      <c r="J142">
        <v>26.1927982669046</v>
      </c>
      <c r="K142">
        <v>25.761502682523101</v>
      </c>
      <c r="L142">
        <v>1.79733125698516E-3</v>
      </c>
      <c r="M142">
        <v>8.5720246852805451E-4</v>
      </c>
      <c r="N142" s="1">
        <v>-4.1104085101042998E-5</v>
      </c>
      <c r="O142" s="1">
        <v>4.5479233743197001E-5</v>
      </c>
      <c r="P142" s="1">
        <v>-4.1297265431296701E-5</v>
      </c>
      <c r="AE142">
        <v>100</v>
      </c>
      <c r="AJ142">
        <v>1</v>
      </c>
    </row>
    <row r="143" spans="1:36" x14ac:dyDescent="0.2">
      <c r="A143">
        <v>142</v>
      </c>
      <c r="B143">
        <v>785</v>
      </c>
      <c r="C143">
        <v>115</v>
      </c>
      <c r="D143">
        <v>0.48927893020838498</v>
      </c>
      <c r="E143">
        <v>7.0447335555954202</v>
      </c>
      <c r="F143">
        <v>0.273153500683883</v>
      </c>
      <c r="G143">
        <v>-157.14677679521319</v>
      </c>
      <c r="H143">
        <v>-87.169689471115575</v>
      </c>
      <c r="I143">
        <v>66.135348252359606</v>
      </c>
      <c r="J143">
        <v>26.3012042769145</v>
      </c>
      <c r="K143">
        <v>25.7903835680589</v>
      </c>
      <c r="L143">
        <v>1.8021682158654174E-3</v>
      </c>
      <c r="M143">
        <v>8.5713879124185461E-4</v>
      </c>
      <c r="N143" s="1">
        <v>-4.1268712806000597E-5</v>
      </c>
      <c r="O143" s="1">
        <v>4.5563611068712602E-5</v>
      </c>
      <c r="P143" s="1">
        <v>-4.1514408678335499E-5</v>
      </c>
      <c r="AE143">
        <v>100</v>
      </c>
      <c r="AJ143">
        <v>1</v>
      </c>
    </row>
    <row r="144" spans="1:36" x14ac:dyDescent="0.2">
      <c r="A144">
        <v>143</v>
      </c>
      <c r="B144">
        <v>784</v>
      </c>
      <c r="C144">
        <v>115</v>
      </c>
      <c r="D144">
        <v>0.48872960317835601</v>
      </c>
      <c r="E144">
        <v>7.0652085990315703</v>
      </c>
      <c r="F144">
        <v>0.27364687740429999</v>
      </c>
      <c r="G144">
        <v>-157.53719822093981</v>
      </c>
      <c r="H144">
        <v>-87.449435975716469</v>
      </c>
      <c r="I144">
        <v>66.302611163446201</v>
      </c>
      <c r="J144">
        <v>26.409735342791699</v>
      </c>
      <c r="K144">
        <v>25.8187071822239</v>
      </c>
      <c r="L144">
        <v>1.8070272222711289E-3</v>
      </c>
      <c r="M144">
        <v>8.570724995389656E-4</v>
      </c>
      <c r="N144" s="1">
        <v>-4.1431526137327997E-5</v>
      </c>
      <c r="O144" s="1">
        <v>4.56471890840118E-5</v>
      </c>
      <c r="P144" s="1">
        <v>-4.1732498446914602E-5</v>
      </c>
      <c r="AE144">
        <v>100</v>
      </c>
      <c r="AJ144">
        <v>1</v>
      </c>
    </row>
    <row r="145" spans="1:36" x14ac:dyDescent="0.2">
      <c r="A145">
        <v>144</v>
      </c>
      <c r="B145">
        <v>783</v>
      </c>
      <c r="C145">
        <v>115</v>
      </c>
      <c r="D145">
        <v>0.48817923590399198</v>
      </c>
      <c r="E145">
        <v>7.1288794612948001</v>
      </c>
      <c r="F145">
        <v>0.27414248036220801</v>
      </c>
      <c r="G145">
        <v>-158.89001815591419</v>
      </c>
      <c r="H145">
        <v>-88.264184426056616</v>
      </c>
      <c r="I145">
        <v>66.8748883325745</v>
      </c>
      <c r="J145">
        <v>26.680307301720401</v>
      </c>
      <c r="K145">
        <v>26.004285989810199</v>
      </c>
      <c r="L145">
        <v>1.8119083562604865E-3</v>
      </c>
      <c r="M145">
        <v>8.5700354990318262E-4</v>
      </c>
      <c r="N145" s="1">
        <v>-4.1846417466281202E-5</v>
      </c>
      <c r="O145" s="1">
        <v>4.6009181892932898E-5</v>
      </c>
      <c r="P145" s="1">
        <v>-4.2207691165177701E-5</v>
      </c>
      <c r="AE145">
        <v>100</v>
      </c>
      <c r="AJ145">
        <v>1</v>
      </c>
    </row>
    <row r="146" spans="1:36" x14ac:dyDescent="0.2">
      <c r="A146">
        <v>145</v>
      </c>
      <c r="B146">
        <v>782</v>
      </c>
      <c r="C146">
        <v>115</v>
      </c>
      <c r="D146">
        <v>0.48762782542766497</v>
      </c>
      <c r="E146">
        <v>7.2408814778422501</v>
      </c>
      <c r="F146">
        <v>0.27464032450917802</v>
      </c>
      <c r="G146">
        <v>-161.31843077276105</v>
      </c>
      <c r="H146">
        <v>-89.678021501868045</v>
      </c>
      <c r="I146">
        <v>67.899874849941298</v>
      </c>
      <c r="J146">
        <v>27.1327613409299</v>
      </c>
      <c r="K146">
        <v>26.364961120632</v>
      </c>
      <c r="L146">
        <v>1.8168116968713584E-3</v>
      </c>
      <c r="M146">
        <v>8.5693189811986549E-4</v>
      </c>
      <c r="N146" s="1">
        <v>-4.25442218732973E-5</v>
      </c>
      <c r="O146" s="1">
        <v>4.6681795732748298E-5</v>
      </c>
      <c r="P146" s="1">
        <v>-4.2972294107159601E-5</v>
      </c>
      <c r="AE146">
        <v>100</v>
      </c>
      <c r="AJ146">
        <v>1</v>
      </c>
    </row>
    <row r="147" spans="1:36" x14ac:dyDescent="0.2">
      <c r="A147">
        <v>146</v>
      </c>
      <c r="B147">
        <v>781</v>
      </c>
      <c r="C147">
        <v>115</v>
      </c>
      <c r="D147">
        <v>0.48707536878053398</v>
      </c>
      <c r="E147">
        <v>7.3670203626384501</v>
      </c>
      <c r="F147">
        <v>0.27514042491148399</v>
      </c>
      <c r="G147">
        <v>-164.05958902037159</v>
      </c>
      <c r="H147">
        <v>-91.267868878088692</v>
      </c>
      <c r="I147">
        <v>69.056525165983203</v>
      </c>
      <c r="J147">
        <v>27.639484384512901</v>
      </c>
      <c r="K147">
        <v>26.7754924235815</v>
      </c>
      <c r="L147">
        <v>1.821737322073959E-3</v>
      </c>
      <c r="M147">
        <v>8.5685749926507257E-4</v>
      </c>
      <c r="N147" s="1">
        <v>-4.3324523061587201E-5</v>
      </c>
      <c r="O147" s="1">
        <v>4.7443807039954301E-5</v>
      </c>
      <c r="P147" s="1">
        <v>-4.3824970123258899E-5</v>
      </c>
      <c r="AE147">
        <v>100</v>
      </c>
      <c r="AJ147">
        <v>1</v>
      </c>
    </row>
    <row r="148" spans="1:36" x14ac:dyDescent="0.2">
      <c r="A148">
        <v>147</v>
      </c>
      <c r="B148">
        <v>780</v>
      </c>
      <c r="C148">
        <v>115</v>
      </c>
      <c r="D148">
        <v>0.48652186298248101</v>
      </c>
      <c r="E148">
        <v>7.5244858807573296</v>
      </c>
      <c r="F148">
        <v>0.27564279675076098</v>
      </c>
      <c r="G148">
        <v>-167.49574241883673</v>
      </c>
      <c r="H148">
        <v>-93.24691104568025</v>
      </c>
      <c r="I148">
        <v>70.505756393708097</v>
      </c>
      <c r="J148">
        <v>28.265256178669802</v>
      </c>
      <c r="K148">
        <v>27.297959422320901</v>
      </c>
      <c r="L148">
        <v>1.8266853087221123E-3</v>
      </c>
      <c r="M148">
        <v>8.5678030769446953E-4</v>
      </c>
      <c r="N148" s="1">
        <v>-4.42885774189709E-5</v>
      </c>
      <c r="O148" s="1">
        <v>4.8405497786849299E-5</v>
      </c>
      <c r="P148" s="1">
        <v>-4.4868873173162401E-5</v>
      </c>
      <c r="AE148">
        <v>100</v>
      </c>
      <c r="AJ148">
        <v>1</v>
      </c>
    </row>
    <row r="149" spans="1:36" x14ac:dyDescent="0.2">
      <c r="A149">
        <v>148</v>
      </c>
      <c r="B149">
        <v>779</v>
      </c>
      <c r="C149">
        <v>115</v>
      </c>
      <c r="D149">
        <v>0.48596730504205599</v>
      </c>
      <c r="E149">
        <v>7.9741118942273603</v>
      </c>
      <c r="F149">
        <v>0.27614745532466101</v>
      </c>
      <c r="G149">
        <v>-177.42975391368626</v>
      </c>
      <c r="H149">
        <v>-98.848857554959949</v>
      </c>
      <c r="I149">
        <v>74.690357492010406</v>
      </c>
      <c r="J149">
        <v>29.991554091521099</v>
      </c>
      <c r="K149">
        <v>28.8762823646241</v>
      </c>
      <c r="L149">
        <v>1.831655732503424E-3</v>
      </c>
      <c r="M149">
        <v>8.5670027703223272E-4</v>
      </c>
      <c r="N149" s="1">
        <v>-4.69731799920489E-5</v>
      </c>
      <c r="O149" s="1">
        <v>5.1242347621176698E-5</v>
      </c>
      <c r="P149" s="1">
        <v>-4.7664514934803703E-5</v>
      </c>
      <c r="AE149">
        <v>100</v>
      </c>
      <c r="AJ149">
        <v>1</v>
      </c>
    </row>
    <row r="150" spans="1:36" x14ac:dyDescent="0.2">
      <c r="A150">
        <v>149</v>
      </c>
      <c r="B150">
        <v>778</v>
      </c>
      <c r="C150">
        <v>115</v>
      </c>
      <c r="D150">
        <v>0.48541169195642903</v>
      </c>
      <c r="E150">
        <v>8.4409590114747797</v>
      </c>
      <c r="F150">
        <v>0.27665441604749602</v>
      </c>
      <c r="G150">
        <v>-187.73839171133125</v>
      </c>
      <c r="H150">
        <v>-104.66776510415913</v>
      </c>
      <c r="I150">
        <v>79.032923029303802</v>
      </c>
      <c r="J150">
        <v>31.787144477205299</v>
      </c>
      <c r="K150">
        <v>30.510841403036299</v>
      </c>
      <c r="L150">
        <v>1.8366486678878229E-3</v>
      </c>
      <c r="M150">
        <v>8.566173601596591E-4</v>
      </c>
      <c r="N150" s="1">
        <v>-4.9761271286055998E-5</v>
      </c>
      <c r="O150" s="1">
        <v>5.4183360363659797E-5</v>
      </c>
      <c r="P150" s="1">
        <v>-5.0577242252416803E-5</v>
      </c>
      <c r="AE150">
        <v>100</v>
      </c>
      <c r="AJ150">
        <v>1</v>
      </c>
    </row>
    <row r="151" spans="1:36" x14ac:dyDescent="0.2">
      <c r="A151">
        <v>150</v>
      </c>
      <c r="B151">
        <v>777</v>
      </c>
      <c r="C151">
        <v>115</v>
      </c>
      <c r="D151">
        <v>0.48485502071132902</v>
      </c>
      <c r="E151">
        <v>8.7940573911841096</v>
      </c>
      <c r="F151">
        <v>0.27716369445087502</v>
      </c>
      <c r="G151">
        <v>-195.50945597523312</v>
      </c>
      <c r="H151">
        <v>-109.07931736032418</v>
      </c>
      <c r="I151">
        <v>82.307452377817597</v>
      </c>
      <c r="J151">
        <v>33.158481533842703</v>
      </c>
      <c r="K151">
        <v>31.728749353724499</v>
      </c>
      <c r="L151">
        <v>1.8416641880750399E-3</v>
      </c>
      <c r="M151">
        <v>8.5653150920376379E-4</v>
      </c>
      <c r="N151" s="1">
        <v>-5.1879985157038401E-5</v>
      </c>
      <c r="O151" s="1">
        <v>5.6388363539265697E-5</v>
      </c>
      <c r="P151" s="1">
        <v>-5.2821309694949598E-5</v>
      </c>
      <c r="AE151">
        <v>100</v>
      </c>
      <c r="AJ151">
        <v>1</v>
      </c>
    </row>
    <row r="152" spans="1:36" x14ac:dyDescent="0.2">
      <c r="A152">
        <v>151</v>
      </c>
      <c r="B152">
        <v>776</v>
      </c>
      <c r="C152">
        <v>115</v>
      </c>
      <c r="D152">
        <v>0.484297288280991</v>
      </c>
      <c r="E152">
        <v>9.7176211788678799</v>
      </c>
      <c r="F152">
        <v>0.277675306184333</v>
      </c>
      <c r="G152">
        <v>-215.95118913431503</v>
      </c>
      <c r="H152">
        <v>-120.57163857723816</v>
      </c>
      <c r="I152">
        <v>90.916562528376005</v>
      </c>
      <c r="J152">
        <v>36.687106294710297</v>
      </c>
      <c r="K152">
        <v>34.996346316862798</v>
      </c>
      <c r="L152">
        <v>1.8467023649404854E-3</v>
      </c>
      <c r="M152">
        <v>8.5644267552568304E-4</v>
      </c>
      <c r="N152" s="1">
        <v>-5.7366682679534003E-5</v>
      </c>
      <c r="O152" s="1">
        <v>6.2242179612178705E-5</v>
      </c>
      <c r="P152" s="1">
        <v>-5.8511656884933E-5</v>
      </c>
      <c r="AE152">
        <v>100</v>
      </c>
      <c r="AJ152">
        <v>1</v>
      </c>
    </row>
    <row r="153" spans="1:36" x14ac:dyDescent="0.2">
      <c r="A153">
        <v>152</v>
      </c>
      <c r="B153">
        <v>775</v>
      </c>
      <c r="C153">
        <v>115</v>
      </c>
      <c r="D153">
        <v>0.483738491628109</v>
      </c>
      <c r="E153">
        <v>10.0711260977534</v>
      </c>
      <c r="F153">
        <v>0.27818926701595298</v>
      </c>
      <c r="G153">
        <v>-223.71279562836088</v>
      </c>
      <c r="H153">
        <v>-124.99580588862163</v>
      </c>
      <c r="I153">
        <v>94.187619192415497</v>
      </c>
      <c r="J153">
        <v>38.069943023875297</v>
      </c>
      <c r="K153">
        <v>36.202425081971001</v>
      </c>
      <c r="L153">
        <v>1.8517632689797202E-3</v>
      </c>
      <c r="M153">
        <v>8.5635080970891057E-4</v>
      </c>
      <c r="N153" s="1">
        <v>-5.9490126067566198E-5</v>
      </c>
      <c r="O153" s="1">
        <v>6.44356264636384E-5</v>
      </c>
      <c r="P153" s="1">
        <v>-6.0789574674214299E-5</v>
      </c>
      <c r="AE153">
        <v>100</v>
      </c>
      <c r="AJ153">
        <v>1</v>
      </c>
    </row>
    <row r="154" spans="1:36" x14ac:dyDescent="0.2">
      <c r="A154">
        <v>153</v>
      </c>
      <c r="B154">
        <v>774</v>
      </c>
      <c r="C154">
        <v>115</v>
      </c>
      <c r="D154">
        <v>0.48317862770377201</v>
      </c>
      <c r="E154">
        <v>10.353730963176201</v>
      </c>
      <c r="F154">
        <v>0.27870559283296698</v>
      </c>
      <c r="G154">
        <v>-229.8935661596332</v>
      </c>
      <c r="H154">
        <v>-128.54246387717785</v>
      </c>
      <c r="I154">
        <v>96.793226684910806</v>
      </c>
      <c r="J154">
        <v>39.188110158347499</v>
      </c>
      <c r="K154">
        <v>37.1493476608536</v>
      </c>
      <c r="L154">
        <v>1.8568469692516508E-3</v>
      </c>
      <c r="M154">
        <v>8.5625586154750022E-4</v>
      </c>
      <c r="N154" s="1">
        <v>-6.1193905179907505E-5</v>
      </c>
      <c r="O154" s="1">
        <v>6.6170837912833206E-5</v>
      </c>
      <c r="P154" s="1">
        <v>-6.2650233922402205E-5</v>
      </c>
      <c r="AE154">
        <v>100</v>
      </c>
      <c r="AJ154">
        <v>1</v>
      </c>
    </row>
    <row r="155" spans="1:36" x14ac:dyDescent="0.2">
      <c r="A155">
        <v>154</v>
      </c>
      <c r="B155">
        <v>773</v>
      </c>
      <c r="C155">
        <v>115</v>
      </c>
      <c r="D155">
        <v>0.48261769344740202</v>
      </c>
      <c r="E155">
        <v>10.485213564807999</v>
      </c>
      <c r="F155">
        <v>0.279224299642364</v>
      </c>
      <c r="G155">
        <v>-232.71499381415362</v>
      </c>
      <c r="H155">
        <v>-130.21454287727121</v>
      </c>
      <c r="I155">
        <v>97.984468020790601</v>
      </c>
      <c r="J155">
        <v>39.736584235722702</v>
      </c>
      <c r="K155">
        <v>37.551221645958698</v>
      </c>
      <c r="L155">
        <v>1.8619535333199272E-3</v>
      </c>
      <c r="M155">
        <v>8.5615778003397618E-4</v>
      </c>
      <c r="N155" s="1">
        <v>-6.2002592288920797E-5</v>
      </c>
      <c r="O155" s="1">
        <v>6.6937162500148997E-5</v>
      </c>
      <c r="P155" s="1">
        <v>-6.3603936225910607E-5</v>
      </c>
      <c r="AE155">
        <v>100</v>
      </c>
      <c r="AJ1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B5FF9-8D93-4D96-BE83-D9C757AAADEA}">
  <sheetPr codeName="Sheet14"/>
  <dimension ref="A1:AU155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757</v>
      </c>
      <c r="C2">
        <v>275</v>
      </c>
      <c r="D2">
        <v>0.30264573120419402</v>
      </c>
      <c r="E2">
        <v>202.06308853923881</v>
      </c>
      <c r="F2">
        <v>66.920400968720344</v>
      </c>
      <c r="G2">
        <v>72.670778444728214</v>
      </c>
      <c r="H2">
        <v>68.071001350590834</v>
      </c>
      <c r="J2">
        <v>70.525609786885042</v>
      </c>
      <c r="L2">
        <v>8.7089547432642842</v>
      </c>
      <c r="M2">
        <v>13.924765894343672</v>
      </c>
      <c r="N2">
        <v>2.581397939275011</v>
      </c>
      <c r="O2">
        <v>35.037861785845294</v>
      </c>
      <c r="P2">
        <v>13.60598677887598</v>
      </c>
      <c r="Q2">
        <v>1.0282478217467059</v>
      </c>
      <c r="R2">
        <v>18.567103050278714</v>
      </c>
      <c r="S2">
        <v>51.517165207783918</v>
      </c>
      <c r="U2">
        <v>1.7816018484895015</v>
      </c>
      <c r="V2">
        <v>49.204292143658961</v>
      </c>
      <c r="W2">
        <v>21.904270323045498</v>
      </c>
      <c r="X2">
        <v>48.32695583929096</v>
      </c>
      <c r="Y2">
        <v>10.530111041953509</v>
      </c>
      <c r="Z2">
        <v>33.965414577014563</v>
      </c>
      <c r="AA2">
        <v>7.800162197469886</v>
      </c>
      <c r="AB2">
        <v>37.873099228970084</v>
      </c>
      <c r="AC2">
        <v>4.4549599549422057E-3</v>
      </c>
      <c r="AD2">
        <v>9.6787511224269451</v>
      </c>
      <c r="AE2">
        <v>13.672283736738732</v>
      </c>
      <c r="AF2">
        <v>13.602886550285767</v>
      </c>
      <c r="AG2">
        <v>23.34293669596369</v>
      </c>
      <c r="AH2">
        <v>10.146561796826258</v>
      </c>
      <c r="AI2">
        <v>2.529364175326998</v>
      </c>
      <c r="AK2">
        <v>58.489795798547696</v>
      </c>
    </row>
    <row r="3" spans="1:47" x14ac:dyDescent="0.2">
      <c r="A3">
        <v>2</v>
      </c>
      <c r="B3">
        <v>756</v>
      </c>
      <c r="C3">
        <v>275</v>
      </c>
      <c r="D3">
        <v>0.30190011174270298</v>
      </c>
      <c r="E3">
        <v>201.94854048967878</v>
      </c>
      <c r="F3">
        <v>66.563468188508324</v>
      </c>
      <c r="G3">
        <v>72.611404740811679</v>
      </c>
      <c r="H3">
        <v>68.009233314001349</v>
      </c>
      <c r="J3">
        <v>70.44794085439861</v>
      </c>
      <c r="L3">
        <v>8.6259147738278124</v>
      </c>
      <c r="M3">
        <v>13.862877523612523</v>
      </c>
      <c r="N3">
        <v>2.5786669170862164</v>
      </c>
      <c r="O3">
        <v>34.654194585218114</v>
      </c>
      <c r="P3">
        <v>13.505997351406323</v>
      </c>
      <c r="Q3">
        <v>0.97057086121046454</v>
      </c>
      <c r="R3">
        <v>18.361486209736064</v>
      </c>
      <c r="S3">
        <v>51.094585159418372</v>
      </c>
      <c r="U3">
        <v>1.7069059255524326</v>
      </c>
      <c r="V3">
        <v>49.103439509146</v>
      </c>
      <c r="W3">
        <v>21.71208635578887</v>
      </c>
      <c r="X3">
        <v>48.13917770293537</v>
      </c>
      <c r="Y3">
        <v>10.442914199888236</v>
      </c>
      <c r="Z3">
        <v>33.769328307011591</v>
      </c>
      <c r="AA3">
        <v>7.7145259099538235</v>
      </c>
      <c r="AB3">
        <v>37.729836088663745</v>
      </c>
      <c r="AD3">
        <v>9.5682699902820154</v>
      </c>
      <c r="AE3">
        <v>13.583787976775792</v>
      </c>
      <c r="AF3">
        <v>13.535175383793799</v>
      </c>
      <c r="AG3">
        <v>23.179977404772384</v>
      </c>
      <c r="AH3">
        <v>10.021014178443519</v>
      </c>
      <c r="AI3">
        <v>2.5263460484428664</v>
      </c>
      <c r="AK3">
        <v>58.478394066608644</v>
      </c>
    </row>
    <row r="4" spans="1:47" x14ac:dyDescent="0.2">
      <c r="A4">
        <v>3</v>
      </c>
      <c r="B4">
        <v>755</v>
      </c>
      <c r="C4">
        <v>275</v>
      </c>
      <c r="D4">
        <v>0.30115304187132302</v>
      </c>
      <c r="E4">
        <v>201.8232812207338</v>
      </c>
      <c r="F4">
        <v>66.169537475824498</v>
      </c>
      <c r="G4">
        <v>72.546630346378663</v>
      </c>
      <c r="H4">
        <v>67.942077617916624</v>
      </c>
      <c r="J4">
        <v>70.350531172942794</v>
      </c>
      <c r="L4">
        <v>8.537227255912093</v>
      </c>
      <c r="M4">
        <v>13.785973227274429</v>
      </c>
      <c r="N4">
        <v>2.5806403149287034</v>
      </c>
      <c r="O4">
        <v>34.25631155967605</v>
      </c>
      <c r="P4">
        <v>13.399918711209398</v>
      </c>
      <c r="Q4">
        <v>0.90146016236384818</v>
      </c>
      <c r="R4">
        <v>18.132016337148897</v>
      </c>
      <c r="S4">
        <v>50.597542960991376</v>
      </c>
      <c r="U4">
        <v>1.6192808878575724</v>
      </c>
      <c r="V4">
        <v>48.978757713973629</v>
      </c>
      <c r="W4">
        <v>21.491481153338221</v>
      </c>
      <c r="X4">
        <v>47.907480202973275</v>
      </c>
      <c r="Y4">
        <v>10.347979951539456</v>
      </c>
      <c r="Z4">
        <v>33.551137057217623</v>
      </c>
      <c r="AA4">
        <v>7.6232618316842853</v>
      </c>
      <c r="AB4">
        <v>37.55929604503963</v>
      </c>
      <c r="AD4">
        <v>9.4436173260841425</v>
      </c>
      <c r="AE4">
        <v>13.486503106512485</v>
      </c>
      <c r="AF4">
        <v>13.45715300845206</v>
      </c>
      <c r="AG4">
        <v>22.994448151641144</v>
      </c>
      <c r="AH4">
        <v>9.8781523543001377</v>
      </c>
      <c r="AI4">
        <v>2.5280315106868327</v>
      </c>
      <c r="AK4">
        <v>58.459958804219163</v>
      </c>
    </row>
    <row r="5" spans="1:47" x14ac:dyDescent="0.2">
      <c r="A5">
        <v>4</v>
      </c>
      <c r="B5">
        <v>754</v>
      </c>
      <c r="C5">
        <v>275</v>
      </c>
      <c r="D5">
        <v>0.30040451735384299</v>
      </c>
      <c r="E5">
        <v>201.69818059228481</v>
      </c>
      <c r="F5">
        <v>65.776304438593016</v>
      </c>
      <c r="G5">
        <v>72.481939915737968</v>
      </c>
      <c r="H5">
        <v>67.875018937485194</v>
      </c>
      <c r="J5">
        <v>70.253731372037308</v>
      </c>
      <c r="L5">
        <v>8.4487078874442485</v>
      </c>
      <c r="M5">
        <v>13.70921620504401</v>
      </c>
      <c r="N5">
        <v>2.5826135818933604</v>
      </c>
      <c r="O5">
        <v>33.859043832848165</v>
      </c>
      <c r="P5">
        <v>13.294015638711372</v>
      </c>
      <c r="Q5">
        <v>0.83247768247094789</v>
      </c>
      <c r="R5">
        <v>17.902911816928594</v>
      </c>
      <c r="S5">
        <v>50.101432725375339</v>
      </c>
      <c r="U5">
        <v>1.5317307770887352</v>
      </c>
      <c r="V5">
        <v>48.854269075967323</v>
      </c>
      <c r="W5">
        <v>21.271157104700634</v>
      </c>
      <c r="X5">
        <v>47.676221799444768</v>
      </c>
      <c r="Y5">
        <v>10.253203353963466</v>
      </c>
      <c r="Z5">
        <v>33.33323123886754</v>
      </c>
      <c r="AA5">
        <v>7.5321679972541755</v>
      </c>
      <c r="AB5">
        <v>37.389027722184856</v>
      </c>
      <c r="AD5">
        <v>9.3190684860938831</v>
      </c>
      <c r="AE5">
        <v>13.38934012167692</v>
      </c>
      <c r="AF5">
        <v>13.379278078677972</v>
      </c>
      <c r="AG5">
        <v>22.809193015679799</v>
      </c>
      <c r="AH5">
        <v>9.73550874593694</v>
      </c>
      <c r="AI5">
        <v>2.5297160093115876</v>
      </c>
      <c r="AK5">
        <v>58.441844397444406</v>
      </c>
    </row>
    <row r="6" spans="1:47" x14ac:dyDescent="0.2">
      <c r="A6">
        <v>5</v>
      </c>
      <c r="B6">
        <v>753</v>
      </c>
      <c r="C6">
        <v>275</v>
      </c>
      <c r="D6">
        <v>0.29965453393753799</v>
      </c>
      <c r="E6">
        <v>201.57323818940904</v>
      </c>
      <c r="F6">
        <v>65.383767286088457</v>
      </c>
      <c r="G6">
        <v>72.417333285810329</v>
      </c>
      <c r="H6">
        <v>67.808057130506626</v>
      </c>
      <c r="J6">
        <v>70.157540993024725</v>
      </c>
      <c r="L6">
        <v>8.3603565786714356</v>
      </c>
      <c r="M6">
        <v>13.632605971951094</v>
      </c>
      <c r="N6">
        <v>2.5845867185261748</v>
      </c>
      <c r="O6">
        <v>33.46239004032936</v>
      </c>
      <c r="P6">
        <v>13.188287831073382</v>
      </c>
      <c r="Q6">
        <v>0.76362273903561984</v>
      </c>
      <c r="R6">
        <v>17.674171513439841</v>
      </c>
      <c r="S6">
        <v>49.606251624697919</v>
      </c>
      <c r="U6">
        <v>1.4442552236669259</v>
      </c>
      <c r="V6">
        <v>48.729972863845774</v>
      </c>
      <c r="W6">
        <v>21.051113222123067</v>
      </c>
      <c r="X6">
        <v>47.445400997392824</v>
      </c>
      <c r="Y6">
        <v>10.158584024649926</v>
      </c>
      <c r="Z6">
        <v>33.115609805394762</v>
      </c>
      <c r="AA6">
        <v>7.4412440187227116</v>
      </c>
      <c r="AB6">
        <v>37.219030137625602</v>
      </c>
      <c r="AD6">
        <v>9.1946233566377877</v>
      </c>
      <c r="AE6">
        <v>13.292298518093776</v>
      </c>
      <c r="AF6">
        <v>13.301550115669517</v>
      </c>
      <c r="AG6">
        <v>22.624211020912597</v>
      </c>
      <c r="AH6">
        <v>9.5930830202025437</v>
      </c>
      <c r="AI6">
        <v>2.5313995430232907</v>
      </c>
      <c r="AK6">
        <v>58.424050771142497</v>
      </c>
    </row>
    <row r="7" spans="1:47" x14ac:dyDescent="0.2">
      <c r="A7">
        <v>6</v>
      </c>
      <c r="B7">
        <v>752</v>
      </c>
      <c r="C7">
        <v>275</v>
      </c>
      <c r="D7">
        <v>0.29890308735307097</v>
      </c>
      <c r="E7">
        <v>201.44845360245944</v>
      </c>
      <c r="F7">
        <v>64.991924249661054</v>
      </c>
      <c r="G7">
        <v>72.352810296133995</v>
      </c>
      <c r="H7">
        <v>67.741192057438099</v>
      </c>
      <c r="J7">
        <v>70.061959588154906</v>
      </c>
      <c r="L7">
        <v>8.2721216747833548</v>
      </c>
      <c r="M7">
        <v>13.556142047584112</v>
      </c>
      <c r="N7">
        <v>2.58655972535544</v>
      </c>
      <c r="O7">
        <v>33.066348834859618</v>
      </c>
      <c r="P7">
        <v>13.082734990739729</v>
      </c>
      <c r="Q7">
        <v>0.69489465282601759</v>
      </c>
      <c r="R7">
        <v>17.445794303816541</v>
      </c>
      <c r="S7">
        <v>49.111996859129746</v>
      </c>
      <c r="U7">
        <v>1.3568538630173677</v>
      </c>
      <c r="V7">
        <v>48.605868346581524</v>
      </c>
      <c r="W7">
        <v>20.831348526689808</v>
      </c>
      <c r="X7">
        <v>47.215016317878295</v>
      </c>
      <c r="Y7">
        <v>10.06412158668614</v>
      </c>
      <c r="Z7">
        <v>32.898271718794945</v>
      </c>
      <c r="AA7">
        <v>7.3504895138303912</v>
      </c>
      <c r="AB7">
        <v>37.049302317045708</v>
      </c>
      <c r="AD7">
        <v>9.0702818265460738</v>
      </c>
      <c r="AE7">
        <v>13.195377795191373</v>
      </c>
      <c r="AF7">
        <v>13.22396864518141</v>
      </c>
      <c r="AG7">
        <v>22.439501199520979</v>
      </c>
      <c r="AH7">
        <v>9.4508748505376907</v>
      </c>
      <c r="AI7">
        <v>2.5330821105115713</v>
      </c>
      <c r="AK7">
        <v>58.406577855849775</v>
      </c>
    </row>
    <row r="8" spans="1:47" x14ac:dyDescent="0.2">
      <c r="A8">
        <v>7</v>
      </c>
      <c r="B8">
        <v>751</v>
      </c>
      <c r="C8">
        <v>275</v>
      </c>
      <c r="D8">
        <v>0.29815017331445698</v>
      </c>
      <c r="E8">
        <v>201.32382642666241</v>
      </c>
      <c r="F8">
        <v>64.600773581503091</v>
      </c>
      <c r="G8">
        <v>72.288370788720812</v>
      </c>
      <c r="H8">
        <v>67.674423581252725</v>
      </c>
      <c r="J8">
        <v>69.966986719868203</v>
      </c>
      <c r="L8">
        <v>8.1840990495134776</v>
      </c>
      <c r="M8">
        <v>13.479823955720809</v>
      </c>
      <c r="N8">
        <v>2.5885326029343614</v>
      </c>
      <c r="O8">
        <v>32.670918885704381</v>
      </c>
      <c r="P8">
        <v>12.977356825189212</v>
      </c>
      <c r="Q8">
        <v>0.62629274760306175</v>
      </c>
      <c r="R8">
        <v>17.217779077212573</v>
      </c>
      <c r="S8">
        <v>48.618665655027634</v>
      </c>
      <c r="U8">
        <v>1.2695263352642965</v>
      </c>
      <c r="V8">
        <v>48.481954792531354</v>
      </c>
      <c r="W8">
        <v>20.611862047760052</v>
      </c>
      <c r="X8">
        <v>46.985066295493311</v>
      </c>
      <c r="Y8">
        <v>9.9698156685035784</v>
      </c>
      <c r="Z8">
        <v>32.681215949305816</v>
      </c>
      <c r="AA8">
        <v>7.2599041057855649</v>
      </c>
      <c r="AB8">
        <v>36.879843293820585</v>
      </c>
      <c r="AD8">
        <v>8.9460437869565403</v>
      </c>
      <c r="AE8">
        <v>13.098577455915171</v>
      </c>
      <c r="AF8">
        <v>13.146533197193076</v>
      </c>
      <c r="AG8">
        <v>22.255062591421972</v>
      </c>
      <c r="AH8">
        <v>9.308883916562829</v>
      </c>
      <c r="AI8">
        <v>2.5347637104898078</v>
      </c>
      <c r="AK8">
        <v>58.38942558737206</v>
      </c>
    </row>
    <row r="9" spans="1:47" x14ac:dyDescent="0.2">
      <c r="A9">
        <v>8</v>
      </c>
      <c r="B9">
        <v>750</v>
      </c>
      <c r="C9">
        <v>275</v>
      </c>
      <c r="D9">
        <v>0.29739578751893703</v>
      </c>
      <c r="E9">
        <v>201.19935626235909</v>
      </c>
      <c r="F9">
        <v>64.210313555311075</v>
      </c>
      <c r="G9">
        <v>72.224014608142809</v>
      </c>
      <c r="H9">
        <v>67.607751567524772</v>
      </c>
      <c r="J9">
        <v>69.872621961220844</v>
      </c>
      <c r="L9">
        <v>8.0962432714824928</v>
      </c>
      <c r="M9">
        <v>13.403651224558061</v>
      </c>
      <c r="N9">
        <v>2.5905053517913479</v>
      </c>
      <c r="O9">
        <v>32.276098878889655</v>
      </c>
      <c r="P9">
        <v>12.87215304706225</v>
      </c>
      <c r="Q9">
        <v>0.55776116744932913</v>
      </c>
      <c r="R9">
        <v>16.990124735219798</v>
      </c>
      <c r="S9">
        <v>48.126255266064433</v>
      </c>
      <c r="U9">
        <v>1.1822722854280956</v>
      </c>
      <c r="V9">
        <v>48.3582314696514</v>
      </c>
      <c r="W9">
        <v>20.39265282332298</v>
      </c>
      <c r="X9">
        <v>46.755549478282852</v>
      </c>
      <c r="Y9">
        <v>9.8756659040203694</v>
      </c>
      <c r="Z9">
        <v>32.464441475549016</v>
      </c>
      <c r="AA9">
        <v>7.1694874234052186</v>
      </c>
      <c r="AB9">
        <v>36.710652109281007</v>
      </c>
      <c r="AD9">
        <v>8.821909131475671</v>
      </c>
      <c r="AE9">
        <v>13.001897006740686</v>
      </c>
      <c r="AF9">
        <v>13.069243306090025</v>
      </c>
      <c r="AG9">
        <v>22.070894244481899</v>
      </c>
      <c r="AH9">
        <v>9.1671099043429205</v>
      </c>
      <c r="AI9">
        <v>2.5364443416465807</v>
      </c>
      <c r="AK9">
        <v>58.372593907022988</v>
      </c>
    </row>
    <row r="10" spans="1:47" x14ac:dyDescent="0.2">
      <c r="A10">
        <v>9</v>
      </c>
      <c r="B10">
        <v>749</v>
      </c>
      <c r="C10">
        <v>275</v>
      </c>
      <c r="D10">
        <v>0.29663992564692099</v>
      </c>
      <c r="E10">
        <v>201.07504271469548</v>
      </c>
      <c r="F10">
        <v>63.820542465282969</v>
      </c>
      <c r="G10">
        <v>72.159741601414908</v>
      </c>
      <c r="H10">
        <v>67.541175884311016</v>
      </c>
      <c r="J10">
        <v>69.778864895363199</v>
      </c>
      <c r="L10">
        <v>8.00855445733092</v>
      </c>
      <c r="M10">
        <v>13.327623386433398</v>
      </c>
      <c r="N10">
        <v>2.5924779724666833</v>
      </c>
      <c r="O10">
        <v>31.881887516690377</v>
      </c>
      <c r="P10">
        <v>12.767123373958322</v>
      </c>
      <c r="Q10">
        <v>0.48940661490912951</v>
      </c>
      <c r="R10">
        <v>16.762830191285151</v>
      </c>
      <c r="S10">
        <v>47.634762971741779</v>
      </c>
      <c r="U10">
        <v>1.095091363181071</v>
      </c>
      <c r="V10">
        <v>48.234697644790387</v>
      </c>
      <c r="W10">
        <v>20.173719899528081</v>
      </c>
      <c r="X10">
        <v>46.526464428016588</v>
      </c>
      <c r="Y10">
        <v>9.7816719324306778</v>
      </c>
      <c r="Z10">
        <v>32.247947284217872</v>
      </c>
      <c r="AA10">
        <v>7.0792391009378264</v>
      </c>
      <c r="AB10">
        <v>36.541727812314953</v>
      </c>
      <c r="AD10">
        <v>8.6978777560034288</v>
      </c>
      <c r="AE10">
        <v>12.905335957576996</v>
      </c>
      <c r="AF10">
        <v>12.992098510426601</v>
      </c>
      <c r="AG10">
        <v>21.886995214157363</v>
      </c>
      <c r="AH10">
        <v>9.0255525060455568</v>
      </c>
      <c r="AI10">
        <v>2.538124002682812</v>
      </c>
      <c r="AK10">
        <v>58.356082761335323</v>
      </c>
    </row>
    <row r="11" spans="1:47" x14ac:dyDescent="0.2">
      <c r="A11">
        <v>10</v>
      </c>
      <c r="B11">
        <v>748</v>
      </c>
      <c r="C11">
        <v>275</v>
      </c>
      <c r="D11">
        <v>0.29588258336189799</v>
      </c>
      <c r="E11">
        <v>200.95088539383539</v>
      </c>
      <c r="F11">
        <v>63.431458626632946</v>
      </c>
      <c r="G11">
        <v>72.095551618051758</v>
      </c>
      <c r="H11">
        <v>67.474696402210782</v>
      </c>
      <c r="J11">
        <v>69.685715115854777</v>
      </c>
      <c r="L11">
        <v>7.9210329215064723</v>
      </c>
      <c r="M11">
        <v>13.251739977924203</v>
      </c>
      <c r="N11">
        <v>2.5944504655184621</v>
      </c>
      <c r="O11">
        <v>31.48828351785723</v>
      </c>
      <c r="P11">
        <v>12.662267528560065</v>
      </c>
      <c r="Q11">
        <v>0.421176052552235</v>
      </c>
      <c r="R11">
        <v>16.535894371011274</v>
      </c>
      <c r="S11">
        <v>47.144186077986717</v>
      </c>
      <c r="U11">
        <v>1.0079832229415155</v>
      </c>
      <c r="V11">
        <v>48.111352583727893</v>
      </c>
      <c r="W11">
        <v>19.955062330751453</v>
      </c>
      <c r="X11">
        <v>46.297809720106144</v>
      </c>
      <c r="Y11">
        <v>9.6878333983271947</v>
      </c>
      <c r="Z11">
        <v>32.03173237000658</v>
      </c>
      <c r="AA11">
        <v>6.9891587781930573</v>
      </c>
      <c r="AB11">
        <v>36.373069459374143</v>
      </c>
      <c r="AD11">
        <v>8.5739495587673353</v>
      </c>
      <c r="AE11">
        <v>12.808893821672894</v>
      </c>
      <c r="AF11">
        <v>12.915098353024469</v>
      </c>
      <c r="AG11">
        <v>21.703364563505257</v>
      </c>
      <c r="AH11">
        <v>8.8842114201069418</v>
      </c>
      <c r="AI11">
        <v>2.5398026923159538</v>
      </c>
      <c r="AK11">
        <v>58.339892102284502</v>
      </c>
    </row>
    <row r="12" spans="1:47" x14ac:dyDescent="0.2">
      <c r="A12">
        <v>11</v>
      </c>
      <c r="B12">
        <v>747</v>
      </c>
      <c r="C12">
        <v>275</v>
      </c>
      <c r="D12">
        <v>0.29512375631034898</v>
      </c>
      <c r="E12">
        <v>200.82688391483717</v>
      </c>
      <c r="F12">
        <v>63.043060375288029</v>
      </c>
      <c r="G12">
        <v>72.031444510057739</v>
      </c>
      <c r="H12">
        <v>67.408312994352258</v>
      </c>
      <c r="J12">
        <v>69.593172226505871</v>
      </c>
      <c r="L12">
        <v>7.8336209628853846</v>
      </c>
      <c r="M12">
        <v>13.176000539869584</v>
      </c>
      <c r="N12">
        <v>2.596422831450647</v>
      </c>
      <c r="O12">
        <v>31.09528561734351</v>
      </c>
      <c r="P12">
        <v>12.557585238539213</v>
      </c>
      <c r="Q12">
        <v>0.35306880418509534</v>
      </c>
      <c r="R12">
        <v>16.309316212005751</v>
      </c>
      <c r="S12">
        <v>46.65452191715201</v>
      </c>
      <c r="U12">
        <v>0.92094752389112555</v>
      </c>
      <c r="V12">
        <v>47.988195550893423</v>
      </c>
      <c r="W12">
        <v>19.73667917974975</v>
      </c>
      <c r="X12">
        <v>46.069583943295001</v>
      </c>
      <c r="Y12">
        <v>9.594149951633371</v>
      </c>
      <c r="Z12">
        <v>31.815795735784189</v>
      </c>
      <c r="AA12">
        <v>6.8992461004545911</v>
      </c>
      <c r="AB12">
        <v>36.204676114657744</v>
      </c>
      <c r="AD12">
        <v>8.4501244404467393</v>
      </c>
      <c r="AE12">
        <v>12.71257011572645</v>
      </c>
      <c r="AF12">
        <v>12.83824238092628</v>
      </c>
      <c r="AG12">
        <v>21.520001363292895</v>
      </c>
      <c r="AH12">
        <v>8.7430863512300991</v>
      </c>
      <c r="AI12">
        <v>2.5414804092102568</v>
      </c>
      <c r="AK12">
        <v>58.324021887119073</v>
      </c>
    </row>
    <row r="13" spans="1:47" x14ac:dyDescent="0.2">
      <c r="A13">
        <v>12</v>
      </c>
      <c r="B13">
        <v>746</v>
      </c>
      <c r="C13">
        <v>275</v>
      </c>
      <c r="D13">
        <v>0.29436344012167098</v>
      </c>
      <c r="E13">
        <v>200.70303789754425</v>
      </c>
      <c r="F13">
        <v>62.655346067323947</v>
      </c>
      <c r="G13">
        <v>71.967420131829513</v>
      </c>
      <c r="H13">
        <v>67.342025536300554</v>
      </c>
      <c r="J13">
        <v>69.501235841132754</v>
      </c>
      <c r="L13">
        <v>7.7464240179182724</v>
      </c>
      <c r="M13">
        <v>13.100404617087497</v>
      </c>
      <c r="N13">
        <v>2.5983950708320429</v>
      </c>
      <c r="O13">
        <v>30.702892566100427</v>
      </c>
      <c r="P13">
        <v>12.453076236482556</v>
      </c>
      <c r="Q13">
        <v>0.28508419593341844</v>
      </c>
      <c r="R13">
        <v>16.083094663524818</v>
      </c>
      <c r="S13">
        <v>46.165767846623538</v>
      </c>
      <c r="U13">
        <v>0.83398392973391722</v>
      </c>
      <c r="V13">
        <v>47.865225808759689</v>
      </c>
      <c r="W13">
        <v>19.518569517007919</v>
      </c>
      <c r="X13">
        <v>45.841785699689318</v>
      </c>
      <c r="Y13">
        <v>9.5006212474936635</v>
      </c>
      <c r="Z13">
        <v>31.600136391982687</v>
      </c>
      <c r="AA13">
        <v>6.8095007184335046</v>
      </c>
      <c r="AB13">
        <v>36.036546849442729</v>
      </c>
      <c r="AD13">
        <v>8.3264023038519959</v>
      </c>
      <c r="AE13">
        <v>12.616364359593144</v>
      </c>
      <c r="AF13">
        <v>12.761530145234786</v>
      </c>
      <c r="AG13">
        <v>21.336904691452954</v>
      </c>
      <c r="AH13">
        <v>8.6021770100757919</v>
      </c>
      <c r="AI13">
        <v>2.5431571520941167</v>
      </c>
      <c r="AK13">
        <v>58.308472078353311</v>
      </c>
    </row>
    <row r="14" spans="1:47" x14ac:dyDescent="0.2">
      <c r="A14">
        <v>13</v>
      </c>
      <c r="B14">
        <v>745</v>
      </c>
      <c r="C14">
        <v>275</v>
      </c>
      <c r="D14">
        <v>0.29360163040809401</v>
      </c>
      <c r="E14">
        <v>200.57934696664572</v>
      </c>
      <c r="F14">
        <v>62.26831407922333</v>
      </c>
      <c r="G14">
        <v>71.903478340221412</v>
      </c>
      <c r="H14">
        <v>67.275833906116276</v>
      </c>
      <c r="J14">
        <v>69.409905583710668</v>
      </c>
      <c r="L14">
        <v>7.6593938148075082</v>
      </c>
      <c r="M14">
        <v>13.024951758570316</v>
      </c>
      <c r="N14">
        <v>2.6003671841916414</v>
      </c>
      <c r="O14">
        <v>30.311103131055674</v>
      </c>
      <c r="P14">
        <v>12.348740259915216</v>
      </c>
      <c r="Q14">
        <v>0.21722155643830501</v>
      </c>
      <c r="R14">
        <v>15.857228686668602</v>
      </c>
      <c r="S14">
        <v>45.677921249740677</v>
      </c>
      <c r="U14">
        <v>0.74709210886355659</v>
      </c>
      <c r="V14">
        <v>47.742442617849221</v>
      </c>
      <c r="W14">
        <v>19.300732421175876</v>
      </c>
      <c r="X14">
        <v>45.614413604524806</v>
      </c>
      <c r="Y14">
        <v>9.4072469463316981</v>
      </c>
      <c r="Z14">
        <v>31.384753356954956</v>
      </c>
      <c r="AA14">
        <v>6.7199222882612375</v>
      </c>
      <c r="AB14">
        <v>35.868680742518826</v>
      </c>
      <c r="AD14">
        <v>8.2027830541767734</v>
      </c>
      <c r="AE14">
        <v>12.520276076443038</v>
      </c>
      <c r="AF14">
        <v>12.684961201194099</v>
      </c>
      <c r="AG14">
        <v>21.154073633408274</v>
      </c>
      <c r="AH14">
        <v>8.4614831134803659</v>
      </c>
      <c r="AI14">
        <v>2.5448329196562307</v>
      </c>
      <c r="AK14">
        <v>58.293242643750418</v>
      </c>
    </row>
    <row r="15" spans="1:47" x14ac:dyDescent="0.2">
      <c r="A15">
        <v>14</v>
      </c>
      <c r="B15">
        <v>744</v>
      </c>
      <c r="C15">
        <v>275</v>
      </c>
      <c r="D15">
        <v>0.29283832276459099</v>
      </c>
      <c r="E15">
        <v>200.45581075164958</v>
      </c>
      <c r="F15">
        <v>61.881962807604467</v>
      </c>
      <c r="G15">
        <v>71.83961899449416</v>
      </c>
      <c r="H15">
        <v>67.209737984311019</v>
      </c>
      <c r="J15">
        <v>69.319181088264358</v>
      </c>
      <c r="L15">
        <v>7.5724766991728334</v>
      </c>
      <c r="M15">
        <v>12.949641517312775</v>
      </c>
      <c r="N15">
        <v>2.6023391720912619</v>
      </c>
      <c r="O15">
        <v>29.919916095013679</v>
      </c>
      <c r="P15">
        <v>12.244577051275048</v>
      </c>
      <c r="Q15">
        <v>0.14948021686202445</v>
      </c>
      <c r="R15">
        <v>15.63171725419895</v>
      </c>
      <c r="S15">
        <v>45.190979535010953</v>
      </c>
      <c r="U15">
        <v>0.66027173422517071</v>
      </c>
      <c r="V15">
        <v>47.619845236305764</v>
      </c>
      <c r="W15">
        <v>19.083166978660337</v>
      </c>
      <c r="X15">
        <v>45.387466286271113</v>
      </c>
      <c r="Y15">
        <v>9.3140267138017112</v>
      </c>
      <c r="Z15">
        <v>31.169645656564885</v>
      </c>
      <c r="AA15">
        <v>6.6305104714897318</v>
      </c>
      <c r="AB15">
        <v>35.701076879764052</v>
      </c>
      <c r="AD15">
        <v>8.0792665988034287</v>
      </c>
      <c r="AE15">
        <v>12.424304792554825</v>
      </c>
      <c r="AF15">
        <v>12.608535108098883</v>
      </c>
      <c r="AG15">
        <v>20.971507281721436</v>
      </c>
      <c r="AH15">
        <v>8.3210043842933015</v>
      </c>
      <c r="AI15">
        <v>2.5465077106177771</v>
      </c>
      <c r="AK15">
        <v>58.278333556355129</v>
      </c>
    </row>
    <row r="16" spans="1:47" x14ac:dyDescent="0.2">
      <c r="A16">
        <v>15</v>
      </c>
      <c r="B16">
        <v>743</v>
      </c>
      <c r="C16">
        <v>275</v>
      </c>
      <c r="D16">
        <v>0.29207351276878402</v>
      </c>
      <c r="E16">
        <v>200.33242888676972</v>
      </c>
      <c r="F16">
        <v>61.496290668984997</v>
      </c>
      <c r="G16">
        <v>71.775841956312377</v>
      </c>
      <c r="H16">
        <v>67.143737653840404</v>
      </c>
      <c r="J16">
        <v>69.229061998730998</v>
      </c>
      <c r="L16">
        <v>7.4857695863618572</v>
      </c>
      <c r="M16">
        <v>12.874473450358535</v>
      </c>
      <c r="N16">
        <v>2.6043110350488372</v>
      </c>
      <c r="O16">
        <v>29.529330256428185</v>
      </c>
      <c r="P16">
        <v>12.140586357828811</v>
      </c>
      <c r="Q16">
        <v>8.1859510975371447E-2</v>
      </c>
      <c r="R16">
        <v>15.406559350432097</v>
      </c>
      <c r="S16">
        <v>44.704940136221637</v>
      </c>
      <c r="U16">
        <v>0.57352248335357947</v>
      </c>
      <c r="V16">
        <v>47.497432919568176</v>
      </c>
      <c r="W16">
        <v>18.865872283819371</v>
      </c>
      <c r="X16">
        <v>45.160942386120688</v>
      </c>
      <c r="Y16">
        <v>9.22096022073573</v>
      </c>
      <c r="Z16">
        <v>30.954812324414434</v>
      </c>
      <c r="AA16">
        <v>6.5412649349679484</v>
      </c>
      <c r="AB16">
        <v>35.533734354373379</v>
      </c>
      <c r="AD16">
        <v>7.9558528474488321</v>
      </c>
      <c r="AE16">
        <v>12.328450037445883</v>
      </c>
      <c r="AF16">
        <v>12.532251429266184</v>
      </c>
      <c r="AG16">
        <v>20.789204736252415</v>
      </c>
      <c r="AH16">
        <v>8.1807405514062559</v>
      </c>
      <c r="AI16">
        <v>2.5481815236568606</v>
      </c>
      <c r="AK16">
        <v>58.263744794321397</v>
      </c>
    </row>
    <row r="17" spans="1:37" x14ac:dyDescent="0.2">
      <c r="A17">
        <v>16</v>
      </c>
      <c r="B17">
        <v>742</v>
      </c>
      <c r="C17">
        <v>275</v>
      </c>
      <c r="D17">
        <v>0.291307195980888</v>
      </c>
      <c r="E17">
        <v>200.20920101092793</v>
      </c>
      <c r="F17">
        <v>61.111296099519016</v>
      </c>
      <c r="G17">
        <v>71.712147089688429</v>
      </c>
      <c r="H17">
        <v>67.077832800051056</v>
      </c>
      <c r="J17">
        <v>69.139547968915522</v>
      </c>
      <c r="L17">
        <v>7.3992294408163612</v>
      </c>
      <c r="M17">
        <v>12.799447118612514</v>
      </c>
      <c r="N17">
        <v>2.6062827736442316</v>
      </c>
      <c r="O17">
        <v>29.139344429324264</v>
      </c>
      <c r="P17">
        <v>12.036767931666587</v>
      </c>
      <c r="Q17">
        <v>1.4358775212216643E-2</v>
      </c>
      <c r="R17">
        <v>15.181753971065705</v>
      </c>
      <c r="S17">
        <v>44.219800511542921</v>
      </c>
      <c r="U17">
        <v>0.48684403820870592</v>
      </c>
      <c r="V17">
        <v>47.375204919936472</v>
      </c>
      <c r="W17">
        <v>18.648847438439269</v>
      </c>
      <c r="X17">
        <v>44.934840558352725</v>
      </c>
      <c r="Y17">
        <v>9.1280471431026662</v>
      </c>
      <c r="Z17">
        <v>30.740252401277139</v>
      </c>
      <c r="AA17">
        <v>6.4521853508557108</v>
      </c>
      <c r="AB17">
        <v>35.366652266289883</v>
      </c>
      <c r="AD17">
        <v>7.8325417118899781</v>
      </c>
      <c r="AE17">
        <v>12.232711343580752</v>
      </c>
      <c r="AF17">
        <v>12.456109731942533</v>
      </c>
      <c r="AG17">
        <v>20.607165103685912</v>
      </c>
      <c r="AH17">
        <v>8.0406913495488368</v>
      </c>
      <c r="AI17">
        <v>2.5498543575121193</v>
      </c>
      <c r="AK17">
        <v>58.249476341026053</v>
      </c>
    </row>
    <row r="18" spans="1:37" x14ac:dyDescent="0.2">
      <c r="A18">
        <v>17</v>
      </c>
      <c r="B18">
        <v>741</v>
      </c>
      <c r="C18">
        <v>275</v>
      </c>
      <c r="D18">
        <v>0.29053936794360102</v>
      </c>
      <c r="E18">
        <v>199.92550423451144</v>
      </c>
      <c r="F18">
        <v>59.450121428595047</v>
      </c>
      <c r="G18">
        <v>71.491069972310896</v>
      </c>
      <c r="H18">
        <v>66.854559022006327</v>
      </c>
      <c r="J18">
        <v>68.311977703116639</v>
      </c>
      <c r="L18">
        <v>6.9830561702263765</v>
      </c>
      <c r="M18">
        <v>12.605850283737334</v>
      </c>
      <c r="N18">
        <v>2.6082487455497319</v>
      </c>
      <c r="O18">
        <v>27.570943880004911</v>
      </c>
      <c r="P18">
        <v>11.618187309387059</v>
      </c>
      <c r="R18">
        <v>14.326917549928531</v>
      </c>
      <c r="S18">
        <v>42.418948563391218</v>
      </c>
      <c r="U18">
        <v>0.33885380821415423</v>
      </c>
      <c r="V18">
        <v>46.988415218185189</v>
      </c>
      <c r="W18">
        <v>18.453344028118888</v>
      </c>
      <c r="X18">
        <v>44.519156797010432</v>
      </c>
      <c r="Y18">
        <v>8.7103920272337056</v>
      </c>
      <c r="Z18">
        <v>29.486691260849572</v>
      </c>
      <c r="AA18">
        <v>6.0326748007037168</v>
      </c>
      <c r="AB18">
        <v>34.482427596132354</v>
      </c>
      <c r="AD18">
        <v>7.1329257596302629</v>
      </c>
      <c r="AE18">
        <v>11.653881338409741</v>
      </c>
      <c r="AF18">
        <v>12.261392141241464</v>
      </c>
      <c r="AG18">
        <v>19.707979728495573</v>
      </c>
      <c r="AH18">
        <v>7.3790152660030008</v>
      </c>
      <c r="AI18">
        <v>2.5515205680156647</v>
      </c>
      <c r="AK18">
        <v>57.82115449911651</v>
      </c>
    </row>
    <row r="19" spans="1:37" x14ac:dyDescent="0.2">
      <c r="A19">
        <v>18</v>
      </c>
      <c r="B19">
        <v>740</v>
      </c>
      <c r="C19">
        <v>275</v>
      </c>
      <c r="D19">
        <v>0.28977002418201098</v>
      </c>
      <c r="E19">
        <v>198.69911110495582</v>
      </c>
      <c r="F19">
        <v>51.01531317511958</v>
      </c>
      <c r="G19">
        <v>70.277945516118791</v>
      </c>
      <c r="H19">
        <v>65.639251253063335</v>
      </c>
      <c r="J19">
        <v>64.827678709796061</v>
      </c>
      <c r="L19">
        <v>4.7241562734002036</v>
      </c>
      <c r="M19">
        <v>12.507727379760743</v>
      </c>
      <c r="N19">
        <v>2.6101594233721497</v>
      </c>
      <c r="O19">
        <v>19.094447711504287</v>
      </c>
      <c r="P19">
        <v>9.2154648110931703</v>
      </c>
      <c r="R19">
        <v>11.085117349273427</v>
      </c>
      <c r="S19">
        <v>37.933252374295961</v>
      </c>
      <c r="U19">
        <v>0.28696256388210145</v>
      </c>
      <c r="V19">
        <v>46.761985684789927</v>
      </c>
      <c r="W19">
        <v>18.299560860715872</v>
      </c>
      <c r="X19">
        <v>44.403013828682617</v>
      </c>
      <c r="Y19">
        <v>6.3040965165162124</v>
      </c>
      <c r="Z19">
        <v>23.627688223336953</v>
      </c>
      <c r="AA19">
        <v>3.719442123849876</v>
      </c>
      <c r="AB19">
        <v>32.22368936515258</v>
      </c>
      <c r="AD19">
        <v>3.7595198866882771</v>
      </c>
      <c r="AE19">
        <v>9.1630557320538344</v>
      </c>
      <c r="AF19">
        <v>12.162093569586867</v>
      </c>
      <c r="AG19">
        <v>17.434228110744723</v>
      </c>
      <c r="AH19">
        <v>3.6601717414621562</v>
      </c>
      <c r="AI19">
        <v>2.5531306259336652</v>
      </c>
      <c r="AK19">
        <v>55.442503082944242</v>
      </c>
    </row>
    <row r="20" spans="1:37" x14ac:dyDescent="0.2">
      <c r="A20">
        <v>19</v>
      </c>
      <c r="B20">
        <v>739</v>
      </c>
      <c r="C20">
        <v>275</v>
      </c>
      <c r="D20">
        <v>0.28899916020352701</v>
      </c>
      <c r="E20">
        <v>197.71322777057162</v>
      </c>
      <c r="F20">
        <v>44.235011858440593</v>
      </c>
      <c r="G20">
        <v>69.295054341864358</v>
      </c>
      <c r="H20">
        <v>64.654190135433382</v>
      </c>
      <c r="J20">
        <v>62.024170908136149</v>
      </c>
      <c r="L20">
        <v>2.8833443889930277</v>
      </c>
      <c r="M20">
        <v>12.418751982241206</v>
      </c>
      <c r="N20">
        <v>2.6120778161309612</v>
      </c>
      <c r="O20">
        <v>12.243991297266104</v>
      </c>
      <c r="P20">
        <v>7.2732247109898056</v>
      </c>
      <c r="R20">
        <v>8.4085843293881624</v>
      </c>
      <c r="S20">
        <v>34.301897351725373</v>
      </c>
      <c r="U20">
        <v>0.24971798197320003</v>
      </c>
      <c r="V20">
        <v>46.582250569031011</v>
      </c>
      <c r="W20">
        <v>18.145398672661226</v>
      </c>
      <c r="X20">
        <v>44.330175809094307</v>
      </c>
      <c r="Y20">
        <v>4.3601215326695</v>
      </c>
      <c r="Z20">
        <v>18.875584243825415</v>
      </c>
      <c r="AA20">
        <v>1.8469103063441725</v>
      </c>
      <c r="AB20">
        <v>30.398855339690659</v>
      </c>
      <c r="AD20">
        <v>1.0026080803376574</v>
      </c>
      <c r="AE20">
        <v>7.1549948339612603</v>
      </c>
      <c r="AF20">
        <v>12.071950607361385</v>
      </c>
      <c r="AG20">
        <v>15.594391032016475</v>
      </c>
      <c r="AH20">
        <v>0.61237337528699132</v>
      </c>
      <c r="AI20">
        <v>2.5547475384448375</v>
      </c>
      <c r="AK20">
        <v>53.533961953168905</v>
      </c>
    </row>
    <row r="21" spans="1:37" x14ac:dyDescent="0.2">
      <c r="A21">
        <v>20</v>
      </c>
      <c r="B21">
        <v>738</v>
      </c>
      <c r="C21">
        <v>275</v>
      </c>
      <c r="D21">
        <v>0.28822677149780002</v>
      </c>
      <c r="E21">
        <v>198.02740026028573</v>
      </c>
      <c r="F21">
        <v>44.841743753907394</v>
      </c>
      <c r="G21">
        <v>69.484561587975648</v>
      </c>
      <c r="H21">
        <v>64.841540829047389</v>
      </c>
      <c r="J21">
        <v>49.389246325676531</v>
      </c>
      <c r="L21">
        <v>1.6711119053528418</v>
      </c>
      <c r="M21">
        <v>12.005058591589366</v>
      </c>
      <c r="N21">
        <v>2.6140848523986198</v>
      </c>
      <c r="O21">
        <v>5.1718522018702817</v>
      </c>
      <c r="P21">
        <v>7.6758782382559163</v>
      </c>
      <c r="R21">
        <v>7.1370421936123236</v>
      </c>
      <c r="S21">
        <v>31.866144887146636</v>
      </c>
      <c r="U21">
        <v>0.1780588006645536</v>
      </c>
      <c r="V21">
        <v>47.229778600028929</v>
      </c>
      <c r="W21">
        <v>17.685872378514329</v>
      </c>
      <c r="X21">
        <v>44.158114953424636</v>
      </c>
      <c r="Y21">
        <v>3.5820157740303453</v>
      </c>
      <c r="Z21">
        <v>17.756958425007877</v>
      </c>
      <c r="AB21">
        <v>30.417940370687596</v>
      </c>
      <c r="AE21">
        <v>6.4164755561036442</v>
      </c>
      <c r="AF21">
        <v>11.657178689366779</v>
      </c>
      <c r="AG21">
        <v>15.598564278066727</v>
      </c>
      <c r="AI21">
        <v>2.5564522322818073</v>
      </c>
      <c r="AK21">
        <v>44.879619575354461</v>
      </c>
    </row>
    <row r="22" spans="1:37" x14ac:dyDescent="0.2">
      <c r="A22">
        <v>21</v>
      </c>
      <c r="B22">
        <v>737</v>
      </c>
      <c r="C22">
        <v>275</v>
      </c>
      <c r="D22">
        <v>0.28745285353660599</v>
      </c>
      <c r="E22">
        <v>198.20770040381564</v>
      </c>
      <c r="F22">
        <v>45.382043002896836</v>
      </c>
      <c r="G22">
        <v>69.461494012722923</v>
      </c>
      <c r="H22">
        <v>64.816330113720781</v>
      </c>
      <c r="J22">
        <v>42.345108631579613</v>
      </c>
      <c r="L22">
        <v>1.6892109060724434</v>
      </c>
      <c r="M22">
        <v>11.512871060627777</v>
      </c>
      <c r="N22">
        <v>2.6160734691938936</v>
      </c>
      <c r="O22">
        <v>5.1777905179742989</v>
      </c>
      <c r="P22">
        <v>7.6533718702693712</v>
      </c>
      <c r="R22">
        <v>6.7665940070538149</v>
      </c>
      <c r="S22">
        <v>32.503273591478916</v>
      </c>
      <c r="U22">
        <v>0.14543552638418608</v>
      </c>
      <c r="V22">
        <v>47.933339134860461</v>
      </c>
      <c r="W22">
        <v>17.125533965787973</v>
      </c>
      <c r="X22">
        <v>44.098651933158024</v>
      </c>
      <c r="Y22">
        <v>3.3647460022067412</v>
      </c>
      <c r="Z22">
        <v>17.945149580405928</v>
      </c>
      <c r="AB22">
        <v>31.077100782199146</v>
      </c>
      <c r="AE22">
        <v>6.5170221983405217</v>
      </c>
      <c r="AF22">
        <v>11.163894611270969</v>
      </c>
      <c r="AG22">
        <v>16.2427971162336</v>
      </c>
      <c r="AI22">
        <v>2.5581376426224685</v>
      </c>
      <c r="AK22">
        <v>40.018770144874431</v>
      </c>
    </row>
    <row r="23" spans="1:37" x14ac:dyDescent="0.2">
      <c r="A23">
        <v>22</v>
      </c>
      <c r="B23">
        <v>736</v>
      </c>
      <c r="C23">
        <v>275</v>
      </c>
      <c r="D23">
        <v>0.28667740177377199</v>
      </c>
      <c r="E23">
        <v>198.3688529687069</v>
      </c>
      <c r="F23">
        <v>45.867490076112219</v>
      </c>
      <c r="G23">
        <v>69.440163169440751</v>
      </c>
      <c r="H23">
        <v>64.792869564375323</v>
      </c>
      <c r="J23">
        <v>38.447821554608204</v>
      </c>
      <c r="L23">
        <v>1.7045921049120116</v>
      </c>
      <c r="M23">
        <v>11.077220646508996</v>
      </c>
      <c r="N23">
        <v>2.6180601147103624</v>
      </c>
      <c r="O23">
        <v>5.1787426551856326</v>
      </c>
      <c r="P23">
        <v>7.634345185771898</v>
      </c>
      <c r="R23">
        <v>6.4264515112092742</v>
      </c>
      <c r="S23">
        <v>32.980904660555169</v>
      </c>
      <c r="U23">
        <v>0.12006212551931109</v>
      </c>
      <c r="V23">
        <v>48.520098502734662</v>
      </c>
      <c r="W23">
        <v>16.61747713748349</v>
      </c>
      <c r="X23">
        <v>44.060255080099665</v>
      </c>
      <c r="Y23">
        <v>3.1816543497749992</v>
      </c>
      <c r="Z23">
        <v>18.095509756519576</v>
      </c>
      <c r="AB23">
        <v>31.603956947362828</v>
      </c>
      <c r="AE23">
        <v>6.5957981065770301</v>
      </c>
      <c r="AF23">
        <v>10.727146084263554</v>
      </c>
      <c r="AG23">
        <v>16.754726374133355</v>
      </c>
      <c r="AI23">
        <v>2.5598202158198728</v>
      </c>
      <c r="AK23">
        <v>37.292631725122433</v>
      </c>
    </row>
    <row r="24" spans="1:37" x14ac:dyDescent="0.2">
      <c r="A24">
        <v>23</v>
      </c>
      <c r="B24">
        <v>757</v>
      </c>
      <c r="C24">
        <v>255</v>
      </c>
      <c r="D24">
        <v>0.32400184439159502</v>
      </c>
      <c r="E24">
        <v>190.39567506291533</v>
      </c>
      <c r="F24">
        <v>66.529804621230952</v>
      </c>
      <c r="G24">
        <v>72.673952086531301</v>
      </c>
      <c r="H24">
        <v>68.073240580595296</v>
      </c>
      <c r="J24">
        <v>70.148702697205437</v>
      </c>
      <c r="L24">
        <v>8.6303993091252433</v>
      </c>
      <c r="M24">
        <v>13.908402425830548</v>
      </c>
      <c r="N24">
        <v>2.5092503303444369</v>
      </c>
      <c r="O24">
        <v>35.122103057044555</v>
      </c>
      <c r="P24">
        <v>13.427240852638993</v>
      </c>
      <c r="Q24">
        <v>0.83451692349646645</v>
      </c>
      <c r="R24">
        <v>18.602264785529346</v>
      </c>
      <c r="S24">
        <v>51.146385400241336</v>
      </c>
      <c r="U24">
        <v>1.6721307521114488</v>
      </c>
      <c r="V24">
        <v>48.786937430361434</v>
      </c>
      <c r="W24">
        <v>22.340410754260262</v>
      </c>
      <c r="X24">
        <v>47.140913073497963</v>
      </c>
      <c r="Y24">
        <v>10.369452157070043</v>
      </c>
      <c r="Z24">
        <v>33.951268411393336</v>
      </c>
      <c r="AA24">
        <v>7.7438186361643311</v>
      </c>
      <c r="AB24">
        <v>37.897718749995882</v>
      </c>
      <c r="AC24">
        <v>5.5642390827538137E-3</v>
      </c>
      <c r="AD24">
        <v>9.6619821668496257</v>
      </c>
      <c r="AE24">
        <v>13.818838518536774</v>
      </c>
      <c r="AF24">
        <v>13.576035413346636</v>
      </c>
      <c r="AG24">
        <v>23.381842065123916</v>
      </c>
      <c r="AH24">
        <v>9.7601022829382575</v>
      </c>
      <c r="AI24">
        <v>2.4546450755519449</v>
      </c>
      <c r="AK24">
        <v>58.196100486499382</v>
      </c>
    </row>
    <row r="25" spans="1:37" x14ac:dyDescent="0.2">
      <c r="A25">
        <v>24</v>
      </c>
      <c r="B25">
        <v>756</v>
      </c>
      <c r="C25">
        <v>255</v>
      </c>
      <c r="D25">
        <v>0.32327697614536499</v>
      </c>
      <c r="E25">
        <v>190.28404626953267</v>
      </c>
      <c r="F25">
        <v>66.183315409979002</v>
      </c>
      <c r="G25">
        <v>72.615984087884996</v>
      </c>
      <c r="H25">
        <v>68.012870116849072</v>
      </c>
      <c r="J25">
        <v>70.075816519224105</v>
      </c>
      <c r="L25">
        <v>8.5490572568376173</v>
      </c>
      <c r="M25">
        <v>13.850608453925993</v>
      </c>
      <c r="N25">
        <v>2.5054208557049344</v>
      </c>
      <c r="O25">
        <v>34.742329376499399</v>
      </c>
      <c r="P25">
        <v>13.328956537026373</v>
      </c>
      <c r="Q25">
        <v>0.78035927912475744</v>
      </c>
      <c r="R25">
        <v>18.403333177115414</v>
      </c>
      <c r="S25">
        <v>50.743397541177728</v>
      </c>
      <c r="U25">
        <v>1.6006019484907079</v>
      </c>
      <c r="V25">
        <v>48.692570433936254</v>
      </c>
      <c r="W25">
        <v>22.155559283248209</v>
      </c>
      <c r="X25">
        <v>46.965285713195783</v>
      </c>
      <c r="Y25">
        <v>10.284323991289925</v>
      </c>
      <c r="Z25">
        <v>33.761837303490907</v>
      </c>
      <c r="AA25">
        <v>7.6599069600919103</v>
      </c>
      <c r="AB25">
        <v>37.761967497316959</v>
      </c>
      <c r="AD25">
        <v>9.5557256248431557</v>
      </c>
      <c r="AE25">
        <v>13.732997126998621</v>
      </c>
      <c r="AF25">
        <v>13.51131738751862</v>
      </c>
      <c r="AG25">
        <v>23.225322515515458</v>
      </c>
      <c r="AH25">
        <v>9.6390606942007846</v>
      </c>
      <c r="AI25">
        <v>2.450529398417689</v>
      </c>
      <c r="AK25">
        <v>58.186538017059803</v>
      </c>
    </row>
    <row r="26" spans="1:37" x14ac:dyDescent="0.2">
      <c r="A26">
        <v>25</v>
      </c>
      <c r="B26">
        <v>755</v>
      </c>
      <c r="C26">
        <v>255</v>
      </c>
      <c r="D26">
        <v>0.322550697855369</v>
      </c>
      <c r="E26">
        <v>190.15905112471515</v>
      </c>
      <c r="F26">
        <v>65.79107732236028</v>
      </c>
      <c r="G26">
        <v>72.551326859368814</v>
      </c>
      <c r="H26">
        <v>67.945823456148958</v>
      </c>
      <c r="J26">
        <v>69.97815164224167</v>
      </c>
      <c r="L26">
        <v>8.460743701086276</v>
      </c>
      <c r="M26">
        <v>13.774273995017461</v>
      </c>
      <c r="N26">
        <v>2.5073961230808655</v>
      </c>
      <c r="O26">
        <v>34.345104012729564</v>
      </c>
      <c r="P26">
        <v>13.223106249493719</v>
      </c>
      <c r="Q26">
        <v>0.7122416669720697</v>
      </c>
      <c r="R26">
        <v>18.174908122192992</v>
      </c>
      <c r="S26">
        <v>50.248412773044791</v>
      </c>
      <c r="U26">
        <v>1.5130075753323329</v>
      </c>
      <c r="V26">
        <v>48.568628000746031</v>
      </c>
      <c r="W26">
        <v>21.935692908802423</v>
      </c>
      <c r="X26">
        <v>46.735086802336724</v>
      </c>
      <c r="Y26">
        <v>10.189632947227246</v>
      </c>
      <c r="Z26">
        <v>33.54564127830195</v>
      </c>
      <c r="AA26">
        <v>7.5690547811563302</v>
      </c>
      <c r="AB26">
        <v>37.592825443848341</v>
      </c>
      <c r="AD26">
        <v>9.4322314772860913</v>
      </c>
      <c r="AE26">
        <v>13.63659091261356</v>
      </c>
      <c r="AF26">
        <v>13.43386391825616</v>
      </c>
      <c r="AG26">
        <v>23.041219428478819</v>
      </c>
      <c r="AH26">
        <v>9.4966733241821402</v>
      </c>
      <c r="AI26">
        <v>2.4522176323957994</v>
      </c>
      <c r="AK26">
        <v>58.168029313806578</v>
      </c>
    </row>
    <row r="27" spans="1:37" x14ac:dyDescent="0.2">
      <c r="A27">
        <v>26</v>
      </c>
      <c r="B27">
        <v>754</v>
      </c>
      <c r="C27">
        <v>255</v>
      </c>
      <c r="D27">
        <v>0.321823005403299</v>
      </c>
      <c r="E27">
        <v>190.03420884870147</v>
      </c>
      <c r="F27">
        <v>65.399518995670277</v>
      </c>
      <c r="G27">
        <v>72.486751275897959</v>
      </c>
      <c r="H27">
        <v>67.878871494248514</v>
      </c>
      <c r="J27">
        <v>69.881083682594664</v>
      </c>
      <c r="L27">
        <v>8.372593995877855</v>
      </c>
      <c r="M27">
        <v>13.69808314058796</v>
      </c>
      <c r="N27">
        <v>2.5093712604545257</v>
      </c>
      <c r="O27">
        <v>33.948480341476191</v>
      </c>
      <c r="P27">
        <v>13.117426890572718</v>
      </c>
      <c r="Q27">
        <v>0.64425258824330833</v>
      </c>
      <c r="R27">
        <v>17.946837978539271</v>
      </c>
      <c r="S27">
        <v>49.75433472166938</v>
      </c>
      <c r="U27">
        <v>1.4254818448311164</v>
      </c>
      <c r="V27">
        <v>48.444871791393339</v>
      </c>
      <c r="W27">
        <v>21.716102545499048</v>
      </c>
      <c r="X27">
        <v>46.505311341048646</v>
      </c>
      <c r="Y27">
        <v>10.09509474218317</v>
      </c>
      <c r="Z27">
        <v>33.329729747883732</v>
      </c>
      <c r="AA27">
        <v>7.4783686375992255</v>
      </c>
      <c r="AB27">
        <v>37.423951937703727</v>
      </c>
      <c r="AD27">
        <v>9.3088385290124176</v>
      </c>
      <c r="AE27">
        <v>13.540307160164819</v>
      </c>
      <c r="AF27">
        <v>13.356554230634732</v>
      </c>
      <c r="AG27">
        <v>22.857387286042876</v>
      </c>
      <c r="AH27">
        <v>9.3544984566833875</v>
      </c>
      <c r="AI27">
        <v>2.4539049036301406</v>
      </c>
      <c r="AK27">
        <v>58.149833896752575</v>
      </c>
    </row>
    <row r="28" spans="1:37" x14ac:dyDescent="0.2">
      <c r="A28">
        <v>27</v>
      </c>
      <c r="B28">
        <v>753</v>
      </c>
      <c r="C28">
        <v>255</v>
      </c>
      <c r="D28">
        <v>0.321093894654779</v>
      </c>
      <c r="E28">
        <v>189.90951902864049</v>
      </c>
      <c r="F28">
        <v>65.008638719166072</v>
      </c>
      <c r="G28">
        <v>72.422257178799953</v>
      </c>
      <c r="H28">
        <v>67.812014093354577</v>
      </c>
      <c r="J28">
        <v>69.784612166349419</v>
      </c>
      <c r="L28">
        <v>8.2845538576781603</v>
      </c>
      <c r="M28">
        <v>13.622035429035837</v>
      </c>
      <c r="N28">
        <v>2.5113462683278986</v>
      </c>
      <c r="O28">
        <v>33.552457065376522</v>
      </c>
      <c r="P28">
        <v>13.011918166197336</v>
      </c>
      <c r="Q28">
        <v>0.57632377282243119</v>
      </c>
      <c r="R28">
        <v>17.719121654337783</v>
      </c>
      <c r="S28">
        <v>49.26116066515992</v>
      </c>
      <c r="U28">
        <v>1.3380244015997458</v>
      </c>
      <c r="V28">
        <v>48.321301089380462</v>
      </c>
      <c r="W28">
        <v>21.496787276444319</v>
      </c>
      <c r="X28">
        <v>46.275957864920748</v>
      </c>
      <c r="Y28">
        <v>10.00070900426768</v>
      </c>
      <c r="Z28">
        <v>33.114101781637928</v>
      </c>
      <c r="AA28">
        <v>7.3878481591609306</v>
      </c>
      <c r="AB28">
        <v>37.255346081124934</v>
      </c>
      <c r="AD28">
        <v>9.1855467389264547</v>
      </c>
      <c r="AE28">
        <v>13.444145428183031</v>
      </c>
      <c r="AF28">
        <v>13.279387869177761</v>
      </c>
      <c r="AG28">
        <v>22.673825196902818</v>
      </c>
      <c r="AH28">
        <v>9.2125357812341004</v>
      </c>
      <c r="AI28">
        <v>2.4555912107829854</v>
      </c>
      <c r="AK28">
        <v>58.131951671805361</v>
      </c>
    </row>
    <row r="29" spans="1:37" x14ac:dyDescent="0.2">
      <c r="A29">
        <v>28</v>
      </c>
      <c r="B29">
        <v>752</v>
      </c>
      <c r="C29">
        <v>255</v>
      </c>
      <c r="D29">
        <v>0.3203633614593</v>
      </c>
      <c r="E29">
        <v>189.78498125594228</v>
      </c>
      <c r="F29">
        <v>64.618434801224751</v>
      </c>
      <c r="G29">
        <v>72.357844411614835</v>
      </c>
      <c r="H29">
        <v>67.745251117927509</v>
      </c>
      <c r="J29">
        <v>69.688736628291963</v>
      </c>
      <c r="L29">
        <v>8.1967246149303161</v>
      </c>
      <c r="M29">
        <v>13.546130402613953</v>
      </c>
      <c r="N29">
        <v>2.5133211472538401</v>
      </c>
      <c r="O29">
        <v>33.1570329023805</v>
      </c>
      <c r="P29">
        <v>12.906579786843832</v>
      </c>
      <c r="Q29">
        <v>0.50858344990492788</v>
      </c>
      <c r="R29">
        <v>17.491758068785703</v>
      </c>
      <c r="S29">
        <v>48.768887905367613</v>
      </c>
      <c r="U29">
        <v>1.2506348944421017</v>
      </c>
      <c r="V29">
        <v>48.197915177223223</v>
      </c>
      <c r="W29">
        <v>21.277746192641327</v>
      </c>
      <c r="X29">
        <v>46.047024921259776</v>
      </c>
      <c r="Y29">
        <v>9.9064753664454699</v>
      </c>
      <c r="Z29">
        <v>32.898756457453828</v>
      </c>
      <c r="AA29">
        <v>7.2974929805835567</v>
      </c>
      <c r="AB29">
        <v>37.08700698390588</v>
      </c>
      <c r="AD29">
        <v>9.0623560679583051</v>
      </c>
      <c r="AE29">
        <v>13.34810527895543</v>
      </c>
      <c r="AF29">
        <v>13.202364382329769</v>
      </c>
      <c r="AG29">
        <v>22.490532277374612</v>
      </c>
      <c r="AH29">
        <v>9.070784992957341</v>
      </c>
      <c r="AI29">
        <v>2.4572765525685258</v>
      </c>
      <c r="AK29">
        <v>58.114382549292536</v>
      </c>
    </row>
    <row r="30" spans="1:37" x14ac:dyDescent="0.2">
      <c r="A30">
        <v>29</v>
      </c>
      <c r="B30">
        <v>751</v>
      </c>
      <c r="C30">
        <v>255</v>
      </c>
      <c r="D30">
        <v>0.31963140165015202</v>
      </c>
      <c r="E30">
        <v>189.66059512642181</v>
      </c>
      <c r="F30">
        <v>64.228905569752357</v>
      </c>
      <c r="G30">
        <v>72.293512820152344</v>
      </c>
      <c r="H30">
        <v>67.678582434737834</v>
      </c>
      <c r="J30">
        <v>69.593456612184482</v>
      </c>
      <c r="L30">
        <v>8.1090579964947089</v>
      </c>
      <c r="M30">
        <v>13.470367607582418</v>
      </c>
      <c r="N30">
        <v>2.5152958977985946</v>
      </c>
      <c r="O30">
        <v>32.762206585828032</v>
      </c>
      <c r="P30">
        <v>12.801411467602234</v>
      </c>
      <c r="Q30">
        <v>0.44096965806195842</v>
      </c>
      <c r="R30">
        <v>17.264746152369277</v>
      </c>
      <c r="S30">
        <v>48.277513768598304</v>
      </c>
      <c r="U30">
        <v>1.1633129764726906</v>
      </c>
      <c r="V30">
        <v>48.074713336545749</v>
      </c>
      <c r="W30">
        <v>21.058978393195435</v>
      </c>
      <c r="X30">
        <v>45.818511069975798</v>
      </c>
      <c r="Y30">
        <v>9.8123934666237069</v>
      </c>
      <c r="Z30">
        <v>32.683692861822578</v>
      </c>
      <c r="AA30">
        <v>7.2073027417011621</v>
      </c>
      <c r="AB30">
        <v>36.918933763581876</v>
      </c>
      <c r="AD30">
        <v>8.9392664792124101</v>
      </c>
      <c r="AE30">
        <v>13.252186278540881</v>
      </c>
      <c r="AF30">
        <v>13.125483322564184</v>
      </c>
      <c r="AG30">
        <v>22.307507651547986</v>
      </c>
      <c r="AH30">
        <v>8.9292457927485192</v>
      </c>
      <c r="AI30">
        <v>2.4589609277131785</v>
      </c>
      <c r="AK30">
        <v>58.097126444080985</v>
      </c>
    </row>
    <row r="31" spans="1:37" x14ac:dyDescent="0.2">
      <c r="A31">
        <v>30</v>
      </c>
      <c r="B31">
        <v>750</v>
      </c>
      <c r="C31">
        <v>255</v>
      </c>
      <c r="D31">
        <v>0.31889801104432502</v>
      </c>
      <c r="E31">
        <v>189.5363602404363</v>
      </c>
      <c r="F31">
        <v>63.84004937260891</v>
      </c>
      <c r="G31">
        <v>72.229262252562947</v>
      </c>
      <c r="H31">
        <v>67.612007912936889</v>
      </c>
      <c r="J31">
        <v>69.498771670991857</v>
      </c>
      <c r="L31">
        <v>8.0215540519962758</v>
      </c>
      <c r="M31">
        <v>13.394746594396475</v>
      </c>
      <c r="N31">
        <v>2.5172705204664729</v>
      </c>
      <c r="O31">
        <v>32.367976864594688</v>
      </c>
      <c r="P31">
        <v>12.696412928245033</v>
      </c>
      <c r="Q31">
        <v>0.37348200215723321</v>
      </c>
      <c r="R31">
        <v>17.038084847136201</v>
      </c>
      <c r="S31">
        <v>47.787035606574513</v>
      </c>
      <c r="U31">
        <v>1.076058305283921</v>
      </c>
      <c r="V31">
        <v>47.951694848185319</v>
      </c>
      <c r="W31">
        <v>20.840482985692802</v>
      </c>
      <c r="X31">
        <v>45.590414883730915</v>
      </c>
      <c r="Y31">
        <v>9.7184629477445803</v>
      </c>
      <c r="Z31">
        <v>32.468910090101687</v>
      </c>
      <c r="AA31">
        <v>7.1172770875025018</v>
      </c>
      <c r="AB31">
        <v>36.751125545773036</v>
      </c>
      <c r="AD31">
        <v>8.8162779381857721</v>
      </c>
      <c r="AE31">
        <v>13.156387996865559</v>
      </c>
      <c r="AF31">
        <v>13.048744246502311</v>
      </c>
      <c r="AG31">
        <v>22.124750451556029</v>
      </c>
      <c r="AH31">
        <v>8.7879178875122417</v>
      </c>
      <c r="AI31">
        <v>2.4606443348814269</v>
      </c>
      <c r="AK31">
        <v>58.080183275661568</v>
      </c>
    </row>
    <row r="32" spans="1:37" x14ac:dyDescent="0.2">
      <c r="A32">
        <v>31</v>
      </c>
      <c r="B32">
        <v>749</v>
      </c>
      <c r="C32">
        <v>255</v>
      </c>
      <c r="D32">
        <v>0.31816318544244998</v>
      </c>
      <c r="E32">
        <v>189.41227620260281</v>
      </c>
      <c r="F32">
        <v>63.451864576561981</v>
      </c>
      <c r="G32">
        <v>72.165092559181303</v>
      </c>
      <c r="H32">
        <v>67.545527423903025</v>
      </c>
      <c r="J32">
        <v>69.404681366364514</v>
      </c>
      <c r="L32">
        <v>7.934212990251206</v>
      </c>
      <c r="M32">
        <v>13.31926691728626</v>
      </c>
      <c r="N32">
        <v>2.5192450158351285</v>
      </c>
      <c r="O32">
        <v>31.974342502613457</v>
      </c>
      <c r="P32">
        <v>12.591583893057443</v>
      </c>
      <c r="Q32">
        <v>0.30605511265517632</v>
      </c>
      <c r="R32">
        <v>16.811773106040643</v>
      </c>
      <c r="S32">
        <v>47.297450794289965</v>
      </c>
      <c r="U32">
        <v>0.98887054257871354</v>
      </c>
      <c r="V32">
        <v>47.82885899135848</v>
      </c>
      <c r="W32">
        <v>20.622259085339266</v>
      </c>
      <c r="X32">
        <v>45.362734946851631</v>
      </c>
      <c r="Y32">
        <v>9.6246834575695388</v>
      </c>
      <c r="Z32">
        <v>32.254407245814384</v>
      </c>
      <c r="AA32">
        <v>7.0274156679846342</v>
      </c>
      <c r="AB32">
        <v>36.583581463362172</v>
      </c>
      <c r="AD32">
        <v>8.6933904123874122</v>
      </c>
      <c r="AE32">
        <v>13.060710007424124</v>
      </c>
      <c r="AF32">
        <v>12.972146714626248</v>
      </c>
      <c r="AG32">
        <v>21.942259816886246</v>
      </c>
      <c r="AH32">
        <v>8.6468009896750768</v>
      </c>
      <c r="AI32">
        <v>2.4623267728116778</v>
      </c>
      <c r="AK32">
        <v>58.063552967978779</v>
      </c>
    </row>
    <row r="33" spans="1:37" x14ac:dyDescent="0.2">
      <c r="A33">
        <v>32</v>
      </c>
      <c r="B33">
        <v>748</v>
      </c>
      <c r="C33">
        <v>255</v>
      </c>
      <c r="D33">
        <v>0.31742692062870498</v>
      </c>
      <c r="E33">
        <v>189.28834262184395</v>
      </c>
      <c r="F33">
        <v>63.064349567473762</v>
      </c>
      <c r="G33">
        <v>72.101003592577797</v>
      </c>
      <c r="H33">
        <v>67.47914084128945</v>
      </c>
      <c r="J33">
        <v>69.311185268721133</v>
      </c>
      <c r="L33">
        <v>7.8469769243684606</v>
      </c>
      <c r="M33">
        <v>13.243928134414187</v>
      </c>
      <c r="N33">
        <v>2.5212193844697572</v>
      </c>
      <c r="O33">
        <v>31.581302278879832</v>
      </c>
      <c r="P33">
        <v>12.48692409083716</v>
      </c>
      <c r="Q33">
        <v>0.23881121887593962</v>
      </c>
      <c r="R33">
        <v>16.585809893099523</v>
      </c>
      <c r="S33">
        <v>46.808756730768415</v>
      </c>
      <c r="U33">
        <v>0.90174935431015646</v>
      </c>
      <c r="V33">
        <v>47.706205043624841</v>
      </c>
      <c r="W33">
        <v>20.404305815335601</v>
      </c>
      <c r="X33">
        <v>45.135469855845884</v>
      </c>
      <c r="Y33">
        <v>9.5310546487198611</v>
      </c>
      <c r="Z33">
        <v>32.040183440968391</v>
      </c>
      <c r="AA33">
        <v>6.9377181381582558</v>
      </c>
      <c r="AB33">
        <v>36.416300656864266</v>
      </c>
      <c r="AD33">
        <v>8.5706038715692632</v>
      </c>
      <c r="AE33">
        <v>12.965151887422087</v>
      </c>
      <c r="AF33">
        <v>12.895690291352702</v>
      </c>
      <c r="AG33">
        <v>21.760034894665328</v>
      </c>
      <c r="AH33">
        <v>8.5058948173664692</v>
      </c>
      <c r="AI33">
        <v>2.4640082402282526</v>
      </c>
      <c r="AK33">
        <v>58.047235449387827</v>
      </c>
    </row>
    <row r="34" spans="1:37" x14ac:dyDescent="0.2">
      <c r="A34">
        <v>33</v>
      </c>
      <c r="B34">
        <v>747</v>
      </c>
      <c r="C34">
        <v>255</v>
      </c>
      <c r="D34">
        <v>0.316689212370732</v>
      </c>
      <c r="E34">
        <v>189.16455911155862</v>
      </c>
      <c r="F34">
        <v>62.677502750820842</v>
      </c>
      <c r="G34">
        <v>72.036995207631648</v>
      </c>
      <c r="H34">
        <v>67.412848041100588</v>
      </c>
      <c r="J34">
        <v>69.218282957566373</v>
      </c>
      <c r="L34">
        <v>7.7599523047898931</v>
      </c>
      <c r="M34">
        <v>13.168729808089374</v>
      </c>
      <c r="N34">
        <v>2.5231936268522022</v>
      </c>
      <c r="O34">
        <v>31.18885498757275</v>
      </c>
      <c r="P34">
        <v>12.38243325498984</v>
      </c>
      <c r="Q34">
        <v>0.17169156400499469</v>
      </c>
      <c r="R34">
        <v>16.360194183727288</v>
      </c>
      <c r="S34">
        <v>46.320950840094419</v>
      </c>
      <c r="U34">
        <v>0.81469441086017713</v>
      </c>
      <c r="V34">
        <v>47.583732281042515</v>
      </c>
      <c r="W34">
        <v>20.186622307231655</v>
      </c>
      <c r="X34">
        <v>44.908618219816255</v>
      </c>
      <c r="Y34">
        <v>9.4375761787889676</v>
      </c>
      <c r="Z34">
        <v>31.826237796273745</v>
      </c>
      <c r="AA34">
        <v>6.8481841581174958</v>
      </c>
      <c r="AB34">
        <v>36.249282274751309</v>
      </c>
      <c r="AD34">
        <v>8.4479182879315999</v>
      </c>
      <c r="AE34">
        <v>12.869713217839957</v>
      </c>
      <c r="AF34">
        <v>12.819374545169426</v>
      </c>
      <c r="AG34">
        <v>21.578074839912912</v>
      </c>
      <c r="AH34">
        <v>8.3651990946682417</v>
      </c>
      <c r="AI34">
        <v>2.4656887357733996</v>
      </c>
      <c r="AK34">
        <v>58.031230652799039</v>
      </c>
    </row>
    <row r="35" spans="1:37" x14ac:dyDescent="0.2">
      <c r="A35">
        <v>34</v>
      </c>
      <c r="B35">
        <v>746</v>
      </c>
      <c r="C35">
        <v>255</v>
      </c>
      <c r="D35">
        <v>0.31595005641956603</v>
      </c>
      <c r="E35">
        <v>189.04092528912764</v>
      </c>
      <c r="F35">
        <v>62.291322549937654</v>
      </c>
      <c r="G35">
        <v>71.973067261275759</v>
      </c>
      <c r="H35">
        <v>67.346648901436865</v>
      </c>
      <c r="J35">
        <v>69.125974020551041</v>
      </c>
      <c r="L35">
        <v>7.6730898632422795</v>
      </c>
      <c r="M35">
        <v>13.093671504046817</v>
      </c>
      <c r="N35">
        <v>2.5251677436081961</v>
      </c>
      <c r="O35">
        <v>30.796999437378041</v>
      </c>
      <c r="P35">
        <v>12.278111123233625</v>
      </c>
      <c r="Q35">
        <v>0.10469585432777603</v>
      </c>
      <c r="R35">
        <v>16.134924963616818</v>
      </c>
      <c r="S35">
        <v>45.834030567852352</v>
      </c>
      <c r="U35">
        <v>0.72770538642614446</v>
      </c>
      <c r="V35">
        <v>47.461439976817189</v>
      </c>
      <c r="W35">
        <v>19.969207699546942</v>
      </c>
      <c r="X35">
        <v>44.682178658656518</v>
      </c>
      <c r="Y35">
        <v>9.3442477099763916</v>
      </c>
      <c r="Z35">
        <v>31.612569440074925</v>
      </c>
      <c r="AA35">
        <v>6.7588133927851306</v>
      </c>
      <c r="AB35">
        <v>36.082525472131174</v>
      </c>
      <c r="AD35">
        <v>8.3253336354869614</v>
      </c>
      <c r="AE35">
        <v>12.774393582997154</v>
      </c>
      <c r="AF35">
        <v>12.743199048154418</v>
      </c>
      <c r="AG35">
        <v>21.396378814449157</v>
      </c>
      <c r="AH35">
        <v>8.22471355080358</v>
      </c>
      <c r="AI35">
        <v>2.4673682582324403</v>
      </c>
      <c r="AK35">
        <v>58.015538515345341</v>
      </c>
    </row>
    <row r="36" spans="1:37" x14ac:dyDescent="0.2">
      <c r="A36">
        <v>35</v>
      </c>
      <c r="B36">
        <v>745</v>
      </c>
      <c r="C36">
        <v>255</v>
      </c>
      <c r="D36">
        <v>0.31520944850955201</v>
      </c>
      <c r="E36">
        <v>188.9174407764705</v>
      </c>
      <c r="F36">
        <v>61.905807407901989</v>
      </c>
      <c r="G36">
        <v>71.909219612788704</v>
      </c>
      <c r="H36">
        <v>67.280543302784494</v>
      </c>
      <c r="J36">
        <v>69.034258054519981</v>
      </c>
      <c r="L36">
        <v>7.5863375179452559</v>
      </c>
      <c r="M36">
        <v>13.018752792286268</v>
      </c>
      <c r="N36">
        <v>2.5271417352210945</v>
      </c>
      <c r="O36">
        <v>30.405734452089845</v>
      </c>
      <c r="P36">
        <v>12.173957437897869</v>
      </c>
      <c r="Q36">
        <v>3.775860590141019E-2</v>
      </c>
      <c r="R36">
        <v>15.910001229981608</v>
      </c>
      <c r="S36">
        <v>45.347993385186243</v>
      </c>
      <c r="U36">
        <v>0.6407819597283001</v>
      </c>
      <c r="V36">
        <v>47.339327402354883</v>
      </c>
      <c r="W36">
        <v>19.752061139356929</v>
      </c>
      <c r="X36">
        <v>44.456149805250973</v>
      </c>
      <c r="Y36">
        <v>9.2510689094863015</v>
      </c>
      <c r="Z36">
        <v>31.399177509533473</v>
      </c>
      <c r="AA36">
        <v>6.6696055121528914</v>
      </c>
      <c r="AB36">
        <v>35.916029412255703</v>
      </c>
      <c r="AD36">
        <v>8.202849890863364</v>
      </c>
      <c r="AE36">
        <v>12.679192571016737</v>
      </c>
      <c r="AF36">
        <v>12.667163376513995</v>
      </c>
      <c r="AG36">
        <v>21.214945988111293</v>
      </c>
      <c r="AH36">
        <v>8.0844379210782051</v>
      </c>
      <c r="AI36">
        <v>2.4690468062485551</v>
      </c>
      <c r="AK36">
        <v>58.00015897873152</v>
      </c>
    </row>
    <row r="37" spans="1:37" x14ac:dyDescent="0.2">
      <c r="A37">
        <v>36</v>
      </c>
      <c r="B37">
        <v>744</v>
      </c>
      <c r="C37">
        <v>255</v>
      </c>
      <c r="D37">
        <v>0.31446738435825899</v>
      </c>
      <c r="E37">
        <v>188.32182511516302</v>
      </c>
      <c r="F37">
        <v>58.069174461846373</v>
      </c>
      <c r="G37">
        <v>71.353339728886681</v>
      </c>
      <c r="H37">
        <v>66.722418733109208</v>
      </c>
      <c r="J37">
        <v>67.434823404375749</v>
      </c>
      <c r="L37">
        <v>6.5681646862626586</v>
      </c>
      <c r="M37">
        <v>12.921664415284107</v>
      </c>
      <c r="N37">
        <v>2.5290920896738007</v>
      </c>
      <c r="O37">
        <v>26.552889450188623</v>
      </c>
      <c r="P37">
        <v>11.085723643756813</v>
      </c>
      <c r="R37">
        <v>14.357767242406208</v>
      </c>
      <c r="S37">
        <v>42.944548482063738</v>
      </c>
      <c r="U37">
        <v>0.56280002655369432</v>
      </c>
      <c r="V37">
        <v>47.097096536332977</v>
      </c>
      <c r="W37">
        <v>19.55949678502774</v>
      </c>
      <c r="X37">
        <v>44.25747406707238</v>
      </c>
      <c r="Y37">
        <v>8.1676053911608832</v>
      </c>
      <c r="Z37">
        <v>28.778899117160705</v>
      </c>
      <c r="AA37">
        <v>5.6278086230711564</v>
      </c>
      <c r="AB37">
        <v>34.75540945993535</v>
      </c>
      <c r="AD37">
        <v>6.7002824000431325</v>
      </c>
      <c r="AE37">
        <v>11.553272827345657</v>
      </c>
      <c r="AF37">
        <v>12.568934766444968</v>
      </c>
      <c r="AG37">
        <v>20.039368219818549</v>
      </c>
      <c r="AH37">
        <v>6.4283624348869832</v>
      </c>
      <c r="AI37">
        <v>2.470700865963654</v>
      </c>
      <c r="AK37">
        <v>56.967407939345719</v>
      </c>
    </row>
    <row r="38" spans="1:37" x14ac:dyDescent="0.2">
      <c r="A38">
        <v>37</v>
      </c>
      <c r="B38">
        <v>743</v>
      </c>
      <c r="C38">
        <v>255</v>
      </c>
      <c r="D38">
        <v>0.31372385966638899</v>
      </c>
      <c r="E38">
        <v>187.13932481946881</v>
      </c>
      <c r="F38">
        <v>49.900206381518757</v>
      </c>
      <c r="G38">
        <v>70.168018555381096</v>
      </c>
      <c r="H38">
        <v>65.534866159513825</v>
      </c>
      <c r="J38">
        <v>64.002051067442437</v>
      </c>
      <c r="L38">
        <v>4.3528647131871478</v>
      </c>
      <c r="M38">
        <v>12.836623963590524</v>
      </c>
      <c r="N38">
        <v>2.5310063586561595</v>
      </c>
      <c r="O38">
        <v>18.296405616909031</v>
      </c>
      <c r="P38">
        <v>8.7385792075430029</v>
      </c>
      <c r="R38">
        <v>11.149779902491161</v>
      </c>
      <c r="S38">
        <v>38.405290461506596</v>
      </c>
      <c r="U38">
        <v>0.53315461908336281</v>
      </c>
      <c r="V38">
        <v>46.810226512791807</v>
      </c>
      <c r="W38">
        <v>19.404009523706286</v>
      </c>
      <c r="X38">
        <v>44.207029910661078</v>
      </c>
      <c r="Y38">
        <v>5.8185958200508532</v>
      </c>
      <c r="Z38">
        <v>23.131213121740501</v>
      </c>
      <c r="AA38">
        <v>3.3705803078874159</v>
      </c>
      <c r="AB38">
        <v>32.485259357661086</v>
      </c>
      <c r="AD38">
        <v>3.4362222141060004</v>
      </c>
      <c r="AE38">
        <v>9.1571760198450782</v>
      </c>
      <c r="AF38">
        <v>12.482718365943184</v>
      </c>
      <c r="AG38">
        <v>17.754226809896391</v>
      </c>
      <c r="AH38">
        <v>2.8006027106975258</v>
      </c>
      <c r="AI38">
        <v>2.472317987228104</v>
      </c>
      <c r="AK38">
        <v>54.658859588807601</v>
      </c>
    </row>
    <row r="39" spans="1:37" x14ac:dyDescent="0.2">
      <c r="A39">
        <v>38</v>
      </c>
      <c r="B39">
        <v>742</v>
      </c>
      <c r="C39">
        <v>255</v>
      </c>
      <c r="D39">
        <v>0.31297887011771702</v>
      </c>
      <c r="E39">
        <v>186.6102812076175</v>
      </c>
      <c r="F39">
        <v>45.3967756191647</v>
      </c>
      <c r="G39">
        <v>69.613278938356459</v>
      </c>
      <c r="H39">
        <v>64.977908449416645</v>
      </c>
      <c r="J39">
        <v>57.980134968109368</v>
      </c>
      <c r="L39">
        <v>2.3701601323925714</v>
      </c>
      <c r="M39">
        <v>12.690312395613917</v>
      </c>
      <c r="N39">
        <v>2.5329593716984919</v>
      </c>
      <c r="O39">
        <v>9.3311449345163542</v>
      </c>
      <c r="P39">
        <v>7.6526446744459626</v>
      </c>
      <c r="R39">
        <v>8.6368810219824343</v>
      </c>
      <c r="S39">
        <v>34.004364548991099</v>
      </c>
      <c r="U39">
        <v>0.49577526793753335</v>
      </c>
      <c r="V39">
        <v>46.737781344656199</v>
      </c>
      <c r="W39">
        <v>19.191594956721712</v>
      </c>
      <c r="X39">
        <v>44.134372650342073</v>
      </c>
      <c r="Y39">
        <v>4.1083042867545743</v>
      </c>
      <c r="Z39">
        <v>19.021163313918386</v>
      </c>
      <c r="AA39">
        <v>1.1923099076023063</v>
      </c>
      <c r="AB39">
        <v>30.798483392052198</v>
      </c>
      <c r="AD39">
        <v>1.0805896312901013</v>
      </c>
      <c r="AE39">
        <v>7.2278737343487007</v>
      </c>
      <c r="AF39">
        <v>12.335269968707935</v>
      </c>
      <c r="AG39">
        <v>16.052500880657558</v>
      </c>
      <c r="AI39">
        <v>2.4739729977310008</v>
      </c>
      <c r="AK39">
        <v>50.585307435290126</v>
      </c>
    </row>
    <row r="40" spans="1:37" x14ac:dyDescent="0.2">
      <c r="A40">
        <v>39</v>
      </c>
      <c r="B40">
        <v>741</v>
      </c>
      <c r="C40">
        <v>255</v>
      </c>
      <c r="D40">
        <v>0.31223241137898899</v>
      </c>
      <c r="E40">
        <v>186.85358601378059</v>
      </c>
      <c r="F40">
        <v>45.479343771300179</v>
      </c>
      <c r="G40">
        <v>69.69173586520472</v>
      </c>
      <c r="H40">
        <v>65.054160611585388</v>
      </c>
      <c r="J40">
        <v>47.325488105975062</v>
      </c>
      <c r="L40">
        <v>1.6526908703927148</v>
      </c>
      <c r="M40">
        <v>12.265503745284903</v>
      </c>
      <c r="N40">
        <v>2.534957475042718</v>
      </c>
      <c r="O40">
        <v>5.3876729353136446</v>
      </c>
      <c r="P40">
        <v>7.8331563890427338</v>
      </c>
      <c r="R40">
        <v>7.6939507503817905</v>
      </c>
      <c r="S40">
        <v>32.58252419463183</v>
      </c>
      <c r="U40">
        <v>0.45826164956227344</v>
      </c>
      <c r="V40">
        <v>47.285641995731957</v>
      </c>
      <c r="W40">
        <v>18.700540721690405</v>
      </c>
      <c r="X40">
        <v>44.061336965929456</v>
      </c>
      <c r="Y40">
        <v>3.5126196114552339</v>
      </c>
      <c r="Z40">
        <v>17.697782572177225</v>
      </c>
      <c r="AB40">
        <v>30.533688309613463</v>
      </c>
      <c r="AE40">
        <v>6.4401864116073266</v>
      </c>
      <c r="AF40">
        <v>11.909369960692128</v>
      </c>
      <c r="AG40">
        <v>15.772803531030521</v>
      </c>
      <c r="AI40">
        <v>2.4756722418737387</v>
      </c>
      <c r="AK40">
        <v>43.329762663078675</v>
      </c>
    </row>
    <row r="41" spans="1:37" x14ac:dyDescent="0.2">
      <c r="A41">
        <v>40</v>
      </c>
      <c r="B41">
        <v>740</v>
      </c>
      <c r="C41">
        <v>255</v>
      </c>
      <c r="D41">
        <v>0.31148447909983901</v>
      </c>
      <c r="E41">
        <v>187.03616659345994</v>
      </c>
      <c r="F41">
        <v>46.023965581888</v>
      </c>
      <c r="G41">
        <v>69.66902555157165</v>
      </c>
      <c r="H41">
        <v>65.029258883082917</v>
      </c>
      <c r="J41">
        <v>41.21729438896832</v>
      </c>
      <c r="L41">
        <v>1.6695613015939197</v>
      </c>
      <c r="M41">
        <v>11.78347921180263</v>
      </c>
      <c r="N41">
        <v>2.5369468767776127</v>
      </c>
      <c r="O41">
        <v>5.3890363819799765</v>
      </c>
      <c r="P41">
        <v>7.8113330143336306</v>
      </c>
      <c r="R41">
        <v>7.3194940817962939</v>
      </c>
      <c r="S41">
        <v>33.108203283186491</v>
      </c>
      <c r="U41">
        <v>0.43239777602158452</v>
      </c>
      <c r="V41">
        <v>47.940375194631144</v>
      </c>
      <c r="W41">
        <v>18.145390141141842</v>
      </c>
      <c r="X41">
        <v>44.022055351060828</v>
      </c>
      <c r="Y41">
        <v>3.2952257475669384</v>
      </c>
      <c r="Z41">
        <v>17.884043362231289</v>
      </c>
      <c r="AB41">
        <v>31.128228205432496</v>
      </c>
      <c r="AE41">
        <v>6.5395129885889034</v>
      </c>
      <c r="AF41">
        <v>11.426245754971747</v>
      </c>
      <c r="AG41">
        <v>16.352435070396961</v>
      </c>
      <c r="AI41">
        <v>2.4773619259047992</v>
      </c>
      <c r="AK41">
        <v>39.114380823838722</v>
      </c>
    </row>
    <row r="42" spans="1:37" x14ac:dyDescent="0.2">
      <c r="A42">
        <v>41</v>
      </c>
      <c r="B42">
        <v>757</v>
      </c>
      <c r="C42">
        <v>235</v>
      </c>
      <c r="D42">
        <v>0.34535795757899301</v>
      </c>
      <c r="E42">
        <v>178.72417271336974</v>
      </c>
      <c r="F42">
        <v>66.126379628605818</v>
      </c>
      <c r="G42">
        <v>72.676593465285109</v>
      </c>
      <c r="H42">
        <v>68.074954292861477</v>
      </c>
      <c r="J42">
        <v>69.780486849609815</v>
      </c>
      <c r="L42">
        <v>8.547522991114219</v>
      </c>
      <c r="M42">
        <v>13.890801875420445</v>
      </c>
      <c r="N42">
        <v>2.4357461315248252</v>
      </c>
      <c r="O42">
        <v>35.220175646874679</v>
      </c>
      <c r="P42">
        <v>13.246072712218048</v>
      </c>
      <c r="Q42">
        <v>0.62545973850411885</v>
      </c>
      <c r="R42">
        <v>18.630118944321239</v>
      </c>
      <c r="S42">
        <v>50.788231727748254</v>
      </c>
      <c r="U42">
        <v>1.5811182534271504</v>
      </c>
      <c r="V42">
        <v>48.36298221848562</v>
      </c>
      <c r="W42">
        <v>22.800958756111218</v>
      </c>
      <c r="X42">
        <v>45.94161923357035</v>
      </c>
      <c r="Y42">
        <v>10.205970976230756</v>
      </c>
      <c r="Z42">
        <v>33.930503850959923</v>
      </c>
      <c r="AA42">
        <v>7.6833332233323892</v>
      </c>
      <c r="AB42">
        <v>37.920328390812806</v>
      </c>
      <c r="AC42">
        <v>5.3169470861644261E-3</v>
      </c>
      <c r="AD42">
        <v>9.6419090974808963</v>
      </c>
      <c r="AE42">
        <v>13.964715338299289</v>
      </c>
      <c r="AF42">
        <v>13.546596752907767</v>
      </c>
      <c r="AG42">
        <v>23.417366668842806</v>
      </c>
      <c r="AH42">
        <v>9.3699616131602017</v>
      </c>
      <c r="AI42">
        <v>2.3786074939564892</v>
      </c>
      <c r="AK42">
        <v>57.898612835444631</v>
      </c>
    </row>
    <row r="43" spans="1:37" x14ac:dyDescent="0.2">
      <c r="A43">
        <v>42</v>
      </c>
      <c r="B43">
        <v>756</v>
      </c>
      <c r="C43">
        <v>235</v>
      </c>
      <c r="D43">
        <v>0.344653840548026</v>
      </c>
      <c r="E43">
        <v>178.61246040117021</v>
      </c>
      <c r="F43">
        <v>65.779846459101805</v>
      </c>
      <c r="G43">
        <v>72.618493279873945</v>
      </c>
      <c r="H43">
        <v>68.014443509922913</v>
      </c>
      <c r="J43">
        <v>69.706728957381415</v>
      </c>
      <c r="L43">
        <v>8.4662885664924641</v>
      </c>
      <c r="M43">
        <v>13.83281810389745</v>
      </c>
      <c r="N43">
        <v>2.4321752737065814</v>
      </c>
      <c r="O43">
        <v>34.84019238151803</v>
      </c>
      <c r="P43">
        <v>13.147774826930043</v>
      </c>
      <c r="Q43">
        <v>0.57149265433913388</v>
      </c>
      <c r="R43">
        <v>18.431111797511608</v>
      </c>
      <c r="S43">
        <v>50.38355045019069</v>
      </c>
      <c r="U43">
        <v>1.5090957238832596</v>
      </c>
      <c r="V43">
        <v>48.268363141508793</v>
      </c>
      <c r="W43">
        <v>22.615231634259867</v>
      </c>
      <c r="X43">
        <v>45.765748945548161</v>
      </c>
      <c r="Y43">
        <v>10.120720633705815</v>
      </c>
      <c r="Z43">
        <v>33.741308416819329</v>
      </c>
      <c r="AA43">
        <v>7.5995570797673722</v>
      </c>
      <c r="AB43">
        <v>37.784216855618247</v>
      </c>
      <c r="AD43">
        <v>9.5358163846703103</v>
      </c>
      <c r="AE43">
        <v>13.878945875525597</v>
      </c>
      <c r="AF43">
        <v>13.481944738570752</v>
      </c>
      <c r="AG43">
        <v>23.260771759945744</v>
      </c>
      <c r="AH43">
        <v>9.2484871505121902</v>
      </c>
      <c r="AI43">
        <v>2.3747513358441914</v>
      </c>
      <c r="AK43">
        <v>57.888914277216543</v>
      </c>
    </row>
    <row r="44" spans="1:37" x14ac:dyDescent="0.2">
      <c r="A44">
        <v>43</v>
      </c>
      <c r="B44">
        <v>755</v>
      </c>
      <c r="C44">
        <v>235</v>
      </c>
      <c r="D44">
        <v>0.34394835383941902</v>
      </c>
      <c r="E44">
        <v>178.48788158965601</v>
      </c>
      <c r="F44">
        <v>65.38970228463053</v>
      </c>
      <c r="G44">
        <v>72.554000963643418</v>
      </c>
      <c r="H44">
        <v>67.947553630975293</v>
      </c>
      <c r="J44">
        <v>69.609070583324979</v>
      </c>
      <c r="L44">
        <v>8.378436387488998</v>
      </c>
      <c r="M44">
        <v>13.757145231948298</v>
      </c>
      <c r="N44">
        <v>2.4341524156221639</v>
      </c>
      <c r="O44">
        <v>34.44378948068811</v>
      </c>
      <c r="P44">
        <v>13.042248423058924</v>
      </c>
      <c r="Q44">
        <v>0.50438472521600719</v>
      </c>
      <c r="R44">
        <v>18.203964782884558</v>
      </c>
      <c r="S44">
        <v>49.891103134815403</v>
      </c>
      <c r="U44">
        <v>1.4216385768667879</v>
      </c>
      <c r="V44">
        <v>48.145375014892622</v>
      </c>
      <c r="W44">
        <v>22.396169416943742</v>
      </c>
      <c r="X44">
        <v>45.537499609746654</v>
      </c>
      <c r="Y44">
        <v>10.026361677915819</v>
      </c>
      <c r="Z44">
        <v>33.527083129634235</v>
      </c>
      <c r="AA44">
        <v>7.5091998845550041</v>
      </c>
      <c r="AB44">
        <v>37.616515032876819</v>
      </c>
      <c r="AD44">
        <v>9.4135095052513886</v>
      </c>
      <c r="AE44">
        <v>13.783371937630822</v>
      </c>
      <c r="AF44">
        <v>13.405151929922784</v>
      </c>
      <c r="AG44">
        <v>23.078137084582199</v>
      </c>
      <c r="AH44">
        <v>9.1066900920762457</v>
      </c>
      <c r="AI44">
        <v>2.3764423465625368</v>
      </c>
      <c r="AK44">
        <v>57.870508036060386</v>
      </c>
    </row>
    <row r="45" spans="1:37" x14ac:dyDescent="0.2">
      <c r="A45">
        <v>44</v>
      </c>
      <c r="B45">
        <v>754</v>
      </c>
      <c r="C45">
        <v>235</v>
      </c>
      <c r="D45">
        <v>0.34324149345275801</v>
      </c>
      <c r="E45">
        <v>178.36345013536072</v>
      </c>
      <c r="F45">
        <v>65.000219465978816</v>
      </c>
      <c r="G45">
        <v>72.489588025367681</v>
      </c>
      <c r="H45">
        <v>67.880756185631597</v>
      </c>
      <c r="J45">
        <v>69.511997165394845</v>
      </c>
      <c r="L45">
        <v>8.2906855047644097</v>
      </c>
      <c r="M45">
        <v>13.681612051477485</v>
      </c>
      <c r="N45">
        <v>2.4361294282786718</v>
      </c>
      <c r="O45">
        <v>34.047974024997792</v>
      </c>
      <c r="P45">
        <v>12.936888411878305</v>
      </c>
      <c r="Q45">
        <v>0.45601341711403848</v>
      </c>
      <c r="R45">
        <v>17.977162030517952</v>
      </c>
      <c r="S45">
        <v>49.39953649557669</v>
      </c>
      <c r="U45">
        <v>1.334243682112527</v>
      </c>
      <c r="V45">
        <v>48.022566244189925</v>
      </c>
      <c r="W45">
        <v>22.177377153100217</v>
      </c>
      <c r="X45">
        <v>45.309658321238359</v>
      </c>
      <c r="Y45">
        <v>9.9321507838049037</v>
      </c>
      <c r="Z45">
        <v>33.313139372993184</v>
      </c>
      <c r="AA45">
        <v>7.4190043800789063</v>
      </c>
      <c r="AB45">
        <v>37.449077206300181</v>
      </c>
      <c r="AD45">
        <v>9.2912999020109641</v>
      </c>
      <c r="AE45">
        <v>13.687919872675097</v>
      </c>
      <c r="AF45">
        <v>13.328498995486328</v>
      </c>
      <c r="AG45">
        <v>22.89576880340309</v>
      </c>
      <c r="AH45">
        <v>8.9650995996718663</v>
      </c>
      <c r="AI45">
        <v>2.3781323952803093</v>
      </c>
      <c r="AK45">
        <v>57.852408242024602</v>
      </c>
    </row>
    <row r="46" spans="1:37" x14ac:dyDescent="0.2">
      <c r="A46">
        <v>45</v>
      </c>
      <c r="B46">
        <v>753</v>
      </c>
      <c r="C46">
        <v>235</v>
      </c>
      <c r="D46">
        <v>0.342533255372025</v>
      </c>
      <c r="E46">
        <v>178.23916563469152</v>
      </c>
      <c r="F46">
        <v>64.611396385296615</v>
      </c>
      <c r="G46">
        <v>72.425254313458112</v>
      </c>
      <c r="H46">
        <v>67.814051043182502</v>
      </c>
      <c r="J46">
        <v>69.415508235165944</v>
      </c>
      <c r="L46">
        <v>8.2031453054350241</v>
      </c>
      <c r="M46">
        <v>13.606218125295888</v>
      </c>
      <c r="N46">
        <v>2.4381063122687747</v>
      </c>
      <c r="O46">
        <v>33.652744793843389</v>
      </c>
      <c r="P46">
        <v>12.831694513586294</v>
      </c>
      <c r="Q46">
        <v>0.38875611557675754</v>
      </c>
      <c r="R46">
        <v>17.750702500295386</v>
      </c>
      <c r="S46">
        <v>48.908847933954036</v>
      </c>
      <c r="U46">
        <v>1.2469107048062533</v>
      </c>
      <c r="V46">
        <v>47.899936133436341</v>
      </c>
      <c r="W46">
        <v>21.958853994669628</v>
      </c>
      <c r="X46">
        <v>45.082223659745054</v>
      </c>
      <c r="Y46">
        <v>9.8380875951925013</v>
      </c>
      <c r="Z46">
        <v>33.099476314581423</v>
      </c>
      <c r="AA46">
        <v>7.3289702165541533</v>
      </c>
      <c r="AB46">
        <v>37.281902554411978</v>
      </c>
      <c r="AD46">
        <v>9.1691876031079129</v>
      </c>
      <c r="AE46">
        <v>13.592589292133933</v>
      </c>
      <c r="AF46">
        <v>13.251985504287207</v>
      </c>
      <c r="AG46">
        <v>22.713666101476026</v>
      </c>
      <c r="AH46">
        <v>8.8237153898844394</v>
      </c>
      <c r="AI46">
        <v>2.379821480750584</v>
      </c>
      <c r="AK46">
        <v>57.834614795041404</v>
      </c>
    </row>
    <row r="47" spans="1:37" x14ac:dyDescent="0.2">
      <c r="A47">
        <v>46</v>
      </c>
      <c r="B47">
        <v>752</v>
      </c>
      <c r="C47">
        <v>235</v>
      </c>
      <c r="D47">
        <v>0.34182363556552797</v>
      </c>
      <c r="E47">
        <v>178.11502768819071</v>
      </c>
      <c r="F47">
        <v>64.223231443508439</v>
      </c>
      <c r="G47">
        <v>72.360999678501159</v>
      </c>
      <c r="H47">
        <v>67.747438075134298</v>
      </c>
      <c r="J47">
        <v>69.319603332463842</v>
      </c>
      <c r="L47">
        <v>8.1157634744665046</v>
      </c>
      <c r="M47">
        <v>13.530963020241414</v>
      </c>
      <c r="N47">
        <v>2.4400830680993453</v>
      </c>
      <c r="O47">
        <v>33.258100581178581</v>
      </c>
      <c r="P47">
        <v>12.726666452705816</v>
      </c>
      <c r="Q47">
        <v>0.32159856504078904</v>
      </c>
      <c r="R47">
        <v>17.524585162998299</v>
      </c>
      <c r="S47">
        <v>48.419034875391091</v>
      </c>
      <c r="U47">
        <v>1.1596393143185655</v>
      </c>
      <c r="V47">
        <v>47.77748398604836</v>
      </c>
      <c r="W47">
        <v>21.740599101920093</v>
      </c>
      <c r="X47">
        <v>44.855194216909091</v>
      </c>
      <c r="Y47">
        <v>9.7441717605908824</v>
      </c>
      <c r="Z47">
        <v>32.886093131141124</v>
      </c>
      <c r="AA47">
        <v>7.2390970489776159</v>
      </c>
      <c r="AB47">
        <v>37.114990263830947</v>
      </c>
      <c r="AD47">
        <v>9.0471726386577362</v>
      </c>
      <c r="AE47">
        <v>13.497379811526866</v>
      </c>
      <c r="AF47">
        <v>13.175611029309131</v>
      </c>
      <c r="AG47">
        <v>22.53182817189613</v>
      </c>
      <c r="AH47">
        <v>8.6825371849380737</v>
      </c>
      <c r="AI47">
        <v>2.3815096016412203</v>
      </c>
      <c r="AK47">
        <v>57.817127599072776</v>
      </c>
    </row>
    <row r="48" spans="1:37" x14ac:dyDescent="0.2">
      <c r="A48">
        <v>47</v>
      </c>
      <c r="B48">
        <v>751</v>
      </c>
      <c r="C48">
        <v>235</v>
      </c>
      <c r="D48">
        <v>0.34111262998584302</v>
      </c>
      <c r="E48">
        <v>177.99103590019365</v>
      </c>
      <c r="F48">
        <v>63.835723059059724</v>
      </c>
      <c r="G48">
        <v>72.296823973070943</v>
      </c>
      <c r="H48">
        <v>67.680917155020992</v>
      </c>
      <c r="J48">
        <v>69.224282004692029</v>
      </c>
      <c r="L48">
        <v>8.028540026296044</v>
      </c>
      <c r="M48">
        <v>13.455846306642808</v>
      </c>
      <c r="N48">
        <v>2.4420596963674779</v>
      </c>
      <c r="O48">
        <v>32.864040194998339</v>
      </c>
      <c r="P48">
        <v>12.621803957889757</v>
      </c>
      <c r="Q48">
        <v>0.25453938725690162</v>
      </c>
      <c r="R48">
        <v>17.298808999505138</v>
      </c>
      <c r="S48">
        <v>47.930094766640444</v>
      </c>
      <c r="U48">
        <v>1.072429183735182</v>
      </c>
      <c r="V48">
        <v>47.65520910382687</v>
      </c>
      <c r="W48">
        <v>21.522611642371693</v>
      </c>
      <c r="X48">
        <v>44.628568595170421</v>
      </c>
      <c r="Y48">
        <v>9.650402932949234</v>
      </c>
      <c r="Z48">
        <v>32.672989007636851</v>
      </c>
      <c r="AA48">
        <v>7.1494641632661882</v>
      </c>
      <c r="AB48">
        <v>36.948339528255012</v>
      </c>
      <c r="AD48">
        <v>8.9252550402802928</v>
      </c>
      <c r="AE48">
        <v>13.402291050060775</v>
      </c>
      <c r="AF48">
        <v>13.099375147125359</v>
      </c>
      <c r="AG48">
        <v>22.350254214947661</v>
      </c>
      <c r="AH48">
        <v>8.5415647121064637</v>
      </c>
      <c r="AI48">
        <v>2.383196756709951</v>
      </c>
      <c r="AK48">
        <v>57.799946561886131</v>
      </c>
    </row>
    <row r="49" spans="1:37" x14ac:dyDescent="0.2">
      <c r="A49">
        <v>48</v>
      </c>
      <c r="B49">
        <v>750</v>
      </c>
      <c r="C49">
        <v>235</v>
      </c>
      <c r="D49">
        <v>0.34040023456971302</v>
      </c>
      <c r="E49">
        <v>177.86718987917578</v>
      </c>
      <c r="F49">
        <v>63.448869669123923</v>
      </c>
      <c r="G49">
        <v>72.232727051921202</v>
      </c>
      <c r="H49">
        <v>67.614488158598093</v>
      </c>
      <c r="J49">
        <v>69.129543807493107</v>
      </c>
      <c r="L49">
        <v>7.9414751097003613</v>
      </c>
      <c r="M49">
        <v>13.380867558877506</v>
      </c>
      <c r="N49">
        <v>2.4440361975572271</v>
      </c>
      <c r="O49">
        <v>32.470562457720412</v>
      </c>
      <c r="P49">
        <v>12.517106762101625</v>
      </c>
      <c r="Q49">
        <v>0.18757718637284529</v>
      </c>
      <c r="R49">
        <v>17.073373001584663</v>
      </c>
      <c r="S49">
        <v>47.442025078489458</v>
      </c>
      <c r="U49">
        <v>0.98527999034324831</v>
      </c>
      <c r="V49">
        <v>47.533110787619655</v>
      </c>
      <c r="W49">
        <v>21.304890791913206</v>
      </c>
      <c r="X49">
        <v>44.402345408810241</v>
      </c>
      <c r="Y49">
        <v>9.5567807699040923</v>
      </c>
      <c r="Z49">
        <v>32.460163138089364</v>
      </c>
      <c r="AA49">
        <v>7.0599114713055826</v>
      </c>
      <c r="AB49">
        <v>36.781949549502073</v>
      </c>
      <c r="AD49">
        <v>8.8034348416880928</v>
      </c>
      <c r="AE49">
        <v>13.30732263096737</v>
      </c>
      <c r="AF49">
        <v>13.023277438258427</v>
      </c>
      <c r="AG49">
        <v>22.168943438939369</v>
      </c>
      <c r="AH49">
        <v>8.4007977043393982</v>
      </c>
      <c r="AI49">
        <v>2.3848829446006534</v>
      </c>
      <c r="AK49">
        <v>57.783071595260076</v>
      </c>
    </row>
    <row r="50" spans="1:37" x14ac:dyDescent="0.2">
      <c r="A50">
        <v>49</v>
      </c>
      <c r="B50">
        <v>749</v>
      </c>
      <c r="C50">
        <v>235</v>
      </c>
      <c r="D50">
        <v>0.33968644523797997</v>
      </c>
      <c r="E50">
        <v>177.74348923709653</v>
      </c>
      <c r="F50">
        <v>63.06266972735375</v>
      </c>
      <c r="G50">
        <v>72.16870877165978</v>
      </c>
      <c r="H50">
        <v>67.548150963517614</v>
      </c>
      <c r="J50">
        <v>69.035388303530567</v>
      </c>
      <c r="L50">
        <v>7.8545088392657947</v>
      </c>
      <c r="M50">
        <v>13.306026354495492</v>
      </c>
      <c r="N50">
        <v>2.4460125722993316</v>
      </c>
      <c r="O50">
        <v>32.077666205262474</v>
      </c>
      <c r="P50">
        <v>12.412574602225792</v>
      </c>
      <c r="Q50">
        <v>0.12071054792012956</v>
      </c>
      <c r="R50">
        <v>16.848276170476645</v>
      </c>
      <c r="S50">
        <v>46.954823301358886</v>
      </c>
      <c r="U50">
        <v>0.89819141487373977</v>
      </c>
      <c r="V50">
        <v>47.411188335705717</v>
      </c>
      <c r="W50">
        <v>21.087435733140858</v>
      </c>
      <c r="X50">
        <v>44.176523281457122</v>
      </c>
      <c r="Y50">
        <v>9.4633049333098533</v>
      </c>
      <c r="Z50">
        <v>32.247614724337538</v>
      </c>
      <c r="AA50">
        <v>6.9705187662045285</v>
      </c>
      <c r="AB50">
        <v>36.615819535955403</v>
      </c>
      <c r="AD50">
        <v>8.6817120779527688</v>
      </c>
      <c r="AE50">
        <v>13.212474181015168</v>
      </c>
      <c r="AF50">
        <v>12.947317486565233</v>
      </c>
      <c r="AG50">
        <v>21.987895058913008</v>
      </c>
      <c r="AH50">
        <v>8.260235899257486</v>
      </c>
      <c r="AI50">
        <v>2.3865681641048204</v>
      </c>
      <c r="AK50">
        <v>57.76650261451131</v>
      </c>
    </row>
    <row r="51" spans="1:37" x14ac:dyDescent="0.2">
      <c r="A51">
        <v>50</v>
      </c>
      <c r="B51">
        <v>748</v>
      </c>
      <c r="C51">
        <v>235</v>
      </c>
      <c r="D51">
        <v>0.33897125789551102</v>
      </c>
      <c r="E51">
        <v>177.61993359020354</v>
      </c>
      <c r="F51">
        <v>62.677121706423719</v>
      </c>
      <c r="G51">
        <v>72.104768991111115</v>
      </c>
      <c r="H51">
        <v>67.481905449686366</v>
      </c>
      <c r="J51">
        <v>68.941815063905651</v>
      </c>
      <c r="L51">
        <v>7.7677520177114907</v>
      </c>
      <c r="M51">
        <v>13.231322275163894</v>
      </c>
      <c r="N51">
        <v>2.4479888211127703</v>
      </c>
      <c r="O51">
        <v>31.685350288020139</v>
      </c>
      <c r="P51">
        <v>12.30820721952688</v>
      </c>
      <c r="Q51">
        <v>5.393803917932382E-2</v>
      </c>
      <c r="R51">
        <v>16.623517518507487</v>
      </c>
      <c r="S51">
        <v>46.468486950032343</v>
      </c>
      <c r="U51">
        <v>0.81116314230291231</v>
      </c>
      <c r="V51">
        <v>47.28944104519595</v>
      </c>
      <c r="W51">
        <v>20.870245657000286</v>
      </c>
      <c r="X51">
        <v>43.951100849336456</v>
      </c>
      <c r="Y51">
        <v>9.3699750897781193</v>
      </c>
      <c r="Z51">
        <v>32.03534297718867</v>
      </c>
      <c r="AA51">
        <v>6.8812857221077577</v>
      </c>
      <c r="AB51">
        <v>36.449948704091447</v>
      </c>
      <c r="AD51">
        <v>8.5600867863405394</v>
      </c>
      <c r="AE51">
        <v>13.117745330902871</v>
      </c>
      <c r="AF51">
        <v>12.871494879917844</v>
      </c>
      <c r="AG51">
        <v>21.807108297910862</v>
      </c>
      <c r="AH51">
        <v>8.1198790402654968</v>
      </c>
      <c r="AI51">
        <v>2.3882524139007888</v>
      </c>
      <c r="AK51">
        <v>57.750239539113032</v>
      </c>
    </row>
    <row r="52" spans="1:37" x14ac:dyDescent="0.2">
      <c r="A52">
        <v>51</v>
      </c>
      <c r="B52">
        <v>747</v>
      </c>
      <c r="C52">
        <v>235</v>
      </c>
      <c r="D52">
        <v>0.33825466843111501</v>
      </c>
      <c r="E52">
        <v>176.53286235595149</v>
      </c>
      <c r="F52">
        <v>55.297596820247726</v>
      </c>
      <c r="G52">
        <v>71.010836026904585</v>
      </c>
      <c r="H52">
        <v>66.385679954858901</v>
      </c>
      <c r="J52">
        <v>65.945282059763997</v>
      </c>
      <c r="L52">
        <v>5.7559898070365891</v>
      </c>
      <c r="M52">
        <v>13.237799416174468</v>
      </c>
      <c r="N52">
        <v>2.4499130505185858</v>
      </c>
      <c r="O52">
        <v>24.132756447389852</v>
      </c>
      <c r="P52">
        <v>10.143809376951387</v>
      </c>
      <c r="R52">
        <v>13.805416184625283</v>
      </c>
      <c r="S52">
        <v>42.595311408201937</v>
      </c>
      <c r="U52">
        <v>0.83018667036612737</v>
      </c>
      <c r="V52">
        <v>47.108416902905432</v>
      </c>
      <c r="W52">
        <v>20.690733120580266</v>
      </c>
      <c r="X52">
        <v>44.049989500256245</v>
      </c>
      <c r="Y52">
        <v>7.2123562463802209</v>
      </c>
      <c r="Z52">
        <v>27.105711497121565</v>
      </c>
      <c r="AA52">
        <v>4.8251541456420091</v>
      </c>
      <c r="AB52">
        <v>34.568579959097633</v>
      </c>
      <c r="AD52">
        <v>5.7057127739796689</v>
      </c>
      <c r="AE52">
        <v>11.046147264605397</v>
      </c>
      <c r="AF52">
        <v>12.876801825829217</v>
      </c>
      <c r="AG52">
        <v>19.910774173707555</v>
      </c>
      <c r="AH52">
        <v>4.8446545018718634</v>
      </c>
      <c r="AI52">
        <v>2.3898837986700054</v>
      </c>
      <c r="AK52">
        <v>55.711527807931553</v>
      </c>
    </row>
    <row r="53" spans="1:37" x14ac:dyDescent="0.2">
      <c r="A53">
        <v>52</v>
      </c>
      <c r="B53">
        <v>746</v>
      </c>
      <c r="C53">
        <v>235</v>
      </c>
      <c r="D53">
        <v>0.33753667271746202</v>
      </c>
      <c r="E53">
        <v>175.47926198634812</v>
      </c>
      <c r="F53">
        <v>48.005663749271434</v>
      </c>
      <c r="G53">
        <v>69.944486005767118</v>
      </c>
      <c r="H53">
        <v>65.317050626929714</v>
      </c>
      <c r="J53">
        <v>62.833545583732921</v>
      </c>
      <c r="L53">
        <v>3.756629065588295</v>
      </c>
      <c r="M53">
        <v>13.158643119266776</v>
      </c>
      <c r="N53">
        <v>2.4518355313888525</v>
      </c>
      <c r="O53">
        <v>16.724605737327341</v>
      </c>
      <c r="P53">
        <v>8.0345836220536491</v>
      </c>
      <c r="R53">
        <v>10.87540053597389</v>
      </c>
      <c r="S53">
        <v>38.360777389789192</v>
      </c>
      <c r="U53">
        <v>0.81307277167979164</v>
      </c>
      <c r="V53">
        <v>46.790318235034512</v>
      </c>
      <c r="W53">
        <v>20.532293766641235</v>
      </c>
      <c r="X53">
        <v>44.036369367499312</v>
      </c>
      <c r="Y53">
        <v>5.1027144351006717</v>
      </c>
      <c r="Z53">
        <v>22.070526827562301</v>
      </c>
      <c r="AA53">
        <v>2.797053320885563</v>
      </c>
      <c r="AB53">
        <v>32.462311454746718</v>
      </c>
      <c r="AD53">
        <v>2.7841038583187121</v>
      </c>
      <c r="AE53">
        <v>8.9124468044280185</v>
      </c>
      <c r="AF53">
        <v>12.796473942625703</v>
      </c>
      <c r="AG53">
        <v>17.789541117032378</v>
      </c>
      <c r="AH53">
        <v>1.5808145373232341</v>
      </c>
      <c r="AI53">
        <v>2.3915125874437861</v>
      </c>
      <c r="AK53">
        <v>53.650244482556502</v>
      </c>
    </row>
    <row r="54" spans="1:37" x14ac:dyDescent="0.2">
      <c r="A54">
        <v>53</v>
      </c>
      <c r="B54">
        <v>745</v>
      </c>
      <c r="C54">
        <v>235</v>
      </c>
      <c r="D54">
        <v>0.33681726661101002</v>
      </c>
      <c r="E54">
        <v>175.44312124762968</v>
      </c>
      <c r="F54">
        <v>46.042359074472579</v>
      </c>
      <c r="G54">
        <v>69.838274104952802</v>
      </c>
      <c r="H54">
        <v>65.208572664360034</v>
      </c>
      <c r="J54">
        <v>54.478410268412468</v>
      </c>
      <c r="L54">
        <v>1.7532625151985848</v>
      </c>
      <c r="M54">
        <v>12.952998676470997</v>
      </c>
      <c r="N54">
        <v>2.453821041429737</v>
      </c>
      <c r="O54">
        <v>6.5070076373126664</v>
      </c>
      <c r="P54">
        <v>7.845705110342406</v>
      </c>
      <c r="R54">
        <v>8.6386314892541893</v>
      </c>
      <c r="S54">
        <v>33.309239387796218</v>
      </c>
      <c r="U54">
        <v>0.79007100890744175</v>
      </c>
      <c r="V54">
        <v>46.767853780225003</v>
      </c>
      <c r="W54">
        <v>20.250589025469615</v>
      </c>
      <c r="X54">
        <v>44.005758134587829</v>
      </c>
      <c r="Y54">
        <v>3.6791633019493752</v>
      </c>
      <c r="Z54">
        <v>18.860398073029685</v>
      </c>
      <c r="AA54">
        <v>0.48741880184713227</v>
      </c>
      <c r="AB54">
        <v>30.936647918599036</v>
      </c>
      <c r="AD54">
        <v>0.96773864341532834</v>
      </c>
      <c r="AE54">
        <v>7.1919078793883227</v>
      </c>
      <c r="AF54">
        <v>12.58972130576837</v>
      </c>
      <c r="AG54">
        <v>16.248978639256762</v>
      </c>
      <c r="AI54">
        <v>2.3932035560885865</v>
      </c>
      <c r="AK54">
        <v>48.037490859778757</v>
      </c>
    </row>
    <row r="55" spans="1:37" x14ac:dyDescent="0.2">
      <c r="A55">
        <v>54</v>
      </c>
      <c r="B55">
        <v>744</v>
      </c>
      <c r="C55">
        <v>235</v>
      </c>
      <c r="D55">
        <v>0.336096445951927</v>
      </c>
      <c r="E55">
        <v>175.7108079840007</v>
      </c>
      <c r="F55">
        <v>46.194150927262278</v>
      </c>
      <c r="G55">
        <v>69.899389977342082</v>
      </c>
      <c r="H55">
        <v>65.267435741280323</v>
      </c>
      <c r="J55">
        <v>44.880868052712351</v>
      </c>
      <c r="L55">
        <v>1.63492551191432</v>
      </c>
      <c r="M55">
        <v>12.47620961096678</v>
      </c>
      <c r="N55">
        <v>2.4558182882471846</v>
      </c>
      <c r="O55">
        <v>5.6576045970021323</v>
      </c>
      <c r="P55">
        <v>7.991501878542298</v>
      </c>
      <c r="R55">
        <v>8.2052739329098596</v>
      </c>
      <c r="S55">
        <v>33.330081775795676</v>
      </c>
      <c r="U55">
        <v>0.76792384285132287</v>
      </c>
      <c r="V55">
        <v>47.387864486723558</v>
      </c>
      <c r="W55">
        <v>19.697210864725935</v>
      </c>
      <c r="X55">
        <v>43.977768552267243</v>
      </c>
      <c r="Y55">
        <v>3.4158501128652636</v>
      </c>
      <c r="Z55">
        <v>17.662818027297817</v>
      </c>
      <c r="AB55">
        <v>30.680956288385513</v>
      </c>
      <c r="AE55">
        <v>6.476796526218779</v>
      </c>
      <c r="AF55">
        <v>12.111836151780221</v>
      </c>
      <c r="AG55">
        <v>15.978402391841257</v>
      </c>
      <c r="AI55">
        <v>2.3949054103690104</v>
      </c>
      <c r="AK55">
        <v>41.508245096342819</v>
      </c>
    </row>
    <row r="56" spans="1:37" x14ac:dyDescent="0.2">
      <c r="A56">
        <v>55</v>
      </c>
      <c r="B56">
        <v>743</v>
      </c>
      <c r="C56">
        <v>235</v>
      </c>
      <c r="D56">
        <v>0.33537420656399403</v>
      </c>
      <c r="E56">
        <v>175.88930138273832</v>
      </c>
      <c r="F56">
        <v>46.727061399439016</v>
      </c>
      <c r="G56">
        <v>69.876967359817002</v>
      </c>
      <c r="H56">
        <v>65.242773615864905</v>
      </c>
      <c r="J56">
        <v>39.844752150424611</v>
      </c>
      <c r="L56">
        <v>1.6504889079790228</v>
      </c>
      <c r="M56">
        <v>12.011313327677126</v>
      </c>
      <c r="N56">
        <v>2.4578085199967812</v>
      </c>
      <c r="O56">
        <v>5.652139960903666</v>
      </c>
      <c r="P56">
        <v>7.970222671999311</v>
      </c>
      <c r="R56">
        <v>7.8361548485120966</v>
      </c>
      <c r="S56">
        <v>33.775156752398409</v>
      </c>
      <c r="U56">
        <v>0.74598578573562957</v>
      </c>
      <c r="V56">
        <v>47.998129278110625</v>
      </c>
      <c r="W56">
        <v>19.155626595423737</v>
      </c>
      <c r="X56">
        <v>43.950615758248105</v>
      </c>
      <c r="Y56">
        <v>3.2035635478193449</v>
      </c>
      <c r="Z56">
        <v>17.841420243626775</v>
      </c>
      <c r="AB56">
        <v>31.221847111322759</v>
      </c>
      <c r="AE56">
        <v>6.5718127226580547</v>
      </c>
      <c r="AF56">
        <v>11.645837139493908</v>
      </c>
      <c r="AG56">
        <v>16.504404176304202</v>
      </c>
      <c r="AI56">
        <v>2.3965993966012817</v>
      </c>
      <c r="AK56">
        <v>38.024432129136478</v>
      </c>
    </row>
    <row r="57" spans="1:37" x14ac:dyDescent="0.2">
      <c r="A57">
        <v>56</v>
      </c>
      <c r="B57">
        <v>757</v>
      </c>
      <c r="C57">
        <v>215</v>
      </c>
      <c r="D57">
        <v>0.36671407076639501</v>
      </c>
      <c r="E57">
        <v>167.04426909968808</v>
      </c>
      <c r="F57">
        <v>65.698720542737433</v>
      </c>
      <c r="G57">
        <v>72.677654771856453</v>
      </c>
      <c r="H57">
        <v>68.075094691900489</v>
      </c>
      <c r="J57">
        <v>69.416027153628093</v>
      </c>
      <c r="L57">
        <v>8.4574887071509206</v>
      </c>
      <c r="M57">
        <v>13.870035984502708</v>
      </c>
      <c r="N57">
        <v>2.3602751047494182</v>
      </c>
      <c r="O57">
        <v>35.329187678566193</v>
      </c>
      <c r="P57">
        <v>13.059776593520876</v>
      </c>
      <c r="Q57">
        <v>0.26733882132378045</v>
      </c>
      <c r="R57">
        <v>18.644177168470364</v>
      </c>
      <c r="S57">
        <v>50.434983790052847</v>
      </c>
      <c r="U57">
        <v>1.5091510702670674</v>
      </c>
      <c r="V57">
        <v>47.926936330022336</v>
      </c>
      <c r="W57">
        <v>23.288410319421207</v>
      </c>
      <c r="X57">
        <v>44.717015149984164</v>
      </c>
      <c r="Y57">
        <v>10.037232808930966</v>
      </c>
      <c r="Z57">
        <v>33.904060609318208</v>
      </c>
      <c r="AA57">
        <v>7.6160751757849869</v>
      </c>
      <c r="AB57">
        <v>37.941144159453295</v>
      </c>
      <c r="AC57">
        <v>3.1030607931838367E-3</v>
      </c>
      <c r="AD57">
        <v>9.6183844734001713</v>
      </c>
      <c r="AE57">
        <v>14.111496891223947</v>
      </c>
      <c r="AF57">
        <v>13.512032329408608</v>
      </c>
      <c r="AG57">
        <v>23.449116518854932</v>
      </c>
      <c r="AH57">
        <v>8.9735074637763432</v>
      </c>
      <c r="AI57">
        <v>2.3006412706795905</v>
      </c>
      <c r="AK57">
        <v>57.592378041662393</v>
      </c>
    </row>
    <row r="58" spans="1:37" x14ac:dyDescent="0.2">
      <c r="A58">
        <v>57</v>
      </c>
      <c r="B58">
        <v>756</v>
      </c>
      <c r="C58">
        <v>215</v>
      </c>
      <c r="D58">
        <v>0.36603070495068801</v>
      </c>
      <c r="E58">
        <v>166.92797566956494</v>
      </c>
      <c r="F58">
        <v>65.336931264658134</v>
      </c>
      <c r="G58">
        <v>72.617177468426604</v>
      </c>
      <c r="H58">
        <v>68.01219865851624</v>
      </c>
      <c r="J58">
        <v>69.332863570772759</v>
      </c>
      <c r="L58">
        <v>8.3740167318143115</v>
      </c>
      <c r="M58">
        <v>13.805657720055265</v>
      </c>
      <c r="N58">
        <v>2.3589299146925806</v>
      </c>
      <c r="O58">
        <v>34.943251801827031</v>
      </c>
      <c r="P58">
        <v>12.958942360332353</v>
      </c>
      <c r="Q58">
        <v>0.20317572561046529</v>
      </c>
      <c r="R58">
        <v>18.435270730509341</v>
      </c>
      <c r="S58">
        <v>49.997764691299047</v>
      </c>
      <c r="U58">
        <v>1.4312137331212826</v>
      </c>
      <c r="V58">
        <v>47.822127032562342</v>
      </c>
      <c r="W58">
        <v>23.090025291990315</v>
      </c>
      <c r="X58">
        <v>44.522566848434941</v>
      </c>
      <c r="Y58">
        <v>9.9486863320556065</v>
      </c>
      <c r="Z58">
        <v>33.706388471945921</v>
      </c>
      <c r="AA58">
        <v>7.5301574587616633</v>
      </c>
      <c r="AB58">
        <v>37.793593669866048</v>
      </c>
      <c r="AD58">
        <v>9.5068451758942878</v>
      </c>
      <c r="AE58">
        <v>14.02238309698436</v>
      </c>
      <c r="AF58">
        <v>13.443208684197083</v>
      </c>
      <c r="AG58">
        <v>23.283334629732956</v>
      </c>
      <c r="AH58">
        <v>8.8444852465900574</v>
      </c>
      <c r="AI58">
        <v>2.2990116825292826</v>
      </c>
      <c r="AK58">
        <v>57.579446397527235</v>
      </c>
    </row>
    <row r="59" spans="1:37" x14ac:dyDescent="0.2">
      <c r="A59">
        <v>58</v>
      </c>
      <c r="B59">
        <v>755</v>
      </c>
      <c r="C59">
        <v>215</v>
      </c>
      <c r="D59">
        <v>0.36534600982346799</v>
      </c>
      <c r="E59">
        <v>166.80397762344245</v>
      </c>
      <c r="F59">
        <v>64.949337674013719</v>
      </c>
      <c r="G59">
        <v>72.552901946514822</v>
      </c>
      <c r="H59">
        <v>67.945517443355143</v>
      </c>
      <c r="J59">
        <v>69.235476780872446</v>
      </c>
      <c r="L59">
        <v>8.2867195690366664</v>
      </c>
      <c r="M59">
        <v>13.730753676693952</v>
      </c>
      <c r="N59">
        <v>2.360908936967999</v>
      </c>
      <c r="O59">
        <v>34.547858723814642</v>
      </c>
      <c r="P59">
        <v>12.853843643336919</v>
      </c>
      <c r="Q59">
        <v>0.13160504615970642</v>
      </c>
      <c r="R59">
        <v>18.209666465979343</v>
      </c>
      <c r="S59">
        <v>49.50839764400434</v>
      </c>
      <c r="U59">
        <v>1.3440068955712718</v>
      </c>
      <c r="V59">
        <v>47.700331819271113</v>
      </c>
      <c r="W59">
        <v>22.871849543726711</v>
      </c>
      <c r="X59">
        <v>44.296765873508669</v>
      </c>
      <c r="Y59">
        <v>9.8547581072486246</v>
      </c>
      <c r="Z59">
        <v>33.494150238764561</v>
      </c>
      <c r="AA59">
        <v>7.4403902422062309</v>
      </c>
      <c r="AB59">
        <v>37.62740745472869</v>
      </c>
      <c r="AD59">
        <v>9.3857815671940941</v>
      </c>
      <c r="AE59">
        <v>13.927613584342534</v>
      </c>
      <c r="AF59">
        <v>13.367183783612134</v>
      </c>
      <c r="AG59">
        <v>23.102243748738736</v>
      </c>
      <c r="AH59">
        <v>8.7034123602602094</v>
      </c>
      <c r="AI59">
        <v>2.3007054758079306</v>
      </c>
      <c r="AK59">
        <v>57.561323029184841</v>
      </c>
    </row>
    <row r="60" spans="1:37" x14ac:dyDescent="0.2">
      <c r="A60">
        <v>59</v>
      </c>
      <c r="B60">
        <v>754</v>
      </c>
      <c r="C60">
        <v>215</v>
      </c>
      <c r="D60">
        <v>0.36465998150221401</v>
      </c>
      <c r="E60">
        <v>166.68012157560619</v>
      </c>
      <c r="F60">
        <v>64.56238629086144</v>
      </c>
      <c r="G60">
        <v>72.488703543879765</v>
      </c>
      <c r="H60">
        <v>67.878926405013743</v>
      </c>
      <c r="J60">
        <v>69.138663693183048</v>
      </c>
      <c r="L60">
        <v>8.1995764943574958</v>
      </c>
      <c r="M60">
        <v>13.655985131679634</v>
      </c>
      <c r="N60">
        <v>2.3628878307703789</v>
      </c>
      <c r="O60">
        <v>34.153038021407816</v>
      </c>
      <c r="P60">
        <v>12.748906799965447</v>
      </c>
      <c r="Q60">
        <v>6.0043313321377224E-2</v>
      </c>
      <c r="R60">
        <v>17.984395470073689</v>
      </c>
      <c r="S60">
        <v>49.019884100247396</v>
      </c>
      <c r="U60">
        <v>1.2568556510681395</v>
      </c>
      <c r="V60">
        <v>47.578709055893285</v>
      </c>
      <c r="W60">
        <v>22.65393673965556</v>
      </c>
      <c r="X60">
        <v>44.071357543859804</v>
      </c>
      <c r="Y60">
        <v>9.7609731250620353</v>
      </c>
      <c r="Z60">
        <v>33.282188725696223</v>
      </c>
      <c r="AA60">
        <v>7.3507801792569447</v>
      </c>
      <c r="AB60">
        <v>37.461479357250575</v>
      </c>
      <c r="AD60">
        <v>9.2648099992803523</v>
      </c>
      <c r="AE60">
        <v>13.832964281798112</v>
      </c>
      <c r="AF60">
        <v>13.291294569720899</v>
      </c>
      <c r="AG60">
        <v>22.921413384210862</v>
      </c>
      <c r="AH60">
        <v>8.5625398091368332</v>
      </c>
      <c r="AI60">
        <v>2.302398307872275</v>
      </c>
      <c r="AK60">
        <v>57.54349982559507</v>
      </c>
    </row>
    <row r="61" spans="1:37" x14ac:dyDescent="0.2">
      <c r="A61">
        <v>60</v>
      </c>
      <c r="B61">
        <v>753</v>
      </c>
      <c r="C61">
        <v>215</v>
      </c>
      <c r="D61">
        <v>0.36397261608926701</v>
      </c>
      <c r="E61">
        <v>166.53818470810276</v>
      </c>
      <c r="F61">
        <v>64.056240550281856</v>
      </c>
      <c r="G61">
        <v>72.403914890604426</v>
      </c>
      <c r="H61">
        <v>67.791758194454346</v>
      </c>
      <c r="J61">
        <v>69.021392009802994</v>
      </c>
      <c r="L61">
        <v>8.0783887379767307</v>
      </c>
      <c r="M61">
        <v>13.59791577076313</v>
      </c>
      <c r="N61">
        <v>2.3648653484427222</v>
      </c>
      <c r="O61">
        <v>33.622749105530104</v>
      </c>
      <c r="P61">
        <v>12.602795865511446</v>
      </c>
      <c r="R61">
        <v>17.736703166118854</v>
      </c>
      <c r="S61">
        <v>48.567080631173646</v>
      </c>
      <c r="U61">
        <v>1.1803048620420831</v>
      </c>
      <c r="V61">
        <v>47.489747049674811</v>
      </c>
      <c r="W61">
        <v>22.434970077647598</v>
      </c>
      <c r="X61">
        <v>43.879047840805121</v>
      </c>
      <c r="Y61">
        <v>9.6268366980643574</v>
      </c>
      <c r="Z61">
        <v>33.007319711723014</v>
      </c>
      <c r="AA61">
        <v>7.2250990792032823</v>
      </c>
      <c r="AB61">
        <v>37.317480869210634</v>
      </c>
      <c r="AD61">
        <v>9.1053406552205978</v>
      </c>
      <c r="AE61">
        <v>13.717048833961838</v>
      </c>
      <c r="AF61">
        <v>13.232103486239826</v>
      </c>
      <c r="AG61">
        <v>22.7625137862203</v>
      </c>
      <c r="AH61">
        <v>8.3637521813495468</v>
      </c>
      <c r="AI61">
        <v>2.3040889292253732</v>
      </c>
      <c r="AK61">
        <v>57.497603120694059</v>
      </c>
    </row>
    <row r="62" spans="1:37" x14ac:dyDescent="0.2">
      <c r="A62">
        <v>61</v>
      </c>
      <c r="B62">
        <v>752</v>
      </c>
      <c r="C62">
        <v>215</v>
      </c>
      <c r="D62">
        <v>0.363283909671757</v>
      </c>
      <c r="E62">
        <v>166.3042595526766</v>
      </c>
      <c r="F62">
        <v>62.936839786939466</v>
      </c>
      <c r="G62">
        <v>72.213035164742493</v>
      </c>
      <c r="H62">
        <v>67.598512010650936</v>
      </c>
      <c r="J62">
        <v>68.781982940967708</v>
      </c>
      <c r="L62">
        <v>7.7796001481013732</v>
      </c>
      <c r="M62">
        <v>13.622107243189884</v>
      </c>
      <c r="N62">
        <v>2.3668361714617618</v>
      </c>
      <c r="O62">
        <v>32.394443832947552</v>
      </c>
      <c r="P62">
        <v>12.244503900408688</v>
      </c>
      <c r="R62">
        <v>17.359136266778417</v>
      </c>
      <c r="S62">
        <v>48.242216342340001</v>
      </c>
      <c r="U62">
        <v>1.1580116529817208</v>
      </c>
      <c r="V62">
        <v>47.548732084860667</v>
      </c>
      <c r="W62">
        <v>22.211492750264302</v>
      </c>
      <c r="X62">
        <v>43.854656790924302</v>
      </c>
      <c r="Y62">
        <v>9.2847434119049428</v>
      </c>
      <c r="Z62">
        <v>32.406029501593501</v>
      </c>
      <c r="AA62">
        <v>6.9127870028586909</v>
      </c>
      <c r="AB62">
        <v>37.259262613444896</v>
      </c>
      <c r="AD62">
        <v>8.7461084747424795</v>
      </c>
      <c r="AE62">
        <v>13.490134583345855</v>
      </c>
      <c r="AF62">
        <v>13.255166869529672</v>
      </c>
      <c r="AG62">
        <v>22.689390265050189</v>
      </c>
      <c r="AH62">
        <v>7.8656608801126788</v>
      </c>
      <c r="AI62">
        <v>2.3057720195051785</v>
      </c>
      <c r="AK62">
        <v>57.304654466310637</v>
      </c>
    </row>
    <row r="63" spans="1:37" x14ac:dyDescent="0.2">
      <c r="A63">
        <v>62</v>
      </c>
      <c r="B63">
        <v>751</v>
      </c>
      <c r="C63">
        <v>215</v>
      </c>
      <c r="D63">
        <v>0.36259385832153801</v>
      </c>
      <c r="E63">
        <v>165.70688838123218</v>
      </c>
      <c r="F63">
        <v>59.111797400407632</v>
      </c>
      <c r="G63">
        <v>71.632782028586263</v>
      </c>
      <c r="H63">
        <v>67.015905536856167</v>
      </c>
      <c r="J63">
        <v>67.272954527281911</v>
      </c>
      <c r="L63">
        <v>6.7332768745392784</v>
      </c>
      <c r="M63">
        <v>13.619250820416321</v>
      </c>
      <c r="N63">
        <v>2.3687888087772517</v>
      </c>
      <c r="O63">
        <v>28.435188175355481</v>
      </c>
      <c r="P63">
        <v>11.107454761098356</v>
      </c>
      <c r="R63">
        <v>15.864635814329507</v>
      </c>
      <c r="S63">
        <v>46.109883856249077</v>
      </c>
      <c r="U63">
        <v>1.1482670285348615</v>
      </c>
      <c r="V63">
        <v>47.407035412116002</v>
      </c>
      <c r="W63">
        <v>22.009512722995602</v>
      </c>
      <c r="X63">
        <v>43.865592531565206</v>
      </c>
      <c r="Y63">
        <v>8.1590070258425769</v>
      </c>
      <c r="Z63">
        <v>29.923798425433997</v>
      </c>
      <c r="AA63">
        <v>5.8447865955730087</v>
      </c>
      <c r="AB63">
        <v>36.274420541887245</v>
      </c>
      <c r="AD63">
        <v>7.3046616349313638</v>
      </c>
      <c r="AE63">
        <v>12.452620349287178</v>
      </c>
      <c r="AF63">
        <v>13.251164505643917</v>
      </c>
      <c r="AG63">
        <v>21.689627287573025</v>
      </c>
      <c r="AH63">
        <v>6.171678211523461</v>
      </c>
      <c r="AI63">
        <v>2.3074360858217333</v>
      </c>
      <c r="AK63">
        <v>56.303937407760081</v>
      </c>
    </row>
    <row r="64" spans="1:37" x14ac:dyDescent="0.2">
      <c r="A64">
        <v>63</v>
      </c>
      <c r="B64">
        <v>750</v>
      </c>
      <c r="C64">
        <v>215</v>
      </c>
      <c r="D64">
        <v>0.36190245809509802</v>
      </c>
      <c r="E64">
        <v>164.58389006590463</v>
      </c>
      <c r="F64">
        <v>51.309302815310332</v>
      </c>
      <c r="G64">
        <v>70.487051272347514</v>
      </c>
      <c r="H64">
        <v>65.867834584283585</v>
      </c>
      <c r="J64">
        <v>63.884195467843846</v>
      </c>
      <c r="L64">
        <v>4.5852499718417494</v>
      </c>
      <c r="M64">
        <v>13.546910957247544</v>
      </c>
      <c r="N64">
        <v>2.3707122434035579</v>
      </c>
      <c r="O64">
        <v>20.486624321510277</v>
      </c>
      <c r="P64">
        <v>8.8394290339924062</v>
      </c>
      <c r="R64">
        <v>12.704085862563009</v>
      </c>
      <c r="S64">
        <v>41.36447502024923</v>
      </c>
      <c r="U64">
        <v>1.1442057213916066</v>
      </c>
      <c r="V64">
        <v>46.988389029564146</v>
      </c>
      <c r="W64">
        <v>21.847915296852012</v>
      </c>
      <c r="X64">
        <v>43.89023274405956</v>
      </c>
      <c r="Y64">
        <v>5.8913759322055617</v>
      </c>
      <c r="Z64">
        <v>24.58984381138584</v>
      </c>
      <c r="AA64">
        <v>3.6677372021342745</v>
      </c>
      <c r="AB64">
        <v>33.924473390094079</v>
      </c>
      <c r="AD64">
        <v>4.2134966576420805</v>
      </c>
      <c r="AE64">
        <v>10.185392443714207</v>
      </c>
      <c r="AF64">
        <v>13.177649838063081</v>
      </c>
      <c r="AG64">
        <v>19.324732578366842</v>
      </c>
      <c r="AH64">
        <v>2.6942285123399494</v>
      </c>
      <c r="AI64">
        <v>2.3090701093495758</v>
      </c>
      <c r="AK64">
        <v>54.095170674252465</v>
      </c>
    </row>
    <row r="65" spans="1:37" x14ac:dyDescent="0.2">
      <c r="A65">
        <v>64</v>
      </c>
      <c r="B65">
        <v>749</v>
      </c>
      <c r="C65">
        <v>215</v>
      </c>
      <c r="D65">
        <v>0.36120970503350902</v>
      </c>
      <c r="E65">
        <v>164.09812132348776</v>
      </c>
      <c r="F65">
        <v>46.891202212267928</v>
      </c>
      <c r="G65">
        <v>69.951652781713364</v>
      </c>
      <c r="H65">
        <v>65.330109059663087</v>
      </c>
      <c r="J65">
        <v>57.949663486752335</v>
      </c>
      <c r="L65">
        <v>2.6745966508215426</v>
      </c>
      <c r="M65">
        <v>13.417732689388389</v>
      </c>
      <c r="N65">
        <v>2.3726706026550506</v>
      </c>
      <c r="O65">
        <v>11.871927205019867</v>
      </c>
      <c r="P65">
        <v>7.7921106408227772</v>
      </c>
      <c r="R65">
        <v>10.220643972623336</v>
      </c>
      <c r="S65">
        <v>36.692306617953243</v>
      </c>
      <c r="U65">
        <v>1.1385952934270751</v>
      </c>
      <c r="V65">
        <v>46.738726173250079</v>
      </c>
      <c r="W65">
        <v>21.630407215568066</v>
      </c>
      <c r="X65">
        <v>43.910491483871581</v>
      </c>
      <c r="Y65">
        <v>4.2409764343042049</v>
      </c>
      <c r="Z65">
        <v>20.440352858879802</v>
      </c>
      <c r="AA65">
        <v>1.5735133844675584</v>
      </c>
      <c r="AB65">
        <v>31.922526100311739</v>
      </c>
      <c r="AD65">
        <v>1.8558607865446899</v>
      </c>
      <c r="AE65">
        <v>8.1970256700922146</v>
      </c>
      <c r="AF65">
        <v>13.047332035481608</v>
      </c>
      <c r="AG65">
        <v>17.307875213019631</v>
      </c>
      <c r="AI65">
        <v>2.3107382155637146</v>
      </c>
      <c r="AK65">
        <v>50.166128058361032</v>
      </c>
    </row>
    <row r="66" spans="1:37" x14ac:dyDescent="0.2">
      <c r="A66">
        <v>65</v>
      </c>
      <c r="B66">
        <v>748</v>
      </c>
      <c r="C66">
        <v>215</v>
      </c>
      <c r="D66">
        <v>0.36051559516231801</v>
      </c>
      <c r="E66">
        <v>164.41018312348322</v>
      </c>
      <c r="F66">
        <v>46.48451185408225</v>
      </c>
      <c r="G66">
        <v>70.121886721798177</v>
      </c>
      <c r="H66">
        <v>65.498029149192334</v>
      </c>
      <c r="J66">
        <v>48.860841212041997</v>
      </c>
      <c r="L66">
        <v>1.6018758496967711</v>
      </c>
      <c r="M66">
        <v>13.095195767628551</v>
      </c>
      <c r="N66">
        <v>2.3746751748693713</v>
      </c>
      <c r="O66">
        <v>6.0119487452657934</v>
      </c>
      <c r="P66">
        <v>8.1561112232535198</v>
      </c>
      <c r="R66">
        <v>9.0335518487213164</v>
      </c>
      <c r="S66">
        <v>33.767980011689197</v>
      </c>
      <c r="U66">
        <v>1.1285149229983817</v>
      </c>
      <c r="V66">
        <v>46.962030750650065</v>
      </c>
      <c r="W66">
        <v>21.222199260678263</v>
      </c>
      <c r="X66">
        <v>43.917920104625544</v>
      </c>
      <c r="Y66">
        <v>3.5048087423602379</v>
      </c>
      <c r="Z66">
        <v>17.60266232384582</v>
      </c>
      <c r="AB66">
        <v>30.445520013956894</v>
      </c>
      <c r="AD66">
        <v>0.35707279390799285</v>
      </c>
      <c r="AE66">
        <v>6.5074112482317856</v>
      </c>
      <c r="AF66">
        <v>12.723702142715361</v>
      </c>
      <c r="AG66">
        <v>15.816007827333953</v>
      </c>
      <c r="AI66">
        <v>2.3124516909612649</v>
      </c>
      <c r="AK66">
        <v>44.058777573854833</v>
      </c>
    </row>
    <row r="67" spans="1:37" x14ac:dyDescent="0.2">
      <c r="A67">
        <v>66</v>
      </c>
      <c r="B67">
        <v>747</v>
      </c>
      <c r="C67">
        <v>215</v>
      </c>
      <c r="D67">
        <v>0.35982012449149797</v>
      </c>
      <c r="E67">
        <v>164.61453488627555</v>
      </c>
      <c r="F67">
        <v>47.023931590382844</v>
      </c>
      <c r="G67">
        <v>70.107334491237722</v>
      </c>
      <c r="H67">
        <v>65.481176272632752</v>
      </c>
      <c r="J67">
        <v>41.942551060985224</v>
      </c>
      <c r="L67">
        <v>1.6186547973879277</v>
      </c>
      <c r="M67">
        <v>12.605581351786672</v>
      </c>
      <c r="N67">
        <v>2.3766678717599738</v>
      </c>
      <c r="O67">
        <v>5.992705692131973</v>
      </c>
      <c r="P67">
        <v>8.1505355134390935</v>
      </c>
      <c r="R67">
        <v>8.6464602921031037</v>
      </c>
      <c r="S67">
        <v>34.152698446852611</v>
      </c>
      <c r="U67">
        <v>1.1119543458081445</v>
      </c>
      <c r="V67">
        <v>47.580602493121198</v>
      </c>
      <c r="W67">
        <v>20.651176762213293</v>
      </c>
      <c r="X67">
        <v>43.906980137424789</v>
      </c>
      <c r="Y67">
        <v>3.2749555727562707</v>
      </c>
      <c r="Z67">
        <v>17.66527712602246</v>
      </c>
      <c r="AB67">
        <v>30.90003882596859</v>
      </c>
      <c r="AE67">
        <v>6.5337021355591851</v>
      </c>
      <c r="AF67">
        <v>12.232983236994263</v>
      </c>
      <c r="AG67">
        <v>16.255656034026373</v>
      </c>
      <c r="AI67">
        <v>2.3141524454157358</v>
      </c>
      <c r="AK67">
        <v>39.326543347576809</v>
      </c>
    </row>
    <row r="68" spans="1:37" x14ac:dyDescent="0.2">
      <c r="A68">
        <v>67</v>
      </c>
      <c r="B68">
        <v>746</v>
      </c>
      <c r="C68">
        <v>215</v>
      </c>
      <c r="D68">
        <v>0.35912328901535701</v>
      </c>
      <c r="E68">
        <v>164.78237542413692</v>
      </c>
      <c r="F68">
        <v>47.528350249974892</v>
      </c>
      <c r="G68">
        <v>70.085181240159287</v>
      </c>
      <c r="H68">
        <v>65.456735601278695</v>
      </c>
      <c r="J68">
        <v>38.064415348366687</v>
      </c>
      <c r="L68">
        <v>1.6327927791960211</v>
      </c>
      <c r="M68">
        <v>12.16606171284225</v>
      </c>
      <c r="N68">
        <v>2.3786589860836949</v>
      </c>
      <c r="O68">
        <v>5.9783768171772511</v>
      </c>
      <c r="P68">
        <v>8.1297641276231776</v>
      </c>
      <c r="R68">
        <v>8.2922437089205996</v>
      </c>
      <c r="S68">
        <v>34.541298328875378</v>
      </c>
      <c r="U68">
        <v>1.0914930539810699</v>
      </c>
      <c r="V68">
        <v>48.147048660890071</v>
      </c>
      <c r="W68">
        <v>20.132677210495984</v>
      </c>
      <c r="X68">
        <v>43.885038346571598</v>
      </c>
      <c r="Y68">
        <v>3.0739792272784956</v>
      </c>
      <c r="Z68">
        <v>17.829633749671334</v>
      </c>
      <c r="AB68">
        <v>31.3935021834174</v>
      </c>
      <c r="AE68">
        <v>6.6208134682394002</v>
      </c>
      <c r="AF68">
        <v>11.792357887770645</v>
      </c>
      <c r="AG68">
        <v>16.73424977901097</v>
      </c>
      <c r="AI68">
        <v>2.3158507698436708</v>
      </c>
      <c r="AK68">
        <v>36.62833538618888</v>
      </c>
    </row>
    <row r="69" spans="1:37" x14ac:dyDescent="0.2">
      <c r="A69">
        <v>68</v>
      </c>
      <c r="B69">
        <v>759</v>
      </c>
      <c r="C69">
        <v>195</v>
      </c>
      <c r="D69">
        <v>0.38939156130407598</v>
      </c>
      <c r="E69">
        <v>155.55435679219769</v>
      </c>
      <c r="F69">
        <v>65.859575045310109</v>
      </c>
      <c r="G69">
        <v>72.782962094584761</v>
      </c>
      <c r="H69">
        <v>68.184380637104439</v>
      </c>
      <c r="J69">
        <v>69.164231849865203</v>
      </c>
      <c r="L69">
        <v>8.5084819808583543</v>
      </c>
      <c r="M69">
        <v>13.933963065661565</v>
      </c>
      <c r="N69">
        <v>2.2962575909170218</v>
      </c>
      <c r="O69">
        <v>36.182441018728653</v>
      </c>
      <c r="P69">
        <v>13.050532595281545</v>
      </c>
      <c r="Q69">
        <v>2.0139582881288746E-2</v>
      </c>
      <c r="R69">
        <v>18.991935250505556</v>
      </c>
      <c r="S69">
        <v>50.762591337765137</v>
      </c>
      <c r="U69">
        <v>1.5799583476381687</v>
      </c>
      <c r="V69">
        <v>47.619010603763421</v>
      </c>
      <c r="W69">
        <v>24.13251173582778</v>
      </c>
      <c r="X69">
        <v>43.724550220182721</v>
      </c>
      <c r="Y69">
        <v>10.01733074389548</v>
      </c>
      <c r="Z69">
        <v>34.214724279658398</v>
      </c>
      <c r="AA69">
        <v>7.6953769253615905</v>
      </c>
      <c r="AB69">
        <v>38.188044125932578</v>
      </c>
      <c r="AC69">
        <v>1.6304892681738372E-2</v>
      </c>
      <c r="AD69">
        <v>9.7789940594364797</v>
      </c>
      <c r="AE69">
        <v>14.418734016059787</v>
      </c>
      <c r="AF69">
        <v>13.579827972016227</v>
      </c>
      <c r="AG69">
        <v>23.75211761439342</v>
      </c>
      <c r="AH69">
        <v>8.7817599876674457</v>
      </c>
      <c r="AI69">
        <v>2.2347313312567665</v>
      </c>
      <c r="AK69">
        <v>57.277370510801781</v>
      </c>
    </row>
    <row r="70" spans="1:37" x14ac:dyDescent="0.2">
      <c r="A70">
        <v>69</v>
      </c>
      <c r="B70">
        <v>758</v>
      </c>
      <c r="C70">
        <v>195</v>
      </c>
      <c r="D70">
        <v>0.38873151335887302</v>
      </c>
      <c r="E70">
        <v>155.44695980594659</v>
      </c>
      <c r="F70">
        <v>65.455325248275102</v>
      </c>
      <c r="G70">
        <v>72.712325963483252</v>
      </c>
      <c r="H70">
        <v>68.111291628777579</v>
      </c>
      <c r="J70">
        <v>69.113154070520835</v>
      </c>
      <c r="L70">
        <v>8.399323936347427</v>
      </c>
      <c r="M70">
        <v>13.931400278969274</v>
      </c>
      <c r="N70">
        <v>2.2822318761535763</v>
      </c>
      <c r="O70">
        <v>35.668977645335367</v>
      </c>
      <c r="P70">
        <v>12.916677027131735</v>
      </c>
      <c r="R70">
        <v>18.821947531845069</v>
      </c>
      <c r="S70">
        <v>50.573831958933525</v>
      </c>
      <c r="U70">
        <v>1.5514283189897418</v>
      </c>
      <c r="V70">
        <v>47.621227297346657</v>
      </c>
      <c r="W70">
        <v>24.009209335107357</v>
      </c>
      <c r="X70">
        <v>43.695476325856184</v>
      </c>
      <c r="Y70">
        <v>9.9009427764145919</v>
      </c>
      <c r="Z70">
        <v>33.99674917779388</v>
      </c>
      <c r="AA70">
        <v>7.5810987607160492</v>
      </c>
      <c r="AB70">
        <v>38.139577896806017</v>
      </c>
      <c r="AC70">
        <v>2.9822779070389529E-4</v>
      </c>
      <c r="AD70">
        <v>9.6577180823877704</v>
      </c>
      <c r="AE70">
        <v>14.325287527619517</v>
      </c>
      <c r="AF70">
        <v>13.560135858850948</v>
      </c>
      <c r="AG70">
        <v>23.672760742459047</v>
      </c>
      <c r="AH70">
        <v>8.6294191251368861</v>
      </c>
      <c r="AI70">
        <v>2.2204237768906943</v>
      </c>
      <c r="AK70">
        <v>57.25181684989586</v>
      </c>
    </row>
    <row r="71" spans="1:37" x14ac:dyDescent="0.2">
      <c r="A71">
        <v>70</v>
      </c>
      <c r="B71">
        <v>757</v>
      </c>
      <c r="C71">
        <v>195</v>
      </c>
      <c r="D71">
        <v>0.388070183953793</v>
      </c>
      <c r="E71">
        <v>155.22187383199474</v>
      </c>
      <c r="F71">
        <v>64.385183732213832</v>
      </c>
      <c r="G71">
        <v>72.529510599065645</v>
      </c>
      <c r="H71">
        <v>67.926036384177465</v>
      </c>
      <c r="J71">
        <v>68.887967368656192</v>
      </c>
      <c r="L71">
        <v>8.1136983952756019</v>
      </c>
      <c r="M71">
        <v>13.953477995979206</v>
      </c>
      <c r="N71">
        <v>2.2836947352961428</v>
      </c>
      <c r="O71">
        <v>34.489197997124037</v>
      </c>
      <c r="P71">
        <v>12.573959259309198</v>
      </c>
      <c r="R71">
        <v>18.458516034342381</v>
      </c>
      <c r="S71">
        <v>50.258504785300239</v>
      </c>
      <c r="U71">
        <v>1.5286533938017808</v>
      </c>
      <c r="V71">
        <v>47.676715849172723</v>
      </c>
      <c r="W71">
        <v>23.787768455979066</v>
      </c>
      <c r="X71">
        <v>43.670955637452835</v>
      </c>
      <c r="Y71">
        <v>9.574276221684654</v>
      </c>
      <c r="Z71">
        <v>33.420978556875582</v>
      </c>
      <c r="AA71">
        <v>7.2826779765345782</v>
      </c>
      <c r="AB71">
        <v>38.081866212928738</v>
      </c>
      <c r="AD71">
        <v>9.3151547034189264</v>
      </c>
      <c r="AE71">
        <v>14.10688103457599</v>
      </c>
      <c r="AF71">
        <v>13.580573128145813</v>
      </c>
      <c r="AG71">
        <v>23.599649499218277</v>
      </c>
      <c r="AH71">
        <v>8.1550632144236541</v>
      </c>
      <c r="AI71">
        <v>2.2216039692047773</v>
      </c>
      <c r="AK71">
        <v>57.071584936262227</v>
      </c>
    </row>
    <row r="72" spans="1:37" x14ac:dyDescent="0.2">
      <c r="A72">
        <v>71</v>
      </c>
      <c r="B72">
        <v>756</v>
      </c>
      <c r="C72">
        <v>195</v>
      </c>
      <c r="D72">
        <v>0.38740756935335302</v>
      </c>
      <c r="E72">
        <v>154.98586327268723</v>
      </c>
      <c r="F72">
        <v>63.231457826522323</v>
      </c>
      <c r="G72">
        <v>72.332005726603626</v>
      </c>
      <c r="H72">
        <v>67.726104649334516</v>
      </c>
      <c r="J72">
        <v>68.618595371383421</v>
      </c>
      <c r="L72">
        <v>7.8002917454268577</v>
      </c>
      <c r="M72">
        <v>13.979586263455056</v>
      </c>
      <c r="N72">
        <v>2.2856674093147249</v>
      </c>
      <c r="O72">
        <v>33.215057678995059</v>
      </c>
      <c r="P72">
        <v>12.202380005926004</v>
      </c>
      <c r="R72">
        <v>18.05274804630923</v>
      </c>
      <c r="S72">
        <v>49.861023170888032</v>
      </c>
      <c r="U72">
        <v>1.5115133663704263</v>
      </c>
      <c r="V72">
        <v>47.716286023728799</v>
      </c>
      <c r="W72">
        <v>23.566095814940752</v>
      </c>
      <c r="X72">
        <v>43.662685905696989</v>
      </c>
      <c r="Y72">
        <v>9.2189327864313491</v>
      </c>
      <c r="Z72">
        <v>32.794456577272868</v>
      </c>
      <c r="AA72">
        <v>6.9576196392424974</v>
      </c>
      <c r="AB72">
        <v>37.986833655284094</v>
      </c>
      <c r="AD72">
        <v>8.9410593220945991</v>
      </c>
      <c r="AE72">
        <v>13.86978137276625</v>
      </c>
      <c r="AF72">
        <v>13.605551073221184</v>
      </c>
      <c r="AG72">
        <v>23.489729712519861</v>
      </c>
      <c r="AH72">
        <v>7.6372901558555686</v>
      </c>
      <c r="AI72">
        <v>2.2232931473303559</v>
      </c>
      <c r="AK72">
        <v>56.868069161794267</v>
      </c>
    </row>
    <row r="73" spans="1:37" x14ac:dyDescent="0.2">
      <c r="A73">
        <v>72</v>
      </c>
      <c r="B73">
        <v>755</v>
      </c>
      <c r="C73">
        <v>195</v>
      </c>
      <c r="D73">
        <v>0.38674366580751801</v>
      </c>
      <c r="E73">
        <v>154.43506269274363</v>
      </c>
      <c r="F73">
        <v>59.719730504496866</v>
      </c>
      <c r="G73">
        <v>71.793210732297609</v>
      </c>
      <c r="H73">
        <v>67.184895831246024</v>
      </c>
      <c r="J73">
        <v>67.218535495872004</v>
      </c>
      <c r="L73">
        <v>6.8298217905773528</v>
      </c>
      <c r="M73">
        <v>13.982547180238484</v>
      </c>
      <c r="N73">
        <v>2.2876242854453781</v>
      </c>
      <c r="O73">
        <v>29.551704480626949</v>
      </c>
      <c r="P73">
        <v>11.148212449277203</v>
      </c>
      <c r="R73">
        <v>16.654633301839596</v>
      </c>
      <c r="S73">
        <v>47.802008949111539</v>
      </c>
      <c r="U73">
        <v>1.5093963975615938</v>
      </c>
      <c r="V73">
        <v>47.552244178561935</v>
      </c>
      <c r="W73">
        <v>23.362905190557825</v>
      </c>
      <c r="X73">
        <v>43.696841575248136</v>
      </c>
      <c r="Y73">
        <v>8.1768838436559701</v>
      </c>
      <c r="Z73">
        <v>30.536651626995184</v>
      </c>
      <c r="AA73">
        <v>5.9701965374457648</v>
      </c>
      <c r="AB73">
        <v>37.043574951083009</v>
      </c>
      <c r="AD73">
        <v>7.6269152856885913</v>
      </c>
      <c r="AE73">
        <v>12.928155421744457</v>
      </c>
      <c r="AF73">
        <v>13.607366185751669</v>
      </c>
      <c r="AG73">
        <v>22.53157050272387</v>
      </c>
      <c r="AH73">
        <v>6.0740500879232853</v>
      </c>
      <c r="AI73">
        <v>2.2249656966649387</v>
      </c>
      <c r="AK73">
        <v>55.95863008172077</v>
      </c>
    </row>
    <row r="74" spans="1:37" x14ac:dyDescent="0.2">
      <c r="A74">
        <v>73</v>
      </c>
      <c r="B74">
        <v>754</v>
      </c>
      <c r="C74">
        <v>195</v>
      </c>
      <c r="D74">
        <v>0.38607846955167302</v>
      </c>
      <c r="E74">
        <v>153.35783996675968</v>
      </c>
      <c r="F74">
        <v>52.218926475164857</v>
      </c>
      <c r="G74">
        <v>70.685499810555029</v>
      </c>
      <c r="H74">
        <v>66.074784145158731</v>
      </c>
      <c r="J74">
        <v>63.910838503961891</v>
      </c>
      <c r="L74">
        <v>4.7509980920178929</v>
      </c>
      <c r="M74">
        <v>13.915854140776046</v>
      </c>
      <c r="N74">
        <v>2.2895529120200653</v>
      </c>
      <c r="O74">
        <v>21.880544741276058</v>
      </c>
      <c r="P74">
        <v>8.9561925492328509</v>
      </c>
      <c r="R74">
        <v>13.572896782537912</v>
      </c>
      <c r="S74">
        <v>43.041555111650425</v>
      </c>
      <c r="U74">
        <v>1.5155372771892024</v>
      </c>
      <c r="V74">
        <v>47.081336653171711</v>
      </c>
      <c r="W74">
        <v>23.197934298402981</v>
      </c>
      <c r="X74">
        <v>43.751667950711884</v>
      </c>
      <c r="Y74">
        <v>5.986261770643404</v>
      </c>
      <c r="Z74">
        <v>25.437730632772499</v>
      </c>
      <c r="AA74">
        <v>3.8677773942408677</v>
      </c>
      <c r="AB74">
        <v>34.695676166285132</v>
      </c>
      <c r="AD74">
        <v>4.6692329684596992</v>
      </c>
      <c r="AE74">
        <v>10.757094430133128</v>
      </c>
      <c r="AF74">
        <v>13.539499414127942</v>
      </c>
      <c r="AG74">
        <v>20.168745490054437</v>
      </c>
      <c r="AH74">
        <v>2.7259979979479696</v>
      </c>
      <c r="AI74">
        <v>2.2266091637021734</v>
      </c>
      <c r="AK74">
        <v>53.83580747816724</v>
      </c>
    </row>
    <row r="75" spans="1:37" x14ac:dyDescent="0.2">
      <c r="A75">
        <v>74</v>
      </c>
      <c r="B75">
        <v>753</v>
      </c>
      <c r="C75">
        <v>195</v>
      </c>
      <c r="D75">
        <v>0.38541197680651201</v>
      </c>
      <c r="E75">
        <v>152.84968916905302</v>
      </c>
      <c r="F75">
        <v>47.692750479131618</v>
      </c>
      <c r="G75">
        <v>70.122275184896708</v>
      </c>
      <c r="H75">
        <v>65.509171835472259</v>
      </c>
      <c r="J75">
        <v>58.451442396783122</v>
      </c>
      <c r="L75">
        <v>2.9229003941733134</v>
      </c>
      <c r="M75">
        <v>13.802066328570779</v>
      </c>
      <c r="N75">
        <v>2.2915112427089421</v>
      </c>
      <c r="O75">
        <v>13.794473903431454</v>
      </c>
      <c r="P75">
        <v>7.8531827292933905</v>
      </c>
      <c r="R75">
        <v>11.130930432387615</v>
      </c>
      <c r="S75">
        <v>38.417853853138567</v>
      </c>
      <c r="U75">
        <v>1.5226587432737351</v>
      </c>
      <c r="V75">
        <v>46.74707452329671</v>
      </c>
      <c r="W75">
        <v>22.985409835059254</v>
      </c>
      <c r="X75">
        <v>43.809419281917428</v>
      </c>
      <c r="Y75">
        <v>4.3701075668460172</v>
      </c>
      <c r="Z75">
        <v>21.317669510793362</v>
      </c>
      <c r="AA75">
        <v>1.8810736933316512</v>
      </c>
      <c r="AB75">
        <v>32.59555068426819</v>
      </c>
      <c r="AD75">
        <v>2.3318698221812735</v>
      </c>
      <c r="AE75">
        <v>8.7889923805635295</v>
      </c>
      <c r="AF75">
        <v>13.424567901145355</v>
      </c>
      <c r="AG75">
        <v>18.053726017508961</v>
      </c>
      <c r="AI75">
        <v>2.2282815002723888</v>
      </c>
      <c r="AK75">
        <v>50.263534296509015</v>
      </c>
    </row>
    <row r="76" spans="1:37" x14ac:dyDescent="0.2">
      <c r="A76">
        <v>75</v>
      </c>
      <c r="B76">
        <v>752</v>
      </c>
      <c r="C76">
        <v>195</v>
      </c>
      <c r="D76">
        <v>0.38474418377798603</v>
      </c>
      <c r="E76">
        <v>153.13938899299785</v>
      </c>
      <c r="F76">
        <v>47.316789113301461</v>
      </c>
      <c r="G76">
        <v>70.281614625314873</v>
      </c>
      <c r="H76">
        <v>65.666136693098736</v>
      </c>
      <c r="J76">
        <v>50.048953673122099</v>
      </c>
      <c r="L76">
        <v>1.5679637238283721</v>
      </c>
      <c r="M76">
        <v>13.528492695119763</v>
      </c>
      <c r="N76">
        <v>2.2935154312885606</v>
      </c>
      <c r="O76">
        <v>6.5605655248324268</v>
      </c>
      <c r="P76">
        <v>8.1953547060678549</v>
      </c>
      <c r="R76">
        <v>9.6609877317780963</v>
      </c>
      <c r="S76">
        <v>34.537276141840827</v>
      </c>
      <c r="U76">
        <v>1.5251915067800921</v>
      </c>
      <c r="V76">
        <v>46.792799521346332</v>
      </c>
      <c r="W76">
        <v>22.61614635271544</v>
      </c>
      <c r="X76">
        <v>43.854009898569259</v>
      </c>
      <c r="Y76">
        <v>3.4613885531714397</v>
      </c>
      <c r="Z76">
        <v>18.683380313415562</v>
      </c>
      <c r="AB76">
        <v>31.080292862534833</v>
      </c>
      <c r="AD76">
        <v>0.91052702142993502</v>
      </c>
      <c r="AE76">
        <v>7.2076128341162233</v>
      </c>
      <c r="AF76">
        <v>13.149896757715766</v>
      </c>
      <c r="AG76">
        <v>16.523622602338044</v>
      </c>
      <c r="AI76">
        <v>2.2299988583133565</v>
      </c>
      <c r="AK76">
        <v>44.663099281802928</v>
      </c>
    </row>
    <row r="77" spans="1:37" x14ac:dyDescent="0.2">
      <c r="A77">
        <v>76</v>
      </c>
      <c r="B77">
        <v>751</v>
      </c>
      <c r="C77">
        <v>195</v>
      </c>
      <c r="D77">
        <v>0.38407508665723</v>
      </c>
      <c r="E77">
        <v>153.40585410410321</v>
      </c>
      <c r="F77">
        <v>47.482813530411484</v>
      </c>
      <c r="G77">
        <v>70.338084576740087</v>
      </c>
      <c r="H77">
        <v>65.720245183929961</v>
      </c>
      <c r="J77">
        <v>42.877063314492901</v>
      </c>
      <c r="L77">
        <v>1.5906109959906898</v>
      </c>
      <c r="M77">
        <v>13.069719041515436</v>
      </c>
      <c r="N77">
        <v>2.2955137934493091</v>
      </c>
      <c r="O77">
        <v>6.4237218279393966</v>
      </c>
      <c r="P77">
        <v>8.3317897080220664</v>
      </c>
      <c r="R77">
        <v>9.3573580029785415</v>
      </c>
      <c r="S77">
        <v>34.744971165176665</v>
      </c>
      <c r="U77">
        <v>1.5148244397245179</v>
      </c>
      <c r="V77">
        <v>47.344609660608114</v>
      </c>
      <c r="W77">
        <v>22.070298114748731</v>
      </c>
      <c r="X77">
        <v>43.861752809474226</v>
      </c>
      <c r="Y77">
        <v>3.2856421629493124</v>
      </c>
      <c r="Z77">
        <v>17.540273026292557</v>
      </c>
      <c r="AB77">
        <v>30.744918840609799</v>
      </c>
      <c r="AE77">
        <v>6.5233016146820866</v>
      </c>
      <c r="AF77">
        <v>12.690020106269893</v>
      </c>
      <c r="AG77">
        <v>16.173399705745119</v>
      </c>
      <c r="AI77">
        <v>2.2317095516758694</v>
      </c>
      <c r="AK77">
        <v>39.788756940325889</v>
      </c>
    </row>
    <row r="78" spans="1:37" x14ac:dyDescent="0.2">
      <c r="A78">
        <v>77</v>
      </c>
      <c r="B78">
        <v>750</v>
      </c>
      <c r="C78">
        <v>195</v>
      </c>
      <c r="D78">
        <v>0.38340468162048602</v>
      </c>
      <c r="E78">
        <v>153.5795795385236</v>
      </c>
      <c r="F78">
        <v>48.003784426433413</v>
      </c>
      <c r="G78">
        <v>70.315466022858558</v>
      </c>
      <c r="H78">
        <v>65.695278312653457</v>
      </c>
      <c r="J78">
        <v>38.6476484140222</v>
      </c>
      <c r="L78">
        <v>1.6045190353666257</v>
      </c>
      <c r="M78">
        <v>12.622784193396393</v>
      </c>
      <c r="N78">
        <v>2.2975067066476123</v>
      </c>
      <c r="O78">
        <v>6.4055434787245549</v>
      </c>
      <c r="P78">
        <v>8.310050102960135</v>
      </c>
      <c r="R78">
        <v>8.9932630116811438</v>
      </c>
      <c r="S78">
        <v>35.101104724554212</v>
      </c>
      <c r="U78">
        <v>1.4967290891900944</v>
      </c>
      <c r="V78">
        <v>47.909184021981602</v>
      </c>
      <c r="W78">
        <v>21.541315242189157</v>
      </c>
      <c r="X78">
        <v>43.847512291104124</v>
      </c>
      <c r="Y78">
        <v>3.0743886213765399</v>
      </c>
      <c r="Z78">
        <v>17.715479448475605</v>
      </c>
      <c r="AB78">
        <v>31.231817323013981</v>
      </c>
      <c r="AE78">
        <v>6.6166856081899148</v>
      </c>
      <c r="AF78">
        <v>12.241977155563564</v>
      </c>
      <c r="AG78">
        <v>16.645446415714062</v>
      </c>
      <c r="AI78">
        <v>2.2334139559762924</v>
      </c>
      <c r="AK78">
        <v>36.861171331100337</v>
      </c>
    </row>
    <row r="79" spans="1:37" x14ac:dyDescent="0.2">
      <c r="A79">
        <v>78</v>
      </c>
      <c r="B79">
        <v>767</v>
      </c>
      <c r="C79">
        <v>175</v>
      </c>
      <c r="D79">
        <v>0.41577705138682203</v>
      </c>
      <c r="E79">
        <v>144.65075788264073</v>
      </c>
      <c r="F79">
        <v>67.835898596075523</v>
      </c>
      <c r="G79">
        <v>73.205485610375277</v>
      </c>
      <c r="H79">
        <v>68.626166666298275</v>
      </c>
      <c r="J79">
        <v>69.260249119835606</v>
      </c>
      <c r="L79">
        <v>8.9964202009873855</v>
      </c>
      <c r="M79">
        <v>14.258825318377317</v>
      </c>
      <c r="N79">
        <v>2.2688675503069828</v>
      </c>
      <c r="O79">
        <v>39.253990936963206</v>
      </c>
      <c r="P79">
        <v>13.584052120143017</v>
      </c>
      <c r="Q79">
        <v>4.276896825892558E-2</v>
      </c>
      <c r="R79">
        <v>20.367933739791361</v>
      </c>
      <c r="S79">
        <v>53.133690495511139</v>
      </c>
      <c r="U79">
        <v>2.0385710920181008</v>
      </c>
      <c r="V79">
        <v>47.718020314567575</v>
      </c>
      <c r="W79">
        <v>25.998582439884075</v>
      </c>
      <c r="X79">
        <v>43.474366055761514</v>
      </c>
      <c r="Y79">
        <v>10.455322256535965</v>
      </c>
      <c r="Z79">
        <v>35.547935785550358</v>
      </c>
      <c r="AA79">
        <v>8.227666423897718</v>
      </c>
      <c r="AB79">
        <v>39.120012897403981</v>
      </c>
      <c r="AC79">
        <v>7.8043339118972974E-2</v>
      </c>
      <c r="AD79">
        <v>10.493853214136085</v>
      </c>
      <c r="AE79">
        <v>15.206330140022446</v>
      </c>
      <c r="AF79">
        <v>13.963853785306629</v>
      </c>
      <c r="AG79">
        <v>24.877820074046316</v>
      </c>
      <c r="AH79">
        <v>9.2195608573678189</v>
      </c>
      <c r="AI79">
        <v>2.2071388364837334</v>
      </c>
      <c r="AK79">
        <v>56.960047816570011</v>
      </c>
    </row>
    <row r="80" spans="1:37" x14ac:dyDescent="0.2">
      <c r="A80">
        <v>79</v>
      </c>
      <c r="B80">
        <v>766</v>
      </c>
      <c r="C80">
        <v>175</v>
      </c>
      <c r="D80">
        <v>0.41514747630275201</v>
      </c>
      <c r="E80">
        <v>144.54796530823307</v>
      </c>
      <c r="F80">
        <v>67.500502798210519</v>
      </c>
      <c r="G80">
        <v>73.147657330779595</v>
      </c>
      <c r="H80">
        <v>68.565774124242139</v>
      </c>
      <c r="J80">
        <v>69.20233981564526</v>
      </c>
      <c r="L80">
        <v>8.9126921391117335</v>
      </c>
      <c r="M80">
        <v>14.224192835593215</v>
      </c>
      <c r="N80">
        <v>2.2602708072727786</v>
      </c>
      <c r="O80">
        <v>38.849151959986713</v>
      </c>
      <c r="P80">
        <v>13.481172801082202</v>
      </c>
      <c r="R80">
        <v>20.192677227255668</v>
      </c>
      <c r="S80">
        <v>52.828807858800836</v>
      </c>
      <c r="U80">
        <v>1.9859792976055062</v>
      </c>
      <c r="V80">
        <v>47.663993102121587</v>
      </c>
      <c r="W80">
        <v>25.844289819365596</v>
      </c>
      <c r="X80">
        <v>43.366082396237971</v>
      </c>
      <c r="Y80">
        <v>10.367628809809982</v>
      </c>
      <c r="Z80">
        <v>35.364858292651107</v>
      </c>
      <c r="AA80">
        <v>8.140737013708792</v>
      </c>
      <c r="AB80">
        <v>39.021722154333098</v>
      </c>
      <c r="AC80">
        <v>6.7462740285462425E-2</v>
      </c>
      <c r="AD80">
        <v>10.393868747272352</v>
      </c>
      <c r="AE80">
        <v>15.123370317563767</v>
      </c>
      <c r="AF80">
        <v>13.917515854556292</v>
      </c>
      <c r="AG80">
        <v>24.754074099967312</v>
      </c>
      <c r="AH80">
        <v>9.1013562981665306</v>
      </c>
      <c r="AI80">
        <v>2.1982677077142529</v>
      </c>
      <c r="AK80">
        <v>56.950786163779071</v>
      </c>
    </row>
    <row r="81" spans="1:37" x14ac:dyDescent="0.2">
      <c r="A81">
        <v>80</v>
      </c>
      <c r="B81">
        <v>765</v>
      </c>
      <c r="C81">
        <v>175</v>
      </c>
      <c r="D81">
        <v>0.41451668833983701</v>
      </c>
      <c r="E81">
        <v>144.43866102090388</v>
      </c>
      <c r="F81">
        <v>67.046264446885715</v>
      </c>
      <c r="G81">
        <v>73.067358109583608</v>
      </c>
      <c r="H81">
        <v>68.482923474899025</v>
      </c>
      <c r="J81">
        <v>69.154692066026257</v>
      </c>
      <c r="L81">
        <v>8.7850304895975828</v>
      </c>
      <c r="M81">
        <v>14.246684559694808</v>
      </c>
      <c r="N81">
        <v>2.2423845830395766</v>
      </c>
      <c r="O81">
        <v>38.251759889032641</v>
      </c>
      <c r="P81">
        <v>13.324069629569966</v>
      </c>
      <c r="R81">
        <v>20.028383455206924</v>
      </c>
      <c r="S81">
        <v>52.72963949482601</v>
      </c>
      <c r="U81">
        <v>1.9775345056922049</v>
      </c>
      <c r="V81">
        <v>47.711064819302628</v>
      </c>
      <c r="W81">
        <v>25.743292676276464</v>
      </c>
      <c r="X81">
        <v>43.402927057660158</v>
      </c>
      <c r="Y81">
        <v>10.230025809249071</v>
      </c>
      <c r="Z81">
        <v>35.11877966617827</v>
      </c>
      <c r="AA81">
        <v>8.0064469982246962</v>
      </c>
      <c r="AB81">
        <v>39.009723001673194</v>
      </c>
      <c r="AC81">
        <v>4.7592807357683203E-2</v>
      </c>
      <c r="AD81">
        <v>10.257426750806356</v>
      </c>
      <c r="AE81">
        <v>15.020576579889402</v>
      </c>
      <c r="AF81">
        <v>13.919012914938563</v>
      </c>
      <c r="AG81">
        <v>24.707332698149429</v>
      </c>
      <c r="AH81">
        <v>8.9238531927302169</v>
      </c>
      <c r="AI81">
        <v>2.180106285214908</v>
      </c>
      <c r="AK81">
        <v>56.912953401732352</v>
      </c>
    </row>
    <row r="82" spans="1:37" x14ac:dyDescent="0.2">
      <c r="A82">
        <v>81</v>
      </c>
      <c r="B82">
        <v>764</v>
      </c>
      <c r="C82">
        <v>175</v>
      </c>
      <c r="D82">
        <v>0.41388468398978101</v>
      </c>
      <c r="E82">
        <v>144.32991019232435</v>
      </c>
      <c r="F82">
        <v>66.592930607024968</v>
      </c>
      <c r="G82">
        <v>72.987034652125686</v>
      </c>
      <c r="H82">
        <v>68.400061444045647</v>
      </c>
      <c r="J82">
        <v>69.105500843112026</v>
      </c>
      <c r="L82">
        <v>8.6567756873465989</v>
      </c>
      <c r="M82">
        <v>14.269480516165812</v>
      </c>
      <c r="N82">
        <v>2.2244187027941349</v>
      </c>
      <c r="O82">
        <v>37.653940049345074</v>
      </c>
      <c r="P82">
        <v>13.16684586357486</v>
      </c>
      <c r="R82">
        <v>19.862437583287058</v>
      </c>
      <c r="S82">
        <v>52.624939104506751</v>
      </c>
      <c r="U82">
        <v>1.9697435661292988</v>
      </c>
      <c r="V82">
        <v>47.756063165571383</v>
      </c>
      <c r="W82">
        <v>25.643379374499428</v>
      </c>
      <c r="X82">
        <v>43.441941886081615</v>
      </c>
      <c r="Y82">
        <v>10.092256132936223</v>
      </c>
      <c r="Z82">
        <v>34.872695680187775</v>
      </c>
      <c r="AA82">
        <v>7.871894465903468</v>
      </c>
      <c r="AB82">
        <v>38.99463193531691</v>
      </c>
      <c r="AC82">
        <v>2.7643365081411849E-2</v>
      </c>
      <c r="AD82">
        <v>10.120761782746431</v>
      </c>
      <c r="AE82">
        <v>14.917805851910616</v>
      </c>
      <c r="AF82">
        <v>13.920734822607542</v>
      </c>
      <c r="AG82">
        <v>24.657422195419723</v>
      </c>
      <c r="AH82">
        <v>8.7460670923681061</v>
      </c>
      <c r="AI82">
        <v>2.1618643923364704</v>
      </c>
      <c r="AK82">
        <v>56.875092758347385</v>
      </c>
    </row>
    <row r="83" spans="1:37" x14ac:dyDescent="0.2">
      <c r="A83">
        <v>82</v>
      </c>
      <c r="B83">
        <v>763</v>
      </c>
      <c r="C83">
        <v>175</v>
      </c>
      <c r="D83">
        <v>0.41325145973073701</v>
      </c>
      <c r="E83">
        <v>144.22172173502648</v>
      </c>
      <c r="F83">
        <v>66.140554454980119</v>
      </c>
      <c r="G83">
        <v>72.906703160337656</v>
      </c>
      <c r="H83">
        <v>68.317204254093596</v>
      </c>
      <c r="J83">
        <v>69.054742359622423</v>
      </c>
      <c r="L83">
        <v>8.5279632286533236</v>
      </c>
      <c r="M83">
        <v>14.292558054831659</v>
      </c>
      <c r="N83">
        <v>2.206373739817419</v>
      </c>
      <c r="O83">
        <v>37.055781113085388</v>
      </c>
      <c r="P83">
        <v>13.009534502410787</v>
      </c>
      <c r="R83">
        <v>19.6948870172528</v>
      </c>
      <c r="S83">
        <v>52.514589492370995</v>
      </c>
      <c r="U83">
        <v>1.9625882539100983</v>
      </c>
      <c r="V83">
        <v>47.798956039149282</v>
      </c>
      <c r="W83">
        <v>25.54455575449747</v>
      </c>
      <c r="X83">
        <v>43.48307300125424</v>
      </c>
      <c r="Y83">
        <v>9.9543496907021805</v>
      </c>
      <c r="Z83">
        <v>34.626604699371612</v>
      </c>
      <c r="AA83">
        <v>7.7371041495107855</v>
      </c>
      <c r="AB83">
        <v>38.976370998075303</v>
      </c>
      <c r="AC83">
        <v>7.6149862961673647E-3</v>
      </c>
      <c r="AD83">
        <v>9.9838810094740804</v>
      </c>
      <c r="AE83">
        <v>14.815043702172934</v>
      </c>
      <c r="AF83">
        <v>13.922659506169555</v>
      </c>
      <c r="AG83">
        <v>24.60426521363464</v>
      </c>
      <c r="AH83">
        <v>8.5680406825760809</v>
      </c>
      <c r="AI83">
        <v>2.1435426005240359</v>
      </c>
      <c r="AK83">
        <v>56.837209610644827</v>
      </c>
    </row>
    <row r="84" spans="1:37" x14ac:dyDescent="0.2">
      <c r="A84">
        <v>83</v>
      </c>
      <c r="B84">
        <v>762</v>
      </c>
      <c r="C84">
        <v>175</v>
      </c>
      <c r="D84">
        <v>0.41261701202724399</v>
      </c>
      <c r="E84">
        <v>144.04125761739004</v>
      </c>
      <c r="F84">
        <v>65.296957881180035</v>
      </c>
      <c r="G84">
        <v>72.760939065980637</v>
      </c>
      <c r="H84">
        <v>68.168927357321522</v>
      </c>
      <c r="J84">
        <v>68.884923870542366</v>
      </c>
      <c r="L84">
        <v>8.297401148234723</v>
      </c>
      <c r="M84">
        <v>14.315497585412198</v>
      </c>
      <c r="N84">
        <v>2.2005262181673908</v>
      </c>
      <c r="O84">
        <v>36.083780833346246</v>
      </c>
      <c r="P84">
        <v>12.733562955886134</v>
      </c>
      <c r="R84">
        <v>19.39547262502299</v>
      </c>
      <c r="S84">
        <v>52.246817211677921</v>
      </c>
      <c r="U84">
        <v>1.9478500211285845</v>
      </c>
      <c r="V84">
        <v>47.840737572776995</v>
      </c>
      <c r="W84">
        <v>25.369922050256626</v>
      </c>
      <c r="X84">
        <v>43.490243728610551</v>
      </c>
      <c r="Y84">
        <v>9.6956549851357927</v>
      </c>
      <c r="Z84">
        <v>34.168860582120104</v>
      </c>
      <c r="AA84">
        <v>7.4972807666908485</v>
      </c>
      <c r="AB84">
        <v>38.917968841762352</v>
      </c>
      <c r="AD84">
        <v>9.7153898291044936</v>
      </c>
      <c r="AE84">
        <v>14.637508710462022</v>
      </c>
      <c r="AF84">
        <v>13.936643904911296</v>
      </c>
      <c r="AG84">
        <v>24.523166934449513</v>
      </c>
      <c r="AH84">
        <v>8.200720123301851</v>
      </c>
      <c r="AI84">
        <v>2.1374174319988826</v>
      </c>
      <c r="AK84">
        <v>56.708373727665382</v>
      </c>
    </row>
    <row r="85" spans="1:37" x14ac:dyDescent="0.2">
      <c r="A85">
        <v>84</v>
      </c>
      <c r="B85">
        <v>761</v>
      </c>
      <c r="C85">
        <v>175</v>
      </c>
      <c r="D85">
        <v>0.411981337330175</v>
      </c>
      <c r="E85">
        <v>143.80790885622571</v>
      </c>
      <c r="F85">
        <v>64.14725480850872</v>
      </c>
      <c r="G85">
        <v>72.563553117115546</v>
      </c>
      <c r="H85">
        <v>67.969041522348789</v>
      </c>
      <c r="J85">
        <v>68.606374272000664</v>
      </c>
      <c r="L85">
        <v>7.9827371639746891</v>
      </c>
      <c r="M85">
        <v>14.341263086439657</v>
      </c>
      <c r="N85">
        <v>2.2025013939560116</v>
      </c>
      <c r="O85">
        <v>34.80806109823336</v>
      </c>
      <c r="P85">
        <v>12.362177998525818</v>
      </c>
      <c r="R85">
        <v>18.981832426422603</v>
      </c>
      <c r="S85">
        <v>51.815104418466454</v>
      </c>
      <c r="U85">
        <v>1.9327651560053727</v>
      </c>
      <c r="V85">
        <v>47.868706445580628</v>
      </c>
      <c r="W85">
        <v>25.148809951291998</v>
      </c>
      <c r="X85">
        <v>43.488986612822572</v>
      </c>
      <c r="Y85">
        <v>9.340394099604433</v>
      </c>
      <c r="Z85">
        <v>33.540622523413738</v>
      </c>
      <c r="AA85">
        <v>7.1718739521390962</v>
      </c>
      <c r="AB85">
        <v>38.80386767374592</v>
      </c>
      <c r="AD85">
        <v>9.3411043322225318</v>
      </c>
      <c r="AE85">
        <v>14.398849979033582</v>
      </c>
      <c r="AF85">
        <v>13.961277259000983</v>
      </c>
      <c r="AG85">
        <v>24.394194827146187</v>
      </c>
      <c r="AH85">
        <v>7.6833069823845985</v>
      </c>
      <c r="AI85">
        <v>2.1391141410367522</v>
      </c>
      <c r="AK85">
        <v>56.505206433175232</v>
      </c>
    </row>
    <row r="86" spans="1:37" x14ac:dyDescent="0.2">
      <c r="A86">
        <v>85</v>
      </c>
      <c r="B86">
        <v>760</v>
      </c>
      <c r="C86">
        <v>175</v>
      </c>
      <c r="D86">
        <v>0.41134443207665999</v>
      </c>
      <c r="E86">
        <v>143.56028143799273</v>
      </c>
      <c r="F86">
        <v>62.878501714383638</v>
      </c>
      <c r="G86">
        <v>72.346135062409488</v>
      </c>
      <c r="H86">
        <v>67.74913651843967</v>
      </c>
      <c r="J86">
        <v>68.258317293006826</v>
      </c>
      <c r="L86">
        <v>7.628853861387153</v>
      </c>
      <c r="M86">
        <v>14.371418350573011</v>
      </c>
      <c r="N86">
        <v>2.2044749673895914</v>
      </c>
      <c r="O86">
        <v>33.398053613659535</v>
      </c>
      <c r="P86">
        <v>11.950734850221364</v>
      </c>
      <c r="R86">
        <v>18.506698485570741</v>
      </c>
      <c r="S86">
        <v>51.250186541456493</v>
      </c>
      <c r="U86">
        <v>1.9254849426070277</v>
      </c>
      <c r="V86">
        <v>47.869490162934703</v>
      </c>
      <c r="W86">
        <v>24.931106515202728</v>
      </c>
      <c r="X86">
        <v>43.510841457670438</v>
      </c>
      <c r="Y86">
        <v>8.9453273861838181</v>
      </c>
      <c r="Z86">
        <v>32.835222805729494</v>
      </c>
      <c r="AA86">
        <v>6.8086331315232673</v>
      </c>
      <c r="AB86">
        <v>38.625290141785825</v>
      </c>
      <c r="AD86">
        <v>8.9201270006296927</v>
      </c>
      <c r="AE86">
        <v>14.129791335285528</v>
      </c>
      <c r="AF86">
        <v>13.990299066839212</v>
      </c>
      <c r="AG86">
        <v>24.200747245512261</v>
      </c>
      <c r="AH86">
        <v>7.1059968146028138</v>
      </c>
      <c r="AI86">
        <v>2.1408084260063389</v>
      </c>
      <c r="AK86">
        <v>56.267023224928522</v>
      </c>
    </row>
    <row r="87" spans="1:37" x14ac:dyDescent="0.2">
      <c r="A87">
        <v>86</v>
      </c>
      <c r="B87">
        <v>759</v>
      </c>
      <c r="C87">
        <v>175</v>
      </c>
      <c r="D87">
        <v>0.41070629269001901</v>
      </c>
      <c r="E87">
        <v>142.60954082343869</v>
      </c>
      <c r="F87">
        <v>56.314358555691001</v>
      </c>
      <c r="G87">
        <v>71.365887872406589</v>
      </c>
      <c r="H87">
        <v>66.766415336776362</v>
      </c>
      <c r="J87">
        <v>65.341040905888107</v>
      </c>
      <c r="L87">
        <v>5.7987158359375313</v>
      </c>
      <c r="M87">
        <v>14.329649287950792</v>
      </c>
      <c r="N87">
        <v>2.2064137510828301</v>
      </c>
      <c r="O87">
        <v>26.638184501103122</v>
      </c>
      <c r="P87">
        <v>10.013606287090225</v>
      </c>
      <c r="R87">
        <v>15.781543278807446</v>
      </c>
      <c r="S87">
        <v>46.88813180790801</v>
      </c>
      <c r="U87">
        <v>1.9425106993290349</v>
      </c>
      <c r="V87">
        <v>47.391707496055936</v>
      </c>
      <c r="W87">
        <v>24.753208987058724</v>
      </c>
      <c r="X87">
        <v>43.598723760786356</v>
      </c>
      <c r="Y87">
        <v>7.0133906921068814</v>
      </c>
      <c r="Z87">
        <v>28.447685482654514</v>
      </c>
      <c r="AA87">
        <v>4.9593906206077225</v>
      </c>
      <c r="AB87">
        <v>36.500434370219779</v>
      </c>
      <c r="AD87">
        <v>6.3766193444383701</v>
      </c>
      <c r="AE87">
        <v>12.260119246942462</v>
      </c>
      <c r="AF87">
        <v>13.947362056728622</v>
      </c>
      <c r="AG87">
        <v>22.060989132338495</v>
      </c>
      <c r="AH87">
        <v>4.1810469460822244</v>
      </c>
      <c r="AI87">
        <v>2.1424670976854254</v>
      </c>
      <c r="AK87">
        <v>54.431223321507801</v>
      </c>
    </row>
    <row r="88" spans="1:37" x14ac:dyDescent="0.2">
      <c r="A88">
        <v>87</v>
      </c>
      <c r="B88">
        <v>758</v>
      </c>
      <c r="C88">
        <v>175</v>
      </c>
      <c r="D88">
        <v>0.41006691557969399</v>
      </c>
      <c r="E88">
        <v>141.6909914912307</v>
      </c>
      <c r="F88">
        <v>49.924472667272823</v>
      </c>
      <c r="G88">
        <v>70.41618837171653</v>
      </c>
      <c r="H88">
        <v>65.814254822645339</v>
      </c>
      <c r="J88">
        <v>62.502134884519151</v>
      </c>
      <c r="L88">
        <v>4.0143565803894452</v>
      </c>
      <c r="M88">
        <v>14.263930162539083</v>
      </c>
      <c r="N88">
        <v>2.2083519551396411</v>
      </c>
      <c r="O88">
        <v>20.073443173456187</v>
      </c>
      <c r="P88">
        <v>8.1375801909304624</v>
      </c>
      <c r="R88">
        <v>13.114538573623717</v>
      </c>
      <c r="S88">
        <v>42.732802645822439</v>
      </c>
      <c r="U88">
        <v>1.9494664227181797</v>
      </c>
      <c r="V88">
        <v>46.957142722953677</v>
      </c>
      <c r="W88">
        <v>24.586120604789873</v>
      </c>
      <c r="X88">
        <v>43.656891340905631</v>
      </c>
      <c r="Y88">
        <v>5.139369749270986</v>
      </c>
      <c r="Z88">
        <v>24.099133288685476</v>
      </c>
      <c r="AA88">
        <v>3.1596031274891865</v>
      </c>
      <c r="AB88">
        <v>34.457793695671327</v>
      </c>
      <c r="AD88">
        <v>3.8462657864699685</v>
      </c>
      <c r="AE88">
        <v>10.408673166568864</v>
      </c>
      <c r="AF88">
        <v>13.880474708297225</v>
      </c>
      <c r="AG88">
        <v>20.003448040208376</v>
      </c>
      <c r="AH88">
        <v>1.3081287976518692</v>
      </c>
      <c r="AI88">
        <v>2.1441243643403096</v>
      </c>
      <c r="AK88">
        <v>52.626303934001477</v>
      </c>
    </row>
    <row r="89" spans="1:37" x14ac:dyDescent="0.2">
      <c r="A89">
        <v>88</v>
      </c>
      <c r="B89">
        <v>757</v>
      </c>
      <c r="C89">
        <v>175</v>
      </c>
      <c r="D89">
        <v>0.40942629714119499</v>
      </c>
      <c r="E89">
        <v>141.76567624946861</v>
      </c>
      <c r="F89">
        <v>48.293437340427346</v>
      </c>
      <c r="G89">
        <v>70.386202392390004</v>
      </c>
      <c r="H89">
        <v>65.781820828814986</v>
      </c>
      <c r="J89">
        <v>54.637046991121458</v>
      </c>
      <c r="L89">
        <v>2.2821679980552472</v>
      </c>
      <c r="M89">
        <v>14.090330285730381</v>
      </c>
      <c r="N89">
        <v>2.2103440134830068</v>
      </c>
      <c r="O89">
        <v>11.028019078056143</v>
      </c>
      <c r="P89">
        <v>8.1010426823054011</v>
      </c>
      <c r="R89">
        <v>11.113567437613209</v>
      </c>
      <c r="S89">
        <v>37.578913718763637</v>
      </c>
      <c r="U89">
        <v>1.9757326321416346</v>
      </c>
      <c r="V89">
        <v>46.660974121359047</v>
      </c>
      <c r="W89">
        <v>24.298154714412696</v>
      </c>
      <c r="X89">
        <v>43.770615708406233</v>
      </c>
      <c r="Y89">
        <v>3.9411401553356793</v>
      </c>
      <c r="Z89">
        <v>20.852731906848067</v>
      </c>
      <c r="AA89">
        <v>1.14204529078005</v>
      </c>
      <c r="AB89">
        <v>32.395419080029313</v>
      </c>
      <c r="AD89">
        <v>2.0703956061330406</v>
      </c>
      <c r="AE89">
        <v>8.5703543742601855</v>
      </c>
      <c r="AF89">
        <v>13.705760772434926</v>
      </c>
      <c r="AG89">
        <v>17.926229370810624</v>
      </c>
      <c r="AI89">
        <v>2.1458346580556587</v>
      </c>
      <c r="AK89">
        <v>47.481495591742117</v>
      </c>
    </row>
    <row r="90" spans="1:37" x14ac:dyDescent="0.2">
      <c r="A90">
        <v>89</v>
      </c>
      <c r="B90">
        <v>756</v>
      </c>
      <c r="C90">
        <v>175</v>
      </c>
      <c r="D90">
        <v>0.40878443375601398</v>
      </c>
      <c r="E90">
        <v>142.06568199116751</v>
      </c>
      <c r="F90">
        <v>47.960277814864568</v>
      </c>
      <c r="G90">
        <v>70.531242313994795</v>
      </c>
      <c r="H90">
        <v>65.924425755611395</v>
      </c>
      <c r="J90">
        <v>47.206411705879958</v>
      </c>
      <c r="L90">
        <v>1.5488887231664556</v>
      </c>
      <c r="M90">
        <v>13.770176820445412</v>
      </c>
      <c r="N90">
        <v>2.2123485727045629</v>
      </c>
      <c r="O90">
        <v>7.0808982913145675</v>
      </c>
      <c r="P90">
        <v>8.4145771895430101</v>
      </c>
      <c r="R90">
        <v>10.216160001942583</v>
      </c>
      <c r="S90">
        <v>35.392032493585774</v>
      </c>
      <c r="U90">
        <v>1.9792398797537076</v>
      </c>
      <c r="V90">
        <v>46.847970801337446</v>
      </c>
      <c r="W90">
        <v>23.879531313659392</v>
      </c>
      <c r="X90">
        <v>43.819062828535593</v>
      </c>
      <c r="Y90">
        <v>3.3730836229196721</v>
      </c>
      <c r="Z90">
        <v>18.322455997270957</v>
      </c>
      <c r="AB90">
        <v>30.983232618920113</v>
      </c>
      <c r="AD90">
        <v>0.7460258563153398</v>
      </c>
      <c r="AE90">
        <v>7.0541598606907172</v>
      </c>
      <c r="AF90">
        <v>13.384506064240517</v>
      </c>
      <c r="AG90">
        <v>16.499213872256753</v>
      </c>
      <c r="AI90">
        <v>2.1475566235849111</v>
      </c>
      <c r="AK90">
        <v>42.516926757292033</v>
      </c>
    </row>
    <row r="91" spans="1:37" x14ac:dyDescent="0.2">
      <c r="A91">
        <v>90</v>
      </c>
      <c r="B91">
        <v>755</v>
      </c>
      <c r="C91">
        <v>175</v>
      </c>
      <c r="D91">
        <v>0.40814132179156798</v>
      </c>
      <c r="E91">
        <v>142.30568215089644</v>
      </c>
      <c r="F91">
        <v>48.210843964673728</v>
      </c>
      <c r="G91">
        <v>70.568579141773057</v>
      </c>
      <c r="H91">
        <v>65.959340629074489</v>
      </c>
      <c r="J91">
        <v>41.444658158328586</v>
      </c>
      <c r="L91">
        <v>1.5680815804513915</v>
      </c>
      <c r="M91">
        <v>13.326822888919921</v>
      </c>
      <c r="N91">
        <v>2.2143470380893802</v>
      </c>
      <c r="O91">
        <v>6.9689829901052223</v>
      </c>
      <c r="P91">
        <v>8.5127071510741601</v>
      </c>
      <c r="R91">
        <v>9.9027668840218901</v>
      </c>
      <c r="S91">
        <v>35.587645954548982</v>
      </c>
      <c r="U91">
        <v>1.968932827040164</v>
      </c>
      <c r="V91">
        <v>47.37490884397878</v>
      </c>
      <c r="W91">
        <v>23.347131618176821</v>
      </c>
      <c r="X91">
        <v>43.828036063403722</v>
      </c>
      <c r="Y91">
        <v>3.1887620859807106</v>
      </c>
      <c r="Z91">
        <v>17.509731477342495</v>
      </c>
      <c r="AB91">
        <v>30.824460303380228</v>
      </c>
      <c r="AE91">
        <v>6.5648167732831908</v>
      </c>
      <c r="AF91">
        <v>12.940045116831939</v>
      </c>
      <c r="AG91">
        <v>16.325608946781671</v>
      </c>
      <c r="AI91">
        <v>2.1492716643742411</v>
      </c>
      <c r="AK91">
        <v>38.589390160032707</v>
      </c>
    </row>
    <row r="92" spans="1:37" x14ac:dyDescent="0.2">
      <c r="A92">
        <v>91</v>
      </c>
      <c r="B92">
        <v>754</v>
      </c>
      <c r="C92">
        <v>175</v>
      </c>
      <c r="D92">
        <v>0.40749695760112897</v>
      </c>
      <c r="E92">
        <v>142.47248058830192</v>
      </c>
      <c r="F92">
        <v>48.714103523973293</v>
      </c>
      <c r="G92">
        <v>70.545855630970465</v>
      </c>
      <c r="H92">
        <v>65.93420822528833</v>
      </c>
      <c r="J92">
        <v>37.763927248751891</v>
      </c>
      <c r="L92">
        <v>1.5810254937471182</v>
      </c>
      <c r="M92">
        <v>12.895187550115931</v>
      </c>
      <c r="N92">
        <v>2.216341499455234</v>
      </c>
      <c r="O92">
        <v>6.943120492697715</v>
      </c>
      <c r="P92">
        <v>8.4907201899345726</v>
      </c>
      <c r="R92">
        <v>9.5478786899552137</v>
      </c>
      <c r="S92">
        <v>35.911297454339625</v>
      </c>
      <c r="U92">
        <v>1.9513485839562805</v>
      </c>
      <c r="V92">
        <v>47.91478683064544</v>
      </c>
      <c r="W92">
        <v>22.831294455588854</v>
      </c>
      <c r="X92">
        <v>43.816324483746051</v>
      </c>
      <c r="Y92">
        <v>2.9827790572863786</v>
      </c>
      <c r="Z92">
        <v>17.678433283266926</v>
      </c>
      <c r="AB92">
        <v>31.285757455764411</v>
      </c>
      <c r="AE92">
        <v>6.6547526501688523</v>
      </c>
      <c r="AF92">
        <v>12.507299084600913</v>
      </c>
      <c r="AG92">
        <v>16.772072012490888</v>
      </c>
      <c r="AI92">
        <v>2.150981868403226</v>
      </c>
      <c r="AK92">
        <v>36.035569834748451</v>
      </c>
    </row>
    <row r="93" spans="1:37" x14ac:dyDescent="0.2">
      <c r="A93">
        <v>92</v>
      </c>
      <c r="B93">
        <v>775</v>
      </c>
      <c r="C93">
        <v>155</v>
      </c>
      <c r="D93">
        <v>0.44175976720889598</v>
      </c>
      <c r="E93">
        <v>133.70912959491756</v>
      </c>
      <c r="F93">
        <v>69.712411786776443</v>
      </c>
      <c r="G93">
        <v>73.621927323856553</v>
      </c>
      <c r="H93">
        <v>69.062828233756278</v>
      </c>
      <c r="J93">
        <v>69.360849860277042</v>
      </c>
      <c r="L93">
        <v>9.4563114417620664</v>
      </c>
      <c r="M93">
        <v>14.568321969371155</v>
      </c>
      <c r="N93">
        <v>2.2321412573397152</v>
      </c>
      <c r="O93">
        <v>42.334495788689345</v>
      </c>
      <c r="P93">
        <v>14.09667279970208</v>
      </c>
      <c r="Q93">
        <v>1.7468303958423092E-2</v>
      </c>
      <c r="R93">
        <v>21.685191480113691</v>
      </c>
      <c r="S93">
        <v>55.483084699998173</v>
      </c>
      <c r="U93">
        <v>2.5198982937900847</v>
      </c>
      <c r="V93">
        <v>47.765606849697747</v>
      </c>
      <c r="W93">
        <v>27.92438458855036</v>
      </c>
      <c r="X93">
        <v>43.10970031679193</v>
      </c>
      <c r="Y93">
        <v>10.873266913118307</v>
      </c>
      <c r="Z93">
        <v>36.878672086560904</v>
      </c>
      <c r="AA93">
        <v>8.7334382389500966</v>
      </c>
      <c r="AB93">
        <v>40.055848029750464</v>
      </c>
      <c r="AC93">
        <v>0.13048371346059626</v>
      </c>
      <c r="AD93">
        <v>11.193138422662457</v>
      </c>
      <c r="AE93">
        <v>16.005220968080685</v>
      </c>
      <c r="AF93">
        <v>14.32324726597705</v>
      </c>
      <c r="AG93">
        <v>25.99777568596722</v>
      </c>
      <c r="AH93">
        <v>9.6382297753446444</v>
      </c>
      <c r="AI93">
        <v>2.170182190331257</v>
      </c>
      <c r="AK93">
        <v>56.612189116201442</v>
      </c>
    </row>
    <row r="94" spans="1:37" x14ac:dyDescent="0.2">
      <c r="A94">
        <v>93</v>
      </c>
      <c r="B94">
        <v>774</v>
      </c>
      <c r="C94">
        <v>155</v>
      </c>
      <c r="D94">
        <v>0.44115981473524002</v>
      </c>
      <c r="E94">
        <v>133.60336869484445</v>
      </c>
      <c r="F94">
        <v>69.309887114461219</v>
      </c>
      <c r="G94">
        <v>73.551238880147267</v>
      </c>
      <c r="H94">
        <v>68.989465417678971</v>
      </c>
      <c r="J94">
        <v>69.307948323275227</v>
      </c>
      <c r="L94">
        <v>9.3481400261458951</v>
      </c>
      <c r="M94">
        <v>14.566753638062956</v>
      </c>
      <c r="N94">
        <v>2.2184088508418927</v>
      </c>
      <c r="O94">
        <v>41.818317308831737</v>
      </c>
      <c r="P94">
        <v>13.962870549018087</v>
      </c>
      <c r="R94">
        <v>21.517712590870531</v>
      </c>
      <c r="S94">
        <v>55.298347291254316</v>
      </c>
      <c r="U94">
        <v>2.4935438352811761</v>
      </c>
      <c r="V94">
        <v>47.771388192917797</v>
      </c>
      <c r="W94">
        <v>27.799447637111989</v>
      </c>
      <c r="X94">
        <v>43.087390990578186</v>
      </c>
      <c r="Y94">
        <v>10.757332849979557</v>
      </c>
      <c r="Z94">
        <v>36.658487508668884</v>
      </c>
      <c r="AA94">
        <v>8.6198206471078151</v>
      </c>
      <c r="AB94">
        <v>40.007084042044191</v>
      </c>
      <c r="AC94">
        <v>0.11476451729013847</v>
      </c>
      <c r="AD94">
        <v>11.073060721914191</v>
      </c>
      <c r="AE94">
        <v>15.91004190817033</v>
      </c>
      <c r="AF94">
        <v>14.30483300308693</v>
      </c>
      <c r="AG94">
        <v>25.918427610549884</v>
      </c>
      <c r="AH94">
        <v>9.4866021356953496</v>
      </c>
      <c r="AI94">
        <v>2.1561827345241027</v>
      </c>
      <c r="AK94">
        <v>56.586505386626428</v>
      </c>
    </row>
    <row r="95" spans="1:37" x14ac:dyDescent="0.2">
      <c r="A95">
        <v>94</v>
      </c>
      <c r="B95">
        <v>773</v>
      </c>
      <c r="C95">
        <v>155</v>
      </c>
      <c r="D95">
        <v>0.440558715289395</v>
      </c>
      <c r="E95">
        <v>133.49565345611367</v>
      </c>
      <c r="F95">
        <v>68.861915888932472</v>
      </c>
      <c r="G95">
        <v>73.471828822742268</v>
      </c>
      <c r="H95">
        <v>68.907393662003855</v>
      </c>
      <c r="J95">
        <v>69.258962356267844</v>
      </c>
      <c r="L95">
        <v>9.2226101134336957</v>
      </c>
      <c r="M95">
        <v>14.58789390056101</v>
      </c>
      <c r="N95">
        <v>2.2009620584542504</v>
      </c>
      <c r="O95">
        <v>41.226708127457762</v>
      </c>
      <c r="P95">
        <v>13.807918019725781</v>
      </c>
      <c r="R95">
        <v>21.35389355255181</v>
      </c>
      <c r="S95">
        <v>55.191902875858176</v>
      </c>
      <c r="U95">
        <v>2.4850957774836577</v>
      </c>
      <c r="V95">
        <v>47.815873651089014</v>
      </c>
      <c r="W95">
        <v>27.69606923744297</v>
      </c>
      <c r="X95">
        <v>43.124005475468884</v>
      </c>
      <c r="Y95">
        <v>10.621925518346364</v>
      </c>
      <c r="Z95">
        <v>36.413409244722644</v>
      </c>
      <c r="AA95">
        <v>8.4877622389184406</v>
      </c>
      <c r="AB95">
        <v>39.990277153883895</v>
      </c>
      <c r="AC95">
        <v>9.5331085852544295E-2</v>
      </c>
      <c r="AD95">
        <v>10.938555556925815</v>
      </c>
      <c r="AE95">
        <v>15.806912242174732</v>
      </c>
      <c r="AF95">
        <v>14.305413174940467</v>
      </c>
      <c r="AG95">
        <v>25.867324666505255</v>
      </c>
      <c r="AH95">
        <v>9.3119397761033973</v>
      </c>
      <c r="AI95">
        <v>2.138468094963661</v>
      </c>
      <c r="AK95">
        <v>56.55009189738248</v>
      </c>
    </row>
    <row r="96" spans="1:37" x14ac:dyDescent="0.2">
      <c r="A96">
        <v>95</v>
      </c>
      <c r="B96">
        <v>772</v>
      </c>
      <c r="C96">
        <v>155</v>
      </c>
      <c r="D96">
        <v>0.43995646557910401</v>
      </c>
      <c r="E96">
        <v>133.38846460828131</v>
      </c>
      <c r="F96">
        <v>68.414907730803307</v>
      </c>
      <c r="G96">
        <v>73.392416608727601</v>
      </c>
      <c r="H96">
        <v>68.825332443945641</v>
      </c>
      <c r="J96">
        <v>69.20861606966055</v>
      </c>
      <c r="L96">
        <v>9.0965698018772461</v>
      </c>
      <c r="M96">
        <v>14.609295057752265</v>
      </c>
      <c r="N96">
        <v>2.1834492516195914</v>
      </c>
      <c r="O96">
        <v>40.634874762326888</v>
      </c>
      <c r="P96">
        <v>13.6529025190697</v>
      </c>
      <c r="R96">
        <v>21.188602508713316</v>
      </c>
      <c r="S96">
        <v>55.080365931187842</v>
      </c>
      <c r="U96">
        <v>2.4772268598772351</v>
      </c>
      <c r="V96">
        <v>47.858448005734012</v>
      </c>
      <c r="W96">
        <v>27.59366651734581</v>
      </c>
      <c r="X96">
        <v>43.162569394415712</v>
      </c>
      <c r="Y96">
        <v>10.48640625852002</v>
      </c>
      <c r="Z96">
        <v>36.168386336315621</v>
      </c>
      <c r="AA96">
        <v>8.3554206297460993</v>
      </c>
      <c r="AB96">
        <v>39.970613680791409</v>
      </c>
      <c r="AC96">
        <v>7.5831790151731263E-2</v>
      </c>
      <c r="AD96">
        <v>10.803863487260916</v>
      </c>
      <c r="AE96">
        <v>15.703824987981935</v>
      </c>
      <c r="AF96">
        <v>14.306188459258719</v>
      </c>
      <c r="AG96">
        <v>25.813301546401384</v>
      </c>
      <c r="AH96">
        <v>9.1370520864202156</v>
      </c>
      <c r="AI96">
        <v>2.1206866412609395</v>
      </c>
      <c r="AK96">
        <v>56.513700229834853</v>
      </c>
    </row>
    <row r="97" spans="1:37" x14ac:dyDescent="0.2">
      <c r="A97">
        <v>96</v>
      </c>
      <c r="B97">
        <v>771</v>
      </c>
      <c r="C97">
        <v>155</v>
      </c>
      <c r="D97">
        <v>0.43935306229947801</v>
      </c>
      <c r="E97">
        <v>133.28180834635339</v>
      </c>
      <c r="F97">
        <v>67.968908367742728</v>
      </c>
      <c r="G97">
        <v>73.313016292014353</v>
      </c>
      <c r="H97">
        <v>68.743295837582281</v>
      </c>
      <c r="J97">
        <v>69.156894485290422</v>
      </c>
      <c r="L97">
        <v>8.9700520060779745</v>
      </c>
      <c r="M97">
        <v>14.630937146692631</v>
      </c>
      <c r="N97">
        <v>2.1658713929543261</v>
      </c>
      <c r="O97">
        <v>40.042897002004452</v>
      </c>
      <c r="P97">
        <v>13.497853139178231</v>
      </c>
      <c r="R97">
        <v>21.021885620165911</v>
      </c>
      <c r="S97">
        <v>54.963653268204936</v>
      </c>
      <c r="U97">
        <v>2.4699196032292092</v>
      </c>
      <c r="V97">
        <v>47.899089347226443</v>
      </c>
      <c r="W97">
        <v>27.492241374044326</v>
      </c>
      <c r="X97">
        <v>43.203030677954906</v>
      </c>
      <c r="Y97">
        <v>10.350801406534636</v>
      </c>
      <c r="Z97">
        <v>35.923420862169046</v>
      </c>
      <c r="AA97">
        <v>8.2228976675157686</v>
      </c>
      <c r="AB97">
        <v>39.94803728999274</v>
      </c>
      <c r="AC97">
        <v>5.6267592364874532E-2</v>
      </c>
      <c r="AD97">
        <v>10.66899282866976</v>
      </c>
      <c r="AE97">
        <v>15.600769366714291</v>
      </c>
      <c r="AF97">
        <v>14.307139861110091</v>
      </c>
      <c r="AG97">
        <v>25.756302885702855</v>
      </c>
      <c r="AH97">
        <v>8.9619769774221254</v>
      </c>
      <c r="AI97">
        <v>2.1028393341998557</v>
      </c>
      <c r="AK97">
        <v>56.477335641400977</v>
      </c>
    </row>
    <row r="98" spans="1:37" x14ac:dyDescent="0.2">
      <c r="A98">
        <v>97</v>
      </c>
      <c r="B98">
        <v>770</v>
      </c>
      <c r="C98">
        <v>155</v>
      </c>
      <c r="D98">
        <v>0.43874850213296301</v>
      </c>
      <c r="E98">
        <v>133.17569049839446</v>
      </c>
      <c r="F98">
        <v>67.52396218458162</v>
      </c>
      <c r="G98">
        <v>73.233641934232509</v>
      </c>
      <c r="H98">
        <v>68.661297924748808</v>
      </c>
      <c r="J98">
        <v>69.103785162072541</v>
      </c>
      <c r="L98">
        <v>8.8430896383210236</v>
      </c>
      <c r="M98">
        <v>14.652799615342262</v>
      </c>
      <c r="N98">
        <v>2.1482294309767358</v>
      </c>
      <c r="O98">
        <v>39.450854463742338</v>
      </c>
      <c r="P98">
        <v>13.34279897357605</v>
      </c>
      <c r="R98">
        <v>20.853789481370242</v>
      </c>
      <c r="S98">
        <v>54.841692609041331</v>
      </c>
      <c r="U98">
        <v>2.4631558562733509</v>
      </c>
      <c r="V98">
        <v>47.93777921429875</v>
      </c>
      <c r="W98">
        <v>27.391795243981232</v>
      </c>
      <c r="X98">
        <v>43.245335265716008</v>
      </c>
      <c r="Y98">
        <v>10.21513733626227</v>
      </c>
      <c r="Z98">
        <v>35.678513868654477</v>
      </c>
      <c r="AA98">
        <v>8.0902158411650156</v>
      </c>
      <c r="AB98">
        <v>39.922497131060872</v>
      </c>
      <c r="AC98">
        <v>3.6639440571602927E-2</v>
      </c>
      <c r="AD98">
        <v>10.533951402765261</v>
      </c>
      <c r="AE98">
        <v>15.497733995467891</v>
      </c>
      <c r="AF98">
        <v>14.308247782385866</v>
      </c>
      <c r="AG98">
        <v>25.69627878814288</v>
      </c>
      <c r="AH98">
        <v>8.7867523594641224</v>
      </c>
      <c r="AI98">
        <v>2.0849271204666628</v>
      </c>
      <c r="AK98">
        <v>56.441003051837065</v>
      </c>
    </row>
    <row r="99" spans="1:37" x14ac:dyDescent="0.2">
      <c r="A99">
        <v>98</v>
      </c>
      <c r="B99">
        <v>769</v>
      </c>
      <c r="C99">
        <v>155</v>
      </c>
      <c r="D99">
        <v>0.43814278174927401</v>
      </c>
      <c r="E99">
        <v>133.07011653293659</v>
      </c>
      <c r="F99">
        <v>67.080112063632271</v>
      </c>
      <c r="G99">
        <v>73.154307562428841</v>
      </c>
      <c r="H99">
        <v>68.579352752735232</v>
      </c>
      <c r="J99">
        <v>69.049278028964039</v>
      </c>
      <c r="L99">
        <v>8.7157154349468549</v>
      </c>
      <c r="M99">
        <v>14.674861368983146</v>
      </c>
      <c r="N99">
        <v>2.1305242851422506</v>
      </c>
      <c r="O99">
        <v>38.858826282202855</v>
      </c>
      <c r="P99">
        <v>13.187769017620376</v>
      </c>
      <c r="R99">
        <v>20.684360835375532</v>
      </c>
      <c r="S99">
        <v>54.714422201511717</v>
      </c>
      <c r="U99">
        <v>2.4569168682261027</v>
      </c>
      <c r="V99">
        <v>47.97450241561554</v>
      </c>
      <c r="W99">
        <v>27.292329187664723</v>
      </c>
      <c r="X99">
        <v>43.289427333560454</v>
      </c>
      <c r="Y99">
        <v>10.07944036990188</v>
      </c>
      <c r="Z99">
        <v>35.433665280119989</v>
      </c>
      <c r="AA99">
        <v>7.9574709536629671</v>
      </c>
      <c r="AB99">
        <v>39.893947653902529</v>
      </c>
      <c r="AC99">
        <v>1.6948253787179669E-2</v>
      </c>
      <c r="AD99">
        <v>10.398746473421664</v>
      </c>
      <c r="AE99">
        <v>15.394706869674033</v>
      </c>
      <c r="AF99">
        <v>14.309492053250738</v>
      </c>
      <c r="AG99">
        <v>25.633184628738601</v>
      </c>
      <c r="AH99">
        <v>8.6114160263235355</v>
      </c>
      <c r="AI99">
        <v>2.0669509176830165</v>
      </c>
      <c r="AK99">
        <v>56.404706986703069</v>
      </c>
    </row>
    <row r="100" spans="1:37" x14ac:dyDescent="0.2">
      <c r="A100">
        <v>99</v>
      </c>
      <c r="B100">
        <v>768</v>
      </c>
      <c r="C100">
        <v>155</v>
      </c>
      <c r="D100">
        <v>0.43753589780531399</v>
      </c>
      <c r="E100">
        <v>132.94938407918778</v>
      </c>
      <c r="F100">
        <v>66.552003214516375</v>
      </c>
      <c r="G100">
        <v>73.06074901678096</v>
      </c>
      <c r="H100">
        <v>68.483196182002402</v>
      </c>
      <c r="J100">
        <v>68.967104432739049</v>
      </c>
      <c r="L100">
        <v>8.5656727820201599</v>
      </c>
      <c r="M100">
        <v>14.697165645598291</v>
      </c>
      <c r="N100">
        <v>2.1153496999422137</v>
      </c>
      <c r="O100">
        <v>38.184934334694383</v>
      </c>
      <c r="P100">
        <v>13.006828718024686</v>
      </c>
      <c r="R100">
        <v>20.484608672714305</v>
      </c>
      <c r="S100">
        <v>54.546528694763175</v>
      </c>
      <c r="U100">
        <v>2.4496431105122984</v>
      </c>
      <c r="V100">
        <v>48.008706231021108</v>
      </c>
      <c r="W100">
        <v>27.177501564767265</v>
      </c>
      <c r="X100">
        <v>43.328252114598875</v>
      </c>
      <c r="Y100">
        <v>9.9173333459362585</v>
      </c>
      <c r="Z100">
        <v>35.142716625588307</v>
      </c>
      <c r="AA100">
        <v>7.801526992895691</v>
      </c>
      <c r="AB100">
        <v>39.853101649117256</v>
      </c>
      <c r="AD100">
        <v>10.234745126193046</v>
      </c>
      <c r="AE100">
        <v>15.275342901144063</v>
      </c>
      <c r="AF100">
        <v>14.31350966161159</v>
      </c>
      <c r="AG100">
        <v>25.560326948258137</v>
      </c>
      <c r="AH100">
        <v>8.3947996704440957</v>
      </c>
      <c r="AI100">
        <v>2.0515044685063697</v>
      </c>
      <c r="AK100">
        <v>56.348582782820884</v>
      </c>
    </row>
    <row r="101" spans="1:37" x14ac:dyDescent="0.2">
      <c r="A101">
        <v>100</v>
      </c>
      <c r="B101">
        <v>767</v>
      </c>
      <c r="C101">
        <v>155</v>
      </c>
      <c r="D101">
        <v>0.43692784694515202</v>
      </c>
      <c r="E101">
        <v>132.72061697875071</v>
      </c>
      <c r="F101">
        <v>65.421789035635697</v>
      </c>
      <c r="G101">
        <v>72.866155156665002</v>
      </c>
      <c r="H101">
        <v>68.286017092248414</v>
      </c>
      <c r="J101">
        <v>68.687754144921342</v>
      </c>
      <c r="L101">
        <v>8.25505367743758</v>
      </c>
      <c r="M101">
        <v>14.721841227773668</v>
      </c>
      <c r="N101">
        <v>2.1173276983737477</v>
      </c>
      <c r="O101">
        <v>36.92519568274539</v>
      </c>
      <c r="P101">
        <v>12.640977838467974</v>
      </c>
      <c r="R101">
        <v>20.071468067591926</v>
      </c>
      <c r="S101">
        <v>54.097129461542799</v>
      </c>
      <c r="U101">
        <v>2.4354996123556671</v>
      </c>
      <c r="V101">
        <v>48.028648090286893</v>
      </c>
      <c r="W101">
        <v>26.956485569725682</v>
      </c>
      <c r="X101">
        <v>43.33073482282267</v>
      </c>
      <c r="Y101">
        <v>9.5674741306632871</v>
      </c>
      <c r="Z101">
        <v>34.522428807688307</v>
      </c>
      <c r="AA101">
        <v>7.48090674905706</v>
      </c>
      <c r="AB101">
        <v>39.727718161111532</v>
      </c>
      <c r="AD101">
        <v>9.8664009092441862</v>
      </c>
      <c r="AE101">
        <v>15.038737150981907</v>
      </c>
      <c r="AF101">
        <v>14.337051418502536</v>
      </c>
      <c r="AG101">
        <v>25.420086819796634</v>
      </c>
      <c r="AH101">
        <v>7.8858420926115258</v>
      </c>
      <c r="AI101">
        <v>2.0532097940998382</v>
      </c>
      <c r="AK101">
        <v>56.150071113424467</v>
      </c>
    </row>
    <row r="102" spans="1:37" x14ac:dyDescent="0.2">
      <c r="A102">
        <v>101</v>
      </c>
      <c r="B102">
        <v>766</v>
      </c>
      <c r="C102">
        <v>155</v>
      </c>
      <c r="D102">
        <v>0.43631862579993802</v>
      </c>
      <c r="E102">
        <v>132.48040811983475</v>
      </c>
      <c r="F102">
        <v>64.194272417980415</v>
      </c>
      <c r="G102">
        <v>72.655082916525544</v>
      </c>
      <c r="H102">
        <v>68.072372438278393</v>
      </c>
      <c r="J102">
        <v>68.350110918839107</v>
      </c>
      <c r="L102">
        <v>7.9119141233592094</v>
      </c>
      <c r="M102">
        <v>14.75016070597162</v>
      </c>
      <c r="N102">
        <v>2.1193043176222535</v>
      </c>
      <c r="O102">
        <v>35.555003530821025</v>
      </c>
      <c r="P102">
        <v>12.242176307012516</v>
      </c>
      <c r="R102">
        <v>19.60695331660952</v>
      </c>
      <c r="S102">
        <v>53.533244130504279</v>
      </c>
      <c r="U102">
        <v>2.4280746604131855</v>
      </c>
      <c r="V102">
        <v>48.024725231749869</v>
      </c>
      <c r="W102">
        <v>26.738695121943888</v>
      </c>
      <c r="X102">
        <v>43.353147179971245</v>
      </c>
      <c r="Y102">
        <v>9.1848479290214691</v>
      </c>
      <c r="Z102">
        <v>33.838901054760854</v>
      </c>
      <c r="AA102">
        <v>7.1290860201948378</v>
      </c>
      <c r="AB102">
        <v>39.546683451014644</v>
      </c>
      <c r="AD102">
        <v>9.4597009122712929</v>
      </c>
      <c r="AE102">
        <v>14.777143825973155</v>
      </c>
      <c r="AF102">
        <v>14.364235957030626</v>
      </c>
      <c r="AG102">
        <v>25.224196547379997</v>
      </c>
      <c r="AH102">
        <v>7.3275535349598657</v>
      </c>
      <c r="AI102">
        <v>2.0549129298137676</v>
      </c>
      <c r="AK102">
        <v>55.922881832494497</v>
      </c>
    </row>
    <row r="103" spans="1:37" x14ac:dyDescent="0.2">
      <c r="A103">
        <v>102</v>
      </c>
      <c r="B103">
        <v>765</v>
      </c>
      <c r="C103">
        <v>155</v>
      </c>
      <c r="D103">
        <v>0.43570823098781702</v>
      </c>
      <c r="E103">
        <v>132.11236368680503</v>
      </c>
      <c r="F103">
        <v>61.987857834829178</v>
      </c>
      <c r="G103">
        <v>72.29924028139645</v>
      </c>
      <c r="H103">
        <v>67.713970225525912</v>
      </c>
      <c r="J103">
        <v>67.512845459816063</v>
      </c>
      <c r="L103">
        <v>7.288318959873199</v>
      </c>
      <c r="M103">
        <v>14.771636855040533</v>
      </c>
      <c r="N103">
        <v>2.1212738389873769</v>
      </c>
      <c r="O103">
        <v>33.177759392164035</v>
      </c>
      <c r="P103">
        <v>11.553834397074286</v>
      </c>
      <c r="R103">
        <v>18.708305925313546</v>
      </c>
      <c r="S103">
        <v>52.16799063254976</v>
      </c>
      <c r="U103">
        <v>2.434094006912626</v>
      </c>
      <c r="V103">
        <v>47.899355732472443</v>
      </c>
      <c r="W103">
        <v>26.529608320799827</v>
      </c>
      <c r="X103">
        <v>43.414146167268846</v>
      </c>
      <c r="Y103">
        <v>8.5112775197867769</v>
      </c>
      <c r="Z103">
        <v>32.487011667118011</v>
      </c>
      <c r="AA103">
        <v>6.4966252869887979</v>
      </c>
      <c r="AB103">
        <v>38.960911863957371</v>
      </c>
      <c r="AD103">
        <v>8.6663983423481969</v>
      </c>
      <c r="AE103">
        <v>14.226642482789936</v>
      </c>
      <c r="AF103">
        <v>14.384570338819593</v>
      </c>
      <c r="AG103">
        <v>24.623564763169551</v>
      </c>
      <c r="AH103">
        <v>6.3288881529685685</v>
      </c>
      <c r="AI103">
        <v>2.0566081551133317</v>
      </c>
      <c r="AK103">
        <v>55.401185777927843</v>
      </c>
    </row>
    <row r="104" spans="1:37" x14ac:dyDescent="0.2">
      <c r="A104">
        <v>103</v>
      </c>
      <c r="B104">
        <v>764</v>
      </c>
      <c r="C104">
        <v>155</v>
      </c>
      <c r="D104">
        <v>0.43509665911391998</v>
      </c>
      <c r="E104">
        <v>131.1374844246748</v>
      </c>
      <c r="F104">
        <v>55.17706215521104</v>
      </c>
      <c r="G104">
        <v>71.281664230422507</v>
      </c>
      <c r="H104">
        <v>66.693847453575515</v>
      </c>
      <c r="J104">
        <v>64.414011843548977</v>
      </c>
      <c r="L104">
        <v>5.3775153060585144</v>
      </c>
      <c r="M104">
        <v>14.715816390203166</v>
      </c>
      <c r="N104">
        <v>2.1232128805882842</v>
      </c>
      <c r="O104">
        <v>26.154679210158282</v>
      </c>
      <c r="P104">
        <v>9.542002707170143</v>
      </c>
      <c r="R104">
        <v>15.831532447739596</v>
      </c>
      <c r="S104">
        <v>47.445418672041626</v>
      </c>
      <c r="U104">
        <v>2.4570707811402852</v>
      </c>
      <c r="V104">
        <v>47.337727865814315</v>
      </c>
      <c r="W104">
        <v>26.357012649309237</v>
      </c>
      <c r="X104">
        <v>43.519124800138478</v>
      </c>
      <c r="Y104">
        <v>6.5028764214336956</v>
      </c>
      <c r="Z104">
        <v>27.918997075127784</v>
      </c>
      <c r="AA104">
        <v>4.570823749109695</v>
      </c>
      <c r="AB104">
        <v>36.649015096130853</v>
      </c>
      <c r="AD104">
        <v>6.017933338337623</v>
      </c>
      <c r="AE104">
        <v>12.270684296480734</v>
      </c>
      <c r="AF104">
        <v>14.327577902695115</v>
      </c>
      <c r="AG104">
        <v>22.296779787221741</v>
      </c>
      <c r="AH104">
        <v>3.2840532823207926</v>
      </c>
      <c r="AI104">
        <v>2.0582720862819426</v>
      </c>
      <c r="AK104">
        <v>53.478640011170981</v>
      </c>
    </row>
    <row r="105" spans="1:37" x14ac:dyDescent="0.2">
      <c r="A105">
        <v>104</v>
      </c>
      <c r="B105">
        <v>763</v>
      </c>
      <c r="C105">
        <v>155</v>
      </c>
      <c r="D105">
        <v>0.43448390677026</v>
      </c>
      <c r="E105">
        <v>130.31135343460986</v>
      </c>
      <c r="F105">
        <v>49.432805732187042</v>
      </c>
      <c r="G105">
        <v>70.422956657796476</v>
      </c>
      <c r="H105">
        <v>65.832606037097818</v>
      </c>
      <c r="J105">
        <v>61.839180788296275</v>
      </c>
      <c r="L105">
        <v>3.7644496308398119</v>
      </c>
      <c r="M105">
        <v>14.652031554411019</v>
      </c>
      <c r="N105">
        <v>2.1251582384775651</v>
      </c>
      <c r="O105">
        <v>20.228318132855158</v>
      </c>
      <c r="P105">
        <v>7.8479218439095355</v>
      </c>
      <c r="R105">
        <v>13.404236797953677</v>
      </c>
      <c r="S105">
        <v>43.605948167166595</v>
      </c>
      <c r="U105">
        <v>2.4660808198420527</v>
      </c>
      <c r="V105">
        <v>46.911780704856113</v>
      </c>
      <c r="W105">
        <v>26.187434337051755</v>
      </c>
      <c r="X105">
        <v>43.584142779069964</v>
      </c>
      <c r="Y105">
        <v>4.8113860585318085</v>
      </c>
      <c r="Z105">
        <v>24.018538584830537</v>
      </c>
      <c r="AA105">
        <v>2.9463401150579158</v>
      </c>
      <c r="AB105">
        <v>34.768031870298628</v>
      </c>
      <c r="AD105">
        <v>3.7461490589884949</v>
      </c>
      <c r="AE105">
        <v>10.607144112708752</v>
      </c>
      <c r="AF105">
        <v>14.262627693161317</v>
      </c>
      <c r="AG105">
        <v>20.400917144118161</v>
      </c>
      <c r="AH105">
        <v>0.69254704179339621</v>
      </c>
      <c r="AI105">
        <v>2.0599415175359721</v>
      </c>
      <c r="AK105">
        <v>51.859224843863508</v>
      </c>
    </row>
    <row r="106" spans="1:37" x14ac:dyDescent="0.2">
      <c r="A106">
        <v>105</v>
      </c>
      <c r="B106">
        <v>762</v>
      </c>
      <c r="C106">
        <v>155</v>
      </c>
      <c r="D106">
        <v>0.433869970535674</v>
      </c>
      <c r="E106">
        <v>130.63280159989503</v>
      </c>
      <c r="F106">
        <v>49.049345138380929</v>
      </c>
      <c r="G106">
        <v>70.615304893515031</v>
      </c>
      <c r="H106">
        <v>66.022433326608464</v>
      </c>
      <c r="J106">
        <v>53.480305968885659</v>
      </c>
      <c r="L106">
        <v>2.1808528003353422</v>
      </c>
      <c r="M106">
        <v>14.460938870769313</v>
      </c>
      <c r="N106">
        <v>2.1271641883088952</v>
      </c>
      <c r="O106">
        <v>11.384318052674963</v>
      </c>
      <c r="P106">
        <v>8.2560207651721935</v>
      </c>
      <c r="R106">
        <v>11.680357041720409</v>
      </c>
      <c r="S106">
        <v>38.401475362809897</v>
      </c>
      <c r="U106">
        <v>2.5074774712744183</v>
      </c>
      <c r="V106">
        <v>46.59187694457664</v>
      </c>
      <c r="W106">
        <v>25.867976239451146</v>
      </c>
      <c r="X106">
        <v>43.742347148742525</v>
      </c>
      <c r="Y106">
        <v>3.8457208262270197</v>
      </c>
      <c r="Z106">
        <v>21.217778004026986</v>
      </c>
      <c r="AA106">
        <v>1.0471396152243906</v>
      </c>
      <c r="AB106">
        <v>32.687686172970643</v>
      </c>
      <c r="AD106">
        <v>2.259310693804724</v>
      </c>
      <c r="AE106">
        <v>8.8559461657455056</v>
      </c>
      <c r="AF106">
        <v>14.070430514485521</v>
      </c>
      <c r="AG106">
        <v>18.305755101805374</v>
      </c>
      <c r="AI106">
        <v>2.0616707226926438</v>
      </c>
      <c r="AK106">
        <v>46.420958106876476</v>
      </c>
    </row>
    <row r="107" spans="1:37" x14ac:dyDescent="0.2">
      <c r="A107">
        <v>106</v>
      </c>
      <c r="B107">
        <v>761</v>
      </c>
      <c r="C107">
        <v>155</v>
      </c>
      <c r="D107">
        <v>0.43325484697577799</v>
      </c>
      <c r="E107">
        <v>130.91809466951938</v>
      </c>
      <c r="F107">
        <v>48.74990750111516</v>
      </c>
      <c r="G107">
        <v>70.747468418306042</v>
      </c>
      <c r="H107">
        <v>66.152088823393299</v>
      </c>
      <c r="J107">
        <v>46.792504118837478</v>
      </c>
      <c r="L107">
        <v>1.5186960768720454</v>
      </c>
      <c r="M107">
        <v>14.152602805794066</v>
      </c>
      <c r="N107">
        <v>2.1291694216350021</v>
      </c>
      <c r="O107">
        <v>7.8571108187803675</v>
      </c>
      <c r="P107">
        <v>8.5437571462577857</v>
      </c>
      <c r="R107">
        <v>10.842111393299549</v>
      </c>
      <c r="S107">
        <v>36.352724374523177</v>
      </c>
      <c r="U107">
        <v>2.5146931345690429</v>
      </c>
      <c r="V107">
        <v>46.748600075999434</v>
      </c>
      <c r="W107">
        <v>25.456087911221427</v>
      </c>
      <c r="X107">
        <v>43.802450121257905</v>
      </c>
      <c r="Y107">
        <v>3.3097461458693829</v>
      </c>
      <c r="Z107">
        <v>18.867959019496155</v>
      </c>
      <c r="AB107">
        <v>31.336185257133636</v>
      </c>
      <c r="AD107">
        <v>1.028679822193399</v>
      </c>
      <c r="AE107">
        <v>7.4416302290482079</v>
      </c>
      <c r="AF107">
        <v>13.760989530260849</v>
      </c>
      <c r="AG107">
        <v>16.939439610625438</v>
      </c>
      <c r="AI107">
        <v>2.0633983914686991</v>
      </c>
      <c r="AK107">
        <v>41.966048955599916</v>
      </c>
    </row>
    <row r="108" spans="1:37" x14ac:dyDescent="0.2">
      <c r="A108">
        <v>107</v>
      </c>
      <c r="B108">
        <v>760</v>
      </c>
      <c r="C108">
        <v>155</v>
      </c>
      <c r="D108">
        <v>0.43263853264288998</v>
      </c>
      <c r="E108">
        <v>131.19363405121621</v>
      </c>
      <c r="F108">
        <v>48.690146674059257</v>
      </c>
      <c r="G108">
        <v>70.839945161589966</v>
      </c>
      <c r="H108">
        <v>66.242070477469895</v>
      </c>
      <c r="J108">
        <v>41.636619001590006</v>
      </c>
      <c r="L108">
        <v>1.5409279601995622</v>
      </c>
      <c r="M108">
        <v>13.752973446359007</v>
      </c>
      <c r="N108">
        <v>2.1311727675433612</v>
      </c>
      <c r="O108">
        <v>7.6573091826153057</v>
      </c>
      <c r="P108">
        <v>8.7521256974512927</v>
      </c>
      <c r="R108">
        <v>10.609832647469663</v>
      </c>
      <c r="S108">
        <v>36.426030694379492</v>
      </c>
      <c r="U108">
        <v>2.5063309304659134</v>
      </c>
      <c r="V108">
        <v>47.210198448356678</v>
      </c>
      <c r="W108">
        <v>24.963819431307549</v>
      </c>
      <c r="X108">
        <v>43.817983895083422</v>
      </c>
      <c r="Y108">
        <v>3.1732416667771144</v>
      </c>
      <c r="Z108">
        <v>17.129752955394245</v>
      </c>
      <c r="AB108">
        <v>30.570308029040302</v>
      </c>
      <c r="AD108">
        <v>0.13465664888183571</v>
      </c>
      <c r="AE108">
        <v>6.4055558636911556</v>
      </c>
      <c r="AF108">
        <v>13.36025366198405</v>
      </c>
      <c r="AG108">
        <v>16.1587484117386</v>
      </c>
      <c r="AI108">
        <v>2.0651233511137654</v>
      </c>
      <c r="AK108">
        <v>38.463253897437042</v>
      </c>
    </row>
    <row r="109" spans="1:37" x14ac:dyDescent="0.2">
      <c r="A109">
        <v>108</v>
      </c>
      <c r="B109">
        <v>759</v>
      </c>
      <c r="C109">
        <v>155</v>
      </c>
      <c r="D109">
        <v>0.43202102407596099</v>
      </c>
      <c r="E109">
        <v>131.34746662703077</v>
      </c>
      <c r="F109">
        <v>49.289065833082347</v>
      </c>
      <c r="G109">
        <v>70.798495451515393</v>
      </c>
      <c r="H109">
        <v>66.198138637624538</v>
      </c>
      <c r="J109">
        <v>37.859878370252382</v>
      </c>
      <c r="L109">
        <v>1.5519120942887057</v>
      </c>
      <c r="M109">
        <v>13.314675292503631</v>
      </c>
      <c r="N109">
        <v>2.1331682110605819</v>
      </c>
      <c r="O109">
        <v>7.6540118587985697</v>
      </c>
      <c r="P109">
        <v>8.6926410824909208</v>
      </c>
      <c r="R109">
        <v>10.228644239245705</v>
      </c>
      <c r="S109">
        <v>36.734408819850657</v>
      </c>
      <c r="U109">
        <v>2.4908619637923906</v>
      </c>
      <c r="V109">
        <v>47.746260650389353</v>
      </c>
      <c r="W109">
        <v>24.437821988190578</v>
      </c>
      <c r="X109">
        <v>43.813346469923665</v>
      </c>
      <c r="Y109">
        <v>2.9489060438729475</v>
      </c>
      <c r="Z109">
        <v>17.600639731403408</v>
      </c>
      <c r="AB109">
        <v>31.198259017757678</v>
      </c>
      <c r="AE109">
        <v>6.6733634961545576</v>
      </c>
      <c r="AF109">
        <v>12.920841400269817</v>
      </c>
      <c r="AG109">
        <v>16.771880025078598</v>
      </c>
      <c r="AI109">
        <v>2.0668395848174175</v>
      </c>
      <c r="AK109">
        <v>35.849872128211118</v>
      </c>
    </row>
    <row r="110" spans="1:37" x14ac:dyDescent="0.2">
      <c r="A110">
        <v>109</v>
      </c>
      <c r="B110">
        <v>785</v>
      </c>
      <c r="C110">
        <v>135</v>
      </c>
      <c r="D110">
        <v>0.46848792704248099</v>
      </c>
      <c r="E110">
        <v>122.91689148592684</v>
      </c>
      <c r="F110">
        <v>72.075136811918071</v>
      </c>
      <c r="G110">
        <v>74.137319417255668</v>
      </c>
      <c r="H110">
        <v>69.604991467203689</v>
      </c>
      <c r="J110">
        <v>69.590501201636712</v>
      </c>
      <c r="L110">
        <v>10.028483228509439</v>
      </c>
      <c r="M110">
        <v>14.946280996729264</v>
      </c>
      <c r="N110">
        <v>2.1960249667023799</v>
      </c>
      <c r="O110">
        <v>46.167733276721407</v>
      </c>
      <c r="P110">
        <v>14.765931165466217</v>
      </c>
      <c r="Q110">
        <v>2.422743185947351E-2</v>
      </c>
      <c r="R110">
        <v>23.2748629470079</v>
      </c>
      <c r="S110">
        <v>58.490266655239139</v>
      </c>
      <c r="U110">
        <v>3.1492745156874493</v>
      </c>
      <c r="V110">
        <v>47.887105922918728</v>
      </c>
      <c r="W110">
        <v>30.261972109399782</v>
      </c>
      <c r="X110">
        <v>42.853711208457717</v>
      </c>
      <c r="Y110">
        <v>11.420196307037719</v>
      </c>
      <c r="Z110">
        <v>38.551030717250605</v>
      </c>
      <c r="AA110">
        <v>9.3587307615216488</v>
      </c>
      <c r="AB110">
        <v>41.226836722325601</v>
      </c>
      <c r="AC110">
        <v>0.18755267764888955</v>
      </c>
      <c r="AD110">
        <v>12.05319965399843</v>
      </c>
      <c r="AE110">
        <v>16.978769521460404</v>
      </c>
      <c r="AF110">
        <v>14.758017759390158</v>
      </c>
      <c r="AG110">
        <v>27.386911386037966</v>
      </c>
      <c r="AH110">
        <v>10.244796917507495</v>
      </c>
      <c r="AI110">
        <v>2.1343259819096909</v>
      </c>
      <c r="AK110">
        <v>56.230668465786671</v>
      </c>
    </row>
    <row r="111" spans="1:37" x14ac:dyDescent="0.2">
      <c r="A111">
        <v>110</v>
      </c>
      <c r="B111">
        <v>784</v>
      </c>
      <c r="C111">
        <v>135</v>
      </c>
      <c r="D111">
        <v>0.467918932980182</v>
      </c>
      <c r="E111">
        <v>122.8130118926041</v>
      </c>
      <c r="F111">
        <v>71.695490127170643</v>
      </c>
      <c r="G111">
        <v>74.070729273198836</v>
      </c>
      <c r="H111">
        <v>69.535593122970056</v>
      </c>
      <c r="J111">
        <v>69.533002888733904</v>
      </c>
      <c r="L111">
        <v>9.9289494565258707</v>
      </c>
      <c r="M111">
        <v>14.934230369812221</v>
      </c>
      <c r="N111">
        <v>2.184253692426529</v>
      </c>
      <c r="O111">
        <v>45.685981254669528</v>
      </c>
      <c r="P111">
        <v>14.642206903417971</v>
      </c>
      <c r="R111">
        <v>23.105968684022088</v>
      </c>
      <c r="S111">
        <v>58.266213957368336</v>
      </c>
      <c r="U111">
        <v>3.1157037991564875</v>
      </c>
      <c r="V111">
        <v>47.874848504064268</v>
      </c>
      <c r="W111">
        <v>30.12581722790997</v>
      </c>
      <c r="X111">
        <v>42.806866663972386</v>
      </c>
      <c r="Y111">
        <v>11.313756482028319</v>
      </c>
      <c r="Z111">
        <v>38.341799928100954</v>
      </c>
      <c r="AA111">
        <v>9.2542427055674921</v>
      </c>
      <c r="AB111">
        <v>41.160984984921825</v>
      </c>
      <c r="AC111">
        <v>0.17379134220459647</v>
      </c>
      <c r="AD111">
        <v>11.941054959075997</v>
      </c>
      <c r="AE111">
        <v>16.886620217768591</v>
      </c>
      <c r="AF111">
        <v>14.731077417595992</v>
      </c>
      <c r="AG111">
        <v>27.292439126818234</v>
      </c>
      <c r="AH111">
        <v>10.10446690114548</v>
      </c>
      <c r="AI111">
        <v>2.1222964385402587</v>
      </c>
      <c r="AK111">
        <v>56.209616520508256</v>
      </c>
    </row>
    <row r="112" spans="1:37" x14ac:dyDescent="0.2">
      <c r="A112">
        <v>111</v>
      </c>
      <c r="B112">
        <v>783</v>
      </c>
      <c r="C112">
        <v>135</v>
      </c>
      <c r="D112">
        <v>0.46734886143066801</v>
      </c>
      <c r="E112">
        <v>122.70652832697277</v>
      </c>
      <c r="F112">
        <v>71.252867057662414</v>
      </c>
      <c r="G112">
        <v>73.992136608074631</v>
      </c>
      <c r="H112">
        <v>69.454204734476505</v>
      </c>
      <c r="J112">
        <v>69.482705647128256</v>
      </c>
      <c r="L112">
        <v>9.8058294000637485</v>
      </c>
      <c r="M112">
        <v>14.953862096373101</v>
      </c>
      <c r="N112">
        <v>2.1672993526185538</v>
      </c>
      <c r="O112">
        <v>45.099674707722599</v>
      </c>
      <c r="P112">
        <v>14.489301652671461</v>
      </c>
      <c r="R112">
        <v>22.943377394468214</v>
      </c>
      <c r="S112">
        <v>58.154821321366441</v>
      </c>
      <c r="U112">
        <v>3.1070611433589175</v>
      </c>
      <c r="V112">
        <v>47.917772502452912</v>
      </c>
      <c r="W112">
        <v>30.0192575434051</v>
      </c>
      <c r="X112">
        <v>42.842167500100636</v>
      </c>
      <c r="Y112">
        <v>11.180520094281571</v>
      </c>
      <c r="Z112">
        <v>38.097555137440203</v>
      </c>
      <c r="AA112">
        <v>9.1243222736448217</v>
      </c>
      <c r="AB112">
        <v>41.14087086949062</v>
      </c>
      <c r="AC112">
        <v>0.15484709622330523</v>
      </c>
      <c r="AD112">
        <v>11.808832823573955</v>
      </c>
      <c r="AE112">
        <v>16.783070107625914</v>
      </c>
      <c r="AF112">
        <v>14.730636542191942</v>
      </c>
      <c r="AG112">
        <v>27.238523786660775</v>
      </c>
      <c r="AH112">
        <v>9.9327617358435667</v>
      </c>
      <c r="AI112">
        <v>2.1050830500603559</v>
      </c>
      <c r="AK112">
        <v>56.174281313782622</v>
      </c>
    </row>
    <row r="113" spans="1:37" x14ac:dyDescent="0.2">
      <c r="A113">
        <v>112</v>
      </c>
      <c r="B113">
        <v>782</v>
      </c>
      <c r="C113">
        <v>135</v>
      </c>
      <c r="D113">
        <v>0.466777709330429</v>
      </c>
      <c r="E113">
        <v>122.60054198376511</v>
      </c>
      <c r="F113">
        <v>70.811233108691596</v>
      </c>
      <c r="G113">
        <v>73.913554700441765</v>
      </c>
      <c r="H113">
        <v>69.372839600029508</v>
      </c>
      <c r="J113">
        <v>69.431223888020853</v>
      </c>
      <c r="L113">
        <v>9.6822577563984549</v>
      </c>
      <c r="M113">
        <v>14.97372328589169</v>
      </c>
      <c r="N113">
        <v>2.1502911177341906</v>
      </c>
      <c r="O113">
        <v>44.513289249488992</v>
      </c>
      <c r="P113">
        <v>14.336371161847316</v>
      </c>
      <c r="R113">
        <v>22.779455585128893</v>
      </c>
      <c r="S113">
        <v>58.038790832947782</v>
      </c>
      <c r="U113">
        <v>3.098934570338066</v>
      </c>
      <c r="V113">
        <v>47.958950934771813</v>
      </c>
      <c r="W113">
        <v>29.913572101693298</v>
      </c>
      <c r="X113">
        <v>42.879236144333866</v>
      </c>
      <c r="Y113">
        <v>11.047208481758128</v>
      </c>
      <c r="Z113">
        <v>37.853417379964291</v>
      </c>
      <c r="AA113">
        <v>8.9943148188011115</v>
      </c>
      <c r="AB113">
        <v>41.118149667625147</v>
      </c>
      <c r="AC113">
        <v>0.13584910972535977</v>
      </c>
      <c r="AD113">
        <v>11.676451749303192</v>
      </c>
      <c r="AE113">
        <v>16.679584101779735</v>
      </c>
      <c r="AF113">
        <v>14.730371418383186</v>
      </c>
      <c r="AG113">
        <v>27.181949833049465</v>
      </c>
      <c r="AH113">
        <v>9.7608605608112349</v>
      </c>
      <c r="AI113">
        <v>2.0878149851002115</v>
      </c>
      <c r="AK113">
        <v>56.139008879651378</v>
      </c>
    </row>
    <row r="114" spans="1:37" x14ac:dyDescent="0.2">
      <c r="A114">
        <v>113</v>
      </c>
      <c r="B114">
        <v>781</v>
      </c>
      <c r="C114">
        <v>135</v>
      </c>
      <c r="D114">
        <v>0.46620547360432502</v>
      </c>
      <c r="E114">
        <v>122.49505703932667</v>
      </c>
      <c r="F114">
        <v>70.370627644151398</v>
      </c>
      <c r="G114">
        <v>73.83499565522105</v>
      </c>
      <c r="H114">
        <v>69.291509844338165</v>
      </c>
      <c r="J114">
        <v>69.378548071172418</v>
      </c>
      <c r="L114">
        <v>9.5582645920060649</v>
      </c>
      <c r="M114">
        <v>14.993796705676116</v>
      </c>
      <c r="N114">
        <v>2.1332301857965326</v>
      </c>
      <c r="O114">
        <v>43.926895854035479</v>
      </c>
      <c r="P114">
        <v>14.183440859921697</v>
      </c>
      <c r="R114">
        <v>22.614247127558016</v>
      </c>
      <c r="S114">
        <v>57.918061015123577</v>
      </c>
      <c r="U114">
        <v>3.0913078696719847</v>
      </c>
      <c r="V114">
        <v>47.998368235984906</v>
      </c>
      <c r="W114">
        <v>29.808760239305549</v>
      </c>
      <c r="X114">
        <v>42.918024049583806</v>
      </c>
      <c r="Y114">
        <v>10.913844610309834</v>
      </c>
      <c r="Z114">
        <v>37.60939156337998</v>
      </c>
      <c r="AA114">
        <v>8.8640860994070323</v>
      </c>
      <c r="AB114">
        <v>41.092779599621721</v>
      </c>
      <c r="AC114">
        <v>0.1167985802977603</v>
      </c>
      <c r="AD114">
        <v>11.543920844302418</v>
      </c>
      <c r="AE114">
        <v>16.576154472037334</v>
      </c>
      <c r="AF114">
        <v>14.73026601677735</v>
      </c>
      <c r="AG114">
        <v>27.122676689752868</v>
      </c>
      <c r="AH114">
        <v>9.5887968969432276</v>
      </c>
      <c r="AI114">
        <v>2.070493439856826</v>
      </c>
      <c r="AK114">
        <v>56.103804266737839</v>
      </c>
    </row>
    <row r="115" spans="1:37" x14ac:dyDescent="0.2">
      <c r="A115">
        <v>114</v>
      </c>
      <c r="B115">
        <v>780</v>
      </c>
      <c r="C115">
        <v>135</v>
      </c>
      <c r="D115">
        <v>0.46563215116555001</v>
      </c>
      <c r="E115">
        <v>122.39007731324146</v>
      </c>
      <c r="F115">
        <v>69.931088818204998</v>
      </c>
      <c r="G115">
        <v>73.756471531830499</v>
      </c>
      <c r="H115">
        <v>69.210227546641832</v>
      </c>
      <c r="J115">
        <v>69.324671034407473</v>
      </c>
      <c r="L115">
        <v>9.4338798314115149</v>
      </c>
      <c r="M115">
        <v>15.014064738225764</v>
      </c>
      <c r="N115">
        <v>2.1161177580242709</v>
      </c>
      <c r="O115">
        <v>43.34056516299168</v>
      </c>
      <c r="P115">
        <v>14.030536088109917</v>
      </c>
      <c r="R115">
        <v>22.447796265514768</v>
      </c>
      <c r="S115">
        <v>57.792580237658342</v>
      </c>
      <c r="U115">
        <v>3.0841643214785157</v>
      </c>
      <c r="V115">
        <v>48.036011929019494</v>
      </c>
      <c r="W115">
        <v>29.704820778085086</v>
      </c>
      <c r="X115">
        <v>42.958481153660109</v>
      </c>
      <c r="Y115">
        <v>10.780451395077419</v>
      </c>
      <c r="Z115">
        <v>37.365481895783702</v>
      </c>
      <c r="AA115">
        <v>8.7337360620019826</v>
      </c>
      <c r="AB115">
        <v>41.064723949650372</v>
      </c>
      <c r="AC115">
        <v>9.7696708721943457E-2</v>
      </c>
      <c r="AD115">
        <v>11.411248846792835</v>
      </c>
      <c r="AE115">
        <v>16.472773124005993</v>
      </c>
      <c r="AF115">
        <v>14.730303926385449</v>
      </c>
      <c r="AG115">
        <v>27.060668847623077</v>
      </c>
      <c r="AH115">
        <v>9.4166041498093751</v>
      </c>
      <c r="AI115">
        <v>2.0531196137214045</v>
      </c>
      <c r="AK115">
        <v>56.068672298825412</v>
      </c>
    </row>
    <row r="116" spans="1:37" x14ac:dyDescent="0.2">
      <c r="A116">
        <v>115</v>
      </c>
      <c r="B116">
        <v>779</v>
      </c>
      <c r="C116">
        <v>135</v>
      </c>
      <c r="D116">
        <v>0.46505773891555402</v>
      </c>
      <c r="E116">
        <v>122.28560627454674</v>
      </c>
      <c r="F116">
        <v>69.492653451424729</v>
      </c>
      <c r="G116">
        <v>73.67799430774852</v>
      </c>
      <c r="H116">
        <v>69.129004704282636</v>
      </c>
      <c r="J116">
        <v>69.26958786311593</v>
      </c>
      <c r="L116">
        <v>9.3091331372860875</v>
      </c>
      <c r="M116">
        <v>15.034509428310313</v>
      </c>
      <c r="N116">
        <v>2.0989550275796933</v>
      </c>
      <c r="O116">
        <v>42.754367227552336</v>
      </c>
      <c r="P116">
        <v>13.877682015756594</v>
      </c>
      <c r="R116">
        <v>22.280147388030386</v>
      </c>
      <c r="S116">
        <v>57.662306393003611</v>
      </c>
      <c r="U116">
        <v>3.0774867625408269</v>
      </c>
      <c r="V116">
        <v>48.07187247967083</v>
      </c>
      <c r="W116">
        <v>29.601752087684922</v>
      </c>
      <c r="X116">
        <v>43.000556081070101</v>
      </c>
      <c r="Y116">
        <v>10.647051624721096</v>
      </c>
      <c r="Z116">
        <v>37.12169182567991</v>
      </c>
      <c r="AA116">
        <v>8.603284705367944</v>
      </c>
      <c r="AB116">
        <v>41.033950915770667</v>
      </c>
      <c r="AC116">
        <v>7.8544687723754864E-2</v>
      </c>
      <c r="AD116">
        <v>11.278444078052377</v>
      </c>
      <c r="AE116">
        <v>16.36943159264559</v>
      </c>
      <c r="AF116">
        <v>14.730468390441244</v>
      </c>
      <c r="AG116">
        <v>26.995895703368152</v>
      </c>
      <c r="AH116">
        <v>9.2443155114229167</v>
      </c>
      <c r="AI116">
        <v>2.0356946980287458</v>
      </c>
      <c r="AK116">
        <v>56.033617536211459</v>
      </c>
    </row>
    <row r="117" spans="1:37" x14ac:dyDescent="0.2">
      <c r="A117">
        <v>116</v>
      </c>
      <c r="B117">
        <v>778</v>
      </c>
      <c r="C117">
        <v>135</v>
      </c>
      <c r="D117">
        <v>0.464482233743996</v>
      </c>
      <c r="E117">
        <v>122.18164705013626</v>
      </c>
      <c r="F117">
        <v>69.055356927693992</v>
      </c>
      <c r="G117">
        <v>73.599575846105594</v>
      </c>
      <c r="H117">
        <v>69.047853200288742</v>
      </c>
      <c r="J117">
        <v>69.213295754145847</v>
      </c>
      <c r="L117">
        <v>9.1840538155135292</v>
      </c>
      <c r="M117">
        <v>15.055112526154485</v>
      </c>
      <c r="N117">
        <v>2.081743169384318</v>
      </c>
      <c r="O117">
        <v>42.168371278855432</v>
      </c>
      <c r="P117">
        <v>13.724903565321116</v>
      </c>
      <c r="R117">
        <v>22.111344817164422</v>
      </c>
      <c r="S117">
        <v>57.527206526856546</v>
      </c>
      <c r="U117">
        <v>3.0712576481206275</v>
      </c>
      <c r="V117">
        <v>48.105943140122058</v>
      </c>
      <c r="W117">
        <v>29.499552146064577</v>
      </c>
      <c r="X117">
        <v>43.044196335331293</v>
      </c>
      <c r="Y117">
        <v>10.513667893795295</v>
      </c>
      <c r="Z117">
        <v>36.878023990914443</v>
      </c>
      <c r="AA117">
        <v>8.4728264577242154</v>
      </c>
      <c r="AB117">
        <v>41.000433435486229</v>
      </c>
      <c r="AC117">
        <v>5.9343691787806921E-2</v>
      </c>
      <c r="AD117">
        <v>11.145514400913646</v>
      </c>
      <c r="AE117">
        <v>16.266121039933292</v>
      </c>
      <c r="AF117">
        <v>14.730742339406369</v>
      </c>
      <c r="AG117">
        <v>26.928331374912784</v>
      </c>
      <c r="AH117">
        <v>9.0719638771551487</v>
      </c>
      <c r="AI117">
        <v>2.0182198658720671</v>
      </c>
      <c r="AK117">
        <v>55.998644242462774</v>
      </c>
    </row>
    <row r="118" spans="1:37" x14ac:dyDescent="0.2">
      <c r="A118">
        <v>117</v>
      </c>
      <c r="B118">
        <v>777</v>
      </c>
      <c r="C118">
        <v>135</v>
      </c>
      <c r="D118">
        <v>0.46390563252868899</v>
      </c>
      <c r="E118">
        <v>122.07820243387498</v>
      </c>
      <c r="F118">
        <v>68.619233107718813</v>
      </c>
      <c r="G118">
        <v>73.521227866891095</v>
      </c>
      <c r="H118">
        <v>68.966784774586827</v>
      </c>
      <c r="J118">
        <v>69.155793876740987</v>
      </c>
      <c r="L118">
        <v>9.0586707375967013</v>
      </c>
      <c r="M118">
        <v>15.075855526825984</v>
      </c>
      <c r="N118">
        <v>2.0644833308475814</v>
      </c>
      <c r="O118">
        <v>41.58264552476497</v>
      </c>
      <c r="P118">
        <v>13.572225345531724</v>
      </c>
      <c r="R118">
        <v>21.941432611240927</v>
      </c>
      <c r="S118">
        <v>57.387256436301982</v>
      </c>
      <c r="U118">
        <v>3.065459109413843</v>
      </c>
      <c r="V118">
        <v>48.138219785094506</v>
      </c>
      <c r="W118">
        <v>29.398218597949242</v>
      </c>
      <c r="X118">
        <v>43.089348470239877</v>
      </c>
      <c r="Y118">
        <v>10.380322542412923</v>
      </c>
      <c r="Z118">
        <v>36.634480176631214</v>
      </c>
      <c r="AA118">
        <v>8.3422271250052145</v>
      </c>
      <c r="AB118">
        <v>40.964148994451456</v>
      </c>
      <c r="AC118">
        <v>4.0094867885464146E-2</v>
      </c>
      <c r="AD118">
        <v>11.012467183824841</v>
      </c>
      <c r="AE118">
        <v>16.162832255076733</v>
      </c>
      <c r="AF118">
        <v>14.731108421084212</v>
      </c>
      <c r="AG118">
        <v>26.85795450083798</v>
      </c>
      <c r="AH118">
        <v>8.8995817462417772</v>
      </c>
      <c r="AI118">
        <v>2.0006962628320344</v>
      </c>
      <c r="AK118">
        <v>55.963756355483156</v>
      </c>
    </row>
    <row r="119" spans="1:37" x14ac:dyDescent="0.2">
      <c r="A119">
        <v>118</v>
      </c>
      <c r="B119">
        <v>776</v>
      </c>
      <c r="C119">
        <v>135</v>
      </c>
      <c r="D119">
        <v>0.46332793213554102</v>
      </c>
      <c r="E119">
        <v>121.9752748963364</v>
      </c>
      <c r="F119">
        <v>68.184314265149354</v>
      </c>
      <c r="G119">
        <v>73.442961922822434</v>
      </c>
      <c r="H119">
        <v>68.885810999870216</v>
      </c>
      <c r="J119">
        <v>69.097083235696843</v>
      </c>
      <c r="L119">
        <v>8.9330122793490077</v>
      </c>
      <c r="M119">
        <v>15.096719703477911</v>
      </c>
      <c r="N119">
        <v>2.0471766242488481</v>
      </c>
      <c r="O119">
        <v>40.997256983006835</v>
      </c>
      <c r="P119">
        <v>13.419671595500809</v>
      </c>
      <c r="R119">
        <v>21.770454386473709</v>
      </c>
      <c r="S119">
        <v>57.242440243590302</v>
      </c>
      <c r="U119">
        <v>3.060073003884872</v>
      </c>
      <c r="V119">
        <v>48.168700742185671</v>
      </c>
      <c r="W119">
        <v>29.29774880674562</v>
      </c>
      <c r="X119">
        <v>43.135958266609926</v>
      </c>
      <c r="Y119">
        <v>10.247037605767034</v>
      </c>
      <c r="Z119">
        <v>36.391061286112937</v>
      </c>
      <c r="AA119">
        <v>8.2115857882292467</v>
      </c>
      <c r="AB119">
        <v>40.925079423606924</v>
      </c>
      <c r="AC119">
        <v>2.0799327859302021E-2</v>
      </c>
      <c r="AD119">
        <v>10.879309272696176</v>
      </c>
      <c r="AE119">
        <v>16.059555658797734</v>
      </c>
      <c r="AF119">
        <v>14.731549026248018</v>
      </c>
      <c r="AG119">
        <v>26.784748029898182</v>
      </c>
      <c r="AH119">
        <v>8.7272011825194244</v>
      </c>
      <c r="AI119">
        <v>1.9831249993585478</v>
      </c>
      <c r="AK119">
        <v>55.928957465311584</v>
      </c>
    </row>
    <row r="120" spans="1:37" x14ac:dyDescent="0.2">
      <c r="A120">
        <v>119</v>
      </c>
      <c r="B120">
        <v>775</v>
      </c>
      <c r="C120">
        <v>135</v>
      </c>
      <c r="D120">
        <v>0.46274912941850099</v>
      </c>
      <c r="E120">
        <v>121.8728665949436</v>
      </c>
      <c r="F120">
        <v>67.750631040387958</v>
      </c>
      <c r="G120">
        <v>73.364789378880445</v>
      </c>
      <c r="H120">
        <v>68.804943261131569</v>
      </c>
      <c r="J120">
        <v>69.037166540214017</v>
      </c>
      <c r="L120">
        <v>8.8071062718069726</v>
      </c>
      <c r="M120">
        <v>15.117686137267492</v>
      </c>
      <c r="N120">
        <v>2.0298241204273557</v>
      </c>
      <c r="O120">
        <v>40.41227134223017</v>
      </c>
      <c r="P120">
        <v>13.267266137481942</v>
      </c>
      <c r="R120">
        <v>21.598453158711877</v>
      </c>
      <c r="S120">
        <v>57.092749965090952</v>
      </c>
      <c r="U120">
        <v>3.055080960417361</v>
      </c>
      <c r="V120">
        <v>48.197386624349846</v>
      </c>
      <c r="W120">
        <v>29.198139901817594</v>
      </c>
      <c r="X120">
        <v>43.183970828681737</v>
      </c>
      <c r="Y120">
        <v>10.113834771381045</v>
      </c>
      <c r="Z120">
        <v>36.147767321773735</v>
      </c>
      <c r="AA120">
        <v>8.0809216371270445</v>
      </c>
      <c r="AB120">
        <v>40.883210693562468</v>
      </c>
      <c r="AC120">
        <v>1.4581421095548617E-3</v>
      </c>
      <c r="AD120">
        <v>10.746046969050672</v>
      </c>
      <c r="AE120">
        <v>15.956281310850056</v>
      </c>
      <c r="AF120">
        <v>14.732046312244114</v>
      </c>
      <c r="AG120">
        <v>26.708699009096051</v>
      </c>
      <c r="AH120">
        <v>8.5548537566205916</v>
      </c>
      <c r="AI120">
        <v>1.9655071444605614</v>
      </c>
      <c r="AK120">
        <v>55.894250797826871</v>
      </c>
    </row>
    <row r="121" spans="1:37" x14ac:dyDescent="0.2">
      <c r="A121">
        <v>120</v>
      </c>
      <c r="B121">
        <v>774</v>
      </c>
      <c r="C121">
        <v>135</v>
      </c>
      <c r="D121">
        <v>0.46216922121950399</v>
      </c>
      <c r="E121">
        <v>121.657521944157</v>
      </c>
      <c r="F121">
        <v>66.682905857120119</v>
      </c>
      <c r="G121">
        <v>73.180112419389474</v>
      </c>
      <c r="H121">
        <v>68.617583762747529</v>
      </c>
      <c r="J121">
        <v>68.765680658073151</v>
      </c>
      <c r="L121">
        <v>8.5108582015088796</v>
      </c>
      <c r="M121">
        <v>15.141737881706431</v>
      </c>
      <c r="N121">
        <v>2.0301341353122697</v>
      </c>
      <c r="O121">
        <v>39.207242714154731</v>
      </c>
      <c r="P121">
        <v>12.919521677569083</v>
      </c>
      <c r="R121">
        <v>21.198154122977183</v>
      </c>
      <c r="S121">
        <v>56.632601161813177</v>
      </c>
      <c r="U121">
        <v>3.0439412348030119</v>
      </c>
      <c r="V121">
        <v>48.20649126806552</v>
      </c>
      <c r="W121">
        <v>28.988414083754638</v>
      </c>
      <c r="X121">
        <v>43.197754569010144</v>
      </c>
      <c r="Y121">
        <v>9.7823017319158936</v>
      </c>
      <c r="Z121">
        <v>35.557151154842373</v>
      </c>
      <c r="AA121">
        <v>7.7760873349861503</v>
      </c>
      <c r="AB121">
        <v>40.744701037010245</v>
      </c>
      <c r="AD121">
        <v>10.397498668396988</v>
      </c>
      <c r="AE121">
        <v>15.729019591894815</v>
      </c>
      <c r="AF121">
        <v>14.753291653877559</v>
      </c>
      <c r="AG121">
        <v>26.553673992620812</v>
      </c>
      <c r="AH121">
        <v>8.074830260077011</v>
      </c>
      <c r="AI121">
        <v>1.9655510122366102</v>
      </c>
      <c r="AK121">
        <v>55.709347622086376</v>
      </c>
    </row>
    <row r="122" spans="1:37" x14ac:dyDescent="0.2">
      <c r="A122">
        <v>121</v>
      </c>
      <c r="B122">
        <v>773</v>
      </c>
      <c r="C122">
        <v>135</v>
      </c>
      <c r="D122">
        <v>0.46158820436839998</v>
      </c>
      <c r="E122">
        <v>121.42124312894398</v>
      </c>
      <c r="F122">
        <v>65.467166503006766</v>
      </c>
      <c r="G122">
        <v>72.970535844127468</v>
      </c>
      <c r="H122">
        <v>68.405337324585588</v>
      </c>
      <c r="J122">
        <v>68.420578239387652</v>
      </c>
      <c r="L122">
        <v>8.1692811157392065</v>
      </c>
      <c r="M122">
        <v>15.169031034870407</v>
      </c>
      <c r="N122">
        <v>2.0321135598062341</v>
      </c>
      <c r="O122">
        <v>37.843893485403292</v>
      </c>
      <c r="P122">
        <v>12.523654727792218</v>
      </c>
      <c r="R122">
        <v>20.729589174654755</v>
      </c>
      <c r="S122">
        <v>56.036482720406134</v>
      </c>
      <c r="U122">
        <v>3.0381356308563356</v>
      </c>
      <c r="V122">
        <v>48.191416924991408</v>
      </c>
      <c r="W122">
        <v>28.771253257685451</v>
      </c>
      <c r="X122">
        <v>43.225860661283726</v>
      </c>
      <c r="Y122">
        <v>9.4024876311766885</v>
      </c>
      <c r="Z122">
        <v>34.876058778633883</v>
      </c>
      <c r="AA122">
        <v>7.4264382103255047</v>
      </c>
      <c r="AB122">
        <v>40.544890438252892</v>
      </c>
      <c r="AD122">
        <v>9.9937943002926239</v>
      </c>
      <c r="AE122">
        <v>15.466965709145649</v>
      </c>
      <c r="AF122">
        <v>14.77944804550029</v>
      </c>
      <c r="AG122">
        <v>26.339019861267445</v>
      </c>
      <c r="AH122">
        <v>7.5212417772778615</v>
      </c>
      <c r="AI122">
        <v>1.9672634917583585</v>
      </c>
      <c r="AK122">
        <v>55.48416620655459</v>
      </c>
    </row>
    <row r="123" spans="1:37" x14ac:dyDescent="0.2">
      <c r="A123">
        <v>122</v>
      </c>
      <c r="B123">
        <v>772</v>
      </c>
      <c r="C123">
        <v>135</v>
      </c>
      <c r="D123">
        <v>0.46100607568291702</v>
      </c>
      <c r="E123">
        <v>121.16343448538558</v>
      </c>
      <c r="F123">
        <v>64.072289149228652</v>
      </c>
      <c r="G123">
        <v>72.731994209255518</v>
      </c>
      <c r="H123">
        <v>68.164138522934124</v>
      </c>
      <c r="J123">
        <v>67.96940051847956</v>
      </c>
      <c r="L123">
        <v>7.7709872695871018</v>
      </c>
      <c r="M123">
        <v>15.199475130840305</v>
      </c>
      <c r="N123">
        <v>2.0340908951618224</v>
      </c>
      <c r="O123">
        <v>36.283752117620622</v>
      </c>
      <c r="P123">
        <v>12.069862923358206</v>
      </c>
      <c r="R123">
        <v>20.170518999784836</v>
      </c>
      <c r="S123">
        <v>55.236636922545557</v>
      </c>
      <c r="U123">
        <v>3.0411747785170706</v>
      </c>
      <c r="V123">
        <v>48.135132779561054</v>
      </c>
      <c r="W123">
        <v>28.55782768867822</v>
      </c>
      <c r="X123">
        <v>43.280046969424028</v>
      </c>
      <c r="Y123">
        <v>8.9648377589415755</v>
      </c>
      <c r="Z123">
        <v>34.075780983236172</v>
      </c>
      <c r="AA123">
        <v>7.0212648932686568</v>
      </c>
      <c r="AB123">
        <v>40.244509409777422</v>
      </c>
      <c r="AD123">
        <v>9.5193854323303668</v>
      </c>
      <c r="AE123">
        <v>15.155726461161395</v>
      </c>
      <c r="AF123">
        <v>14.808753527835909</v>
      </c>
      <c r="AG123">
        <v>26.023795634376384</v>
      </c>
      <c r="AH123">
        <v>6.8805418308105768</v>
      </c>
      <c r="AI123">
        <v>1.9689730824465845</v>
      </c>
      <c r="AK123">
        <v>55.205359556275496</v>
      </c>
    </row>
    <row r="124" spans="1:37" x14ac:dyDescent="0.2">
      <c r="A124">
        <v>123</v>
      </c>
      <c r="B124">
        <v>771</v>
      </c>
      <c r="C124">
        <v>135</v>
      </c>
      <c r="D124">
        <v>0.46042283196858502</v>
      </c>
      <c r="E124">
        <v>120.50662853944573</v>
      </c>
      <c r="F124">
        <v>59.6356072613438</v>
      </c>
      <c r="G124">
        <v>72.051549880364078</v>
      </c>
      <c r="H124">
        <v>67.481049743550926</v>
      </c>
      <c r="J124">
        <v>65.979842661966629</v>
      </c>
      <c r="L124">
        <v>6.5137099623320323</v>
      </c>
      <c r="M124">
        <v>15.185349147986255</v>
      </c>
      <c r="N124">
        <v>2.0360479316779809</v>
      </c>
      <c r="O124">
        <v>31.632836096819343</v>
      </c>
      <c r="P124">
        <v>10.73225280743946</v>
      </c>
      <c r="R124">
        <v>18.276063338214481</v>
      </c>
      <c r="S124">
        <v>52.034094207899678</v>
      </c>
      <c r="U124">
        <v>3.0651696334795386</v>
      </c>
      <c r="V124">
        <v>47.730590553219258</v>
      </c>
      <c r="W124">
        <v>28.36621071824262</v>
      </c>
      <c r="X124">
        <v>43.391327213475002</v>
      </c>
      <c r="Y124">
        <v>7.6368990480994015</v>
      </c>
      <c r="Z124">
        <v>31.183438511438041</v>
      </c>
      <c r="AA124">
        <v>5.7549253388315851</v>
      </c>
      <c r="AB124">
        <v>38.720360624441241</v>
      </c>
      <c r="AD124">
        <v>7.8427680263244204</v>
      </c>
      <c r="AE124">
        <v>13.926419554636466</v>
      </c>
      <c r="AF124">
        <v>14.793468874950626</v>
      </c>
      <c r="AG124">
        <v>24.484785780727901</v>
      </c>
      <c r="AH124">
        <v>4.8883946754953751</v>
      </c>
      <c r="AI124">
        <v>1.9706615727676244</v>
      </c>
      <c r="AK124">
        <v>54.002835586464123</v>
      </c>
    </row>
    <row r="125" spans="1:37" x14ac:dyDescent="0.2">
      <c r="A125">
        <v>124</v>
      </c>
      <c r="B125">
        <v>770</v>
      </c>
      <c r="C125">
        <v>135</v>
      </c>
      <c r="D125">
        <v>0.45983847001869499</v>
      </c>
      <c r="E125">
        <v>119.6691988946925</v>
      </c>
      <c r="F125">
        <v>53.796271810470323</v>
      </c>
      <c r="G125">
        <v>71.173774536494875</v>
      </c>
      <c r="H125">
        <v>66.600642685681834</v>
      </c>
      <c r="J125">
        <v>63.307070617221498</v>
      </c>
      <c r="L125">
        <v>4.8658874651783659</v>
      </c>
      <c r="M125">
        <v>15.129224049841618</v>
      </c>
      <c r="N125">
        <v>2.0379949797261157</v>
      </c>
      <c r="O125">
        <v>25.584122701133325</v>
      </c>
      <c r="P125">
        <v>8.9999780702385852</v>
      </c>
      <c r="R125">
        <v>15.779118040469969</v>
      </c>
      <c r="S125">
        <v>47.899642432805216</v>
      </c>
      <c r="U125">
        <v>3.0853876615991855</v>
      </c>
      <c r="V125">
        <v>47.21937700221617</v>
      </c>
      <c r="W125">
        <v>28.191664803674904</v>
      </c>
      <c r="X125">
        <v>43.489186784713119</v>
      </c>
      <c r="Y125">
        <v>5.9084390573880361</v>
      </c>
      <c r="Z125">
        <v>27.268473516971493</v>
      </c>
      <c r="AA125">
        <v>4.0969188744903366</v>
      </c>
      <c r="AB125">
        <v>36.702938947833907</v>
      </c>
      <c r="AD125">
        <v>5.5714953512660186</v>
      </c>
      <c r="AE125">
        <v>12.247713066006083</v>
      </c>
      <c r="AF125">
        <v>14.736175366162287</v>
      </c>
      <c r="AG125">
        <v>22.452495481923261</v>
      </c>
      <c r="AH125">
        <v>2.2639433533596582</v>
      </c>
      <c r="AI125">
        <v>1.9723392712607397</v>
      </c>
      <c r="AK125">
        <v>52.359425951514488</v>
      </c>
    </row>
    <row r="126" spans="1:37" x14ac:dyDescent="0.2">
      <c r="A126">
        <v>125</v>
      </c>
      <c r="B126">
        <v>769</v>
      </c>
      <c r="C126">
        <v>135</v>
      </c>
      <c r="D126">
        <v>0.45925298661421299</v>
      </c>
      <c r="E126">
        <v>119.30274159806027</v>
      </c>
      <c r="F126">
        <v>50.207871900368659</v>
      </c>
      <c r="G126">
        <v>70.736630925837474</v>
      </c>
      <c r="H126">
        <v>66.160880117761934</v>
      </c>
      <c r="J126">
        <v>58.737083996901113</v>
      </c>
      <c r="L126">
        <v>3.4109637424329193</v>
      </c>
      <c r="M126">
        <v>15.038593913297266</v>
      </c>
      <c r="N126">
        <v>2.0399651414419822</v>
      </c>
      <c r="O126">
        <v>19.111080221664896</v>
      </c>
      <c r="P126">
        <v>8.1489973320854041</v>
      </c>
      <c r="R126">
        <v>13.763412090292652</v>
      </c>
      <c r="S126">
        <v>43.67984025853648</v>
      </c>
      <c r="U126">
        <v>3.1184254588765401</v>
      </c>
      <c r="V126">
        <v>46.748938228195577</v>
      </c>
      <c r="W126">
        <v>27.973916066723113</v>
      </c>
      <c r="X126">
        <v>43.624135141365592</v>
      </c>
      <c r="Y126">
        <v>4.6258616981037655</v>
      </c>
      <c r="Z126">
        <v>23.865562463807546</v>
      </c>
      <c r="AA126">
        <v>2.5156794846038681</v>
      </c>
      <c r="AB126">
        <v>34.623217135747261</v>
      </c>
      <c r="AD126">
        <v>3.6717652192904109</v>
      </c>
      <c r="AE126">
        <v>10.556049526555119</v>
      </c>
      <c r="AF126">
        <v>14.644400185922821</v>
      </c>
      <c r="AG126">
        <v>20.357930601547515</v>
      </c>
      <c r="AI126">
        <v>1.9740392782279124</v>
      </c>
      <c r="AK126">
        <v>49.467609340019628</v>
      </c>
    </row>
    <row r="127" spans="1:37" x14ac:dyDescent="0.2">
      <c r="A127">
        <v>126</v>
      </c>
      <c r="B127">
        <v>768</v>
      </c>
      <c r="C127">
        <v>135</v>
      </c>
      <c r="D127">
        <v>0.45866637852374798</v>
      </c>
      <c r="E127">
        <v>119.55350784134762</v>
      </c>
      <c r="F127">
        <v>49.835668158895281</v>
      </c>
      <c r="G127">
        <v>70.868593527919415</v>
      </c>
      <c r="H127">
        <v>66.290236539600215</v>
      </c>
      <c r="J127">
        <v>52.13489684433781</v>
      </c>
      <c r="L127">
        <v>2.0301852110255059</v>
      </c>
      <c r="M127">
        <v>14.84967690137923</v>
      </c>
      <c r="N127">
        <v>2.041970250671219</v>
      </c>
      <c r="O127">
        <v>11.754306900107766</v>
      </c>
      <c r="P127">
        <v>8.4362714077471921</v>
      </c>
      <c r="R127">
        <v>12.22051197632919</v>
      </c>
      <c r="S127">
        <v>39.229369864948524</v>
      </c>
      <c r="U127">
        <v>3.1504137957787588</v>
      </c>
      <c r="V127">
        <v>46.495282319862575</v>
      </c>
      <c r="W127">
        <v>27.659840557943383</v>
      </c>
      <c r="X127">
        <v>43.756179274999738</v>
      </c>
      <c r="Y127">
        <v>3.7118442712803632</v>
      </c>
      <c r="Z127">
        <v>21.573279575769487</v>
      </c>
      <c r="AA127">
        <v>0.90347457003931053</v>
      </c>
      <c r="AB127">
        <v>32.95013977137657</v>
      </c>
      <c r="AD127">
        <v>2.4331573642026303</v>
      </c>
      <c r="AE127">
        <v>9.1387400443905573</v>
      </c>
      <c r="AF127">
        <v>14.454373336538865</v>
      </c>
      <c r="AG127">
        <v>18.670047562316569</v>
      </c>
      <c r="AI127">
        <v>1.9757734256811224</v>
      </c>
      <c r="AK127">
        <v>45.176846733304778</v>
      </c>
    </row>
    <row r="128" spans="1:37" x14ac:dyDescent="0.2">
      <c r="A128">
        <v>127</v>
      </c>
      <c r="B128">
        <v>767</v>
      </c>
      <c r="C128">
        <v>135</v>
      </c>
      <c r="D128">
        <v>0.45807864250348701</v>
      </c>
      <c r="E128">
        <v>119.82479726756064</v>
      </c>
      <c r="F128">
        <v>49.567247059531454</v>
      </c>
      <c r="G128">
        <v>70.987850676059637</v>
      </c>
      <c r="H128">
        <v>66.40690030483799</v>
      </c>
      <c r="J128">
        <v>46.150132207949909</v>
      </c>
      <c r="L128">
        <v>1.487122190646587</v>
      </c>
      <c r="M128">
        <v>14.547494076363137</v>
      </c>
      <c r="N128">
        <v>2.0439767778253377</v>
      </c>
      <c r="O128">
        <v>8.8617054139430156</v>
      </c>
      <c r="P128">
        <v>8.6981434562062088</v>
      </c>
      <c r="R128">
        <v>11.489131880504699</v>
      </c>
      <c r="S128">
        <v>37.477877956537469</v>
      </c>
      <c r="U128">
        <v>3.1593048019475449</v>
      </c>
      <c r="V128">
        <v>46.648088592254965</v>
      </c>
      <c r="W128">
        <v>27.249983757611009</v>
      </c>
      <c r="X128">
        <v>43.821961835357428</v>
      </c>
      <c r="Y128">
        <v>3.2400024559703295</v>
      </c>
      <c r="Z128">
        <v>19.395455450982801</v>
      </c>
      <c r="AB128">
        <v>31.677396991024096</v>
      </c>
      <c r="AD128">
        <v>1.2966558430570121</v>
      </c>
      <c r="AE128">
        <v>7.8222738362327302</v>
      </c>
      <c r="AF128">
        <v>14.15108235614696</v>
      </c>
      <c r="AG128">
        <v>17.382502976637376</v>
      </c>
      <c r="AI128">
        <v>1.9775081821978753</v>
      </c>
      <c r="AK128">
        <v>41.197831088851331</v>
      </c>
    </row>
    <row r="129" spans="1:37" x14ac:dyDescent="0.2">
      <c r="A129">
        <v>128</v>
      </c>
      <c r="B129">
        <v>766</v>
      </c>
      <c r="C129">
        <v>135</v>
      </c>
      <c r="D129">
        <v>0.45748977529712298</v>
      </c>
      <c r="E129">
        <v>120.08876446398945</v>
      </c>
      <c r="F129">
        <v>49.507345351643337</v>
      </c>
      <c r="G129">
        <v>71.073993083541893</v>
      </c>
      <c r="H129">
        <v>66.490462147119132</v>
      </c>
      <c r="J129">
        <v>41.393801448675219</v>
      </c>
      <c r="L129">
        <v>1.507528849411643</v>
      </c>
      <c r="M129">
        <v>14.162769939816879</v>
      </c>
      <c r="N129">
        <v>2.0459820060033262</v>
      </c>
      <c r="O129">
        <v>8.6696052323997215</v>
      </c>
      <c r="P129">
        <v>8.8937922091188604</v>
      </c>
      <c r="R129">
        <v>11.257434351570511</v>
      </c>
      <c r="S129">
        <v>37.508442418708249</v>
      </c>
      <c r="U129">
        <v>3.1528817612240299</v>
      </c>
      <c r="V129">
        <v>47.077925311051942</v>
      </c>
      <c r="W129">
        <v>26.768691394088084</v>
      </c>
      <c r="X129">
        <v>43.843910926374853</v>
      </c>
      <c r="Y129">
        <v>3.1016424850781634</v>
      </c>
      <c r="Z129">
        <v>17.734422540839674</v>
      </c>
      <c r="AB129">
        <v>30.923280980461115</v>
      </c>
      <c r="AD129">
        <v>0.44163176862522813</v>
      </c>
      <c r="AE129">
        <v>6.8283117407369529</v>
      </c>
      <c r="AF129">
        <v>13.765249034873861</v>
      </c>
      <c r="AG129">
        <v>16.613586319090842</v>
      </c>
      <c r="AI129">
        <v>1.979240829041871</v>
      </c>
      <c r="AK129">
        <v>37.972360492096414</v>
      </c>
    </row>
    <row r="130" spans="1:37" x14ac:dyDescent="0.2">
      <c r="A130">
        <v>129</v>
      </c>
      <c r="B130">
        <v>765</v>
      </c>
      <c r="C130">
        <v>135</v>
      </c>
      <c r="D130">
        <v>0.45689977363579698</v>
      </c>
      <c r="E130">
        <v>120.26906893623227</v>
      </c>
      <c r="F130">
        <v>49.886789642534161</v>
      </c>
      <c r="G130">
        <v>71.073420065741445</v>
      </c>
      <c r="H130">
        <v>66.487321402219521</v>
      </c>
      <c r="J130">
        <v>37.924349103615327</v>
      </c>
      <c r="L130">
        <v>1.5207680380539932</v>
      </c>
      <c r="M130">
        <v>13.755539644209987</v>
      </c>
      <c r="N130">
        <v>2.0479820343325241</v>
      </c>
      <c r="O130">
        <v>8.5978393560714252</v>
      </c>
      <c r="P130">
        <v>8.916012418414498</v>
      </c>
      <c r="R130">
        <v>10.936401516925141</v>
      </c>
      <c r="S130">
        <v>37.732726401474729</v>
      </c>
      <c r="U130">
        <v>3.1382964633806973</v>
      </c>
      <c r="V130">
        <v>47.57078458024472</v>
      </c>
      <c r="W130">
        <v>26.270700907902668</v>
      </c>
      <c r="X130">
        <v>43.842638080063054</v>
      </c>
      <c r="Y130">
        <v>2.9109615138821097</v>
      </c>
      <c r="Z130">
        <v>17.534319558493735</v>
      </c>
      <c r="AB130">
        <v>31.116619036371191</v>
      </c>
      <c r="AE130">
        <v>6.7011711794552493</v>
      </c>
      <c r="AF130">
        <v>13.356904629792268</v>
      </c>
      <c r="AG130">
        <v>16.79212099121748</v>
      </c>
      <c r="AI130">
        <v>1.9809674635060925</v>
      </c>
      <c r="AK130">
        <v>35.577896030899275</v>
      </c>
    </row>
    <row r="131" spans="1:37" x14ac:dyDescent="0.2">
      <c r="A131">
        <v>130</v>
      </c>
      <c r="B131">
        <v>797</v>
      </c>
      <c r="C131">
        <v>115</v>
      </c>
      <c r="D131">
        <v>0.49579077699387802</v>
      </c>
      <c r="E131">
        <v>112.25363508211859</v>
      </c>
      <c r="F131">
        <v>74.871289861741673</v>
      </c>
      <c r="G131">
        <v>74.749172379435734</v>
      </c>
      <c r="H131">
        <v>70.25094882685714</v>
      </c>
      <c r="J131">
        <v>69.966259211550991</v>
      </c>
      <c r="L131">
        <v>10.698260294807772</v>
      </c>
      <c r="M131">
        <v>15.384482842030364</v>
      </c>
      <c r="N131">
        <v>2.1549546366471497</v>
      </c>
      <c r="O131">
        <v>50.771486192980021</v>
      </c>
      <c r="P131">
        <v>15.581737818523502</v>
      </c>
      <c r="Q131">
        <v>3.6747325003153052E-2</v>
      </c>
      <c r="R131">
        <v>25.105994510035817</v>
      </c>
      <c r="S131">
        <v>62.158396797794396</v>
      </c>
      <c r="U131">
        <v>3.9332400016537337</v>
      </c>
      <c r="V131">
        <v>48.055519378843719</v>
      </c>
      <c r="W131">
        <v>33.053238404362737</v>
      </c>
      <c r="X131">
        <v>42.64474464769981</v>
      </c>
      <c r="Y131">
        <v>12.086092184509155</v>
      </c>
      <c r="Z131">
        <v>40.56627820969517</v>
      </c>
      <c r="AA131">
        <v>10.08969205254699</v>
      </c>
      <c r="AB131">
        <v>42.63630111823749</v>
      </c>
      <c r="AC131">
        <v>0.24370650948399464</v>
      </c>
      <c r="AD131">
        <v>13.03030138318061</v>
      </c>
      <c r="AE131">
        <v>18.13284486187645</v>
      </c>
      <c r="AF131">
        <v>15.254407144489704</v>
      </c>
      <c r="AG131">
        <v>29.042964963000038</v>
      </c>
      <c r="AH131">
        <v>11.030000995411299</v>
      </c>
      <c r="AI131">
        <v>2.0939555573830311</v>
      </c>
      <c r="AK131">
        <v>55.803701036145945</v>
      </c>
    </row>
    <row r="132" spans="1:37" x14ac:dyDescent="0.2">
      <c r="A132">
        <v>131</v>
      </c>
      <c r="B132">
        <v>796</v>
      </c>
      <c r="C132">
        <v>115</v>
      </c>
      <c r="D132">
        <v>0.49525370621521903</v>
      </c>
      <c r="E132">
        <v>112.15195993404477</v>
      </c>
      <c r="F132">
        <v>74.528524812548156</v>
      </c>
      <c r="G132">
        <v>74.689310645938036</v>
      </c>
      <c r="H132">
        <v>70.188122490224075</v>
      </c>
      <c r="J132">
        <v>69.900375947497025</v>
      </c>
      <c r="L132">
        <v>10.612456786693899</v>
      </c>
      <c r="M132">
        <v>15.354341572252462</v>
      </c>
      <c r="N132">
        <v>2.1464083923212129</v>
      </c>
      <c r="O132">
        <v>50.347767031653788</v>
      </c>
      <c r="P132">
        <v>15.474604094437295</v>
      </c>
      <c r="R132">
        <v>24.933330329428419</v>
      </c>
      <c r="S132">
        <v>61.865776336419053</v>
      </c>
      <c r="U132">
        <v>3.886731943398567</v>
      </c>
      <c r="V132">
        <v>48.011487250867816</v>
      </c>
      <c r="W132">
        <v>32.898715935818892</v>
      </c>
      <c r="X132">
        <v>42.553441701855803</v>
      </c>
      <c r="Y132">
        <v>11.995111899797783</v>
      </c>
      <c r="Z132">
        <v>40.376429940697143</v>
      </c>
      <c r="AA132">
        <v>9.9999865438175117</v>
      </c>
      <c r="AB132">
        <v>42.54206010728079</v>
      </c>
      <c r="AC132">
        <v>0.23316656896100538</v>
      </c>
      <c r="AD132">
        <v>12.934025160957246</v>
      </c>
      <c r="AE132">
        <v>18.046673346613648</v>
      </c>
      <c r="AF132">
        <v>15.212596456158444</v>
      </c>
      <c r="AG132">
        <v>28.923326832756874</v>
      </c>
      <c r="AH132">
        <v>10.907734531347257</v>
      </c>
      <c r="AI132">
        <v>2.0851611589613714</v>
      </c>
      <c r="AK132">
        <v>55.789692362174435</v>
      </c>
    </row>
    <row r="133" spans="1:37" x14ac:dyDescent="0.2">
      <c r="A133">
        <v>132</v>
      </c>
      <c r="B133">
        <v>795</v>
      </c>
      <c r="C133">
        <v>115</v>
      </c>
      <c r="D133">
        <v>0.49471562982727202</v>
      </c>
      <c r="E133">
        <v>112.0466039198196</v>
      </c>
      <c r="F133">
        <v>74.090478147210987</v>
      </c>
      <c r="G133">
        <v>74.611392971491341</v>
      </c>
      <c r="H133">
        <v>70.107252457239568</v>
      </c>
      <c r="J133">
        <v>69.847650956946197</v>
      </c>
      <c r="L133">
        <v>10.491601374486862</v>
      </c>
      <c r="M133">
        <v>15.372528728799089</v>
      </c>
      <c r="N133">
        <v>2.1299369138967061</v>
      </c>
      <c r="O133">
        <v>49.765536046229485</v>
      </c>
      <c r="P133">
        <v>15.323440122446963</v>
      </c>
      <c r="R133">
        <v>24.771679425852895</v>
      </c>
      <c r="S133">
        <v>61.748574526894728</v>
      </c>
      <c r="U133">
        <v>3.8782361211932188</v>
      </c>
      <c r="V133">
        <v>48.052738530456892</v>
      </c>
      <c r="W133">
        <v>32.788754578035487</v>
      </c>
      <c r="X133">
        <v>42.587659483482625</v>
      </c>
      <c r="Y133">
        <v>11.863818999735818</v>
      </c>
      <c r="Z133">
        <v>40.132709478291225</v>
      </c>
      <c r="AA133">
        <v>9.8720859325670904</v>
      </c>
      <c r="AB133">
        <v>42.518434476072727</v>
      </c>
      <c r="AC133">
        <v>0.21470155454136466</v>
      </c>
      <c r="AD133">
        <v>12.805509694043856</v>
      </c>
      <c r="AE133">
        <v>17.942594505758372</v>
      </c>
      <c r="AF133">
        <v>15.211189081039981</v>
      </c>
      <c r="AG133">
        <v>28.866381146895705</v>
      </c>
      <c r="AH133">
        <v>10.738886862898234</v>
      </c>
      <c r="AI133">
        <v>2.0684407687143005</v>
      </c>
      <c r="AK133">
        <v>55.754910394226243</v>
      </c>
    </row>
    <row r="134" spans="1:37" x14ac:dyDescent="0.2">
      <c r="A134">
        <v>133</v>
      </c>
      <c r="B134">
        <v>794</v>
      </c>
      <c r="C134">
        <v>115</v>
      </c>
      <c r="D134">
        <v>0.49417654500304597</v>
      </c>
      <c r="E134">
        <v>111.94171935288367</v>
      </c>
      <c r="F134">
        <v>73.653448101691637</v>
      </c>
      <c r="G134">
        <v>74.53349917078171</v>
      </c>
      <c r="H134">
        <v>70.026418561896435</v>
      </c>
      <c r="J134">
        <v>69.79389657458762</v>
      </c>
      <c r="L134">
        <v>10.370349245191999</v>
      </c>
      <c r="M134">
        <v>15.390913125273432</v>
      </c>
      <c r="N134">
        <v>2.113422752379206</v>
      </c>
      <c r="O134">
        <v>49.183366797539158</v>
      </c>
      <c r="P134">
        <v>15.172288103311555</v>
      </c>
      <c r="R134">
        <v>24.608827632464184</v>
      </c>
      <c r="S134">
        <v>61.627135987660957</v>
      </c>
      <c r="U134">
        <v>3.8701948939793103</v>
      </c>
      <c r="V134">
        <v>48.092393826805242</v>
      </c>
      <c r="W134">
        <v>32.679575165576637</v>
      </c>
      <c r="X134">
        <v>42.623472575629961</v>
      </c>
      <c r="Y134">
        <v>11.732487070933523</v>
      </c>
      <c r="Z134">
        <v>39.889141320041027</v>
      </c>
      <c r="AA134">
        <v>9.744064235771642</v>
      </c>
      <c r="AB134">
        <v>42.492420770329481</v>
      </c>
      <c r="AC134">
        <v>0.19619401679839849</v>
      </c>
      <c r="AD134">
        <v>12.676942070571892</v>
      </c>
      <c r="AE134">
        <v>17.838597374952396</v>
      </c>
      <c r="AF134">
        <v>15.209936388871402</v>
      </c>
      <c r="AG134">
        <v>28.807007007370476</v>
      </c>
      <c r="AH134">
        <v>10.569867243106481</v>
      </c>
      <c r="AI134">
        <v>2.0516769358302689</v>
      </c>
      <c r="AK134">
        <v>55.720227306053083</v>
      </c>
    </row>
    <row r="135" spans="1:37" x14ac:dyDescent="0.2">
      <c r="A135">
        <v>134</v>
      </c>
      <c r="B135">
        <v>793</v>
      </c>
      <c r="C135">
        <v>115</v>
      </c>
      <c r="D135">
        <v>0.49363644890494002</v>
      </c>
      <c r="E135">
        <v>111.83730877139725</v>
      </c>
      <c r="F135">
        <v>73.217468207219341</v>
      </c>
      <c r="G135">
        <v>74.455639664426585</v>
      </c>
      <c r="H135">
        <v>69.945631244157127</v>
      </c>
      <c r="J135">
        <v>69.739107528257563</v>
      </c>
      <c r="L135">
        <v>10.248727835752677</v>
      </c>
      <c r="M135">
        <v>15.409479837145547</v>
      </c>
      <c r="N135">
        <v>2.0968672343828878</v>
      </c>
      <c r="O135">
        <v>48.601322101714757</v>
      </c>
      <c r="P135">
        <v>15.021170225313181</v>
      </c>
      <c r="R135">
        <v>24.444816381978821</v>
      </c>
      <c r="S135">
        <v>61.50141716419818</v>
      </c>
      <c r="U135">
        <v>3.8625932234126124</v>
      </c>
      <c r="V135">
        <v>48.130442786650221</v>
      </c>
      <c r="W135">
        <v>32.571175224584046</v>
      </c>
      <c r="X135">
        <v>42.660835787402206</v>
      </c>
      <c r="Y135">
        <v>11.601136098191034</v>
      </c>
      <c r="Z135">
        <v>39.645732074126322</v>
      </c>
      <c r="AA135">
        <v>9.6159393065784311</v>
      </c>
      <c r="AB135">
        <v>42.463989088501606</v>
      </c>
      <c r="AC135">
        <v>0.17764528191414911</v>
      </c>
      <c r="AD135">
        <v>12.548335191423263</v>
      </c>
      <c r="AE135">
        <v>17.734676466549278</v>
      </c>
      <c r="AF135">
        <v>15.208824786872835</v>
      </c>
      <c r="AG135">
        <v>28.745175844497521</v>
      </c>
      <c r="AH135">
        <v>10.400705436815572</v>
      </c>
      <c r="AI135">
        <v>2.0348709851062088</v>
      </c>
      <c r="AK135">
        <v>55.68564778231368</v>
      </c>
    </row>
    <row r="136" spans="1:37" x14ac:dyDescent="0.2">
      <c r="A136">
        <v>135</v>
      </c>
      <c r="B136">
        <v>792</v>
      </c>
      <c r="C136">
        <v>115</v>
      </c>
      <c r="D136">
        <v>0.49309533868469302</v>
      </c>
      <c r="E136">
        <v>111.73337438514844</v>
      </c>
      <c r="F136">
        <v>72.782570886216774</v>
      </c>
      <c r="G136">
        <v>74.377824790225972</v>
      </c>
      <c r="H136">
        <v>69.864900861201022</v>
      </c>
      <c r="J136">
        <v>69.683280674657809</v>
      </c>
      <c r="L136">
        <v>10.126764335098949</v>
      </c>
      <c r="M136">
        <v>15.428213704791277</v>
      </c>
      <c r="N136">
        <v>2.080271695062156</v>
      </c>
      <c r="O136">
        <v>48.019464288532667</v>
      </c>
      <c r="P136">
        <v>14.870108519695961</v>
      </c>
      <c r="R136">
        <v>24.27968736132587</v>
      </c>
      <c r="S136">
        <v>61.371383145186968</v>
      </c>
      <c r="U136">
        <v>3.8554156996037161</v>
      </c>
      <c r="V136">
        <v>48.166877739623558</v>
      </c>
      <c r="W136">
        <v>32.463551784178463</v>
      </c>
      <c r="X136">
        <v>42.699702823449691</v>
      </c>
      <c r="Y136">
        <v>11.469785946948958</v>
      </c>
      <c r="Z136">
        <v>39.402487843048974</v>
      </c>
      <c r="AA136">
        <v>9.487801562314722</v>
      </c>
      <c r="AB136">
        <v>42.433114045134104</v>
      </c>
      <c r="AC136">
        <v>0.15905668461030473</v>
      </c>
      <c r="AD136">
        <v>12.428855455040654</v>
      </c>
      <c r="AE136">
        <v>17.630826072133491</v>
      </c>
      <c r="AF136">
        <v>15.207840455726021</v>
      </c>
      <c r="AG136">
        <v>28.680863613244622</v>
      </c>
      <c r="AH136">
        <v>10.231431002960912</v>
      </c>
      <c r="AI136">
        <v>2.0180242498785828</v>
      </c>
      <c r="AK136">
        <v>55.651176347638525</v>
      </c>
    </row>
    <row r="137" spans="1:37" x14ac:dyDescent="0.2">
      <c r="A137">
        <v>136</v>
      </c>
      <c r="B137">
        <v>791</v>
      </c>
      <c r="C137">
        <v>115</v>
      </c>
      <c r="D137">
        <v>0.49255321148334702</v>
      </c>
      <c r="E137">
        <v>111.62991808289199</v>
      </c>
      <c r="F137">
        <v>72.348787360672802</v>
      </c>
      <c r="G137">
        <v>74.300064773517121</v>
      </c>
      <c r="H137">
        <v>69.784237657782086</v>
      </c>
      <c r="J137">
        <v>69.626414890428805</v>
      </c>
      <c r="L137">
        <v>10.004485601025372</v>
      </c>
      <c r="M137">
        <v>15.447099376240635</v>
      </c>
      <c r="N137">
        <v>2.0636374693549984</v>
      </c>
      <c r="O137">
        <v>47.43785499354351</v>
      </c>
      <c r="P137">
        <v>14.719124792618487</v>
      </c>
      <c r="R137">
        <v>24.113482329999709</v>
      </c>
      <c r="S137">
        <v>61.237007368462187</v>
      </c>
      <c r="U137">
        <v>3.8486465990400833</v>
      </c>
      <c r="V137">
        <v>48.201693574233857</v>
      </c>
      <c r="W137">
        <v>32.356701425669002</v>
      </c>
      <c r="X137">
        <v>42.740026462368604</v>
      </c>
      <c r="Y137">
        <v>11.338456301976276</v>
      </c>
      <c r="Z137">
        <v>39.159414180285168</v>
      </c>
      <c r="AA137">
        <v>9.3595187419973591</v>
      </c>
      <c r="AB137">
        <v>42.399774632458403</v>
      </c>
      <c r="AC137">
        <v>0.14042955939178819</v>
      </c>
      <c r="AD137">
        <v>12.299242994947315</v>
      </c>
      <c r="AE137">
        <v>17.527040262641847</v>
      </c>
      <c r="AF137">
        <v>15.206969383558954</v>
      </c>
      <c r="AG137">
        <v>28.614050646061553</v>
      </c>
      <c r="AH137">
        <v>10.062073215286764</v>
      </c>
      <c r="AI137">
        <v>2.0011380632659233</v>
      </c>
      <c r="AK137">
        <v>55.61681734021851</v>
      </c>
    </row>
    <row r="138" spans="1:37" x14ac:dyDescent="0.2">
      <c r="A138">
        <v>137</v>
      </c>
      <c r="B138">
        <v>790</v>
      </c>
      <c r="C138">
        <v>115</v>
      </c>
      <c r="D138">
        <v>0.49201006443117301</v>
      </c>
      <c r="E138">
        <v>111.52694144092561</v>
      </c>
      <c r="F138">
        <v>71.916147574642636</v>
      </c>
      <c r="G138">
        <v>74.2223697004342</v>
      </c>
      <c r="H138">
        <v>69.703651739488393</v>
      </c>
      <c r="J138">
        <v>69.568510957809579</v>
      </c>
      <c r="L138">
        <v>9.8819180912247759</v>
      </c>
      <c r="M138">
        <v>15.46612134707382</v>
      </c>
      <c r="N138">
        <v>2.046965883914706</v>
      </c>
      <c r="O138">
        <v>46.856554970610482</v>
      </c>
      <c r="P138">
        <v>14.568240563603409</v>
      </c>
      <c r="R138">
        <v>23.94624294964829</v>
      </c>
      <c r="S138">
        <v>61.098271290920948</v>
      </c>
      <c r="U138">
        <v>3.842269939457847</v>
      </c>
      <c r="V138">
        <v>48.234887604925682</v>
      </c>
      <c r="W138">
        <v>32.25062033077247</v>
      </c>
      <c r="X138">
        <v>42.781758725758742</v>
      </c>
      <c r="Y138">
        <v>11.20716661184324</v>
      </c>
      <c r="Z138">
        <v>38.916516053571264</v>
      </c>
      <c r="AA138">
        <v>9.2311860379625728</v>
      </c>
      <c r="AB138">
        <v>42.363954062853075</v>
      </c>
      <c r="AC138">
        <v>0.12176523247847673</v>
      </c>
      <c r="AD138">
        <v>12.16946462327703</v>
      </c>
      <c r="AE138">
        <v>17.423312890080616</v>
      </c>
      <c r="AF138">
        <v>15.206197397776876</v>
      </c>
      <c r="AG138">
        <v>28.544721487282089</v>
      </c>
      <c r="AH138">
        <v>9.8926609902311018</v>
      </c>
      <c r="AI138">
        <v>1.9842137501018342</v>
      </c>
      <c r="AK138">
        <v>55.582574888681116</v>
      </c>
    </row>
    <row r="139" spans="1:37" x14ac:dyDescent="0.2">
      <c r="A139">
        <v>138</v>
      </c>
      <c r="B139">
        <v>789</v>
      </c>
      <c r="C139">
        <v>115</v>
      </c>
      <c r="D139">
        <v>0.49146589464765</v>
      </c>
      <c r="E139">
        <v>111.42444573227679</v>
      </c>
      <c r="F139">
        <v>71.484680129822763</v>
      </c>
      <c r="G139">
        <v>74.14474949403683</v>
      </c>
      <c r="H139">
        <v>69.623153048868929</v>
      </c>
      <c r="J139">
        <v>69.509571447605936</v>
      </c>
      <c r="L139">
        <v>9.7590878052498766</v>
      </c>
      <c r="M139">
        <v>15.485263997322999</v>
      </c>
      <c r="N139">
        <v>2.0302582497680257</v>
      </c>
      <c r="O139">
        <v>46.275623925215427</v>
      </c>
      <c r="P139">
        <v>14.417477010452959</v>
      </c>
      <c r="R139">
        <v>23.778010626230586</v>
      </c>
      <c r="S139">
        <v>60.955164032824761</v>
      </c>
      <c r="U139">
        <v>3.8362695312659958</v>
      </c>
      <c r="V139">
        <v>48.266459433593056</v>
      </c>
      <c r="W139">
        <v>32.14530432822292</v>
      </c>
      <c r="X139">
        <v>42.824851034878449</v>
      </c>
      <c r="Y139">
        <v>11.075936039145944</v>
      </c>
      <c r="Z139">
        <v>38.673797815067907</v>
      </c>
      <c r="AA139">
        <v>9.1028208153975871</v>
      </c>
      <c r="AB139">
        <v>42.325639597804816</v>
      </c>
      <c r="AC139">
        <v>0.10306501446335327</v>
      </c>
      <c r="AD139">
        <v>12.039559285849702</v>
      </c>
      <c r="AE139">
        <v>17.319637591022762</v>
      </c>
      <c r="AF139">
        <v>15.205510194623606</v>
      </c>
      <c r="AG139">
        <v>28.472864714733102</v>
      </c>
      <c r="AH139">
        <v>9.7232228227270738</v>
      </c>
      <c r="AI139">
        <v>1.9672526195924425</v>
      </c>
      <c r="AK139">
        <v>55.548452892182446</v>
      </c>
    </row>
    <row r="140" spans="1:37" x14ac:dyDescent="0.2">
      <c r="A140">
        <v>139</v>
      </c>
      <c r="B140">
        <v>788</v>
      </c>
      <c r="C140">
        <v>115</v>
      </c>
      <c r="D140">
        <v>0.49092069924139198</v>
      </c>
      <c r="E140">
        <v>111.32243193684567</v>
      </c>
      <c r="F140">
        <v>71.054412238370119</v>
      </c>
      <c r="G140">
        <v>74.06721389400488</v>
      </c>
      <c r="H140">
        <v>69.542751345129631</v>
      </c>
      <c r="J140">
        <v>69.44960060213684</v>
      </c>
      <c r="L140">
        <v>9.6360202372372399</v>
      </c>
      <c r="M140">
        <v>15.50451162400388</v>
      </c>
      <c r="N140">
        <v>2.0135158561170901</v>
      </c>
      <c r="O140">
        <v>45.695120374350587</v>
      </c>
      <c r="P140">
        <v>14.266854922440922</v>
      </c>
      <c r="R140">
        <v>23.608826366348126</v>
      </c>
      <c r="S140">
        <v>60.807682000178737</v>
      </c>
      <c r="U140">
        <v>3.8306290239049483</v>
      </c>
      <c r="V140">
        <v>48.296410806142596</v>
      </c>
      <c r="W140">
        <v>32.040748936390088</v>
      </c>
      <c r="X140">
        <v>42.869254352726436</v>
      </c>
      <c r="Y140">
        <v>10.944783418156881</v>
      </c>
      <c r="Z140">
        <v>38.431263180265638</v>
      </c>
      <c r="AA140">
        <v>8.9745136991413013</v>
      </c>
      <c r="AB140">
        <v>42.284822365518025</v>
      </c>
      <c r="AC140">
        <v>8.4330194114554641E-2</v>
      </c>
      <c r="AD140">
        <v>11.909545315973581</v>
      </c>
      <c r="AE140">
        <v>17.21600779245188</v>
      </c>
      <c r="AF140">
        <v>15.204893365513295</v>
      </c>
      <c r="AG140">
        <v>28.398472751155509</v>
      </c>
      <c r="AH140">
        <v>9.5537867282057398</v>
      </c>
      <c r="AI140">
        <v>1.9502559591187965</v>
      </c>
      <c r="AK140">
        <v>55.514455005177346</v>
      </c>
    </row>
    <row r="141" spans="1:37" x14ac:dyDescent="0.2">
      <c r="A141">
        <v>140</v>
      </c>
      <c r="B141">
        <v>787</v>
      </c>
      <c r="C141">
        <v>115</v>
      </c>
      <c r="D141">
        <v>0.49037447531009798</v>
      </c>
      <c r="E141">
        <v>111.2209007514506</v>
      </c>
      <c r="F141">
        <v>70.625369686399779</v>
      </c>
      <c r="G141">
        <v>73.989772438795256</v>
      </c>
      <c r="H141">
        <v>69.462456186291718</v>
      </c>
      <c r="J141">
        <v>69.388604220682524</v>
      </c>
      <c r="L141">
        <v>9.5127403361467007</v>
      </c>
      <c r="M141">
        <v>15.523848471527339</v>
      </c>
      <c r="N141">
        <v>1.9967399648939768</v>
      </c>
      <c r="O141">
        <v>45.115101524730662</v>
      </c>
      <c r="P141">
        <v>14.116394659183555</v>
      </c>
      <c r="R141">
        <v>23.438730648332402</v>
      </c>
      <c r="S141">
        <v>60.655828501642283</v>
      </c>
      <c r="U141">
        <v>3.825331948879612</v>
      </c>
      <c r="V141">
        <v>48.324745470479257</v>
      </c>
      <c r="W141">
        <v>31.936949403565599</v>
      </c>
      <c r="X141">
        <v>42.914919314879384</v>
      </c>
      <c r="Y141">
        <v>10.813727217510484</v>
      </c>
      <c r="Z141">
        <v>38.188915213468931</v>
      </c>
      <c r="AA141">
        <v>8.8461299305277787</v>
      </c>
      <c r="AB141">
        <v>42.241497175478443</v>
      </c>
      <c r="AC141">
        <v>6.5562032929695799E-2</v>
      </c>
      <c r="AD141">
        <v>11.779435663970252</v>
      </c>
      <c r="AE141">
        <v>17.112416719585422</v>
      </c>
      <c r="AF141">
        <v>15.204332421996158</v>
      </c>
      <c r="AG141">
        <v>28.321541673313607</v>
      </c>
      <c r="AH141">
        <v>9.3843801956519108</v>
      </c>
      <c r="AI141">
        <v>1.933225028790142</v>
      </c>
      <c r="AK141">
        <v>55.480584625444436</v>
      </c>
    </row>
    <row r="142" spans="1:37" x14ac:dyDescent="0.2">
      <c r="A142">
        <v>141</v>
      </c>
      <c r="B142">
        <v>786</v>
      </c>
      <c r="C142">
        <v>115</v>
      </c>
      <c r="D142">
        <v>0.48982721994052197</v>
      </c>
      <c r="E142">
        <v>111.11985259997289</v>
      </c>
      <c r="F142">
        <v>70.197576813527803</v>
      </c>
      <c r="G142">
        <v>73.912434451218644</v>
      </c>
      <c r="H142">
        <v>69.382276914765086</v>
      </c>
      <c r="J142">
        <v>69.326589549724531</v>
      </c>
      <c r="L142">
        <v>9.3892724750545646</v>
      </c>
      <c r="M142">
        <v>15.543258757603938</v>
      </c>
      <c r="N142">
        <v>1.9799318066184159</v>
      </c>
      <c r="O142">
        <v>44.535623177956055</v>
      </c>
      <c r="P142">
        <v>13.966116117645171</v>
      </c>
      <c r="R142">
        <v>23.267763308873764</v>
      </c>
      <c r="S142">
        <v>60.49961336000176</v>
      </c>
      <c r="U142">
        <v>3.8203617571364128</v>
      </c>
      <c r="V142">
        <v>48.351469034483067</v>
      </c>
      <c r="W142">
        <v>31.833900742612244</v>
      </c>
      <c r="X142">
        <v>42.961796342665735</v>
      </c>
      <c r="Y142">
        <v>10.68278551019181</v>
      </c>
      <c r="Z142">
        <v>37.946756322810323</v>
      </c>
      <c r="AA142">
        <v>8.717764384239679</v>
      </c>
      <c r="AB142">
        <v>42.19566233086546</v>
      </c>
      <c r="AC142">
        <v>4.6761760993928939E-2</v>
      </c>
      <c r="AD142">
        <v>11.649240658878629</v>
      </c>
      <c r="AE142">
        <v>17.008857406693622</v>
      </c>
      <c r="AF142">
        <v>15.203812817523016</v>
      </c>
      <c r="AG142">
        <v>28.242071020274206</v>
      </c>
      <c r="AH142">
        <v>9.2150301379851971</v>
      </c>
      <c r="AI142">
        <v>1.9161610573036114</v>
      </c>
      <c r="AK142">
        <v>55.446844887049927</v>
      </c>
    </row>
    <row r="143" spans="1:37" x14ac:dyDescent="0.2">
      <c r="A143">
        <v>142</v>
      </c>
      <c r="B143">
        <v>785</v>
      </c>
      <c r="C143">
        <v>115</v>
      </c>
      <c r="D143">
        <v>0.48927893020838498</v>
      </c>
      <c r="E143">
        <v>111.01928764300528</v>
      </c>
      <c r="F143">
        <v>69.771056503594338</v>
      </c>
      <c r="G143">
        <v>73.835209026500905</v>
      </c>
      <c r="H143">
        <v>69.302222645412982</v>
      </c>
      <c r="J143">
        <v>69.263565180184472</v>
      </c>
      <c r="L143">
        <v>9.2656404273663906</v>
      </c>
      <c r="M143">
        <v>15.56272669674631</v>
      </c>
      <c r="N143">
        <v>1.9630925772633094</v>
      </c>
      <c r="O143">
        <v>43.956739655447258</v>
      </c>
      <c r="P143">
        <v>13.816038705135593</v>
      </c>
      <c r="R143">
        <v>23.095963445639946</v>
      </c>
      <c r="S143">
        <v>60.339052531870003</v>
      </c>
      <c r="U143">
        <v>3.8157018523377921</v>
      </c>
      <c r="V143">
        <v>48.376588829308268</v>
      </c>
      <c r="W143">
        <v>31.731597761259518</v>
      </c>
      <c r="X143">
        <v>43.009835743604533</v>
      </c>
      <c r="Y143">
        <v>10.551975948859415</v>
      </c>
      <c r="Z143">
        <v>37.704788262953372</v>
      </c>
      <c r="AA143">
        <v>8.5894332405650928</v>
      </c>
      <c r="AB143">
        <v>42.1473194455384</v>
      </c>
      <c r="AC143">
        <v>2.793057384487891E-2</v>
      </c>
      <c r="AD143">
        <v>11.518968997178396</v>
      </c>
      <c r="AE143">
        <v>16.905322710589736</v>
      </c>
      <c r="AF143">
        <v>15.203319967809124</v>
      </c>
      <c r="AG143">
        <v>28.160063607249658</v>
      </c>
      <c r="AH143">
        <v>9.0457629001821562</v>
      </c>
      <c r="AI143">
        <v>1.8990652388089262</v>
      </c>
      <c r="AK143">
        <v>55.413238657345126</v>
      </c>
    </row>
    <row r="144" spans="1:37" x14ac:dyDescent="0.2">
      <c r="A144">
        <v>143</v>
      </c>
      <c r="B144">
        <v>784</v>
      </c>
      <c r="C144">
        <v>115</v>
      </c>
      <c r="D144">
        <v>0.48872960317835601</v>
      </c>
      <c r="E144">
        <v>110.91920578679328</v>
      </c>
      <c r="F144">
        <v>69.345830189697637</v>
      </c>
      <c r="G144">
        <v>73.758105023393256</v>
      </c>
      <c r="H144">
        <v>69.222302256660385</v>
      </c>
      <c r="J144">
        <v>69.199540953903309</v>
      </c>
      <c r="L144">
        <v>9.1418673511363266</v>
      </c>
      <c r="M144">
        <v>15.582236519646015</v>
      </c>
      <c r="N144">
        <v>1.946223436545055</v>
      </c>
      <c r="O144">
        <v>43.378503749102315</v>
      </c>
      <c r="P144">
        <v>13.666181319806405</v>
      </c>
      <c r="R144">
        <v>22.92336933616631</v>
      </c>
      <c r="S144">
        <v>60.174167737530048</v>
      </c>
      <c r="U144">
        <v>3.8113356183498253</v>
      </c>
      <c r="V144">
        <v>48.400113777348651</v>
      </c>
      <c r="W144">
        <v>31.630035085272034</v>
      </c>
      <c r="X144">
        <v>43.058987792473552</v>
      </c>
      <c r="Y144">
        <v>10.421315747908311</v>
      </c>
      <c r="Z144">
        <v>37.463012148008154</v>
      </c>
      <c r="AA144">
        <v>8.4611523205949055</v>
      </c>
      <c r="AB144">
        <v>42.096473267709435</v>
      </c>
      <c r="AC144">
        <v>9.0696307641320358E-3</v>
      </c>
      <c r="AD144">
        <v>11.388628199472288</v>
      </c>
      <c r="AE144">
        <v>16.801805327895678</v>
      </c>
      <c r="AF144">
        <v>15.202839268508823</v>
      </c>
      <c r="AG144">
        <v>28.075525347567879</v>
      </c>
      <c r="AH144">
        <v>8.8766041523738703</v>
      </c>
      <c r="AI144">
        <v>1.8819387311975571</v>
      </c>
      <c r="AK144">
        <v>55.379768539135405</v>
      </c>
    </row>
    <row r="145" spans="1:37" x14ac:dyDescent="0.2">
      <c r="A145">
        <v>144</v>
      </c>
      <c r="B145">
        <v>783</v>
      </c>
      <c r="C145">
        <v>115</v>
      </c>
      <c r="D145">
        <v>0.48817923590399198</v>
      </c>
      <c r="E145">
        <v>110.75717878719969</v>
      </c>
      <c r="F145">
        <v>68.569401672330173</v>
      </c>
      <c r="G145">
        <v>73.621888785576431</v>
      </c>
      <c r="H145">
        <v>69.083282111900843</v>
      </c>
      <c r="J145">
        <v>69.015407123262435</v>
      </c>
      <c r="L145">
        <v>8.9228631722838507</v>
      </c>
      <c r="M145">
        <v>15.603832272546482</v>
      </c>
      <c r="N145">
        <v>1.9389229656312892</v>
      </c>
      <c r="O145">
        <v>42.454727458428934</v>
      </c>
      <c r="P145">
        <v>13.407675251187685</v>
      </c>
      <c r="R145">
        <v>22.621720847646543</v>
      </c>
      <c r="S145">
        <v>59.826934068801997</v>
      </c>
      <c r="U145">
        <v>3.8043101267603343</v>
      </c>
      <c r="V145">
        <v>48.409481755640066</v>
      </c>
      <c r="W145">
        <v>31.468699478264071</v>
      </c>
      <c r="X145">
        <v>43.092073680939961</v>
      </c>
      <c r="Y145">
        <v>10.18030590055157</v>
      </c>
      <c r="Z145">
        <v>37.028290940304714</v>
      </c>
      <c r="AA145">
        <v>8.2358127613856187</v>
      </c>
      <c r="AB145">
        <v>41.98640477890644</v>
      </c>
      <c r="AD145">
        <v>11.138654147698068</v>
      </c>
      <c r="AE145">
        <v>16.629169325595839</v>
      </c>
      <c r="AF145">
        <v>15.214013352285827</v>
      </c>
      <c r="AG145">
        <v>27.941335809339787</v>
      </c>
      <c r="AH145">
        <v>8.5369412646328211</v>
      </c>
      <c r="AI145">
        <v>1.8743801138126801</v>
      </c>
      <c r="AK145">
        <v>55.262890581055601</v>
      </c>
    </row>
    <row r="146" spans="1:37" x14ac:dyDescent="0.2">
      <c r="A146">
        <v>145</v>
      </c>
      <c r="B146">
        <v>782</v>
      </c>
      <c r="C146">
        <v>115</v>
      </c>
      <c r="D146">
        <v>0.48762782542766497</v>
      </c>
      <c r="E146">
        <v>110.52798424626401</v>
      </c>
      <c r="F146">
        <v>67.392122467230962</v>
      </c>
      <c r="G146">
        <v>73.418254521991827</v>
      </c>
      <c r="H146">
        <v>68.876856439823513</v>
      </c>
      <c r="J146">
        <v>68.678399635873504</v>
      </c>
      <c r="L146">
        <v>8.5917537817292899</v>
      </c>
      <c r="M146">
        <v>15.629337666692093</v>
      </c>
      <c r="N146">
        <v>1.9409057545783457</v>
      </c>
      <c r="O146">
        <v>41.127949232939265</v>
      </c>
      <c r="P146">
        <v>13.023623528269303</v>
      </c>
      <c r="R146">
        <v>22.163464942547133</v>
      </c>
      <c r="S146">
        <v>59.230745968253665</v>
      </c>
      <c r="U146">
        <v>3.7986013078110306</v>
      </c>
      <c r="V146">
        <v>48.390323576413046</v>
      </c>
      <c r="W146">
        <v>31.25122380896552</v>
      </c>
      <c r="X146">
        <v>43.121026853394383</v>
      </c>
      <c r="Y146">
        <v>9.8122133661630162</v>
      </c>
      <c r="Z146">
        <v>36.367240877999549</v>
      </c>
      <c r="AA146">
        <v>7.8969972604061187</v>
      </c>
      <c r="AB146">
        <v>41.783649216576542</v>
      </c>
      <c r="AD146">
        <v>10.749276400196662</v>
      </c>
      <c r="AE146">
        <v>16.373699179913032</v>
      </c>
      <c r="AF146">
        <v>15.238380525709116</v>
      </c>
      <c r="AG146">
        <v>27.723744825501246</v>
      </c>
      <c r="AH146">
        <v>8.0017715841103989</v>
      </c>
      <c r="AI146">
        <v>1.8761039748845383</v>
      </c>
      <c r="AK146">
        <v>55.047345440384994</v>
      </c>
    </row>
    <row r="147" spans="1:37" x14ac:dyDescent="0.2">
      <c r="A147">
        <v>146</v>
      </c>
      <c r="B147">
        <v>781</v>
      </c>
      <c r="C147">
        <v>115</v>
      </c>
      <c r="D147">
        <v>0.48707536878053398</v>
      </c>
      <c r="E147">
        <v>110.28359249232933</v>
      </c>
      <c r="F147">
        <v>66.085969357373145</v>
      </c>
      <c r="G147">
        <v>73.193596710701001</v>
      </c>
      <c r="H147">
        <v>68.649419738276862</v>
      </c>
      <c r="J147">
        <v>68.26338863721729</v>
      </c>
      <c r="L147">
        <v>8.2192113394695046</v>
      </c>
      <c r="M147">
        <v>15.657359437389646</v>
      </c>
      <c r="N147">
        <v>1.9428868975782942</v>
      </c>
      <c r="O147">
        <v>39.658488800849788</v>
      </c>
      <c r="P147">
        <v>12.597530222475269</v>
      </c>
      <c r="R147">
        <v>21.638834556297894</v>
      </c>
      <c r="S147">
        <v>58.481681566067614</v>
      </c>
      <c r="U147">
        <v>3.7998151898505372</v>
      </c>
      <c r="V147">
        <v>48.339838195281338</v>
      </c>
      <c r="W147">
        <v>31.037093129394567</v>
      </c>
      <c r="X147">
        <v>43.170487585187352</v>
      </c>
      <c r="Y147">
        <v>9.4021222306469703</v>
      </c>
      <c r="Z147">
        <v>35.620575142083226</v>
      </c>
      <c r="AA147">
        <v>7.5178101822086614</v>
      </c>
      <c r="AB147">
        <v>41.505262403282167</v>
      </c>
      <c r="AD147">
        <v>10.309330784921102</v>
      </c>
      <c r="AE147">
        <v>16.082817365982919</v>
      </c>
      <c r="AF147">
        <v>15.265262623555946</v>
      </c>
      <c r="AG147">
        <v>27.430523318257201</v>
      </c>
      <c r="AH147">
        <v>7.4033698326838282</v>
      </c>
      <c r="AI147">
        <v>1.8778254067792268</v>
      </c>
      <c r="AK147">
        <v>54.793167646792782</v>
      </c>
    </row>
    <row r="148" spans="1:37" x14ac:dyDescent="0.2">
      <c r="A148">
        <v>147</v>
      </c>
      <c r="B148">
        <v>780</v>
      </c>
      <c r="C148">
        <v>115</v>
      </c>
      <c r="D148">
        <v>0.48652186298248101</v>
      </c>
      <c r="E148">
        <v>110.00484502601266</v>
      </c>
      <c r="F148">
        <v>64.496783489583706</v>
      </c>
      <c r="G148">
        <v>72.924410897076953</v>
      </c>
      <c r="H148">
        <v>68.377467572456595</v>
      </c>
      <c r="J148">
        <v>67.681673019957728</v>
      </c>
      <c r="L148">
        <v>7.7594937585595547</v>
      </c>
      <c r="M148">
        <v>15.686757738348209</v>
      </c>
      <c r="N148">
        <v>1.9448650854704095</v>
      </c>
      <c r="O148">
        <v>37.884088535538297</v>
      </c>
      <c r="P148">
        <v>12.082385136558207</v>
      </c>
      <c r="R148">
        <v>20.973697928651823</v>
      </c>
      <c r="S148">
        <v>57.417331567115653</v>
      </c>
      <c r="U148">
        <v>3.8117051056255118</v>
      </c>
      <c r="V148">
        <v>48.226609496445882</v>
      </c>
      <c r="W148">
        <v>30.827207346998026</v>
      </c>
      <c r="X148">
        <v>43.25119626714396</v>
      </c>
      <c r="Y148">
        <v>8.9028652245948443</v>
      </c>
      <c r="Z148">
        <v>34.683477033416374</v>
      </c>
      <c r="AA148">
        <v>7.0527353301104014</v>
      </c>
      <c r="AB148">
        <v>41.069883225776785</v>
      </c>
      <c r="AD148">
        <v>9.7585808299074053</v>
      </c>
      <c r="AE148">
        <v>15.71119798290194</v>
      </c>
      <c r="AF148">
        <v>15.293518495666547</v>
      </c>
      <c r="AG148">
        <v>26.980308870664121</v>
      </c>
      <c r="AH148">
        <v>6.6706679576661969</v>
      </c>
      <c r="AI148">
        <v>1.8795430985088817</v>
      </c>
      <c r="AK148">
        <v>54.45323536071281</v>
      </c>
    </row>
    <row r="149" spans="1:37" x14ac:dyDescent="0.2">
      <c r="A149">
        <v>148</v>
      </c>
      <c r="B149">
        <v>779</v>
      </c>
      <c r="C149">
        <v>115</v>
      </c>
      <c r="D149">
        <v>0.48596730504205599</v>
      </c>
      <c r="E149">
        <v>109.36159165267161</v>
      </c>
      <c r="F149">
        <v>60.11137954624202</v>
      </c>
      <c r="G149">
        <v>72.249374724890146</v>
      </c>
      <c r="H149">
        <v>67.699677605996413</v>
      </c>
      <c r="J149">
        <v>65.662416886321068</v>
      </c>
      <c r="L149">
        <v>6.5083071714423024</v>
      </c>
      <c r="M149">
        <v>15.666981423025366</v>
      </c>
      <c r="N149">
        <v>1.9468241403362787</v>
      </c>
      <c r="O149">
        <v>33.270076267042114</v>
      </c>
      <c r="P149">
        <v>10.755527401368179</v>
      </c>
      <c r="R149">
        <v>19.065717911779277</v>
      </c>
      <c r="S149">
        <v>54.076703126777197</v>
      </c>
      <c r="U149">
        <v>3.8408441766825838</v>
      </c>
      <c r="V149">
        <v>47.769974007140377</v>
      </c>
      <c r="W149">
        <v>30.636974856410632</v>
      </c>
      <c r="X149">
        <v>43.377330658100981</v>
      </c>
      <c r="Y149">
        <v>7.5852570169118634</v>
      </c>
      <c r="Z149">
        <v>31.82562728758959</v>
      </c>
      <c r="AA149">
        <v>5.7949167722147834</v>
      </c>
      <c r="AB149">
        <v>39.474798965348697</v>
      </c>
      <c r="AD149">
        <v>8.112984793538212</v>
      </c>
      <c r="AE149">
        <v>14.489955498080933</v>
      </c>
      <c r="AF149">
        <v>15.272580822882226</v>
      </c>
      <c r="AG149">
        <v>25.370372591576562</v>
      </c>
      <c r="AH149">
        <v>4.6966856133776513</v>
      </c>
      <c r="AI149">
        <v>1.8812408703272538</v>
      </c>
      <c r="AK149">
        <v>53.258272496149019</v>
      </c>
    </row>
    <row r="150" spans="1:37" x14ac:dyDescent="0.2">
      <c r="A150">
        <v>149</v>
      </c>
      <c r="B150">
        <v>778</v>
      </c>
      <c r="C150">
        <v>115</v>
      </c>
      <c r="D150">
        <v>0.48541169195642903</v>
      </c>
      <c r="E150">
        <v>108.60568395570809</v>
      </c>
      <c r="F150">
        <v>54.84597537982156</v>
      </c>
      <c r="G150">
        <v>71.452611071315545</v>
      </c>
      <c r="H150">
        <v>66.900172735968567</v>
      </c>
      <c r="J150">
        <v>63.223797600682943</v>
      </c>
      <c r="L150">
        <v>5.0146244955669532</v>
      </c>
      <c r="M150">
        <v>15.613335554639221</v>
      </c>
      <c r="N150">
        <v>1.9487768678672401</v>
      </c>
      <c r="O150">
        <v>27.78873851276558</v>
      </c>
      <c r="P150">
        <v>9.1852155982263923</v>
      </c>
      <c r="R150">
        <v>16.785254898062959</v>
      </c>
      <c r="S150">
        <v>50.212992060132748</v>
      </c>
      <c r="U150">
        <v>3.8626508851262042</v>
      </c>
      <c r="V150">
        <v>47.264053671301326</v>
      </c>
      <c r="W150">
        <v>30.459022420497252</v>
      </c>
      <c r="X150">
        <v>43.48004763329746</v>
      </c>
      <c r="Y150">
        <v>6.0195568090879545</v>
      </c>
      <c r="Z150">
        <v>28.31518054196194</v>
      </c>
      <c r="AA150">
        <v>4.2936257396957078</v>
      </c>
      <c r="AB150">
        <v>37.596903743867365</v>
      </c>
      <c r="AD150">
        <v>6.0848071471371474</v>
      </c>
      <c r="AE150">
        <v>12.979210325399881</v>
      </c>
      <c r="AF150">
        <v>15.21776747942714</v>
      </c>
      <c r="AG150">
        <v>23.477621414056539</v>
      </c>
      <c r="AH150">
        <v>2.3263207564205395</v>
      </c>
      <c r="AI150">
        <v>1.8829315260974946</v>
      </c>
      <c r="AK150">
        <v>51.781468515637414</v>
      </c>
    </row>
    <row r="151" spans="1:37" x14ac:dyDescent="0.2">
      <c r="A151">
        <v>150</v>
      </c>
      <c r="B151">
        <v>777</v>
      </c>
      <c r="C151">
        <v>115</v>
      </c>
      <c r="D151">
        <v>0.48485502071132902</v>
      </c>
      <c r="E151">
        <v>107.92824214439993</v>
      </c>
      <c r="F151">
        <v>50.146165602867676</v>
      </c>
      <c r="G151">
        <v>70.741389987957419</v>
      </c>
      <c r="H151">
        <v>66.186223033915951</v>
      </c>
      <c r="J151">
        <v>61.078688895606987</v>
      </c>
      <c r="L151">
        <v>3.6823441680420075</v>
      </c>
      <c r="M151">
        <v>15.553394549738027</v>
      </c>
      <c r="N151">
        <v>1.9507341478093498</v>
      </c>
      <c r="O151">
        <v>22.895160742342814</v>
      </c>
      <c r="P151">
        <v>7.7860007314310975</v>
      </c>
      <c r="R151">
        <v>14.754315299157227</v>
      </c>
      <c r="S151">
        <v>46.889020307639981</v>
      </c>
      <c r="U151">
        <v>3.8743706238357851</v>
      </c>
      <c r="V151">
        <v>46.8537030878217</v>
      </c>
      <c r="W151">
        <v>30.283846278660512</v>
      </c>
      <c r="X151">
        <v>43.553928368610109</v>
      </c>
      <c r="Y151">
        <v>4.6241572767545698</v>
      </c>
      <c r="Z151">
        <v>25.14848637536317</v>
      </c>
      <c r="AA151">
        <v>2.9544785934571411</v>
      </c>
      <c r="AB151">
        <v>35.98073316320108</v>
      </c>
      <c r="AD151">
        <v>4.2458569023630446</v>
      </c>
      <c r="AE151">
        <v>11.620484715558243</v>
      </c>
      <c r="AF151">
        <v>15.156663766923108</v>
      </c>
      <c r="AG151">
        <v>21.846601825234973</v>
      </c>
      <c r="AH151">
        <v>0.19742203273227293</v>
      </c>
      <c r="AI151">
        <v>1.8846259437368922</v>
      </c>
      <c r="AK151">
        <v>50.463731221110642</v>
      </c>
    </row>
    <row r="152" spans="1:37" x14ac:dyDescent="0.2">
      <c r="A152">
        <v>151</v>
      </c>
      <c r="B152">
        <v>776</v>
      </c>
      <c r="C152">
        <v>115</v>
      </c>
      <c r="D152">
        <v>0.484297288280991</v>
      </c>
      <c r="E152">
        <v>108.433456083064</v>
      </c>
      <c r="F152">
        <v>50.765536260906089</v>
      </c>
      <c r="G152">
        <v>71.09986212613245</v>
      </c>
      <c r="H152">
        <v>66.541979171129384</v>
      </c>
      <c r="J152">
        <v>53.325057333047354</v>
      </c>
      <c r="L152">
        <v>2.4664192054918566</v>
      </c>
      <c r="M152">
        <v>15.37456097726651</v>
      </c>
      <c r="N152">
        <v>1.952752085359666</v>
      </c>
      <c r="O152">
        <v>15.473465198071233</v>
      </c>
      <c r="P152">
        <v>8.5262402302104974</v>
      </c>
      <c r="R152">
        <v>13.46942969249258</v>
      </c>
      <c r="S152">
        <v>42.104947643628712</v>
      </c>
      <c r="U152">
        <v>3.9385060281662865</v>
      </c>
      <c r="V152">
        <v>46.439602108002809</v>
      </c>
      <c r="W152">
        <v>29.950046979530821</v>
      </c>
      <c r="X152">
        <v>43.779056857920871</v>
      </c>
      <c r="Y152">
        <v>3.9986800880446087</v>
      </c>
      <c r="Z152">
        <v>22.870486534605607</v>
      </c>
      <c r="AA152">
        <v>1.4350215966018149</v>
      </c>
      <c r="AB152">
        <v>33.835390971472549</v>
      </c>
      <c r="AD152">
        <v>3.1173319705440115</v>
      </c>
      <c r="AE152">
        <v>10.006420792040887</v>
      </c>
      <c r="AF152">
        <v>14.976728364851537</v>
      </c>
      <c r="AG152">
        <v>19.686473683967055</v>
      </c>
      <c r="AI152">
        <v>1.8863802266130378</v>
      </c>
      <c r="AK152">
        <v>45.498199134203702</v>
      </c>
    </row>
    <row r="153" spans="1:37" x14ac:dyDescent="0.2">
      <c r="A153">
        <v>152</v>
      </c>
      <c r="B153">
        <v>775</v>
      </c>
      <c r="C153">
        <v>115</v>
      </c>
      <c r="D153">
        <v>0.483738491628109</v>
      </c>
      <c r="E153">
        <v>108.63422736381497</v>
      </c>
      <c r="F153">
        <v>50.65130187601661</v>
      </c>
      <c r="G153">
        <v>71.192642278462159</v>
      </c>
      <c r="H153">
        <v>66.632055960243534</v>
      </c>
      <c r="J153">
        <v>48.635031215172141</v>
      </c>
      <c r="L153">
        <v>1.3225391839487821</v>
      </c>
      <c r="M153">
        <v>15.167221040201712</v>
      </c>
      <c r="N153">
        <v>1.9547593873270193</v>
      </c>
      <c r="O153">
        <v>9.7911981516437852</v>
      </c>
      <c r="P153">
        <v>8.7350924080746761</v>
      </c>
      <c r="R153">
        <v>12.161046745736142</v>
      </c>
      <c r="S153">
        <v>38.671552059232837</v>
      </c>
      <c r="U153">
        <v>3.9506187375640418</v>
      </c>
      <c r="V153">
        <v>46.346729837001135</v>
      </c>
      <c r="W153">
        <v>29.628996242773358</v>
      </c>
      <c r="X153">
        <v>43.854417740413979</v>
      </c>
      <c r="Y153">
        <v>3.1405183000494059</v>
      </c>
      <c r="Z153">
        <v>21.341498881021256</v>
      </c>
      <c r="AA153">
        <v>0.14995067244968233</v>
      </c>
      <c r="AB153">
        <v>32.815949354364371</v>
      </c>
      <c r="AD153">
        <v>2.2478687171844229</v>
      </c>
      <c r="AE153">
        <v>9.0647280720304746</v>
      </c>
      <c r="AF153">
        <v>14.768276188348395</v>
      </c>
      <c r="AG153">
        <v>18.652237888295701</v>
      </c>
      <c r="AI153">
        <v>1.8881230797044806</v>
      </c>
      <c r="AK153">
        <v>42.423860721124441</v>
      </c>
    </row>
    <row r="154" spans="1:37" x14ac:dyDescent="0.2">
      <c r="A154">
        <v>153</v>
      </c>
      <c r="B154">
        <v>774</v>
      </c>
      <c r="C154">
        <v>115</v>
      </c>
      <c r="D154">
        <v>0.48317862770377201</v>
      </c>
      <c r="E154">
        <v>108.92644571801033</v>
      </c>
      <c r="F154">
        <v>50.376400785361831</v>
      </c>
      <c r="G154">
        <v>71.301402733167834</v>
      </c>
      <c r="H154">
        <v>66.738125709531573</v>
      </c>
      <c r="J154">
        <v>43.113565338349318</v>
      </c>
      <c r="L154">
        <v>1.4620795313275849</v>
      </c>
      <c r="M154">
        <v>14.795463880205398</v>
      </c>
      <c r="N154">
        <v>1.9567684589015606</v>
      </c>
      <c r="O154">
        <v>10.111298326087448</v>
      </c>
      <c r="P154">
        <v>8.9759142681731916</v>
      </c>
      <c r="R154">
        <v>12.064517579685484</v>
      </c>
      <c r="S154">
        <v>38.819807370517672</v>
      </c>
      <c r="U154">
        <v>3.9560407511322158</v>
      </c>
      <c r="V154">
        <v>46.717356941681331</v>
      </c>
      <c r="W154">
        <v>29.148989502988865</v>
      </c>
      <c r="X154">
        <v>43.910747062212607</v>
      </c>
      <c r="Y154">
        <v>3.099811571771367</v>
      </c>
      <c r="Z154">
        <v>19.131346319631184</v>
      </c>
      <c r="AB154">
        <v>31.624680033922495</v>
      </c>
      <c r="AD154">
        <v>1.1516267869287105</v>
      </c>
      <c r="AE154">
        <v>7.7315237256580804</v>
      </c>
      <c r="AF154">
        <v>14.395408789630018</v>
      </c>
      <c r="AG154">
        <v>17.446178571026341</v>
      </c>
      <c r="AI154">
        <v>1.8898669063707401</v>
      </c>
      <c r="AK154">
        <v>38.721963583378241</v>
      </c>
    </row>
    <row r="155" spans="1:37" x14ac:dyDescent="0.2">
      <c r="A155">
        <v>154</v>
      </c>
      <c r="B155">
        <v>773</v>
      </c>
      <c r="C155">
        <v>115</v>
      </c>
      <c r="D155">
        <v>0.48261769344740202</v>
      </c>
      <c r="E155">
        <v>109.15350804835852</v>
      </c>
      <c r="F155">
        <v>50.422894634632577</v>
      </c>
      <c r="G155">
        <v>71.362335535840344</v>
      </c>
      <c r="H155">
        <v>66.796380484673406</v>
      </c>
      <c r="J155">
        <v>39.486511723350411</v>
      </c>
      <c r="L155">
        <v>1.4789935606880973</v>
      </c>
      <c r="M155">
        <v>14.426275646641718</v>
      </c>
      <c r="N155">
        <v>1.9587750472228511</v>
      </c>
      <c r="O155">
        <v>9.9481606639646447</v>
      </c>
      <c r="P155">
        <v>9.1210856704040566</v>
      </c>
      <c r="R155">
        <v>11.823645262020344</v>
      </c>
      <c r="S155">
        <v>38.898877525567329</v>
      </c>
      <c r="U155">
        <v>3.9456368826065598</v>
      </c>
      <c r="V155">
        <v>47.14383544344637</v>
      </c>
      <c r="W155">
        <v>28.683245188847817</v>
      </c>
      <c r="X155">
        <v>43.921716182471229</v>
      </c>
      <c r="Y155">
        <v>2.9525582001815298</v>
      </c>
      <c r="Z155">
        <v>17.901993724411646</v>
      </c>
      <c r="AB155">
        <v>31.139058925269005</v>
      </c>
      <c r="AD155">
        <v>0.5032884107436556</v>
      </c>
      <c r="AE155">
        <v>6.9935079327713545</v>
      </c>
      <c r="AF155">
        <v>14.025108070574202</v>
      </c>
      <c r="AG155">
        <v>16.945767400010055</v>
      </c>
      <c r="AI155">
        <v>1.8916074519205142</v>
      </c>
      <c r="AK155">
        <v>36.246151963279708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86EAE-F45A-4FBF-8B52-38E5398322B1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18.2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76.36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6.9000000000000006E-2</v>
      </c>
      <c r="D3" t="s">
        <v>23</v>
      </c>
      <c r="E3">
        <v>1</v>
      </c>
    </row>
    <row r="4" spans="1:8" x14ac:dyDescent="0.2">
      <c r="A4" t="s">
        <v>4</v>
      </c>
      <c r="B4">
        <v>12.65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0.52</v>
      </c>
      <c r="D7" t="s">
        <v>26</v>
      </c>
      <c r="E7">
        <v>20</v>
      </c>
    </row>
    <row r="8" spans="1:8" x14ac:dyDescent="0.2">
      <c r="A8" t="s">
        <v>8</v>
      </c>
      <c r="B8">
        <v>2.4E-2</v>
      </c>
    </row>
    <row r="9" spans="1:8" x14ac:dyDescent="0.2">
      <c r="A9" t="s">
        <v>9</v>
      </c>
      <c r="B9">
        <v>0.05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0.54</v>
      </c>
    </row>
    <row r="13" spans="1:8" x14ac:dyDescent="0.2">
      <c r="A13" t="s">
        <v>13</v>
      </c>
      <c r="B13">
        <v>3.97</v>
      </c>
    </row>
    <row r="14" spans="1:8" x14ac:dyDescent="0.2">
      <c r="A14" t="s">
        <v>14</v>
      </c>
      <c r="B14">
        <v>4.6100000000000003</v>
      </c>
    </row>
    <row r="15" spans="1:8" x14ac:dyDescent="0.2">
      <c r="A15" t="s">
        <v>15</v>
      </c>
      <c r="B15">
        <v>6.0000000000000001E-3</v>
      </c>
    </row>
    <row r="16" spans="1:8" x14ac:dyDescent="0.2">
      <c r="A16" t="s">
        <v>16</v>
      </c>
      <c r="B16">
        <v>10.867229999999999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2025-06-12T13:47:02Z</dcterms:created>
  <dcterms:modified xsi:type="dcterms:W3CDTF">2025-06-12T13:48:42Z</dcterms:modified>
</cp:coreProperties>
</file>