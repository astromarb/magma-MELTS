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13_ncr:1_{8879BDD1-D537-4E5C-B4D6-9B69919D153B}" xr6:coauthVersionLast="47" xr6:coauthVersionMax="47" xr10:uidLastSave="{00000000-0000-0000-0000-000000000000}"/>
  <bookViews>
    <workbookView xWindow="31140" yWindow="5760" windowWidth="14790" windowHeight="15480" activeTab="1" xr2:uid="{D6C6B0F1-480C-4319-A5F6-F93CF14342C4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leucite" sheetId="11" r:id="rId9"/>
    <sheet name="orthopyroxen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B1" i="18"/>
  <c r="C8" i="14"/>
  <c r="F7" i="14"/>
  <c r="H2" i="14"/>
  <c r="I6" i="14"/>
  <c r="D9" i="14"/>
  <c r="F3" i="14"/>
  <c r="B7" i="14"/>
  <c r="H10" i="14"/>
  <c r="F2" i="14"/>
  <c r="F11" i="14"/>
  <c r="B3" i="14"/>
  <c r="J4" i="14"/>
  <c r="G8" i="14"/>
  <c r="D3" i="14"/>
  <c r="F4" i="14"/>
  <c r="C2" i="14"/>
  <c r="C6" i="14"/>
  <c r="F8" i="14"/>
  <c r="H7" i="14"/>
  <c r="G6" i="14"/>
  <c r="I3" i="14"/>
  <c r="B8" i="14"/>
  <c r="G9" i="14"/>
  <c r="C3" i="14"/>
  <c r="D10" i="14"/>
  <c r="E8" i="14"/>
  <c r="E9" i="14"/>
  <c r="G2" i="14"/>
  <c r="B6" i="14"/>
  <c r="E10" i="14"/>
  <c r="B4" i="14"/>
  <c r="J11" i="14"/>
  <c r="F9" i="14"/>
  <c r="I4" i="14"/>
  <c r="I11" i="14"/>
  <c r="I10" i="14"/>
  <c r="H8" i="14"/>
  <c r="F10" i="14"/>
  <c r="C11" i="14"/>
  <c r="G10" i="14"/>
  <c r="E7" i="14"/>
  <c r="E11" i="14"/>
  <c r="F6" i="14"/>
  <c r="G4" i="14"/>
  <c r="B5" i="14"/>
  <c r="J6" i="14"/>
  <c r="E3" i="14"/>
  <c r="D11" i="14"/>
  <c r="J9" i="14"/>
  <c r="I2" i="14"/>
  <c r="H3" i="14"/>
  <c r="H6" i="14"/>
  <c r="J8" i="14"/>
  <c r="H9" i="14"/>
  <c r="B10" i="14"/>
  <c r="E4" i="14"/>
  <c r="G7" i="14"/>
  <c r="B9" i="14"/>
  <c r="C10" i="14"/>
  <c r="E6" i="14"/>
  <c r="D8" i="14"/>
  <c r="I7" i="14"/>
  <c r="I9" i="14"/>
  <c r="J7" i="14"/>
  <c r="C9" i="14"/>
  <c r="C7" i="14"/>
  <c r="D7" i="14"/>
  <c r="J2" i="14"/>
  <c r="B2" i="14"/>
  <c r="C4" i="14"/>
  <c r="D2" i="14"/>
  <c r="H4" i="14"/>
  <c r="G11" i="14"/>
  <c r="H11" i="14"/>
  <c r="D4" i="14"/>
  <c r="B11" i="14"/>
  <c r="J10" i="14"/>
  <c r="G3" i="14"/>
  <c r="E2" i="14"/>
  <c r="I8" i="14"/>
  <c r="D6" i="14"/>
  <c r="F2" i="18" l="1"/>
  <c r="H3" i="18"/>
  <c r="J4" i="18"/>
  <c r="D3" i="18"/>
  <c r="J2" i="18"/>
  <c r="E2" i="18"/>
  <c r="D2" i="18"/>
  <c r="G3" i="18"/>
  <c r="C3" i="18"/>
  <c r="E4" i="18"/>
  <c r="C2" i="18"/>
  <c r="E3" i="18"/>
  <c r="F4" i="18"/>
  <c r="H2" i="18"/>
  <c r="J3" i="18"/>
  <c r="I3" i="18"/>
  <c r="F3" i="18"/>
  <c r="I4" i="18"/>
  <c r="H4" i="18"/>
  <c r="G4" i="18"/>
  <c r="I2" i="18"/>
  <c r="D4" i="18"/>
  <c r="G2" i="18"/>
  <c r="C4" i="18"/>
  <c r="B4" i="18"/>
  <c r="B3" i="18"/>
  <c r="B2" i="18"/>
  <c r="J6" i="18" l="1"/>
  <c r="J7" i="18"/>
  <c r="I6" i="18"/>
  <c r="I7" i="18"/>
  <c r="D7" i="18"/>
  <c r="D6" i="18"/>
  <c r="G6" i="18"/>
  <c r="G7" i="18"/>
  <c r="H6" i="18"/>
  <c r="H7" i="18"/>
  <c r="C7" i="18"/>
  <c r="C6" i="18"/>
  <c r="E6" i="18"/>
  <c r="E7" i="18"/>
  <c r="F6" i="18"/>
  <c r="F7" i="18"/>
  <c r="B6" i="18"/>
  <c r="B7" i="18"/>
  <c r="L7" i="18" l="1"/>
  <c r="L6" i="18"/>
  <c r="B13" i="18" s="1"/>
  <c r="M7" i="18"/>
  <c r="N7" i="18"/>
  <c r="M6" i="18"/>
  <c r="N6" i="18"/>
  <c r="P6" i="18" s="1" a="1"/>
  <c r="P7" i="18" a="1"/>
  <c r="R7" i="18" l="1"/>
  <c r="P7" i="18"/>
  <c r="Q7" i="18"/>
  <c r="R6" i="18"/>
  <c r="Q6" i="18"/>
  <c r="P6" i="18"/>
  <c r="B9" i="18"/>
  <c r="B14" i="18" l="1"/>
  <c r="C9" i="18"/>
  <c r="D9" i="18"/>
  <c r="I9" i="18"/>
  <c r="E9" i="18"/>
  <c r="G9" i="18"/>
  <c r="J9" i="18"/>
  <c r="F9" i="18"/>
  <c r="H9" i="18"/>
  <c r="C14" i="18"/>
  <c r="G10" i="18"/>
  <c r="D10" i="18"/>
  <c r="E10" i="18"/>
  <c r="F10" i="18"/>
  <c r="H10" i="18"/>
  <c r="I10" i="18"/>
  <c r="J10" i="18"/>
  <c r="C10" i="18"/>
  <c r="C13" i="18"/>
  <c r="B10" i="18"/>
</calcChain>
</file>

<file path=xl/sharedStrings.xml><?xml version="1.0" encoding="utf-8"?>
<sst xmlns="http://schemas.openxmlformats.org/spreadsheetml/2006/main" count="628" uniqueCount="152">
  <si>
    <t xml:space="preserve"> </t>
  </si>
  <si>
    <t>060925-KCP109A-c1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</si>
  <si>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</si>
  <si>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</si>
  <si>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</si>
  <si>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</si>
  <si>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</si>
  <si>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</si>
  <si>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</si>
  <si>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</si>
  <si>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</si>
  <si>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</si>
  <si>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</si>
  <si>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</si>
  <si>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</si>
  <si>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</si>
  <si>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</si>
  <si>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</si>
  <si>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</si>
  <si>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</si>
  <si>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</si>
  <si>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</si>
  <si>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</si>
  <si>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</si>
  <si>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</si>
  <si>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</si>
  <si>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</si>
  <si>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</si>
  <si>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</si>
  <si>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</si>
  <si>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</si>
  <si>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</si>
  <si>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</si>
  <si>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</si>
  <si>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</si>
  <si>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</si>
  <si>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</si>
  <si>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</si>
  <si>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</si>
  <si>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</si>
  <si>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</si>
  <si>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</si>
  <si>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</si>
  <si>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</si>
  <si>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</si>
  <si>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</si>
  <si>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</si>
  <si>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</si>
  <si>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</si>
  <si>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</si>
  <si>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</si>
  <si>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</si>
  <si>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</si>
  <si>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</si>
  <si>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</si>
  <si>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</si>
  <si>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</si>
  <si>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</si>
  <si>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</si>
  <si>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</si>
  <si>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</si>
  <si>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</si>
  <si>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</si>
  <si>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</si>
  <si>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</si>
  <si>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</si>
  <si>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</si>
  <si>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</si>
  <si>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</si>
  <si>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</si>
  <si>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</si>
  <si>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</si>
  <si>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</si>
  <si>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</si>
  <si>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</si>
  <si>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</si>
  <si>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</si>
  <si>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</si>
  <si>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</si>
  <si>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</si>
  <si>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</si>
  <si>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</si>
  <si>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</si>
  <si>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</si>
  <si>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</si>
  <si>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</si>
  <si>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</si>
  <si>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</si>
  <si>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</si>
  <si>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</si>
  <si>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</si>
  <si>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</si>
  <si>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</si>
  <si>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</si>
  <si>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</si>
  <si>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</si>
  <si>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</si>
  <si>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</si>
  <si>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</si>
  <si>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</si>
  <si>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</si>
  <si>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</si>
  <si>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</si>
  <si>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</si>
  <si>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</si>
  <si>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</si>
  <si>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</si>
  <si>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</si>
  <si>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</si>
  <si>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</si>
  <si>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</si>
  <si>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</si>
  <si>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</si>
  <si>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</si>
  <si>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</si>
  <si>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</si>
  <si>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</si>
  <si>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</si>
  <si>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</si>
  <si>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</si>
  <si>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</si>
  <si>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</si>
  <si>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</si>
  <si>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</si>
  <si>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analcime</t>
  </si>
  <si>
    <t>na-leucite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</si>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</sst>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764</c:v>
                </c:pt>
                <c:pt idx="1">
                  <c:v>764</c:v>
                </c:pt>
                <c:pt idx="2">
                  <c:v>764</c:v>
                </c:pt>
                <c:pt idx="3">
                  <c:v>764</c:v>
                </c:pt>
                <c:pt idx="4">
                  <c:v>764</c:v>
                </c:pt>
                <c:pt idx="5">
                  <c:v>766</c:v>
                </c:pt>
                <c:pt idx="6">
                  <c:v>776</c:v>
                </c:pt>
                <c:pt idx="7">
                  <c:v>788</c:v>
                </c:pt>
                <c:pt idx="8">
                  <c:v>804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00-468D-ADE7-2E2D5A65C81B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754</c:v>
                </c:pt>
                <c:pt idx="6">
                  <c:v>760</c:v>
                </c:pt>
                <c:pt idx="7">
                  <c:v>768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00-468D-ADE7-2E2D5A65C81B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752</c:v>
                </c:pt>
                <c:pt idx="5">
                  <c:v>756</c:v>
                </c:pt>
                <c:pt idx="6">
                  <c:v>764</c:v>
                </c:pt>
                <c:pt idx="7">
                  <c:v>772</c:v>
                </c:pt>
                <c:pt idx="8">
                  <c:v>784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00-468D-ADE7-2E2D5A65C81B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00-468D-ADE7-2E2D5A65C81B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400-468D-ADE7-2E2D5A65C81B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742</c:v>
                </c:pt>
                <c:pt idx="3">
                  <c:v>750</c:v>
                </c:pt>
                <c:pt idx="4">
                  <c:v>756</c:v>
                </c:pt>
                <c:pt idx="5">
                  <c:v>764</c:v>
                </c:pt>
                <c:pt idx="6">
                  <c:v>774</c:v>
                </c:pt>
                <c:pt idx="7">
                  <c:v>786</c:v>
                </c:pt>
                <c:pt idx="8">
                  <c:v>804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400-468D-ADE7-2E2D5A65C81B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742</c:v>
                </c:pt>
                <c:pt idx="3">
                  <c:v>748</c:v>
                </c:pt>
                <c:pt idx="4">
                  <c:v>752</c:v>
                </c:pt>
                <c:pt idx="5">
                  <c:v>758</c:v>
                </c:pt>
                <c:pt idx="6">
                  <c:v>764</c:v>
                </c:pt>
                <c:pt idx="7">
                  <c:v>774</c:v>
                </c:pt>
                <c:pt idx="8">
                  <c:v>786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400-468D-ADE7-2E2D5A65C81B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764</c:v>
                </c:pt>
                <c:pt idx="6">
                  <c:v>770</c:v>
                </c:pt>
                <c:pt idx="7">
                  <c:v>780</c:v>
                </c:pt>
                <c:pt idx="8">
                  <c:v>792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400-468D-ADE7-2E2D5A65C81B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Phase_Data!$B$10:$J$10</c:f>
              <c:numCache>
                <c:formatCode>General</c:formatCode>
                <c:ptCount val="9"/>
                <c:pt idx="0">
                  <c:v>764</c:v>
                </c:pt>
                <c:pt idx="1">
                  <c:v>764</c:v>
                </c:pt>
                <c:pt idx="2">
                  <c:v>764</c:v>
                </c:pt>
                <c:pt idx="3">
                  <c:v>764</c:v>
                </c:pt>
                <c:pt idx="4">
                  <c:v>764</c:v>
                </c:pt>
                <c:pt idx="5">
                  <c:v>766</c:v>
                </c:pt>
                <c:pt idx="6">
                  <c:v>776</c:v>
                </c:pt>
                <c:pt idx="7">
                  <c:v>788</c:v>
                </c:pt>
                <c:pt idx="8">
                  <c:v>804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400-468D-ADE7-2E2D5A65C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815071"/>
        <c:axId val="171876367"/>
      </c:scatterChart>
      <c:valAx>
        <c:axId val="17328150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71876367"/>
        <c:crosses val="autoZero"/>
        <c:crossBetween val="midCat"/>
      </c:valAx>
      <c:valAx>
        <c:axId val="171876367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732815071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764</c:v>
                </c:pt>
                <c:pt idx="6">
                  <c:v>770</c:v>
                </c:pt>
                <c:pt idx="7">
                  <c:v>780</c:v>
                </c:pt>
                <c:pt idx="8">
                  <c:v>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DE-4A79-8958-503F9A17EDB9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742</c:v>
                </c:pt>
                <c:pt idx="3">
                  <c:v>750</c:v>
                </c:pt>
                <c:pt idx="4">
                  <c:v>756</c:v>
                </c:pt>
                <c:pt idx="5">
                  <c:v>764</c:v>
                </c:pt>
                <c:pt idx="6">
                  <c:v>774</c:v>
                </c:pt>
                <c:pt idx="7">
                  <c:v>786</c:v>
                </c:pt>
                <c:pt idx="8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DE-4A79-8958-503F9A17EDB9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742</c:v>
                </c:pt>
                <c:pt idx="3">
                  <c:v>748</c:v>
                </c:pt>
                <c:pt idx="4">
                  <c:v>752</c:v>
                </c:pt>
                <c:pt idx="5">
                  <c:v>758</c:v>
                </c:pt>
                <c:pt idx="6">
                  <c:v>764</c:v>
                </c:pt>
                <c:pt idx="7">
                  <c:v>774</c:v>
                </c:pt>
                <c:pt idx="8">
                  <c:v>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DE-4A79-8958-503F9A17E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2181119"/>
        <c:axId val="1742178239"/>
      </c:scatterChart>
      <c:valAx>
        <c:axId val="174218111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42178239"/>
        <c:crosses val="autoZero"/>
        <c:crossBetween val="midCat"/>
      </c:valAx>
      <c:valAx>
        <c:axId val="174217823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4218111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762</c:v>
                </c:pt>
                <c:pt idx="1">
                  <c:v>762</c:v>
                </c:pt>
                <c:pt idx="2">
                  <c:v>762</c:v>
                </c:pt>
                <c:pt idx="3">
                  <c:v>762</c:v>
                </c:pt>
                <c:pt idx="4">
                  <c:v>762</c:v>
                </c:pt>
                <c:pt idx="5">
                  <c:v>764</c:v>
                </c:pt>
                <c:pt idx="6">
                  <c:v>770</c:v>
                </c:pt>
                <c:pt idx="7">
                  <c:v>780</c:v>
                </c:pt>
                <c:pt idx="8">
                  <c:v>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B-4D30-8EDC-4E3B8A81178A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742</c:v>
                </c:pt>
                <c:pt idx="3">
                  <c:v>750</c:v>
                </c:pt>
                <c:pt idx="4">
                  <c:v>756</c:v>
                </c:pt>
                <c:pt idx="5">
                  <c:v>764</c:v>
                </c:pt>
                <c:pt idx="6">
                  <c:v>774</c:v>
                </c:pt>
                <c:pt idx="7">
                  <c:v>786</c:v>
                </c:pt>
                <c:pt idx="8">
                  <c:v>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B-4D30-8EDC-4E3B8A811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415679"/>
        <c:axId val="1716417119"/>
      </c:scatterChart>
      <c:valAx>
        <c:axId val="171641567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16417119"/>
        <c:crosses val="autoZero"/>
        <c:crossBetween val="midCat"/>
      </c:valAx>
      <c:valAx>
        <c:axId val="171641711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1641567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26</c:v>
                </c:pt>
                <c:pt idx="1">
                  <c:v>22</c:v>
                </c:pt>
                <c:pt idx="2">
                  <c:v>20</c:v>
                </c:pt>
                <c:pt idx="3">
                  <c:v>14</c:v>
                </c:pt>
                <c:pt idx="4">
                  <c:v>10</c:v>
                </c:pt>
                <c:pt idx="5">
                  <c:v>6</c:v>
                </c:pt>
                <c:pt idx="6">
                  <c:v>10</c:v>
                </c:pt>
                <c:pt idx="7">
                  <c:v>12</c:v>
                </c:pt>
                <c:pt idx="8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0-4273-810B-3A9127E81756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C0-4273-810B-3A9127E81756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C0-4273-810B-3A9127E81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6416639"/>
        <c:axId val="178431087"/>
      </c:scatterChart>
      <c:valAx>
        <c:axId val="171641663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8431087"/>
        <c:crosses val="autoZero"/>
        <c:crossBetween val="midCat"/>
      </c:valAx>
      <c:valAx>
        <c:axId val="17843108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1641663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26</c:v>
                </c:pt>
                <c:pt idx="1">
                  <c:v>22</c:v>
                </c:pt>
                <c:pt idx="2">
                  <c:v>20</c:v>
                </c:pt>
                <c:pt idx="3">
                  <c:v>12</c:v>
                </c:pt>
                <c:pt idx="4">
                  <c:v>6</c:v>
                </c:pt>
                <c:pt idx="5">
                  <c:v>0</c:v>
                </c:pt>
                <c:pt idx="6">
                  <c:v>4</c:v>
                </c:pt>
                <c:pt idx="7">
                  <c:v>6</c:v>
                </c:pt>
                <c:pt idx="8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D2-4922-9663-B3746B05C8A9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55.314285714299331</c:v>
                </c:pt>
                <c:pt idx="1">
                  <c:v>37.200000000008544</c:v>
                </c:pt>
                <c:pt idx="2">
                  <c:v>22.800000000004587</c:v>
                </c:pt>
                <c:pt idx="3">
                  <c:v>12.114285714287462</c:v>
                </c:pt>
                <c:pt idx="4">
                  <c:v>5.1428571428571672</c:v>
                </c:pt>
                <c:pt idx="5">
                  <c:v>1.8857142857136893</c:v>
                </c:pt>
                <c:pt idx="6">
                  <c:v>2.342857142857028</c:v>
                </c:pt>
                <c:pt idx="7">
                  <c:v>6.5142857142871833</c:v>
                </c:pt>
                <c:pt idx="8">
                  <c:v>14.400000000004169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D2-4922-9663-B3746B05C8A9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165.57692307692542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1.6218681318675721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D2-4922-9663-B3746B05C8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30127"/>
        <c:axId val="1716416639"/>
      </c:scatterChart>
      <c:valAx>
        <c:axId val="17843012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16416639"/>
        <c:crosses val="autoZero"/>
        <c:crossBetween val="midCat"/>
      </c:valAx>
      <c:valAx>
        <c:axId val="171641663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843012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758C538-4272-40BF-8E38-B7C6232826F5}">
  <sheetPr codeName="Chart1"/>
  <sheetViews>
    <sheetView zoomScale="10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223" cy="629759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EA6BD8-441F-FD46-0D85-0DC8B6A5939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C0FF02-1FA8-868E-D281-6045208AA6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0DAC94-F985-A57E-59A4-021F24394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1AE28A-155A-18A8-A735-D7EF1B56E7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32BFFC6-D92D-B865-1216-80BDFDB206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E499-7068-40B3-A620-13F14236DB55}">
  <dimension ref="A1:R14"/>
  <sheetViews>
    <sheetView tabSelected="1" workbookViewId="0"/>
  </sheetViews>
  <sheetFormatPr defaultRowHeight="15" x14ac:dyDescent="0.2"/>
  <sheetData>
    <row r="1" spans="1:18" x14ac:dyDescent="0.2">
      <c r="A1" t="s">
        <v>137</v>
      </c>
      <c r="B1">
        <f>Phase_Data!B1</f>
        <v>300</v>
      </c>
      <c r="C1">
        <f>Phase_Data!C1</f>
        <v>275</v>
      </c>
      <c r="D1">
        <f>Phase_Data!D1</f>
        <v>250</v>
      </c>
      <c r="E1">
        <f>Phase_Data!E1</f>
        <v>225</v>
      </c>
      <c r="F1">
        <f>Phase_Data!F1</f>
        <v>200</v>
      </c>
      <c r="G1">
        <f>Phase_Data!G1</f>
        <v>175</v>
      </c>
      <c r="H1">
        <f>Phase_Data!H1</f>
        <v>150</v>
      </c>
      <c r="I1">
        <f>Phase_Data!I1</f>
        <v>125</v>
      </c>
      <c r="J1">
        <f>Phase_Data!J1</f>
        <v>100</v>
      </c>
      <c r="L1" t="s">
        <v>144</v>
      </c>
      <c r="M1" t="s">
        <v>145</v>
      </c>
      <c r="N1" t="s">
        <v>146</v>
      </c>
      <c r="P1" t="s">
        <v>147</v>
      </c>
      <c r="Q1" t="s">
        <v>148</v>
      </c>
      <c r="R1" t="s">
        <v>149</v>
      </c>
    </row>
    <row r="2" spans="1:18" x14ac:dyDescent="0.2">
      <c r="A2" t="s">
        <v>96</v>
      </c>
      <c r="B2">
        <f ca="1">IFERROR(VLOOKUP($A2,Phase_Data!$1:$1048576,COLUMN(),0),"-")</f>
        <v>762</v>
      </c>
      <c r="C2">
        <f ca="1">IFERROR(VLOOKUP($A2,Phase_Data!$1:$1048576,COLUMN(),0),"-")</f>
        <v>762</v>
      </c>
      <c r="D2">
        <f ca="1">IFERROR(VLOOKUP($A2,Phase_Data!$1:$1048576,COLUMN(),0),"-")</f>
        <v>762</v>
      </c>
      <c r="E2">
        <f ca="1">IFERROR(VLOOKUP($A2,Phase_Data!$1:$1048576,COLUMN(),0),"-")</f>
        <v>762</v>
      </c>
      <c r="F2">
        <f ca="1">IFERROR(VLOOKUP($A2,Phase_Data!$1:$1048576,COLUMN(),0),"-")</f>
        <v>762</v>
      </c>
      <c r="G2">
        <f ca="1">IFERROR(VLOOKUP($A2,Phase_Data!$1:$1048576,COLUMN(),0),"-")</f>
        <v>764</v>
      </c>
      <c r="H2">
        <f ca="1">IFERROR(VLOOKUP($A2,Phase_Data!$1:$1048576,COLUMN(),0),"-")</f>
        <v>770</v>
      </c>
      <c r="I2">
        <f ca="1">IFERROR(VLOOKUP($A2,Phase_Data!$1:$1048576,COLUMN(),0),"-")</f>
        <v>780</v>
      </c>
      <c r="J2">
        <f ca="1">IFERROR(VLOOKUP($A2,Phase_Data!$1:$1048576,COLUMN(),0),"-")</f>
        <v>792</v>
      </c>
    </row>
    <row r="3" spans="1:18" x14ac:dyDescent="0.2">
      <c r="A3" t="s">
        <v>135</v>
      </c>
      <c r="B3">
        <f ca="1">IFERROR(VLOOKUP($A3,Phase_Data!$1:$1048576,COLUMN(),0),"-")</f>
        <v>736</v>
      </c>
      <c r="C3">
        <f ca="1">IFERROR(VLOOKUP($A3,Phase_Data!$1:$1048576,COLUMN(),0),"-")</f>
        <v>740</v>
      </c>
      <c r="D3">
        <f ca="1">IFERROR(VLOOKUP($A3,Phase_Data!$1:$1048576,COLUMN(),0),"-")</f>
        <v>742</v>
      </c>
      <c r="E3">
        <f ca="1">IFERROR(VLOOKUP($A3,Phase_Data!$1:$1048576,COLUMN(),0),"-")</f>
        <v>750</v>
      </c>
      <c r="F3">
        <f ca="1">IFERROR(VLOOKUP($A3,Phase_Data!$1:$1048576,COLUMN(),0),"-")</f>
        <v>756</v>
      </c>
      <c r="G3">
        <f ca="1">IFERROR(VLOOKUP($A3,Phase_Data!$1:$1048576,COLUMN(),0),"-")</f>
        <v>764</v>
      </c>
      <c r="H3">
        <f ca="1">IFERROR(VLOOKUP($A3,Phase_Data!$1:$1048576,COLUMN(),0),"-")</f>
        <v>774</v>
      </c>
      <c r="I3">
        <f ca="1">IFERROR(VLOOKUP($A3,Phase_Data!$1:$1048576,COLUMN(),0),"-")</f>
        <v>786</v>
      </c>
      <c r="J3">
        <f ca="1">IFERROR(VLOOKUP($A3,Phase_Data!$1:$1048576,COLUMN(),0),"-")</f>
        <v>804</v>
      </c>
    </row>
    <row r="4" spans="1:18" x14ac:dyDescent="0.2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740</v>
      </c>
      <c r="D4">
        <f ca="1">IFERROR(VLOOKUP($A4,Phase_Data!$1:$1048576,COLUMN(),0),"-")</f>
        <v>742</v>
      </c>
      <c r="E4">
        <f ca="1">IFERROR(VLOOKUP($A4,Phase_Data!$1:$1048576,COLUMN(),0),"-")</f>
        <v>748</v>
      </c>
      <c r="F4">
        <f ca="1">IFERROR(VLOOKUP($A4,Phase_Data!$1:$1048576,COLUMN(),0),"-")</f>
        <v>752</v>
      </c>
      <c r="G4">
        <f ca="1">IFERROR(VLOOKUP($A4,Phase_Data!$1:$1048576,COLUMN(),0),"-")</f>
        <v>758</v>
      </c>
      <c r="H4">
        <f ca="1">IFERROR(VLOOKUP($A4,Phase_Data!$1:$1048576,COLUMN(),0),"-")</f>
        <v>764</v>
      </c>
      <c r="I4">
        <f ca="1">IFERROR(VLOOKUP($A4,Phase_Data!$1:$1048576,COLUMN(),0),"-")</f>
        <v>774</v>
      </c>
      <c r="J4">
        <f ca="1">IFERROR(VLOOKUP($A4,Phase_Data!$1:$1048576,COLUMN(),0),"-")</f>
        <v>786</v>
      </c>
    </row>
    <row r="6" spans="1:18" x14ac:dyDescent="0.2">
      <c r="A6" t="s">
        <v>138</v>
      </c>
      <c r="B6">
        <f ca="1">IF(AND(B2&lt;&gt;0,B3&lt;&gt;0,B4&lt;&gt;0),MAX(B2:B4)-MIN(B2:B4),"-")</f>
        <v>26</v>
      </c>
      <c r="C6">
        <f t="shared" ref="C6:J6" ca="1" si="0">IF(AND(C2&lt;&gt;0,C3&lt;&gt;0,C4&lt;&gt;0),MAX(C2:C4)-MIN(C2:C4),"-")</f>
        <v>22</v>
      </c>
      <c r="D6">
        <f t="shared" ca="1" si="0"/>
        <v>20</v>
      </c>
      <c r="E6">
        <f t="shared" ca="1" si="0"/>
        <v>14</v>
      </c>
      <c r="F6">
        <f t="shared" ca="1" si="0"/>
        <v>10</v>
      </c>
      <c r="G6">
        <f t="shared" ca="1" si="0"/>
        <v>6</v>
      </c>
      <c r="H6">
        <f t="shared" ca="1" si="0"/>
        <v>10</v>
      </c>
      <c r="I6">
        <f t="shared" ca="1" si="0"/>
        <v>12</v>
      </c>
      <c r="J6">
        <f t="shared" ca="1" si="0"/>
        <v>18</v>
      </c>
      <c r="L6">
        <f ca="1">MIN(B6:J6)</f>
        <v>6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139</v>
      </c>
      <c r="B7">
        <f ca="1">IF(AND(MAX(B2:B4)&lt;&gt;0,LARGE(B2:B4,2)&lt;&gt;0),MAX(B2:B4)-LARGE(B2:B4,2),"-")</f>
        <v>26</v>
      </c>
      <c r="C7">
        <f t="shared" ref="C7:J7" ca="1" si="1">IF(AND(MAX(C2:C4)&lt;&gt;0,LARGE(C2:C4,2)&lt;&gt;0),MAX(C2:C4)-LARGE(C2:C4,2),"-")</f>
        <v>22</v>
      </c>
      <c r="D7">
        <f t="shared" ca="1" si="1"/>
        <v>20</v>
      </c>
      <c r="E7">
        <f t="shared" ca="1" si="1"/>
        <v>12</v>
      </c>
      <c r="F7">
        <f t="shared" ca="1" si="1"/>
        <v>6</v>
      </c>
      <c r="G7">
        <f t="shared" ca="1" si="1"/>
        <v>0</v>
      </c>
      <c r="H7">
        <f t="shared" ca="1" si="1"/>
        <v>4</v>
      </c>
      <c r="I7">
        <f t="shared" ca="1" si="1"/>
        <v>6</v>
      </c>
      <c r="J7">
        <f t="shared" ca="1" si="1"/>
        <v>12</v>
      </c>
      <c r="L7">
        <f ca="1">MIN(B7:J7)</f>
        <v>0</v>
      </c>
      <c r="M7">
        <f ca="1">IF(L7&lt;=5,INDEX(B$1:J$1,1,MATCH(L7,B7:J7,0)),"-")</f>
        <v>175</v>
      </c>
      <c r="N7">
        <f ca="1">IF(L7&lt;=5,MATCH(L7,B7:J7,0),"-")</f>
        <v>6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83.085714285740323</v>
      </c>
      <c r="Q7">
        <f ca="1"/>
        <v>-0.9840000000003073</v>
      </c>
      <c r="R7">
        <f ca="1"/>
        <v>2.9714285714294575E-3</v>
      </c>
    </row>
    <row r="9" spans="1:18" x14ac:dyDescent="0.2">
      <c r="A9" t="s">
        <v>140</v>
      </c>
      <c r="B9" t="str">
        <f t="shared" ref="B9:J9" ca="1" si="2">IFERROR(IF($R6&gt;0,$R6*B$1^2+$Q6*B$1+$P6,"-"),"-")</f>
        <v>-</v>
      </c>
      <c r="C9" t="str">
        <f t="shared" ca="1" si="2"/>
        <v>-</v>
      </c>
      <c r="D9" t="str">
        <f t="shared" ca="1" si="2"/>
        <v>-</v>
      </c>
      <c r="E9" t="str">
        <f t="shared" ca="1" si="2"/>
        <v>-</v>
      </c>
      <c r="F9" t="str">
        <f t="shared" ca="1" si="2"/>
        <v>-</v>
      </c>
      <c r="G9" t="str">
        <f t="shared" ca="1" si="2"/>
        <v>-</v>
      </c>
      <c r="H9" t="str">
        <f t="shared" ca="1" si="2"/>
        <v>-</v>
      </c>
      <c r="I9" t="str">
        <f t="shared" ca="1" si="2"/>
        <v>-</v>
      </c>
      <c r="J9" t="str">
        <f t="shared" ca="1" si="2"/>
        <v>-</v>
      </c>
    </row>
    <row r="10" spans="1:18" x14ac:dyDescent="0.2">
      <c r="A10" t="s">
        <v>141</v>
      </c>
      <c r="B10">
        <f t="shared" ref="B10:J10" ca="1" si="3">IFERROR(IF($R7&gt;0,$R7*B$1^2+$Q7*B$1+$P7,"-"),"-")</f>
        <v>55.314285714299331</v>
      </c>
      <c r="C10">
        <f t="shared" ca="1" si="3"/>
        <v>37.200000000008544</v>
      </c>
      <c r="D10">
        <f t="shared" ca="1" si="3"/>
        <v>22.800000000004587</v>
      </c>
      <c r="E10">
        <f t="shared" ca="1" si="3"/>
        <v>12.114285714287462</v>
      </c>
      <c r="F10">
        <f t="shared" ca="1" si="3"/>
        <v>5.1428571428571672</v>
      </c>
      <c r="G10">
        <f t="shared" ca="1" si="3"/>
        <v>1.8857142857136893</v>
      </c>
      <c r="H10">
        <f t="shared" ca="1" si="3"/>
        <v>2.342857142857028</v>
      </c>
      <c r="I10">
        <f t="shared" ca="1" si="3"/>
        <v>6.5142857142871833</v>
      </c>
      <c r="J10">
        <f t="shared" ca="1" si="3"/>
        <v>14.400000000004169</v>
      </c>
    </row>
    <row r="12" spans="1:18" x14ac:dyDescent="0.2">
      <c r="B12" t="s">
        <v>150</v>
      </c>
      <c r="C12" t="s">
        <v>151</v>
      </c>
    </row>
    <row r="13" spans="1:18" x14ac:dyDescent="0.2">
      <c r="A13" t="s">
        <v>142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143</v>
      </c>
      <c r="B14" s="2">
        <f ca="1">IFERROR(IF($L7&lt;=5,IF($R7&gt;0,-$Q7/(2*$R7),"-"),"-"),"-")</f>
        <v>165.57692307692542</v>
      </c>
      <c r="C14" s="2">
        <f ca="1">IFERROR(IF($R7&gt;0,$R7*B14^2+$Q7*B14+$P7,"-"),"-")</f>
        <v>1.6218681318675721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B8FDC-DA92-4495-BECD-15A7EA7D9EAC}">
  <sheetPr codeName="Sheet2"/>
  <dimension ref="A1:J11"/>
  <sheetViews>
    <sheetView workbookViewId="0"/>
  </sheetViews>
  <sheetFormatPr defaultRowHeight="15" x14ac:dyDescent="0.2"/>
  <sheetData>
    <row r="1" spans="1:10" x14ac:dyDescent="0.2">
      <c r="A1">
        <v>300</v>
      </c>
      <c r="B1">
        <v>300</v>
      </c>
      <c r="C1">
        <v>275</v>
      </c>
      <c r="D1">
        <v>250</v>
      </c>
      <c r="E1">
        <v>225</v>
      </c>
      <c r="F1">
        <v>200</v>
      </c>
      <c r="G1">
        <v>175</v>
      </c>
      <c r="H1">
        <v>150</v>
      </c>
      <c r="I1">
        <v>125</v>
      </c>
      <c r="J1">
        <v>100</v>
      </c>
    </row>
    <row r="2" spans="1:10" x14ac:dyDescent="0.2">
      <c r="A2" t="s">
        <v>134</v>
      </c>
      <c r="B2">
        <f t="shared" ref="B2:B11" ca="1" si="0">_xlfn.IFNA(INDEX(INDIRECT("'"&amp;$A2&amp;"'!$B:$B"),MATCH(B$1,INDIRECT("'"&amp;$A2&amp;"'!$c:$c"),0)),"")</f>
        <v>764</v>
      </c>
      <c r="C2">
        <f t="shared" ref="C2:J11" ca="1" si="1">_xlfn.IFNA(INDEX(INDIRECT("'"&amp;$A2&amp;"'!$B:$B"),MATCH(C$1,INDIRECT("'"&amp;$A2&amp;"'!$c:$c"),0)),"")</f>
        <v>764</v>
      </c>
      <c r="D2">
        <f t="shared" ca="1" si="1"/>
        <v>764</v>
      </c>
      <c r="E2">
        <f t="shared" ca="1" si="1"/>
        <v>764</v>
      </c>
      <c r="F2">
        <f t="shared" ca="1" si="1"/>
        <v>764</v>
      </c>
      <c r="G2">
        <f t="shared" ca="1" si="1"/>
        <v>766</v>
      </c>
      <c r="H2">
        <f t="shared" ca="1" si="1"/>
        <v>776</v>
      </c>
      <c r="I2">
        <f t="shared" ca="1" si="1"/>
        <v>788</v>
      </c>
      <c r="J2">
        <f t="shared" ca="1" si="1"/>
        <v>804</v>
      </c>
    </row>
    <row r="3" spans="1:10" x14ac:dyDescent="0.2">
      <c r="A3" t="s">
        <v>97</v>
      </c>
      <c r="B3">
        <f t="shared" ca="1" si="0"/>
        <v>734</v>
      </c>
      <c r="C3">
        <f t="shared" ca="1" si="1"/>
        <v>738</v>
      </c>
      <c r="D3">
        <f t="shared" ca="1" si="1"/>
        <v>742</v>
      </c>
      <c r="E3">
        <f t="shared" ca="1" si="1"/>
        <v>746</v>
      </c>
      <c r="F3">
        <f t="shared" ca="1" si="1"/>
        <v>750</v>
      </c>
      <c r="G3">
        <f t="shared" ca="1" si="1"/>
        <v>754</v>
      </c>
      <c r="H3">
        <f t="shared" ca="1" si="1"/>
        <v>760</v>
      </c>
      <c r="I3">
        <f t="shared" ca="1" si="1"/>
        <v>768</v>
      </c>
    </row>
    <row r="4" spans="1:10" x14ac:dyDescent="0.2">
      <c r="A4" t="s">
        <v>101</v>
      </c>
      <c r="B4">
        <f t="shared" ca="1" si="0"/>
        <v>734</v>
      </c>
      <c r="C4">
        <f t="shared" ca="1" si="1"/>
        <v>738</v>
      </c>
      <c r="D4">
        <f t="shared" ca="1" si="1"/>
        <v>742</v>
      </c>
      <c r="E4">
        <f t="shared" ca="1" si="1"/>
        <v>746</v>
      </c>
      <c r="F4">
        <f t="shared" ca="1" si="1"/>
        <v>752</v>
      </c>
      <c r="G4">
        <f t="shared" ca="1" si="1"/>
        <v>756</v>
      </c>
      <c r="H4">
        <f t="shared" ca="1" si="1"/>
        <v>764</v>
      </c>
      <c r="I4">
        <f t="shared" ca="1" si="1"/>
        <v>772</v>
      </c>
      <c r="J4">
        <f t="shared" ca="1" si="1"/>
        <v>784</v>
      </c>
    </row>
    <row r="5" spans="1:10" x14ac:dyDescent="0.2">
      <c r="A5" t="s">
        <v>88</v>
      </c>
      <c r="B5">
        <f t="shared" ca="1" si="0"/>
        <v>734</v>
      </c>
    </row>
    <row r="6" spans="1:10" x14ac:dyDescent="0.2">
      <c r="A6" t="s">
        <v>94</v>
      </c>
      <c r="B6">
        <f t="shared" ca="1" si="0"/>
        <v>734</v>
      </c>
      <c r="C6">
        <f t="shared" ca="1" si="1"/>
        <v>738</v>
      </c>
      <c r="D6">
        <f t="shared" ca="1" si="1"/>
        <v>742</v>
      </c>
      <c r="E6">
        <f t="shared" ca="1" si="1"/>
        <v>746</v>
      </c>
      <c r="F6">
        <f t="shared" ca="1" si="1"/>
        <v>750</v>
      </c>
      <c r="G6">
        <f t="shared" ca="1" si="1"/>
        <v>756</v>
      </c>
      <c r="H6">
        <f t="shared" ca="1" si="1"/>
        <v>762</v>
      </c>
      <c r="I6">
        <f t="shared" ca="1" si="1"/>
        <v>770</v>
      </c>
      <c r="J6">
        <f t="shared" ca="1" si="1"/>
        <v>782</v>
      </c>
    </row>
    <row r="7" spans="1:10" x14ac:dyDescent="0.2">
      <c r="A7" t="s">
        <v>135</v>
      </c>
      <c r="B7">
        <f t="shared" ca="1" si="0"/>
        <v>736</v>
      </c>
      <c r="C7">
        <f t="shared" ca="1" si="1"/>
        <v>740</v>
      </c>
      <c r="D7">
        <f t="shared" ca="1" si="1"/>
        <v>742</v>
      </c>
      <c r="E7">
        <f t="shared" ca="1" si="1"/>
        <v>750</v>
      </c>
      <c r="F7">
        <f t="shared" ca="1" si="1"/>
        <v>756</v>
      </c>
      <c r="G7">
        <f t="shared" ca="1" si="1"/>
        <v>764</v>
      </c>
      <c r="H7">
        <f t="shared" ca="1" si="1"/>
        <v>774</v>
      </c>
      <c r="I7">
        <f t="shared" ca="1" si="1"/>
        <v>786</v>
      </c>
      <c r="J7">
        <f t="shared" ca="1" si="1"/>
        <v>804</v>
      </c>
    </row>
    <row r="8" spans="1:10" x14ac:dyDescent="0.2">
      <c r="A8" t="s">
        <v>136</v>
      </c>
      <c r="B8">
        <f t="shared" ca="1" si="0"/>
        <v>736</v>
      </c>
      <c r="C8">
        <f t="shared" ca="1" si="1"/>
        <v>740</v>
      </c>
      <c r="D8">
        <f t="shared" ca="1" si="1"/>
        <v>742</v>
      </c>
      <c r="E8">
        <f t="shared" ca="1" si="1"/>
        <v>748</v>
      </c>
      <c r="F8">
        <f t="shared" ca="1" si="1"/>
        <v>752</v>
      </c>
      <c r="G8">
        <f t="shared" ca="1" si="1"/>
        <v>758</v>
      </c>
      <c r="H8">
        <f t="shared" ca="1" si="1"/>
        <v>764</v>
      </c>
      <c r="I8">
        <f t="shared" ca="1" si="1"/>
        <v>774</v>
      </c>
      <c r="J8">
        <f t="shared" ca="1" si="1"/>
        <v>786</v>
      </c>
    </row>
    <row r="9" spans="1:10" x14ac:dyDescent="0.2">
      <c r="A9" t="s">
        <v>96</v>
      </c>
      <c r="B9">
        <f t="shared" ca="1" si="0"/>
        <v>762</v>
      </c>
      <c r="C9">
        <f t="shared" ca="1" si="1"/>
        <v>762</v>
      </c>
      <c r="D9">
        <f t="shared" ca="1" si="1"/>
        <v>762</v>
      </c>
      <c r="E9">
        <f t="shared" ca="1" si="1"/>
        <v>762</v>
      </c>
      <c r="F9">
        <f t="shared" ca="1" si="1"/>
        <v>762</v>
      </c>
      <c r="G9">
        <f t="shared" ca="1" si="1"/>
        <v>764</v>
      </c>
      <c r="H9">
        <f t="shared" ca="1" si="1"/>
        <v>770</v>
      </c>
      <c r="I9">
        <f t="shared" ca="1" si="1"/>
        <v>780</v>
      </c>
      <c r="J9">
        <f t="shared" ca="1" si="1"/>
        <v>792</v>
      </c>
    </row>
    <row r="10" spans="1:10" x14ac:dyDescent="0.2">
      <c r="A10" t="s">
        <v>71</v>
      </c>
      <c r="B10">
        <f t="shared" ca="1" si="0"/>
        <v>764</v>
      </c>
      <c r="C10">
        <f t="shared" ca="1" si="1"/>
        <v>764</v>
      </c>
      <c r="D10">
        <f t="shared" ca="1" si="1"/>
        <v>764</v>
      </c>
      <c r="E10">
        <f t="shared" ca="1" si="1"/>
        <v>764</v>
      </c>
      <c r="F10">
        <f t="shared" ca="1" si="1"/>
        <v>764</v>
      </c>
      <c r="G10">
        <f t="shared" ca="1" si="1"/>
        <v>766</v>
      </c>
      <c r="H10">
        <f t="shared" ca="1" si="1"/>
        <v>776</v>
      </c>
      <c r="I10">
        <f t="shared" ca="1" si="1"/>
        <v>788</v>
      </c>
      <c r="J10">
        <f t="shared" ca="1" si="1"/>
        <v>804</v>
      </c>
    </row>
    <row r="11" spans="1:10" x14ac:dyDescent="0.2">
      <c r="A11" t="s">
        <v>84</v>
      </c>
      <c r="B11">
        <f t="shared" ca="1" si="0"/>
        <v>736</v>
      </c>
      <c r="C11">
        <f t="shared" ca="1" si="1"/>
        <v>740</v>
      </c>
      <c r="D11">
        <f t="shared" ca="1" si="1"/>
        <v>742</v>
      </c>
      <c r="E11">
        <f t="shared" ca="1" si="1"/>
        <v>750</v>
      </c>
      <c r="F11">
        <f t="shared" ca="1" si="1"/>
        <v>756</v>
      </c>
      <c r="G11">
        <f t="shared" ca="1" si="1"/>
        <v>764</v>
      </c>
      <c r="H11">
        <f t="shared" ca="1" si="1"/>
        <v>774</v>
      </c>
      <c r="I11">
        <f t="shared" ca="1" si="1"/>
        <v>786</v>
      </c>
      <c r="J11">
        <f t="shared" ca="1" si="1"/>
        <v>804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5F155-8FE7-4CFD-BFDD-9617029388FC}">
  <sheetPr codeName="Sheet3"/>
  <dimension ref="A1:Q106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764</v>
      </c>
      <c r="C2">
        <v>300</v>
      </c>
      <c r="D2">
        <v>0.28130983946391902</v>
      </c>
      <c r="E2">
        <v>109.75121324695399</v>
      </c>
      <c r="F2">
        <v>2.00076998607096</v>
      </c>
      <c r="G2">
        <v>-1818.3029521469891</v>
      </c>
      <c r="H2">
        <v>-1492.4372988142188</v>
      </c>
      <c r="I2">
        <v>314.19539108353001</v>
      </c>
      <c r="J2">
        <v>158.040627649333</v>
      </c>
      <c r="K2">
        <v>54.8544880276215</v>
      </c>
      <c r="L2">
        <v>0.88397386510650466</v>
      </c>
      <c r="M2">
        <v>-0.8838247466489374</v>
      </c>
      <c r="N2">
        <v>48.482841156573798</v>
      </c>
      <c r="O2">
        <v>48.482837483041699</v>
      </c>
      <c r="P2">
        <v>48.482833585143403</v>
      </c>
      <c r="Q2" t="s">
        <v>51</v>
      </c>
    </row>
    <row r="3" spans="1:17" x14ac:dyDescent="0.2">
      <c r="A3">
        <v>2</v>
      </c>
      <c r="B3">
        <v>762</v>
      </c>
      <c r="C3">
        <v>300</v>
      </c>
      <c r="D3">
        <v>0.27978602134956498</v>
      </c>
      <c r="E3">
        <v>109.751272066928</v>
      </c>
      <c r="F3">
        <v>2.0018469957448501</v>
      </c>
      <c r="G3">
        <v>-1817.6758158589291</v>
      </c>
      <c r="H3">
        <v>-1492.768887751429</v>
      </c>
      <c r="I3">
        <v>313.87627674043898</v>
      </c>
      <c r="J3">
        <v>158.02896544872601</v>
      </c>
      <c r="K3">
        <v>54.825005257752899</v>
      </c>
      <c r="L3">
        <v>0.88338093111802796</v>
      </c>
      <c r="M3">
        <v>-0.88323177946193243</v>
      </c>
      <c r="N3">
        <v>48.424269668182603</v>
      </c>
      <c r="O3">
        <v>48.424265922981903</v>
      </c>
      <c r="P3">
        <v>48.424262028017601</v>
      </c>
      <c r="Q3" t="s">
        <v>51</v>
      </c>
    </row>
    <row r="4" spans="1:17" x14ac:dyDescent="0.2">
      <c r="A4">
        <v>3</v>
      </c>
      <c r="B4">
        <v>760</v>
      </c>
      <c r="C4">
        <v>300</v>
      </c>
      <c r="D4">
        <v>0.27825630353772701</v>
      </c>
      <c r="E4">
        <v>109.75134187528499</v>
      </c>
      <c r="F4">
        <v>2.0029418582610599</v>
      </c>
      <c r="G4">
        <v>-1817.0495674623685</v>
      </c>
      <c r="H4">
        <v>-1493.1615537146861</v>
      </c>
      <c r="I4">
        <v>313.49767991226798</v>
      </c>
      <c r="J4">
        <v>158.03618119665401</v>
      </c>
      <c r="K4">
        <v>54.795071271100198</v>
      </c>
      <c r="L4">
        <v>0.8796075998338323</v>
      </c>
      <c r="M4">
        <v>-0.8794576145537657</v>
      </c>
      <c r="N4">
        <v>48.191026863224003</v>
      </c>
      <c r="O4">
        <v>48.191023025592102</v>
      </c>
      <c r="P4">
        <v>48.191019112867998</v>
      </c>
      <c r="Q4" t="s">
        <v>51</v>
      </c>
    </row>
    <row r="5" spans="1:17" x14ac:dyDescent="0.2">
      <c r="A5">
        <v>4</v>
      </c>
      <c r="B5">
        <v>758</v>
      </c>
      <c r="C5">
        <v>300</v>
      </c>
      <c r="D5">
        <v>0.27672065169955901</v>
      </c>
      <c r="E5">
        <v>109.75141222569999</v>
      </c>
      <c r="F5">
        <v>2.0040426605208599</v>
      </c>
      <c r="G5">
        <v>-1816.424084815108</v>
      </c>
      <c r="H5">
        <v>-1493.5534907288072</v>
      </c>
      <c r="I5">
        <v>313.11906379828702</v>
      </c>
      <c r="J5">
        <v>158.04311052654899</v>
      </c>
      <c r="K5">
        <v>54.765007945077699</v>
      </c>
      <c r="L5">
        <v>0.87587556822270729</v>
      </c>
      <c r="M5">
        <v>-0.87572476807334243</v>
      </c>
      <c r="N5">
        <v>47.960159373313701</v>
      </c>
      <c r="O5">
        <v>47.960155442593397</v>
      </c>
      <c r="P5">
        <v>47.960151512723101</v>
      </c>
      <c r="Q5" t="s">
        <v>51</v>
      </c>
    </row>
    <row r="6" spans="1:17" x14ac:dyDescent="0.2">
      <c r="A6">
        <v>5</v>
      </c>
      <c r="B6">
        <v>756</v>
      </c>
      <c r="C6">
        <v>300</v>
      </c>
      <c r="D6">
        <v>0.27517903123937498</v>
      </c>
      <c r="E6">
        <v>109.75148312331601</v>
      </c>
      <c r="F6">
        <v>2.0051493179584901</v>
      </c>
      <c r="G6">
        <v>-1815.7993680486143</v>
      </c>
      <c r="H6">
        <v>-1493.9447111751056</v>
      </c>
      <c r="I6">
        <v>312.740416385809</v>
      </c>
      <c r="J6">
        <v>158.04975220276401</v>
      </c>
      <c r="K6">
        <v>54.734818070834301</v>
      </c>
      <c r="L6">
        <v>0.87218410542615765</v>
      </c>
      <c r="M6">
        <v>-0.87203250896528284</v>
      </c>
      <c r="N6">
        <v>47.731627343690299</v>
      </c>
      <c r="O6">
        <v>47.731623319245301</v>
      </c>
      <c r="P6">
        <v>47.731619372837301</v>
      </c>
      <c r="Q6" t="s">
        <v>51</v>
      </c>
    </row>
    <row r="7" spans="1:17" x14ac:dyDescent="0.2">
      <c r="A7">
        <v>6</v>
      </c>
      <c r="B7">
        <v>754</v>
      </c>
      <c r="C7">
        <v>300</v>
      </c>
      <c r="D7">
        <v>0.27363140729202201</v>
      </c>
      <c r="E7">
        <v>109.751554573402</v>
      </c>
      <c r="F7">
        <v>2.00626174803386</v>
      </c>
      <c r="G7">
        <v>-1815.1754173202162</v>
      </c>
      <c r="H7">
        <v>-1494.3352271575932</v>
      </c>
      <c r="I7">
        <v>312.36172586366001</v>
      </c>
      <c r="J7">
        <v>158.056104896016</v>
      </c>
      <c r="K7">
        <v>54.704504375343099</v>
      </c>
      <c r="L7">
        <v>0.86853249736469118</v>
      </c>
      <c r="M7">
        <v>-0.86838012295834544</v>
      </c>
      <c r="N7">
        <v>47.505391797789102</v>
      </c>
      <c r="O7">
        <v>47.505387679004002</v>
      </c>
      <c r="P7">
        <v>47.505383716661903</v>
      </c>
      <c r="Q7" t="s">
        <v>51</v>
      </c>
    </row>
    <row r="8" spans="1:17" x14ac:dyDescent="0.2">
      <c r="A8">
        <v>7</v>
      </c>
      <c r="B8">
        <v>752</v>
      </c>
      <c r="C8">
        <v>300</v>
      </c>
      <c r="D8">
        <v>0.27207774472028401</v>
      </c>
      <c r="E8">
        <v>109.751626581152</v>
      </c>
      <c r="F8">
        <v>2.0073798701980099</v>
      </c>
      <c r="G8">
        <v>-1814.5522328093959</v>
      </c>
      <c r="H8">
        <v>-1494.7250505076561</v>
      </c>
      <c r="I8">
        <v>311.98298061597001</v>
      </c>
      <c r="J8">
        <v>158.062167183817</v>
      </c>
      <c r="K8">
        <v>54.674069522439801</v>
      </c>
      <c r="L8">
        <v>0.86492004627214969</v>
      </c>
      <c r="M8">
        <v>-0.86476691209961853</v>
      </c>
      <c r="N8">
        <v>47.281414613317601</v>
      </c>
      <c r="O8">
        <v>47.281410399597902</v>
      </c>
      <c r="P8">
        <v>47.281406421920799</v>
      </c>
      <c r="Q8" t="s">
        <v>51</v>
      </c>
    </row>
    <row r="9" spans="1:17" x14ac:dyDescent="0.2">
      <c r="A9">
        <v>8</v>
      </c>
      <c r="B9">
        <v>750</v>
      </c>
      <c r="C9">
        <v>300</v>
      </c>
      <c r="D9">
        <v>0.270518008112205</v>
      </c>
      <c r="E9">
        <v>109.751699151948</v>
      </c>
      <c r="F9">
        <v>2.0085036058604202</v>
      </c>
      <c r="G9">
        <v>-1813.929814721708</v>
      </c>
      <c r="H9">
        <v>-1495.1141927952021</v>
      </c>
      <c r="I9">
        <v>311.604169217015</v>
      </c>
      <c r="J9">
        <v>158.067937551526</v>
      </c>
      <c r="K9">
        <v>54.643516114043301</v>
      </c>
      <c r="L9">
        <v>0.86134607023912435</v>
      </c>
      <c r="M9">
        <v>-0.86119219429779426</v>
      </c>
      <c r="N9">
        <v>47.059658498938603</v>
      </c>
      <c r="O9">
        <v>47.059654189711402</v>
      </c>
      <c r="P9">
        <v>47.059650197293401</v>
      </c>
      <c r="Q9" t="s">
        <v>51</v>
      </c>
    </row>
    <row r="10" spans="1:17" x14ac:dyDescent="0.2">
      <c r="A10">
        <v>9</v>
      </c>
      <c r="B10">
        <v>748</v>
      </c>
      <c r="C10">
        <v>300</v>
      </c>
      <c r="D10">
        <v>0.26895216177838999</v>
      </c>
      <c r="E10">
        <v>109.75177229107599</v>
      </c>
      <c r="F10">
        <v>2.0096328783608599</v>
      </c>
      <c r="G10">
        <v>-1813.3081632837948</v>
      </c>
      <c r="H10">
        <v>-1495.5026653322439</v>
      </c>
      <c r="I10">
        <v>311.225280424696</v>
      </c>
      <c r="J10">
        <v>158.07341439260099</v>
      </c>
      <c r="K10">
        <v>54.612846690980902</v>
      </c>
      <c r="L10">
        <v>0.85780990275454183</v>
      </c>
      <c r="M10">
        <v>-0.85765530286462111</v>
      </c>
      <c r="N10">
        <v>46.840086970470502</v>
      </c>
      <c r="O10">
        <v>46.840082565184296</v>
      </c>
      <c r="P10">
        <v>46.840078558614898</v>
      </c>
      <c r="Q10" t="s">
        <v>51</v>
      </c>
    </row>
    <row r="11" spans="1:17" x14ac:dyDescent="0.2">
      <c r="A11">
        <v>10</v>
      </c>
      <c r="B11">
        <v>746</v>
      </c>
      <c r="C11">
        <v>300</v>
      </c>
      <c r="D11">
        <v>0.26738016974930101</v>
      </c>
      <c r="E11">
        <v>109.75184600395001</v>
      </c>
      <c r="F11">
        <v>2.0107676129378702</v>
      </c>
      <c r="G11">
        <v>-1812.687278746627</v>
      </c>
      <c r="H11">
        <v>-1495.8904791824516</v>
      </c>
      <c r="I11">
        <v>310.84630317614199</v>
      </c>
      <c r="J11">
        <v>158.078596009432</v>
      </c>
      <c r="K11">
        <v>54.582063734155398</v>
      </c>
      <c r="L11">
        <v>0.85431089230357649</v>
      </c>
      <c r="M11">
        <v>-0.85415558611269027</v>
      </c>
      <c r="N11">
        <v>46.6226643304229</v>
      </c>
      <c r="O11">
        <v>46.622659828547697</v>
      </c>
      <c r="P11">
        <v>46.622655808412098</v>
      </c>
      <c r="Q11" t="s">
        <v>51</v>
      </c>
    </row>
    <row r="12" spans="1:17" x14ac:dyDescent="0.2">
      <c r="A12">
        <v>11</v>
      </c>
      <c r="B12">
        <v>744</v>
      </c>
      <c r="C12">
        <v>300</v>
      </c>
      <c r="D12">
        <v>0.26580199577250502</v>
      </c>
      <c r="E12">
        <v>109.75192029601401</v>
      </c>
      <c r="F12">
        <v>2.0119077367063301</v>
      </c>
      <c r="G12">
        <v>-1812.0671613836005</v>
      </c>
      <c r="H12">
        <v>-1496.2776451678967</v>
      </c>
      <c r="I12">
        <v>310.46722658097798</v>
      </c>
      <c r="J12">
        <v>158.083480613956</v>
      </c>
      <c r="K12">
        <v>54.551169665308798</v>
      </c>
      <c r="L12">
        <v>0.85084840188973043</v>
      </c>
      <c r="M12">
        <v>-0.85069240687738068</v>
      </c>
      <c r="N12">
        <v>46.407355643007101</v>
      </c>
      <c r="O12">
        <v>46.407351044035003</v>
      </c>
      <c r="P12">
        <v>46.407347010913597</v>
      </c>
      <c r="Q12" t="s">
        <v>51</v>
      </c>
    </row>
    <row r="13" spans="1:17" x14ac:dyDescent="0.2">
      <c r="A13">
        <v>12</v>
      </c>
      <c r="B13">
        <v>742</v>
      </c>
      <c r="C13">
        <v>300</v>
      </c>
      <c r="D13">
        <v>0.264217603309855</v>
      </c>
      <c r="E13">
        <v>109.75199517275099</v>
      </c>
      <c r="F13">
        <v>2.0130531786329899</v>
      </c>
      <c r="G13">
        <v>-1811.4478114903134</v>
      </c>
      <c r="H13">
        <v>-1496.6641738742021</v>
      </c>
      <c r="I13">
        <v>310.08803991772902</v>
      </c>
      <c r="J13">
        <v>158.08806632758501</v>
      </c>
      <c r="K13">
        <v>54.520166847892298</v>
      </c>
      <c r="L13">
        <v>0.84742180871469031</v>
      </c>
      <c r="M13">
        <v>-0.84726514219661908</v>
      </c>
      <c r="N13">
        <v>46.194126717823998</v>
      </c>
      <c r="O13">
        <v>46.194122021269003</v>
      </c>
      <c r="P13">
        <v>46.194117975738102</v>
      </c>
      <c r="Q13" t="s">
        <v>51</v>
      </c>
    </row>
    <row r="14" spans="1:17" x14ac:dyDescent="0.2">
      <c r="A14">
        <v>13</v>
      </c>
      <c r="B14">
        <v>740</v>
      </c>
      <c r="C14">
        <v>300</v>
      </c>
      <c r="D14">
        <v>0.26262695553471999</v>
      </c>
      <c r="E14">
        <v>109.752070639707</v>
      </c>
      <c r="F14">
        <v>2.01420386951719</v>
      </c>
      <c r="G14">
        <v>-1810.8292293846644</v>
      </c>
      <c r="H14">
        <v>-1497.0500756584538</v>
      </c>
      <c r="I14">
        <v>309.70873262777701</v>
      </c>
      <c r="J14">
        <v>158.09235118183699</v>
      </c>
      <c r="K14">
        <v>54.489057587807501</v>
      </c>
      <c r="L14">
        <v>0.84403050373361843</v>
      </c>
      <c r="M14">
        <v>-0.84387318286604396</v>
      </c>
      <c r="N14">
        <v>45.982944086608903</v>
      </c>
      <c r="O14">
        <v>45.982939292007401</v>
      </c>
      <c r="P14">
        <v>45.982935234638603</v>
      </c>
      <c r="Q14" t="s">
        <v>51</v>
      </c>
    </row>
    <row r="15" spans="1:17" x14ac:dyDescent="0.2">
      <c r="A15">
        <v>14</v>
      </c>
      <c r="B15">
        <v>738</v>
      </c>
      <c r="C15">
        <v>300</v>
      </c>
      <c r="D15">
        <v>0.26103001532908299</v>
      </c>
      <c r="E15">
        <v>109.75214670245199</v>
      </c>
      <c r="F15">
        <v>2.01535974197138</v>
      </c>
      <c r="G15">
        <v>-1810.2114154058331</v>
      </c>
      <c r="H15">
        <v>-1497.4353606546206</v>
      </c>
      <c r="I15">
        <v>309.32929431060097</v>
      </c>
      <c r="J15">
        <v>158.096333118476</v>
      </c>
      <c r="K15">
        <v>54.457844134117202</v>
      </c>
      <c r="L15">
        <v>0.8406738912895797</v>
      </c>
      <c r="M15">
        <v>-0.84051593307332972</v>
      </c>
      <c r="N15">
        <v>45.773774984246899</v>
      </c>
      <c r="O15">
        <v>45.773770091157701</v>
      </c>
      <c r="P15">
        <v>45.773766022518501</v>
      </c>
      <c r="Q15" t="s">
        <v>51</v>
      </c>
    </row>
    <row r="16" spans="1:17" x14ac:dyDescent="0.2">
      <c r="A16">
        <v>15</v>
      </c>
      <c r="B16">
        <v>736</v>
      </c>
      <c r="C16">
        <v>300</v>
      </c>
      <c r="D16">
        <v>0.25942674528068399</v>
      </c>
      <c r="E16">
        <v>109.752177352065</v>
      </c>
      <c r="F16">
        <v>2.00348727206979</v>
      </c>
      <c r="G16">
        <v>-1809.5950367724772</v>
      </c>
      <c r="H16">
        <v>-1500.3264323826475</v>
      </c>
      <c r="I16">
        <v>306.46727306647898</v>
      </c>
      <c r="J16">
        <v>158.24929966929199</v>
      </c>
      <c r="K16">
        <v>54.780571297905396</v>
      </c>
      <c r="L16">
        <v>0.7040411234390781</v>
      </c>
      <c r="M16">
        <v>-0.70384176077522187</v>
      </c>
      <c r="N16">
        <v>38.558224311672802</v>
      </c>
      <c r="O16">
        <v>38.558218230596701</v>
      </c>
      <c r="P16">
        <v>38.558213127653502</v>
      </c>
      <c r="Q16" t="s">
        <v>51</v>
      </c>
    </row>
    <row r="17" spans="1:17" x14ac:dyDescent="0.2">
      <c r="A17">
        <v>16</v>
      </c>
      <c r="B17">
        <v>734</v>
      </c>
      <c r="C17">
        <v>300</v>
      </c>
      <c r="D17">
        <v>0.25781710768008598</v>
      </c>
      <c r="E17">
        <v>109.761016780193</v>
      </c>
      <c r="F17">
        <v>1.9470285014283899</v>
      </c>
      <c r="G17">
        <v>-1809.1368793646529</v>
      </c>
      <c r="H17">
        <v>-1512.4381901800366</v>
      </c>
      <c r="I17">
        <v>294.59769947233502</v>
      </c>
      <c r="J17">
        <v>159.62523447402299</v>
      </c>
      <c r="K17">
        <v>56.373605573657599</v>
      </c>
      <c r="L17">
        <v>0.13880873115918244</v>
      </c>
      <c r="M17">
        <v>-0.13843559387779367</v>
      </c>
      <c r="N17">
        <v>7.8067207695174599</v>
      </c>
      <c r="O17">
        <v>7.80670970208394</v>
      </c>
      <c r="P17">
        <v>7.8067000719053299</v>
      </c>
      <c r="Q17" t="s">
        <v>51</v>
      </c>
    </row>
    <row r="18" spans="1:17" x14ac:dyDescent="0.2">
      <c r="A18">
        <v>17</v>
      </c>
      <c r="B18">
        <v>732</v>
      </c>
      <c r="C18">
        <v>300</v>
      </c>
      <c r="D18">
        <v>0.256201064517732</v>
      </c>
      <c r="E18">
        <v>109.761728658072</v>
      </c>
      <c r="F18">
        <v>1.94121280122347</v>
      </c>
      <c r="G18">
        <v>-1808.5618499326313</v>
      </c>
      <c r="H18">
        <v>-1514.553296534631</v>
      </c>
      <c r="I18">
        <v>292.50786905174999</v>
      </c>
      <c r="J18">
        <v>159.92127696921401</v>
      </c>
      <c r="K18">
        <v>56.542862579977502</v>
      </c>
      <c r="L18">
        <v>5.8709570826232162E-2</v>
      </c>
      <c r="M18">
        <v>-5.831383572281218E-2</v>
      </c>
      <c r="N18">
        <v>3.2999924705536099</v>
      </c>
      <c r="O18">
        <v>3.2999805969962699</v>
      </c>
      <c r="P18">
        <v>3.2999703751710099</v>
      </c>
      <c r="Q18" t="s">
        <v>51</v>
      </c>
    </row>
    <row r="19" spans="1:17" x14ac:dyDescent="0.2">
      <c r="A19">
        <v>18</v>
      </c>
      <c r="B19">
        <v>764</v>
      </c>
      <c r="C19">
        <v>275</v>
      </c>
      <c r="D19">
        <v>0.30782480836908999</v>
      </c>
      <c r="E19">
        <v>109.75143659253899</v>
      </c>
      <c r="F19">
        <v>1.97008193013459</v>
      </c>
      <c r="G19">
        <v>-1819.6883723415888</v>
      </c>
      <c r="H19">
        <v>-1493.4243065308747</v>
      </c>
      <c r="I19">
        <v>314.579766365014</v>
      </c>
      <c r="J19">
        <v>158.84180978946301</v>
      </c>
      <c r="K19">
        <v>55.709072254188399</v>
      </c>
      <c r="L19">
        <v>0.86660055971111205</v>
      </c>
      <c r="M19">
        <v>-0.86641472847361622</v>
      </c>
      <c r="N19">
        <v>48.268629787648599</v>
      </c>
      <c r="O19">
        <v>48.2686255408858</v>
      </c>
      <c r="P19">
        <v>48.268620005972998</v>
      </c>
      <c r="Q19" t="s">
        <v>51</v>
      </c>
    </row>
    <row r="20" spans="1:17" x14ac:dyDescent="0.2">
      <c r="A20">
        <v>19</v>
      </c>
      <c r="B20">
        <v>762</v>
      </c>
      <c r="C20">
        <v>275</v>
      </c>
      <c r="D20">
        <v>0.306352219485102</v>
      </c>
      <c r="E20">
        <v>109.751495349141</v>
      </c>
      <c r="F20">
        <v>1.97121756769456</v>
      </c>
      <c r="G20">
        <v>-1819.0604669881711</v>
      </c>
      <c r="H20">
        <v>-1493.7523468105783</v>
      </c>
      <c r="I20">
        <v>314.26407918162198</v>
      </c>
      <c r="J20">
        <v>158.83248588940299</v>
      </c>
      <c r="K20">
        <v>55.677007524593499</v>
      </c>
      <c r="L20">
        <v>0.86630572617117063</v>
      </c>
      <c r="M20">
        <v>-0.86611994094805766</v>
      </c>
      <c r="N20">
        <v>48.224428552549597</v>
      </c>
      <c r="O20">
        <v>48.224424205300899</v>
      </c>
      <c r="P20">
        <v>48.224418675985703</v>
      </c>
      <c r="Q20" t="s">
        <v>51</v>
      </c>
    </row>
    <row r="21" spans="1:17" x14ac:dyDescent="0.2">
      <c r="A21">
        <v>20</v>
      </c>
      <c r="B21">
        <v>760</v>
      </c>
      <c r="C21">
        <v>275</v>
      </c>
      <c r="D21">
        <v>0.30487392924551299</v>
      </c>
      <c r="E21">
        <v>109.751565879219</v>
      </c>
      <c r="F21">
        <v>1.972361588357</v>
      </c>
      <c r="G21">
        <v>-1818.4334537476043</v>
      </c>
      <c r="H21">
        <v>-1494.1433060624217</v>
      </c>
      <c r="I21">
        <v>313.88714409852298</v>
      </c>
      <c r="J21">
        <v>158.84222908531001</v>
      </c>
      <c r="K21">
        <v>55.644749181433397</v>
      </c>
      <c r="L21">
        <v>0.86272422233406543</v>
      </c>
      <c r="M21">
        <v>-0.86253758441874595</v>
      </c>
      <c r="N21">
        <v>47.9971498446738</v>
      </c>
      <c r="O21">
        <v>47.997145374953902</v>
      </c>
      <c r="P21">
        <v>47.997139824738298</v>
      </c>
      <c r="Q21" t="s">
        <v>51</v>
      </c>
    </row>
    <row r="22" spans="1:17" x14ac:dyDescent="0.2">
      <c r="A22">
        <v>21</v>
      </c>
      <c r="B22">
        <v>758</v>
      </c>
      <c r="C22">
        <v>275</v>
      </c>
      <c r="D22">
        <v>0.303389904475587</v>
      </c>
      <c r="E22">
        <v>109.751636956952</v>
      </c>
      <c r="F22">
        <v>1.9735116901651699</v>
      </c>
      <c r="G22">
        <v>-1817.8072030705223</v>
      </c>
      <c r="H22">
        <v>-1494.5335795375477</v>
      </c>
      <c r="I22">
        <v>313.51015124205901</v>
      </c>
      <c r="J22">
        <v>158.85173653577701</v>
      </c>
      <c r="K22">
        <v>55.612357151918602</v>
      </c>
      <c r="L22">
        <v>0.85918128154106166</v>
      </c>
      <c r="M22">
        <v>-0.85899381050533907</v>
      </c>
      <c r="N22">
        <v>47.772132895642699</v>
      </c>
      <c r="O22">
        <v>47.772128302403203</v>
      </c>
      <c r="P22">
        <v>47.772122732037701</v>
      </c>
      <c r="Q22" t="s">
        <v>51</v>
      </c>
    </row>
    <row r="23" spans="1:17" x14ac:dyDescent="0.2">
      <c r="A23">
        <v>22</v>
      </c>
      <c r="B23">
        <v>756</v>
      </c>
      <c r="C23">
        <v>275</v>
      </c>
      <c r="D23">
        <v>0.30190011174270298</v>
      </c>
      <c r="E23">
        <v>109.751708587572</v>
      </c>
      <c r="F23">
        <v>1.97466777433595</v>
      </c>
      <c r="G23">
        <v>-1817.1817151661819</v>
      </c>
      <c r="H23">
        <v>-1494.9231786536934</v>
      </c>
      <c r="I23">
        <v>313.13308938688698</v>
      </c>
      <c r="J23">
        <v>158.86100647915001</v>
      </c>
      <c r="K23">
        <v>55.579834751939302</v>
      </c>
      <c r="L23">
        <v>0.85567622706575353</v>
      </c>
      <c r="M23">
        <v>-0.85548794229270275</v>
      </c>
      <c r="N23">
        <v>47.549340595309097</v>
      </c>
      <c r="O23">
        <v>47.549335877529799</v>
      </c>
      <c r="P23">
        <v>47.549330287760199</v>
      </c>
      <c r="Q23" t="s">
        <v>51</v>
      </c>
    </row>
    <row r="24" spans="1:17" x14ac:dyDescent="0.2">
      <c r="A24">
        <v>23</v>
      </c>
      <c r="B24">
        <v>754</v>
      </c>
      <c r="C24">
        <v>275</v>
      </c>
      <c r="D24">
        <v>0.30040451735384299</v>
      </c>
      <c r="E24">
        <v>109.751780776359</v>
      </c>
      <c r="F24">
        <v>1.97582974382344</v>
      </c>
      <c r="G24">
        <v>-1816.5569902668492</v>
      </c>
      <c r="H24">
        <v>-1495.3121145718399</v>
      </c>
      <c r="I24">
        <v>312.75594749254702</v>
      </c>
      <c r="J24">
        <v>158.870037082338</v>
      </c>
      <c r="K24">
        <v>55.5471852367087</v>
      </c>
      <c r="L24">
        <v>0.85220839736785281</v>
      </c>
      <c r="M24">
        <v>-0.85201931805622322</v>
      </c>
      <c r="N24">
        <v>47.328736637026701</v>
      </c>
      <c r="O24">
        <v>47.328731793715697</v>
      </c>
      <c r="P24">
        <v>47.328726185283699</v>
      </c>
      <c r="Q24" t="s">
        <v>51</v>
      </c>
    </row>
    <row r="25" spans="1:17" x14ac:dyDescent="0.2">
      <c r="A25">
        <v>24</v>
      </c>
      <c r="B25">
        <v>752</v>
      </c>
      <c r="C25">
        <v>275</v>
      </c>
      <c r="D25">
        <v>0.29890308735307097</v>
      </c>
      <c r="E25">
        <v>109.751853528561</v>
      </c>
      <c r="F25">
        <v>1.9769975032702201</v>
      </c>
      <c r="G25">
        <v>-1815.9330286261013</v>
      </c>
      <c r="H25">
        <v>-1495.7003982014246</v>
      </c>
      <c r="I25">
        <v>312.37871469852001</v>
      </c>
      <c r="J25">
        <v>158.878826442128</v>
      </c>
      <c r="K25">
        <v>55.514411802249001</v>
      </c>
      <c r="L25">
        <v>0.84877714568470208</v>
      </c>
      <c r="M25">
        <v>-0.84858729085316442</v>
      </c>
      <c r="N25">
        <v>47.110285496895699</v>
      </c>
      <c r="O25">
        <v>47.1102805270896</v>
      </c>
      <c r="P25">
        <v>47.110274900732897</v>
      </c>
      <c r="Q25" t="s">
        <v>51</v>
      </c>
    </row>
    <row r="26" spans="1:17" x14ac:dyDescent="0.2">
      <c r="A26">
        <v>25</v>
      </c>
      <c r="B26">
        <v>750</v>
      </c>
      <c r="C26">
        <v>275</v>
      </c>
      <c r="D26">
        <v>0.29739578751893703</v>
      </c>
      <c r="E26">
        <v>109.751926849529</v>
      </c>
      <c r="F26">
        <v>1.9781709589682599</v>
      </c>
      <c r="G26">
        <v>-1815.3098305207691</v>
      </c>
      <c r="H26">
        <v>-1496.0880402090668</v>
      </c>
      <c r="I26">
        <v>312.001380319367</v>
      </c>
      <c r="J26">
        <v>158.887372586591</v>
      </c>
      <c r="K26">
        <v>55.481517586716599</v>
      </c>
      <c r="L26">
        <v>0.84538183961473468</v>
      </c>
      <c r="M26">
        <v>-0.84519122810597813</v>
      </c>
      <c r="N26">
        <v>46.893952412372499</v>
      </c>
      <c r="O26">
        <v>46.893947315137297</v>
      </c>
      <c r="P26">
        <v>46.893941671589303</v>
      </c>
      <c r="Q26" t="s">
        <v>51</v>
      </c>
    </row>
    <row r="27" spans="1:17" x14ac:dyDescent="0.2">
      <c r="A27">
        <v>26</v>
      </c>
      <c r="B27">
        <v>748</v>
      </c>
      <c r="C27">
        <v>275</v>
      </c>
      <c r="D27">
        <v>0.29588258336189799</v>
      </c>
      <c r="E27">
        <v>109.752000744699</v>
      </c>
      <c r="F27">
        <v>1.9793500188184601</v>
      </c>
      <c r="G27">
        <v>-1814.6873962501877</v>
      </c>
      <c r="H27">
        <v>-1496.4750510247497</v>
      </c>
      <c r="I27">
        <v>311.62393383965002</v>
      </c>
      <c r="J27">
        <v>158.89567347638399</v>
      </c>
      <c r="K27">
        <v>55.448505671681801</v>
      </c>
      <c r="L27">
        <v>0.84202186071062202</v>
      </c>
      <c r="M27">
        <v>-0.84183051119530261</v>
      </c>
      <c r="N27">
        <v>46.679703361332301</v>
      </c>
      <c r="O27">
        <v>46.679698135763203</v>
      </c>
      <c r="P27">
        <v>46.679692475753399</v>
      </c>
      <c r="Q27" t="s">
        <v>51</v>
      </c>
    </row>
    <row r="28" spans="1:17" x14ac:dyDescent="0.2">
      <c r="A28">
        <v>27</v>
      </c>
      <c r="B28">
        <v>746</v>
      </c>
      <c r="C28">
        <v>275</v>
      </c>
      <c r="D28">
        <v>0.29436344012167098</v>
      </c>
      <c r="E28">
        <v>109.75207521942799</v>
      </c>
      <c r="F28">
        <v>1.98053459229383</v>
      </c>
      <c r="G28">
        <v>-1814.0657261332835</v>
      </c>
      <c r="H28">
        <v>-1496.8614408457042</v>
      </c>
      <c r="I28">
        <v>311.24636490893499</v>
      </c>
      <c r="J28">
        <v>158.90372700569301</v>
      </c>
      <c r="K28">
        <v>55.415379083237603</v>
      </c>
      <c r="L28">
        <v>0.83869660409897451</v>
      </c>
      <c r="M28">
        <v>-0.8385045350795246</v>
      </c>
      <c r="N28">
        <v>46.467505042421102</v>
      </c>
      <c r="O28">
        <v>46.467499687643198</v>
      </c>
      <c r="P28">
        <v>46.467494011897003</v>
      </c>
      <c r="Q28" t="s">
        <v>51</v>
      </c>
    </row>
    <row r="29" spans="1:17" x14ac:dyDescent="0.2">
      <c r="A29">
        <v>28</v>
      </c>
      <c r="B29">
        <v>744</v>
      </c>
      <c r="C29">
        <v>275</v>
      </c>
      <c r="D29">
        <v>0.29283832276459099</v>
      </c>
      <c r="E29">
        <v>109.75215027923799</v>
      </c>
      <c r="F29">
        <v>1.9817245904016101</v>
      </c>
      <c r="G29">
        <v>-1813.4448205121494</v>
      </c>
      <c r="H29">
        <v>-1497.2472196457927</v>
      </c>
      <c r="I29">
        <v>310.86866333770502</v>
      </c>
      <c r="J29">
        <v>158.91153100383701</v>
      </c>
      <c r="K29">
        <v>55.3821407933358</v>
      </c>
      <c r="L29">
        <v>0.83540547810543486</v>
      </c>
      <c r="M29">
        <v>-0.83521270791973479</v>
      </c>
      <c r="N29">
        <v>46.257324855856297</v>
      </c>
      <c r="O29">
        <v>46.257319371025098</v>
      </c>
      <c r="P29">
        <v>46.257313680263699</v>
      </c>
      <c r="Q29" t="s">
        <v>51</v>
      </c>
    </row>
    <row r="30" spans="1:17" x14ac:dyDescent="0.2">
      <c r="A30">
        <v>29</v>
      </c>
      <c r="B30">
        <v>742</v>
      </c>
      <c r="C30">
        <v>275</v>
      </c>
      <c r="D30">
        <v>0.291307195980888</v>
      </c>
      <c r="E30">
        <v>109.752225929641</v>
      </c>
      <c r="F30">
        <v>1.9829199256518599</v>
      </c>
      <c r="G30">
        <v>-1812.8246797489321</v>
      </c>
      <c r="H30">
        <v>-1497.6323971786599</v>
      </c>
      <c r="I30">
        <v>310.49081909277498</v>
      </c>
      <c r="J30">
        <v>158.91908323596499</v>
      </c>
      <c r="K30">
        <v>55.3487937207356</v>
      </c>
      <c r="L30">
        <v>0.83214790390997118</v>
      </c>
      <c r="M30">
        <v>-0.8319544507348966</v>
      </c>
      <c r="N30">
        <v>46.049130885539903</v>
      </c>
      <c r="O30">
        <v>46.049125269840999</v>
      </c>
      <c r="P30">
        <v>46.049119564782004</v>
      </c>
      <c r="Q30" t="s">
        <v>51</v>
      </c>
    </row>
    <row r="31" spans="1:17" x14ac:dyDescent="0.2">
      <c r="A31">
        <v>30</v>
      </c>
      <c r="B31">
        <v>740</v>
      </c>
      <c r="C31">
        <v>275</v>
      </c>
      <c r="D31">
        <v>0.28977002418201098</v>
      </c>
      <c r="E31">
        <v>109.75226368852699</v>
      </c>
      <c r="F31">
        <v>1.9707357552881399</v>
      </c>
      <c r="G31">
        <v>-1812.2054441112314</v>
      </c>
      <c r="H31">
        <v>-1500.4467144540281</v>
      </c>
      <c r="I31">
        <v>307.71530032428802</v>
      </c>
      <c r="J31">
        <v>159.046776045054</v>
      </c>
      <c r="K31">
        <v>55.691009509532201</v>
      </c>
      <c r="L31">
        <v>0.70142146997215693</v>
      </c>
      <c r="M31">
        <v>-0.70118443067329816</v>
      </c>
      <c r="N31">
        <v>39.051448314224203</v>
      </c>
      <c r="O31">
        <v>39.051441463803897</v>
      </c>
      <c r="P31">
        <v>39.051434497717402</v>
      </c>
      <c r="Q31" t="s">
        <v>51</v>
      </c>
    </row>
    <row r="32" spans="1:17" x14ac:dyDescent="0.2">
      <c r="A32">
        <v>31</v>
      </c>
      <c r="B32">
        <v>738</v>
      </c>
      <c r="C32">
        <v>275</v>
      </c>
      <c r="D32">
        <v>0.28822677149780002</v>
      </c>
      <c r="E32">
        <v>109.761385174591</v>
      </c>
      <c r="F32">
        <v>1.91379200812218</v>
      </c>
      <c r="G32">
        <v>-1811.7478777756201</v>
      </c>
      <c r="H32">
        <v>-1511.6629623162364</v>
      </c>
      <c r="I32">
        <v>296.781239553246</v>
      </c>
      <c r="J32">
        <v>159.65166109417501</v>
      </c>
      <c r="K32">
        <v>57.352828681884297</v>
      </c>
      <c r="L32">
        <v>0.16731060616228546</v>
      </c>
      <c r="M32">
        <v>-0.16689069410885002</v>
      </c>
      <c r="N32">
        <v>9.5748577862147393</v>
      </c>
      <c r="O32">
        <v>9.5748458879392704</v>
      </c>
      <c r="P32">
        <v>9.5748334143966307</v>
      </c>
      <c r="Q32" t="s">
        <v>51</v>
      </c>
    </row>
    <row r="33" spans="1:17" x14ac:dyDescent="0.2">
      <c r="A33">
        <v>32</v>
      </c>
      <c r="B33">
        <v>736</v>
      </c>
      <c r="C33">
        <v>275</v>
      </c>
      <c r="D33">
        <v>0.28667740177377199</v>
      </c>
      <c r="E33">
        <v>109.762165693277</v>
      </c>
      <c r="F33">
        <v>1.9039636113995</v>
      </c>
      <c r="G33">
        <v>-1811.1702056495087</v>
      </c>
      <c r="H33">
        <v>-1514.1856624794329</v>
      </c>
      <c r="I33">
        <v>294.29764252217899</v>
      </c>
      <c r="J33">
        <v>159.850867936638</v>
      </c>
      <c r="K33">
        <v>57.649298041256301</v>
      </c>
      <c r="L33">
        <v>6.3380419499080645E-2</v>
      </c>
      <c r="M33">
        <v>-6.2925234857210452E-2</v>
      </c>
      <c r="N33">
        <v>3.6310693737651198</v>
      </c>
      <c r="O33">
        <v>3.6310563031729601</v>
      </c>
      <c r="P33">
        <v>3.6310427463196202</v>
      </c>
      <c r="Q33" t="s">
        <v>51</v>
      </c>
    </row>
    <row r="34" spans="1:17" x14ac:dyDescent="0.2">
      <c r="A34">
        <v>33</v>
      </c>
      <c r="B34">
        <v>764</v>
      </c>
      <c r="C34">
        <v>250</v>
      </c>
      <c r="D34">
        <v>0.33433977727426201</v>
      </c>
      <c r="E34">
        <v>109.75166207509101</v>
      </c>
      <c r="F34">
        <v>1.9358152839245699</v>
      </c>
      <c r="G34">
        <v>-1821.0967380316324</v>
      </c>
      <c r="H34">
        <v>-1494.3933533043319</v>
      </c>
      <c r="I34">
        <v>315.003575732314</v>
      </c>
      <c r="J34">
        <v>159.653326536771</v>
      </c>
      <c r="K34">
        <v>56.6953174646845</v>
      </c>
      <c r="L34">
        <v>0.84786061335148111</v>
      </c>
      <c r="M34">
        <v>-0.84762897693942696</v>
      </c>
      <c r="N34">
        <v>48.0586025215893</v>
      </c>
      <c r="O34">
        <v>48.058598050520999</v>
      </c>
      <c r="P34">
        <v>48.058590108979402</v>
      </c>
      <c r="Q34" t="s">
        <v>51</v>
      </c>
    </row>
    <row r="35" spans="1:17" x14ac:dyDescent="0.2">
      <c r="A35">
        <v>34</v>
      </c>
      <c r="B35">
        <v>762</v>
      </c>
      <c r="C35">
        <v>250</v>
      </c>
      <c r="D35">
        <v>0.33291841762063901</v>
      </c>
      <c r="E35">
        <v>109.75172171081999</v>
      </c>
      <c r="F35">
        <v>1.93703581690791</v>
      </c>
      <c r="G35">
        <v>-1820.4680018172198</v>
      </c>
      <c r="H35">
        <v>-1494.7234446211976</v>
      </c>
      <c r="I35">
        <v>314.68592348808102</v>
      </c>
      <c r="J35">
        <v>159.64866060269699</v>
      </c>
      <c r="K35">
        <v>56.659624335711399</v>
      </c>
      <c r="L35">
        <v>0.84758947954819663</v>
      </c>
      <c r="M35">
        <v>-0.84735789807371742</v>
      </c>
      <c r="N35">
        <v>48.012978821337803</v>
      </c>
      <c r="O35">
        <v>48.0129742051097</v>
      </c>
      <c r="P35">
        <v>48.012966269129102</v>
      </c>
      <c r="Q35" t="s">
        <v>51</v>
      </c>
    </row>
    <row r="36" spans="1:17" x14ac:dyDescent="0.2">
      <c r="A36">
        <v>35</v>
      </c>
      <c r="B36">
        <v>760</v>
      </c>
      <c r="C36">
        <v>250</v>
      </c>
      <c r="D36">
        <v>0.33149155495329902</v>
      </c>
      <c r="E36">
        <v>109.751792914128</v>
      </c>
      <c r="F36">
        <v>1.9382491444547501</v>
      </c>
      <c r="G36">
        <v>-1819.8401547781405</v>
      </c>
      <c r="H36">
        <v>-1495.1125964920623</v>
      </c>
      <c r="I36">
        <v>314.31074658136498</v>
      </c>
      <c r="J36">
        <v>159.66152311993301</v>
      </c>
      <c r="K36">
        <v>56.624192626692803</v>
      </c>
      <c r="L36">
        <v>0.84422329225256054</v>
      </c>
      <c r="M36">
        <v>-0.84399083717930679</v>
      </c>
      <c r="N36">
        <v>47.792296593595303</v>
      </c>
      <c r="O36">
        <v>47.792291812125697</v>
      </c>
      <c r="P36">
        <v>47.792283850141096</v>
      </c>
      <c r="Q36" t="s">
        <v>51</v>
      </c>
    </row>
    <row r="37" spans="1:17" x14ac:dyDescent="0.2">
      <c r="A37">
        <v>36</v>
      </c>
      <c r="B37">
        <v>758</v>
      </c>
      <c r="C37">
        <v>250</v>
      </c>
      <c r="D37">
        <v>0.330059157251614</v>
      </c>
      <c r="E37">
        <v>109.751864670248</v>
      </c>
      <c r="F37">
        <v>1.93946894951046</v>
      </c>
      <c r="G37">
        <v>-1819.2130669234355</v>
      </c>
      <c r="H37">
        <v>-1495.5011127630492</v>
      </c>
      <c r="I37">
        <v>313.935466805197</v>
      </c>
      <c r="J37">
        <v>159.67419952566101</v>
      </c>
      <c r="K37">
        <v>56.588616537506702</v>
      </c>
      <c r="L37">
        <v>0.84089279600446065</v>
      </c>
      <c r="M37">
        <v>-0.84065948822122438</v>
      </c>
      <c r="N37">
        <v>47.573752252310904</v>
      </c>
      <c r="O37">
        <v>47.573747303856102</v>
      </c>
      <c r="P37">
        <v>47.573739316807298</v>
      </c>
      <c r="Q37" t="s">
        <v>51</v>
      </c>
    </row>
    <row r="38" spans="1:17" x14ac:dyDescent="0.2">
      <c r="A38">
        <v>37</v>
      </c>
      <c r="B38">
        <v>756</v>
      </c>
      <c r="C38">
        <v>250</v>
      </c>
      <c r="D38">
        <v>0.32862119224602798</v>
      </c>
      <c r="E38">
        <v>109.751936984509</v>
      </c>
      <c r="F38">
        <v>1.9406951213818699</v>
      </c>
      <c r="G38">
        <v>-1818.5867385535112</v>
      </c>
      <c r="H38">
        <v>-1495.8890038958573</v>
      </c>
      <c r="I38">
        <v>313.56007368864198</v>
      </c>
      <c r="J38">
        <v>159.686687083832</v>
      </c>
      <c r="K38">
        <v>56.552899925033302</v>
      </c>
      <c r="L38">
        <v>0.83759737058396155</v>
      </c>
      <c r="M38">
        <v>-0.83736323081496478</v>
      </c>
      <c r="N38">
        <v>47.357311578615402</v>
      </c>
      <c r="O38">
        <v>47.3573064614693</v>
      </c>
      <c r="P38">
        <v>47.3572984502945</v>
      </c>
      <c r="Q38" t="s">
        <v>51</v>
      </c>
    </row>
    <row r="39" spans="1:17" x14ac:dyDescent="0.2">
      <c r="A39">
        <v>38</v>
      </c>
      <c r="B39">
        <v>754</v>
      </c>
      <c r="C39">
        <v>250</v>
      </c>
      <c r="D39">
        <v>0.32717762741566497</v>
      </c>
      <c r="E39">
        <v>109.752009862007</v>
      </c>
      <c r="F39">
        <v>1.9419275508661</v>
      </c>
      <c r="G39">
        <v>-1817.9611699856757</v>
      </c>
      <c r="H39">
        <v>-1496.276280114449</v>
      </c>
      <c r="I39">
        <v>313.18455692707499</v>
      </c>
      <c r="J39">
        <v>159.69898299460601</v>
      </c>
      <c r="K39">
        <v>56.517046587581603</v>
      </c>
      <c r="L39">
        <v>0.83433640935485842</v>
      </c>
      <c r="M39">
        <v>-0.83410145816340164</v>
      </c>
      <c r="N39">
        <v>47.1429410803796</v>
      </c>
      <c r="O39">
        <v>47.142935792874603</v>
      </c>
      <c r="P39">
        <v>47.142927758510098</v>
      </c>
      <c r="Q39" t="s">
        <v>51</v>
      </c>
    </row>
    <row r="40" spans="1:17" x14ac:dyDescent="0.2">
      <c r="A40">
        <v>39</v>
      </c>
      <c r="B40">
        <v>752</v>
      </c>
      <c r="C40">
        <v>250</v>
      </c>
      <c r="D40">
        <v>0.32572842998585799</v>
      </c>
      <c r="E40">
        <v>109.752083308178</v>
      </c>
      <c r="F40">
        <v>1.9431661302055701</v>
      </c>
      <c r="G40">
        <v>-1817.3363615632218</v>
      </c>
      <c r="H40">
        <v>-1496.6629514192282</v>
      </c>
      <c r="I40">
        <v>312.80890637882601</v>
      </c>
      <c r="J40">
        <v>159.711084396785</v>
      </c>
      <c r="K40">
        <v>56.481060266611003</v>
      </c>
      <c r="L40">
        <v>0.83110931888617967</v>
      </c>
      <c r="M40">
        <v>-0.83087357667812023</v>
      </c>
      <c r="N40">
        <v>46.930607972961297</v>
      </c>
      <c r="O40">
        <v>46.930602513469204</v>
      </c>
      <c r="P40">
        <v>46.930594456849398</v>
      </c>
      <c r="Q40" t="s">
        <v>51</v>
      </c>
    </row>
    <row r="41" spans="1:17" x14ac:dyDescent="0.2">
      <c r="A41">
        <v>40</v>
      </c>
      <c r="B41">
        <v>750</v>
      </c>
      <c r="C41">
        <v>250</v>
      </c>
      <c r="D41">
        <v>0.324273566925672</v>
      </c>
      <c r="E41">
        <v>109.75215732832</v>
      </c>
      <c r="F41">
        <v>1.94441075304266</v>
      </c>
      <c r="G41">
        <v>-1816.7123136473037</v>
      </c>
      <c r="H41">
        <v>-1497.0490275862946</v>
      </c>
      <c r="I41">
        <v>312.43311205957002</v>
      </c>
      <c r="J41">
        <v>159.72298836902999</v>
      </c>
      <c r="K41">
        <v>56.444944647923798</v>
      </c>
      <c r="L41">
        <v>0.82791551857647749</v>
      </c>
      <c r="M41">
        <v>-0.82767900560353502</v>
      </c>
      <c r="N41">
        <v>46.720280159616401</v>
      </c>
      <c r="O41">
        <v>46.720274526549296</v>
      </c>
      <c r="P41">
        <v>46.7202664486069</v>
      </c>
      <c r="Q41" t="s">
        <v>51</v>
      </c>
    </row>
    <row r="42" spans="1:17" x14ac:dyDescent="0.2">
      <c r="A42">
        <v>41</v>
      </c>
      <c r="B42">
        <v>748</v>
      </c>
      <c r="C42">
        <v>250</v>
      </c>
      <c r="D42">
        <v>0.32281300494540499</v>
      </c>
      <c r="E42">
        <v>109.752231927864</v>
      </c>
      <c r="F42">
        <v>1.9456613143783601</v>
      </c>
      <c r="G42">
        <v>-1816.0890266209885</v>
      </c>
      <c r="H42">
        <v>-1497.4345181759772</v>
      </c>
      <c r="I42">
        <v>312.05716413947101</v>
      </c>
      <c r="J42">
        <v>159.73469193160801</v>
      </c>
      <c r="K42">
        <v>56.408703363118398</v>
      </c>
      <c r="L42">
        <v>0.82475444034766243</v>
      </c>
      <c r="M42">
        <v>-0.82451717671058133</v>
      </c>
      <c r="N42">
        <v>46.511926216010501</v>
      </c>
      <c r="O42">
        <v>46.5119204078213</v>
      </c>
      <c r="P42">
        <v>46.511912309487201</v>
      </c>
      <c r="Q42" t="s">
        <v>51</v>
      </c>
    </row>
    <row r="43" spans="1:17" x14ac:dyDescent="0.2">
      <c r="A43">
        <v>42</v>
      </c>
      <c r="B43">
        <v>746</v>
      </c>
      <c r="C43">
        <v>250</v>
      </c>
      <c r="D43">
        <v>0.32134671049404001</v>
      </c>
      <c r="E43">
        <v>109.752307112279</v>
      </c>
      <c r="F43">
        <v>1.9469177105266799</v>
      </c>
      <c r="G43">
        <v>-1815.4665008874949</v>
      </c>
      <c r="H43">
        <v>-1497.8194325380707</v>
      </c>
      <c r="I43">
        <v>311.681052937846</v>
      </c>
      <c r="J43">
        <v>159.74619204855799</v>
      </c>
      <c r="K43">
        <v>56.3723399909845</v>
      </c>
      <c r="L43">
        <v>0.82162552824500001</v>
      </c>
      <c r="M43">
        <v>-0.82138753389652941</v>
      </c>
      <c r="N43">
        <v>46.305515369334302</v>
      </c>
      <c r="O43">
        <v>46.305509384517897</v>
      </c>
      <c r="P43">
        <v>46.305501266721301</v>
      </c>
      <c r="Q43" t="s">
        <v>51</v>
      </c>
    </row>
    <row r="44" spans="1:17" x14ac:dyDescent="0.2">
      <c r="A44">
        <v>43</v>
      </c>
      <c r="B44">
        <v>744</v>
      </c>
      <c r="C44">
        <v>250</v>
      </c>
      <c r="D44">
        <v>0.31987464975667701</v>
      </c>
      <c r="E44">
        <v>109.75238288708699</v>
      </c>
      <c r="F44">
        <v>1.94817983907948</v>
      </c>
      <c r="G44">
        <v>-1814.8447368700672</v>
      </c>
      <c r="H44">
        <v>-1498.2037798162739</v>
      </c>
      <c r="I44">
        <v>311.30476892013002</v>
      </c>
      <c r="J44">
        <v>159.75748562893301</v>
      </c>
      <c r="K44">
        <v>56.335858058640703</v>
      </c>
      <c r="L44">
        <v>0.81852823816257891</v>
      </c>
      <c r="M44">
        <v>-0.81828953291032225</v>
      </c>
      <c r="N44">
        <v>46.101017484252203</v>
      </c>
      <c r="O44">
        <v>46.101011321346199</v>
      </c>
      <c r="P44">
        <v>46.101003185014399</v>
      </c>
      <c r="Q44" t="s">
        <v>51</v>
      </c>
    </row>
    <row r="45" spans="1:17" x14ac:dyDescent="0.2">
      <c r="A45">
        <v>44</v>
      </c>
      <c r="B45">
        <v>742</v>
      </c>
      <c r="C45">
        <v>250</v>
      </c>
      <c r="D45">
        <v>0.318396788651924</v>
      </c>
      <c r="E45">
        <v>109.762115939993</v>
      </c>
      <c r="F45">
        <v>1.87687222811507</v>
      </c>
      <c r="G45">
        <v>-1814.3966851149621</v>
      </c>
      <c r="H45">
        <v>-1511.916785111993</v>
      </c>
      <c r="I45">
        <v>297.97113933636302</v>
      </c>
      <c r="J45">
        <v>160.05970194318101</v>
      </c>
      <c r="K45">
        <v>58.481400223086403</v>
      </c>
      <c r="L45">
        <v>0.16128706815173241</v>
      </c>
      <c r="M45">
        <v>-0.16080642707930554</v>
      </c>
      <c r="N45">
        <v>9.4082453476985393</v>
      </c>
      <c r="O45">
        <v>9.4082332057452795</v>
      </c>
      <c r="P45">
        <v>9.4082165946104297</v>
      </c>
      <c r="Q45" t="s">
        <v>51</v>
      </c>
    </row>
    <row r="46" spans="1:17" x14ac:dyDescent="0.2">
      <c r="A46">
        <v>45</v>
      </c>
      <c r="B46">
        <v>740</v>
      </c>
      <c r="C46">
        <v>250</v>
      </c>
      <c r="D46">
        <v>0.31691309282929903</v>
      </c>
      <c r="E46">
        <v>109.762679991721</v>
      </c>
      <c r="F46">
        <v>1.8677841959097199</v>
      </c>
      <c r="G46">
        <v>-1813.8129911565468</v>
      </c>
      <c r="H46">
        <v>-1514.3530675907075</v>
      </c>
      <c r="I46">
        <v>295.579002094266</v>
      </c>
      <c r="J46">
        <v>160.16113459637401</v>
      </c>
      <c r="K46">
        <v>58.766253741782201</v>
      </c>
      <c r="L46">
        <v>6.2527772885115906E-2</v>
      </c>
      <c r="M46">
        <v>-6.2011384202355295E-2</v>
      </c>
      <c r="N46">
        <v>3.6485377976520001</v>
      </c>
      <c r="O46">
        <v>3.6485244686860301</v>
      </c>
      <c r="P46">
        <v>3.6485065690220702</v>
      </c>
      <c r="Q46" t="s">
        <v>51</v>
      </c>
    </row>
    <row r="47" spans="1:17" x14ac:dyDescent="0.2">
      <c r="A47">
        <v>46</v>
      </c>
      <c r="B47">
        <v>764</v>
      </c>
      <c r="C47">
        <v>225</v>
      </c>
      <c r="D47">
        <v>0.36085474617943802</v>
      </c>
      <c r="E47">
        <v>109.751890174143</v>
      </c>
      <c r="F47">
        <v>1.89634425792338</v>
      </c>
      <c r="G47">
        <v>-1822.532067000308</v>
      </c>
      <c r="H47">
        <v>-1495.3325796417962</v>
      </c>
      <c r="I47">
        <v>315.48213100706198</v>
      </c>
      <c r="J47">
        <v>160.47679865497801</v>
      </c>
      <c r="K47">
        <v>57.875509531338302</v>
      </c>
      <c r="L47">
        <v>0.82695096235515519</v>
      </c>
      <c r="M47">
        <v>-0.8266603800762734</v>
      </c>
      <c r="N47">
        <v>47.846195618163399</v>
      </c>
      <c r="O47">
        <v>47.846191868324603</v>
      </c>
      <c r="P47">
        <v>47.846180283467703</v>
      </c>
      <c r="Q47" t="s">
        <v>51</v>
      </c>
    </row>
    <row r="48" spans="1:17" x14ac:dyDescent="0.2">
      <c r="A48">
        <v>47</v>
      </c>
      <c r="B48">
        <v>762</v>
      </c>
      <c r="C48">
        <v>225</v>
      </c>
      <c r="D48">
        <v>0.35948461575617302</v>
      </c>
      <c r="E48">
        <v>109.75195233833399</v>
      </c>
      <c r="F48">
        <v>1.89767497471066</v>
      </c>
      <c r="G48">
        <v>-1821.9024209471038</v>
      </c>
      <c r="H48">
        <v>-1495.6732199375392</v>
      </c>
      <c r="I48">
        <v>315.15433506204897</v>
      </c>
      <c r="J48">
        <v>160.48037927385599</v>
      </c>
      <c r="K48">
        <v>57.8349579358649</v>
      </c>
      <c r="L48">
        <v>0.82627573308953672</v>
      </c>
      <c r="M48">
        <v>-0.82598505392073018</v>
      </c>
      <c r="N48">
        <v>47.773602884714201</v>
      </c>
      <c r="O48">
        <v>47.773598923503101</v>
      </c>
      <c r="P48">
        <v>47.773587335434598</v>
      </c>
      <c r="Q48" t="s">
        <v>51</v>
      </c>
    </row>
    <row r="49" spans="1:17" x14ac:dyDescent="0.2">
      <c r="A49">
        <v>48</v>
      </c>
      <c r="B49">
        <v>760</v>
      </c>
      <c r="C49">
        <v>225</v>
      </c>
      <c r="D49">
        <v>0.35810918066108399</v>
      </c>
      <c r="E49">
        <v>109.752024163177</v>
      </c>
      <c r="F49">
        <v>1.89898282283569</v>
      </c>
      <c r="G49">
        <v>-1821.2736459679249</v>
      </c>
      <c r="H49">
        <v>-1496.0603747110888</v>
      </c>
      <c r="I49">
        <v>314.78109882926401</v>
      </c>
      <c r="J49">
        <v>160.497445361215</v>
      </c>
      <c r="K49">
        <v>57.795164254981401</v>
      </c>
      <c r="L49">
        <v>0.82315584703205691</v>
      </c>
      <c r="M49">
        <v>-0.82286425829835608</v>
      </c>
      <c r="N49">
        <v>47.560362067461398</v>
      </c>
      <c r="O49">
        <v>47.560357880959401</v>
      </c>
      <c r="P49">
        <v>47.560346257458797</v>
      </c>
      <c r="Q49" t="s">
        <v>51</v>
      </c>
    </row>
    <row r="50" spans="1:17" x14ac:dyDescent="0.2">
      <c r="A50">
        <v>49</v>
      </c>
      <c r="B50">
        <v>758</v>
      </c>
      <c r="C50">
        <v>225</v>
      </c>
      <c r="D50">
        <v>0.356728410027642</v>
      </c>
      <c r="E50">
        <v>109.752096545554</v>
      </c>
      <c r="F50">
        <v>1.90029783621783</v>
      </c>
      <c r="G50">
        <v>-1820.6456264292478</v>
      </c>
      <c r="H50">
        <v>-1496.4469516930963</v>
      </c>
      <c r="I50">
        <v>314.40770758257298</v>
      </c>
      <c r="J50">
        <v>160.51438418878399</v>
      </c>
      <c r="K50">
        <v>57.755207869937898</v>
      </c>
      <c r="L50">
        <v>0.82006860090889233</v>
      </c>
      <c r="M50">
        <v>-0.81977612537163091</v>
      </c>
      <c r="N50">
        <v>47.349122408416797</v>
      </c>
      <c r="O50">
        <v>47.349117993559297</v>
      </c>
      <c r="P50">
        <v>47.3491063358086</v>
      </c>
      <c r="Q50" t="s">
        <v>51</v>
      </c>
    </row>
    <row r="51" spans="1:17" x14ac:dyDescent="0.2">
      <c r="A51">
        <v>50</v>
      </c>
      <c r="B51">
        <v>756</v>
      </c>
      <c r="C51">
        <v>225</v>
      </c>
      <c r="D51">
        <v>0.35534227274935698</v>
      </c>
      <c r="E51">
        <v>109.752169490678</v>
      </c>
      <c r="F51">
        <v>1.90161989437803</v>
      </c>
      <c r="G51">
        <v>-1820.0183627332194</v>
      </c>
      <c r="H51">
        <v>-1496.8329603891948</v>
      </c>
      <c r="I51">
        <v>314.03415157463701</v>
      </c>
      <c r="J51">
        <v>160.53119157069099</v>
      </c>
      <c r="K51">
        <v>57.715093229277898</v>
      </c>
      <c r="L51">
        <v>0.81701343353110345</v>
      </c>
      <c r="M51">
        <v>-0.81672009383894539</v>
      </c>
      <c r="N51">
        <v>47.139852742556499</v>
      </c>
      <c r="O51">
        <v>47.1398480963244</v>
      </c>
      <c r="P51">
        <v>47.139836405510003</v>
      </c>
      <c r="Q51" t="s">
        <v>51</v>
      </c>
    </row>
    <row r="52" spans="1:17" x14ac:dyDescent="0.2">
      <c r="A52">
        <v>51</v>
      </c>
      <c r="B52">
        <v>754</v>
      </c>
      <c r="C52">
        <v>225</v>
      </c>
      <c r="D52">
        <v>0.35395073747748601</v>
      </c>
      <c r="E52">
        <v>109.752243003877</v>
      </c>
      <c r="F52">
        <v>1.90294887803519</v>
      </c>
      <c r="G52">
        <v>-1819.3918553032117</v>
      </c>
      <c r="H52">
        <v>-1497.2184100964002</v>
      </c>
      <c r="I52">
        <v>313.66042120593499</v>
      </c>
      <c r="J52">
        <v>160.54786324357801</v>
      </c>
      <c r="K52">
        <v>57.674824726346699</v>
      </c>
      <c r="L52">
        <v>0.81398979560109375</v>
      </c>
      <c r="M52">
        <v>-0.81369561429301263</v>
      </c>
      <c r="N52">
        <v>46.932522550623602</v>
      </c>
      <c r="O52">
        <v>46.932517670044803</v>
      </c>
      <c r="P52">
        <v>46.932505947357299</v>
      </c>
      <c r="Q52" t="s">
        <v>51</v>
      </c>
    </row>
    <row r="53" spans="1:17" x14ac:dyDescent="0.2">
      <c r="A53">
        <v>52</v>
      </c>
      <c r="B53">
        <v>752</v>
      </c>
      <c r="C53">
        <v>225</v>
      </c>
      <c r="D53">
        <v>0.35255377261864101</v>
      </c>
      <c r="E53">
        <v>109.75231709050099</v>
      </c>
      <c r="F53">
        <v>1.90428466905656</v>
      </c>
      <c r="G53">
        <v>-1818.7661045819448</v>
      </c>
      <c r="H53">
        <v>-1497.6033099064846</v>
      </c>
      <c r="I53">
        <v>313.28650702107001</v>
      </c>
      <c r="J53">
        <v>160.56439486858901</v>
      </c>
      <c r="K53">
        <v>57.634406700798301</v>
      </c>
      <c r="L53">
        <v>0.81099714940467493</v>
      </c>
      <c r="M53">
        <v>-0.81070214891273362</v>
      </c>
      <c r="N53">
        <v>46.727101943305698</v>
      </c>
      <c r="O53">
        <v>46.727096825457799</v>
      </c>
      <c r="P53">
        <v>46.727085072092002</v>
      </c>
      <c r="Q53" t="s">
        <v>51</v>
      </c>
    </row>
    <row r="54" spans="1:17" x14ac:dyDescent="0.2">
      <c r="A54">
        <v>53</v>
      </c>
      <c r="B54">
        <v>750</v>
      </c>
      <c r="C54">
        <v>225</v>
      </c>
      <c r="D54">
        <v>0.35115134633240402</v>
      </c>
      <c r="E54">
        <v>109.75239181959201</v>
      </c>
      <c r="F54">
        <v>1.90274673783832</v>
      </c>
      <c r="G54">
        <v>-1818.1413040966547</v>
      </c>
      <c r="H54">
        <v>-1498.3744890330413</v>
      </c>
      <c r="I54">
        <v>312.53460530305603</v>
      </c>
      <c r="J54">
        <v>160.60609784437</v>
      </c>
      <c r="K54">
        <v>57.681030079852</v>
      </c>
      <c r="L54">
        <v>0.78885274562313368</v>
      </c>
      <c r="M54">
        <v>-0.78854815451333693</v>
      </c>
      <c r="N54">
        <v>45.487112631900203</v>
      </c>
      <c r="O54">
        <v>45.487107137242603</v>
      </c>
      <c r="P54">
        <v>45.487094998818598</v>
      </c>
      <c r="Q54" t="s">
        <v>51</v>
      </c>
    </row>
    <row r="55" spans="1:17" x14ac:dyDescent="0.2">
      <c r="A55">
        <v>54</v>
      </c>
      <c r="B55">
        <v>748</v>
      </c>
      <c r="C55">
        <v>225</v>
      </c>
      <c r="D55">
        <v>0.34974342652891699</v>
      </c>
      <c r="E55">
        <v>109.752406819797</v>
      </c>
      <c r="F55">
        <v>1.8826147184219999</v>
      </c>
      <c r="G55">
        <v>-1817.5189244186897</v>
      </c>
      <c r="H55">
        <v>-1502.3171561413992</v>
      </c>
      <c r="I55">
        <v>308.67695988988402</v>
      </c>
      <c r="J55">
        <v>160.63488675098401</v>
      </c>
      <c r="K55">
        <v>58.297858688681302</v>
      </c>
      <c r="L55">
        <v>0.60435053588708476</v>
      </c>
      <c r="M55">
        <v>-0.60397147899265757</v>
      </c>
      <c r="N55">
        <v>35.213788828108697</v>
      </c>
      <c r="O55">
        <v>35.213781847185302</v>
      </c>
      <c r="P55">
        <v>35.213766692259597</v>
      </c>
      <c r="Q55" t="s">
        <v>51</v>
      </c>
    </row>
    <row r="56" spans="1:17" x14ac:dyDescent="0.2">
      <c r="A56">
        <v>55</v>
      </c>
      <c r="B56">
        <v>746</v>
      </c>
      <c r="C56">
        <v>225</v>
      </c>
      <c r="D56">
        <v>0.34832998086640898</v>
      </c>
      <c r="E56">
        <v>109.762870653929</v>
      </c>
      <c r="F56">
        <v>1.83048216604239</v>
      </c>
      <c r="G56">
        <v>-1817.0822817621683</v>
      </c>
      <c r="H56">
        <v>-1512.5767410798719</v>
      </c>
      <c r="I56">
        <v>298.78938010918301</v>
      </c>
      <c r="J56">
        <v>160.46582999205401</v>
      </c>
      <c r="K56">
        <v>59.963911525695401</v>
      </c>
      <c r="L56">
        <v>0.13308534440570863</v>
      </c>
      <c r="M56">
        <v>-0.13251832946750372</v>
      </c>
      <c r="N56">
        <v>7.9517152029962999</v>
      </c>
      <c r="O56">
        <v>7.9517045060290004</v>
      </c>
      <c r="P56">
        <v>7.9516814351184797</v>
      </c>
      <c r="Q56" t="s">
        <v>51</v>
      </c>
    </row>
    <row r="57" spans="1:17" x14ac:dyDescent="0.2">
      <c r="A57">
        <v>56</v>
      </c>
      <c r="B57">
        <v>744</v>
      </c>
      <c r="C57">
        <v>225</v>
      </c>
      <c r="D57">
        <v>0.34691097674876298</v>
      </c>
      <c r="E57">
        <v>109.76317377366701</v>
      </c>
      <c r="F57">
        <v>1.82397976036288</v>
      </c>
      <c r="G57">
        <v>-1816.4919991119216</v>
      </c>
      <c r="H57">
        <v>-1514.5189967854526</v>
      </c>
      <c r="I57">
        <v>296.88735735758303</v>
      </c>
      <c r="J57">
        <v>160.49831793217299</v>
      </c>
      <c r="K57">
        <v>60.177846354955797</v>
      </c>
      <c r="L57">
        <v>5.8542242680259572E-2</v>
      </c>
      <c r="M57">
        <v>-5.7946080876498808E-2</v>
      </c>
      <c r="N57">
        <v>3.4927373501130301</v>
      </c>
      <c r="O57">
        <v>3.49272568134234</v>
      </c>
      <c r="P57">
        <v>3.4927013567774998</v>
      </c>
      <c r="Q57" t="s">
        <v>51</v>
      </c>
    </row>
    <row r="58" spans="1:17" x14ac:dyDescent="0.2">
      <c r="A58">
        <v>57</v>
      </c>
      <c r="B58">
        <v>764</v>
      </c>
      <c r="C58">
        <v>200</v>
      </c>
      <c r="D58">
        <v>0.38736971508460899</v>
      </c>
      <c r="E58">
        <v>109.752121484233</v>
      </c>
      <c r="F58">
        <v>1.84918424908989</v>
      </c>
      <c r="G58">
        <v>-1824.0003828976105</v>
      </c>
      <c r="H58">
        <v>-1496.2257706110215</v>
      </c>
      <c r="I58">
        <v>316.03687776669199</v>
      </c>
      <c r="J58">
        <v>161.297726969694</v>
      </c>
      <c r="K58">
        <v>59.351641967667497</v>
      </c>
      <c r="L58">
        <v>0.80270103632624357</v>
      </c>
      <c r="M58">
        <v>-0.80233229716452248</v>
      </c>
      <c r="N58">
        <v>47.623778699336199</v>
      </c>
      <c r="O58">
        <v>47.623777919810202</v>
      </c>
      <c r="P58">
        <v>47.623760659438197</v>
      </c>
      <c r="Q58" t="s">
        <v>51</v>
      </c>
    </row>
    <row r="59" spans="1:17" x14ac:dyDescent="0.2">
      <c r="A59">
        <v>58</v>
      </c>
      <c r="B59">
        <v>762</v>
      </c>
      <c r="C59">
        <v>200</v>
      </c>
      <c r="D59">
        <v>0.38605081389170998</v>
      </c>
      <c r="E59">
        <v>109.752188839353</v>
      </c>
      <c r="F59">
        <v>1.85063745544833</v>
      </c>
      <c r="G59">
        <v>-1823.3697337303111</v>
      </c>
      <c r="H59">
        <v>-1496.5891137247559</v>
      </c>
      <c r="I59">
        <v>315.68725583104799</v>
      </c>
      <c r="J59">
        <v>161.31460561221701</v>
      </c>
      <c r="K59">
        <v>59.305072701430603</v>
      </c>
      <c r="L59">
        <v>0.80099948300709667</v>
      </c>
      <c r="M59">
        <v>-0.80063016985435032</v>
      </c>
      <c r="N59">
        <v>47.485455441246401</v>
      </c>
      <c r="O59">
        <v>47.485454365688398</v>
      </c>
      <c r="P59">
        <v>47.4854370707627</v>
      </c>
      <c r="Q59" t="s">
        <v>51</v>
      </c>
    </row>
    <row r="60" spans="1:17" x14ac:dyDescent="0.2">
      <c r="A60">
        <v>59</v>
      </c>
      <c r="B60">
        <v>760</v>
      </c>
      <c r="C60">
        <v>200</v>
      </c>
      <c r="D60">
        <v>0.38472680636887402</v>
      </c>
      <c r="E60">
        <v>109.752261228821</v>
      </c>
      <c r="F60">
        <v>1.85207172356127</v>
      </c>
      <c r="G60">
        <v>-1822.7399005887864</v>
      </c>
      <c r="H60">
        <v>-1496.973963942972</v>
      </c>
      <c r="I60">
        <v>315.31625654547503</v>
      </c>
      <c r="J60">
        <v>161.337586266046</v>
      </c>
      <c r="K60">
        <v>59.259185177657798</v>
      </c>
      <c r="L60">
        <v>0.7981664144670062</v>
      </c>
      <c r="M60">
        <v>-0.79779611092987479</v>
      </c>
      <c r="N60">
        <v>47.280762622068103</v>
      </c>
      <c r="O60">
        <v>47.2807612439221</v>
      </c>
      <c r="P60">
        <v>47.280743894972296</v>
      </c>
      <c r="Q60" t="s">
        <v>51</v>
      </c>
    </row>
    <row r="61" spans="1:17" x14ac:dyDescent="0.2">
      <c r="A61">
        <v>60</v>
      </c>
      <c r="B61">
        <v>758</v>
      </c>
      <c r="C61">
        <v>200</v>
      </c>
      <c r="D61">
        <v>0.383397662803666</v>
      </c>
      <c r="E61">
        <v>109.75233418012201</v>
      </c>
      <c r="F61">
        <v>1.8535142337042201</v>
      </c>
      <c r="G61">
        <v>-1822.1108185524872</v>
      </c>
      <c r="H61">
        <v>-1497.3583027275681</v>
      </c>
      <c r="I61">
        <v>314.94504238475599</v>
      </c>
      <c r="J61">
        <v>161.36052786854199</v>
      </c>
      <c r="K61">
        <v>59.213105669430703</v>
      </c>
      <c r="L61">
        <v>0.79536274514991967</v>
      </c>
      <c r="M61">
        <v>-0.79499147626213895</v>
      </c>
      <c r="N61">
        <v>47.077919221967299</v>
      </c>
      <c r="O61">
        <v>47.077917535647899</v>
      </c>
      <c r="P61">
        <v>47.077900134084899</v>
      </c>
      <c r="Q61" t="s">
        <v>51</v>
      </c>
    </row>
    <row r="62" spans="1:17" x14ac:dyDescent="0.2">
      <c r="A62">
        <v>61</v>
      </c>
      <c r="B62">
        <v>756</v>
      </c>
      <c r="C62">
        <v>200</v>
      </c>
      <c r="D62">
        <v>0.38206335325268598</v>
      </c>
      <c r="E62">
        <v>109.752407758578</v>
      </c>
      <c r="F62">
        <v>1.8518005274220699</v>
      </c>
      <c r="G62">
        <v>-1821.4827096571078</v>
      </c>
      <c r="H62">
        <v>-1498.1467670855968</v>
      </c>
      <c r="I62">
        <v>314.18073468543997</v>
      </c>
      <c r="J62">
        <v>161.39058233349701</v>
      </c>
      <c r="K62">
        <v>59.267942812051501</v>
      </c>
      <c r="L62">
        <v>0.77283259665055437</v>
      </c>
      <c r="M62">
        <v>-0.77245040074810489</v>
      </c>
      <c r="N62">
        <v>45.785652544270199</v>
      </c>
      <c r="O62">
        <v>45.785650510248502</v>
      </c>
      <c r="P62">
        <v>45.785632574155201</v>
      </c>
      <c r="Q62" t="s">
        <v>51</v>
      </c>
    </row>
    <row r="63" spans="1:17" x14ac:dyDescent="0.2">
      <c r="A63">
        <v>62</v>
      </c>
      <c r="B63">
        <v>754</v>
      </c>
      <c r="C63">
        <v>200</v>
      </c>
      <c r="D63">
        <v>0.38072384753930699</v>
      </c>
      <c r="E63">
        <v>109.75247878966501</v>
      </c>
      <c r="F63">
        <v>1.84712492591971</v>
      </c>
      <c r="G63">
        <v>-1820.8566195729595</v>
      </c>
      <c r="H63">
        <v>-1499.3299304235147</v>
      </c>
      <c r="I63">
        <v>313.03123068699102</v>
      </c>
      <c r="J63">
        <v>161.434802585066</v>
      </c>
      <c r="K63">
        <v>59.418005382076302</v>
      </c>
      <c r="L63">
        <v>0.73071621997473823</v>
      </c>
      <c r="M63">
        <v>-0.73031347041702976</v>
      </c>
      <c r="N63">
        <v>43.398084494904701</v>
      </c>
      <c r="O63">
        <v>43.398082052725201</v>
      </c>
      <c r="P63">
        <v>43.398063112733197</v>
      </c>
      <c r="Q63" t="s">
        <v>51</v>
      </c>
    </row>
    <row r="64" spans="1:17" x14ac:dyDescent="0.2">
      <c r="A64">
        <v>63</v>
      </c>
      <c r="B64">
        <v>752</v>
      </c>
      <c r="C64">
        <v>200</v>
      </c>
      <c r="D64">
        <v>0.37937911525142798</v>
      </c>
      <c r="E64">
        <v>109.758308606654</v>
      </c>
      <c r="F64">
        <v>1.80488841341455</v>
      </c>
      <c r="G64">
        <v>-1820.330546195082</v>
      </c>
      <c r="H64">
        <v>-1506.951974059009</v>
      </c>
      <c r="I64">
        <v>305.69505426517998</v>
      </c>
      <c r="J64">
        <v>161.11139942512</v>
      </c>
      <c r="K64">
        <v>60.811686634416198</v>
      </c>
      <c r="L64">
        <v>0.3750191207275011</v>
      </c>
      <c r="M64">
        <v>-0.37445933068481274</v>
      </c>
      <c r="N64">
        <v>22.777579317010598</v>
      </c>
      <c r="O64">
        <v>22.7775756541769</v>
      </c>
      <c r="P64">
        <v>22.777548943521101</v>
      </c>
      <c r="Q64" t="s">
        <v>51</v>
      </c>
    </row>
    <row r="65" spans="1:17" x14ac:dyDescent="0.2">
      <c r="A65">
        <v>64</v>
      </c>
      <c r="B65">
        <v>750</v>
      </c>
      <c r="C65">
        <v>200</v>
      </c>
      <c r="D65">
        <v>0.37802912573913899</v>
      </c>
      <c r="E65">
        <v>109.763528561534</v>
      </c>
      <c r="F65">
        <v>1.7724253981167899</v>
      </c>
      <c r="G65">
        <v>-1819.8119411519112</v>
      </c>
      <c r="H65">
        <v>-1513.4330625159325</v>
      </c>
      <c r="I65">
        <v>299.45240260501299</v>
      </c>
      <c r="J65">
        <v>160.77599403250699</v>
      </c>
      <c r="K65">
        <v>61.928433590580703</v>
      </c>
      <c r="L65">
        <v>9.2279457755242753E-2</v>
      </c>
      <c r="M65">
        <v>-9.1595522608428834E-2</v>
      </c>
      <c r="N65">
        <v>5.6798726978673404</v>
      </c>
      <c r="O65">
        <v>5.6798677340910002</v>
      </c>
      <c r="P65">
        <v>5.67983461774371</v>
      </c>
      <c r="Q65" t="s">
        <v>51</v>
      </c>
    </row>
    <row r="66" spans="1:17" x14ac:dyDescent="0.2">
      <c r="A66">
        <v>65</v>
      </c>
      <c r="B66">
        <v>748</v>
      </c>
      <c r="C66">
        <v>200</v>
      </c>
      <c r="D66">
        <v>0.37667384811242399</v>
      </c>
      <c r="E66">
        <v>109.76364108633</v>
      </c>
      <c r="F66">
        <v>1.76949193563758</v>
      </c>
      <c r="G66">
        <v>-1819.2162952363835</v>
      </c>
      <c r="H66">
        <v>-1514.6879269142787</v>
      </c>
      <c r="I66">
        <v>298.22688785432899</v>
      </c>
      <c r="J66">
        <v>160.79655088463301</v>
      </c>
      <c r="K66">
        <v>62.031162095565399</v>
      </c>
      <c r="L66">
        <v>5.0317610572809292E-2</v>
      </c>
      <c r="M66">
        <v>-4.9615709625404021E-2</v>
      </c>
      <c r="N66">
        <v>3.0853982615068798</v>
      </c>
      <c r="O66">
        <v>3.0853925881717101</v>
      </c>
      <c r="P66">
        <v>3.0853585280226201</v>
      </c>
      <c r="Q66" t="s">
        <v>51</v>
      </c>
    </row>
    <row r="67" spans="1:17" x14ac:dyDescent="0.2">
      <c r="A67">
        <v>66</v>
      </c>
      <c r="B67">
        <v>766</v>
      </c>
      <c r="C67">
        <v>175</v>
      </c>
      <c r="D67">
        <v>0.41514747630275201</v>
      </c>
      <c r="E67">
        <v>109.752297381918</v>
      </c>
      <c r="F67">
        <v>1.7887073735680601</v>
      </c>
      <c r="G67">
        <v>-1826.1438418501998</v>
      </c>
      <c r="H67">
        <v>-1496.7251673870453</v>
      </c>
      <c r="I67">
        <v>317.01096490376</v>
      </c>
      <c r="J67">
        <v>162.05086117084099</v>
      </c>
      <c r="K67">
        <v>61.3584418579253</v>
      </c>
      <c r="L67">
        <v>0.77282390274094159</v>
      </c>
      <c r="M67">
        <v>-0.77234865684627652</v>
      </c>
      <c r="N67">
        <v>47.396205752740002</v>
      </c>
      <c r="O67">
        <v>47.396213234475098</v>
      </c>
      <c r="P67">
        <v>47.396186892586698</v>
      </c>
      <c r="Q67" t="s">
        <v>51</v>
      </c>
    </row>
    <row r="68" spans="1:17" x14ac:dyDescent="0.2">
      <c r="A68">
        <v>67</v>
      </c>
      <c r="B68">
        <v>764</v>
      </c>
      <c r="C68">
        <v>175</v>
      </c>
      <c r="D68">
        <v>0.41388468398978101</v>
      </c>
      <c r="E68">
        <v>109.752361185718</v>
      </c>
      <c r="F68">
        <v>1.7900979880027901</v>
      </c>
      <c r="G68">
        <v>-1825.5111721513995</v>
      </c>
      <c r="H68">
        <v>-1497.102367938018</v>
      </c>
      <c r="I68">
        <v>316.64858886381501</v>
      </c>
      <c r="J68">
        <v>162.070630968903</v>
      </c>
      <c r="K68">
        <v>61.310811989777498</v>
      </c>
      <c r="L68">
        <v>0.77073325552533523</v>
      </c>
      <c r="M68">
        <v>-0.77025678210617465</v>
      </c>
      <c r="N68">
        <v>47.231148131578799</v>
      </c>
      <c r="O68">
        <v>47.2311552573535</v>
      </c>
      <c r="P68">
        <v>47.231128821452003</v>
      </c>
      <c r="Q68" t="s">
        <v>51</v>
      </c>
    </row>
    <row r="69" spans="1:17" x14ac:dyDescent="0.2">
      <c r="A69">
        <v>68</v>
      </c>
      <c r="B69">
        <v>762</v>
      </c>
      <c r="C69">
        <v>175</v>
      </c>
      <c r="D69">
        <v>0.41261701202724399</v>
      </c>
      <c r="E69">
        <v>109.75243286432</v>
      </c>
      <c r="F69">
        <v>1.7858557040260701</v>
      </c>
      <c r="G69">
        <v>-1824.8800618223811</v>
      </c>
      <c r="H69">
        <v>-1498.1779092708048</v>
      </c>
      <c r="I69">
        <v>315.61182274197898</v>
      </c>
      <c r="J69">
        <v>162.077252792302</v>
      </c>
      <c r="K69">
        <v>61.456495402675301</v>
      </c>
      <c r="L69">
        <v>0.73492350480494517</v>
      </c>
      <c r="M69">
        <v>-0.73442710957211965</v>
      </c>
      <c r="N69">
        <v>45.141632236214903</v>
      </c>
      <c r="O69">
        <v>45.1416393047353</v>
      </c>
      <c r="P69">
        <v>45.141611678526502</v>
      </c>
      <c r="Q69" t="s">
        <v>51</v>
      </c>
    </row>
    <row r="70" spans="1:17" x14ac:dyDescent="0.2">
      <c r="A70">
        <v>69</v>
      </c>
      <c r="B70">
        <v>760</v>
      </c>
      <c r="C70">
        <v>175</v>
      </c>
      <c r="D70">
        <v>0.41134443207665999</v>
      </c>
      <c r="E70">
        <v>109.752501220974</v>
      </c>
      <c r="F70">
        <v>1.78097663414295</v>
      </c>
      <c r="G70">
        <v>-1824.2510492827987</v>
      </c>
      <c r="H70">
        <v>-1499.3477920859455</v>
      </c>
      <c r="I70">
        <v>314.48177667926097</v>
      </c>
      <c r="J70">
        <v>162.08837677833401</v>
      </c>
      <c r="K70">
        <v>61.624896765582797</v>
      </c>
      <c r="L70">
        <v>0.69422213253176779</v>
      </c>
      <c r="M70">
        <v>-0.69370339557295979</v>
      </c>
      <c r="N70">
        <v>42.755983879815503</v>
      </c>
      <c r="O70">
        <v>42.755990892366</v>
      </c>
      <c r="P70">
        <v>42.755961925496699</v>
      </c>
      <c r="Q70" t="s">
        <v>51</v>
      </c>
    </row>
    <row r="71" spans="1:17" x14ac:dyDescent="0.2">
      <c r="A71">
        <v>70</v>
      </c>
      <c r="B71">
        <v>758</v>
      </c>
      <c r="C71">
        <v>175</v>
      </c>
      <c r="D71">
        <v>0.41006691557969399</v>
      </c>
      <c r="E71">
        <v>109.752495695134</v>
      </c>
      <c r="F71">
        <v>1.75836609632649</v>
      </c>
      <c r="G71">
        <v>-1823.6248297396157</v>
      </c>
      <c r="H71">
        <v>-1503.2165084407507</v>
      </c>
      <c r="I71">
        <v>310.73321861814799</v>
      </c>
      <c r="J71">
        <v>161.83690232612599</v>
      </c>
      <c r="K71">
        <v>62.417317943302699</v>
      </c>
      <c r="L71">
        <v>0.51874275110592671</v>
      </c>
      <c r="M71">
        <v>-0.51813655689623717</v>
      </c>
      <c r="N71">
        <v>32.3484307046837</v>
      </c>
      <c r="O71">
        <v>32.348438572777098</v>
      </c>
      <c r="P71">
        <v>32.348404374031098</v>
      </c>
      <c r="Q71" t="s">
        <v>51</v>
      </c>
    </row>
    <row r="72" spans="1:17" x14ac:dyDescent="0.2">
      <c r="A72">
        <v>71</v>
      </c>
      <c r="B72">
        <v>756</v>
      </c>
      <c r="C72">
        <v>175</v>
      </c>
      <c r="D72">
        <v>0.40878443375601398</v>
      </c>
      <c r="E72">
        <v>109.76396705321601</v>
      </c>
      <c r="F72">
        <v>1.7073761753537999</v>
      </c>
      <c r="G72">
        <v>-1823.2003157127524</v>
      </c>
      <c r="H72">
        <v>-1512.1164421441304</v>
      </c>
      <c r="I72">
        <v>302.27818237949901</v>
      </c>
      <c r="J72">
        <v>160.98128357758699</v>
      </c>
      <c r="K72">
        <v>64.288098099102896</v>
      </c>
      <c r="L72">
        <v>0.12932458207978323</v>
      </c>
      <c r="M72">
        <v>-0.12852643656395163</v>
      </c>
      <c r="N72">
        <v>8.2731231211296805</v>
      </c>
      <c r="O72">
        <v>8.2731332430684397</v>
      </c>
      <c r="P72">
        <v>8.2730870748887497</v>
      </c>
      <c r="Q72" t="s">
        <v>51</v>
      </c>
    </row>
    <row r="73" spans="1:17" x14ac:dyDescent="0.2">
      <c r="A73">
        <v>72</v>
      </c>
      <c r="B73">
        <v>754</v>
      </c>
      <c r="C73">
        <v>175</v>
      </c>
      <c r="D73">
        <v>0.40749695760112897</v>
      </c>
      <c r="E73">
        <v>109.764034815172</v>
      </c>
      <c r="F73">
        <v>1.70021735671004</v>
      </c>
      <c r="G73">
        <v>-1822.5991424198482</v>
      </c>
      <c r="H73">
        <v>-1514.0437745686181</v>
      </c>
      <c r="I73">
        <v>300.40535766199599</v>
      </c>
      <c r="J73">
        <v>160.878811600321</v>
      </c>
      <c r="K73">
        <v>64.5588250125667</v>
      </c>
      <c r="L73">
        <v>5.833470995402789E-2</v>
      </c>
      <c r="M73">
        <v>-5.7501823308188725E-2</v>
      </c>
      <c r="N73">
        <v>3.7230963082915598</v>
      </c>
      <c r="O73">
        <v>3.72310622193331</v>
      </c>
      <c r="P73">
        <v>3.7230577956420898</v>
      </c>
      <c r="Q73" t="s">
        <v>51</v>
      </c>
    </row>
    <row r="74" spans="1:17" x14ac:dyDescent="0.2">
      <c r="A74">
        <v>73</v>
      </c>
      <c r="B74">
        <v>776</v>
      </c>
      <c r="C74">
        <v>150</v>
      </c>
      <c r="D74">
        <v>0.447600915026452</v>
      </c>
      <c r="E74">
        <v>109.752244403684</v>
      </c>
      <c r="F74">
        <v>1.7020536251234899</v>
      </c>
      <c r="G74">
        <v>-1830.8953321105912</v>
      </c>
      <c r="H74">
        <v>-1495.8179723202804</v>
      </c>
      <c r="I74">
        <v>319.38318988751598</v>
      </c>
      <c r="J74">
        <v>162.50509026371699</v>
      </c>
      <c r="K74">
        <v>64.482248258024796</v>
      </c>
      <c r="L74">
        <v>0.73223079714321559</v>
      </c>
      <c r="M74">
        <v>-0.73160929681371056</v>
      </c>
      <c r="N74">
        <v>47.185695462202197</v>
      </c>
      <c r="O74">
        <v>47.185722546403603</v>
      </c>
      <c r="P74">
        <v>47.185681383024999</v>
      </c>
      <c r="Q74" t="s">
        <v>51</v>
      </c>
    </row>
    <row r="75" spans="1:17" x14ac:dyDescent="0.2">
      <c r="A75">
        <v>74</v>
      </c>
      <c r="B75">
        <v>774</v>
      </c>
      <c r="C75">
        <v>150</v>
      </c>
      <c r="D75">
        <v>0.44641216635630598</v>
      </c>
      <c r="E75">
        <v>109.75229768398</v>
      </c>
      <c r="F75">
        <v>1.7034388942352801</v>
      </c>
      <c r="G75">
        <v>-1830.2577505423208</v>
      </c>
      <c r="H75">
        <v>-1496.1901468651656</v>
      </c>
      <c r="I75">
        <v>319.02891321468002</v>
      </c>
      <c r="J75">
        <v>162.51932129866299</v>
      </c>
      <c r="K75">
        <v>64.429841337661003</v>
      </c>
      <c r="L75">
        <v>0.73082094245589202</v>
      </c>
      <c r="M75">
        <v>-0.73019775509332452</v>
      </c>
      <c r="N75">
        <v>47.056384426703801</v>
      </c>
      <c r="O75">
        <v>47.056411233726799</v>
      </c>
      <c r="P75">
        <v>47.056369914125199</v>
      </c>
      <c r="Q75" t="s">
        <v>51</v>
      </c>
    </row>
    <row r="76" spans="1:17" x14ac:dyDescent="0.2">
      <c r="A76">
        <v>75</v>
      </c>
      <c r="B76">
        <v>772</v>
      </c>
      <c r="C76">
        <v>150</v>
      </c>
      <c r="D76">
        <v>0.44521886810505501</v>
      </c>
      <c r="E76">
        <v>109.752340982991</v>
      </c>
      <c r="F76">
        <v>1.7035309857482701</v>
      </c>
      <c r="G76">
        <v>-1829.6208518375499</v>
      </c>
      <c r="H76">
        <v>-1496.6725322350474</v>
      </c>
      <c r="I76">
        <v>318.56850463385399</v>
      </c>
      <c r="J76">
        <v>162.50626226254801</v>
      </c>
      <c r="K76">
        <v>64.426383729547098</v>
      </c>
      <c r="L76">
        <v>0.72452055478047539</v>
      </c>
      <c r="M76">
        <v>-0.72389228641235726</v>
      </c>
      <c r="N76">
        <v>46.647656175723299</v>
      </c>
      <c r="O76">
        <v>46.647682857993601</v>
      </c>
      <c r="P76">
        <v>46.647641131338801</v>
      </c>
      <c r="Q76" t="s">
        <v>51</v>
      </c>
    </row>
    <row r="77" spans="1:17" x14ac:dyDescent="0.2">
      <c r="A77">
        <v>76</v>
      </c>
      <c r="B77">
        <v>770</v>
      </c>
      <c r="C77">
        <v>150</v>
      </c>
      <c r="D77">
        <v>0.44402099410439499</v>
      </c>
      <c r="E77">
        <v>109.75240092153901</v>
      </c>
      <c r="F77">
        <v>1.70070909288155</v>
      </c>
      <c r="G77">
        <v>-1828.9853678708446</v>
      </c>
      <c r="H77">
        <v>-1497.5190581075235</v>
      </c>
      <c r="I77">
        <v>317.75867088737903</v>
      </c>
      <c r="J77">
        <v>162.48286700947801</v>
      </c>
      <c r="K77">
        <v>64.533318120609906</v>
      </c>
      <c r="L77">
        <v>0.70069089759650283</v>
      </c>
      <c r="M77">
        <v>-0.7000470472495175</v>
      </c>
      <c r="N77">
        <v>45.186466796915099</v>
      </c>
      <c r="O77">
        <v>45.186493825236902</v>
      </c>
      <c r="P77">
        <v>45.186450931418499</v>
      </c>
      <c r="Q77" t="s">
        <v>51</v>
      </c>
    </row>
    <row r="78" spans="1:17" x14ac:dyDescent="0.2">
      <c r="A78">
        <v>77</v>
      </c>
      <c r="B78">
        <v>768</v>
      </c>
      <c r="C78">
        <v>150</v>
      </c>
      <c r="D78">
        <v>0.442818517984921</v>
      </c>
      <c r="E78">
        <v>109.75246779014699</v>
      </c>
      <c r="F78">
        <v>1.6958453547638399</v>
      </c>
      <c r="G78">
        <v>-1828.3519777680212</v>
      </c>
      <c r="H78">
        <v>-1498.6251164592629</v>
      </c>
      <c r="I78">
        <v>316.69850672178001</v>
      </c>
      <c r="J78">
        <v>162.452380247608</v>
      </c>
      <c r="K78">
        <v>64.718441149034504</v>
      </c>
      <c r="L78">
        <v>0.66423336184561088</v>
      </c>
      <c r="M78">
        <v>-0.66356647701630711</v>
      </c>
      <c r="N78">
        <v>42.955436075709798</v>
      </c>
      <c r="O78">
        <v>42.955463766516303</v>
      </c>
      <c r="P78">
        <v>42.955419155680197</v>
      </c>
      <c r="Q78" t="s">
        <v>51</v>
      </c>
    </row>
    <row r="79" spans="1:17" x14ac:dyDescent="0.2">
      <c r="A79">
        <v>78</v>
      </c>
      <c r="B79">
        <v>766</v>
      </c>
      <c r="C79">
        <v>150</v>
      </c>
      <c r="D79">
        <v>0.44161141317423203</v>
      </c>
      <c r="E79">
        <v>109.752528098166</v>
      </c>
      <c r="F79">
        <v>1.6895291130787899</v>
      </c>
      <c r="G79">
        <v>-1827.7207440281486</v>
      </c>
      <c r="H79">
        <v>-1499.9199349301091</v>
      </c>
      <c r="I79">
        <v>315.45472081823698</v>
      </c>
      <c r="J79">
        <v>162.40437920179099</v>
      </c>
      <c r="K79">
        <v>64.960424326850699</v>
      </c>
      <c r="L79">
        <v>0.61819099207511208</v>
      </c>
      <c r="M79">
        <v>-0.61749576444225973</v>
      </c>
      <c r="N79">
        <v>40.123664511380603</v>
      </c>
      <c r="O79">
        <v>40.1236930733074</v>
      </c>
      <c r="P79">
        <v>40.1236463414646</v>
      </c>
      <c r="Q79" t="s">
        <v>51</v>
      </c>
    </row>
    <row r="80" spans="1:17" x14ac:dyDescent="0.2">
      <c r="A80">
        <v>79</v>
      </c>
      <c r="B80">
        <v>764</v>
      </c>
      <c r="C80">
        <v>150</v>
      </c>
      <c r="D80">
        <v>0.44039965289495597</v>
      </c>
      <c r="E80">
        <v>109.760075153366</v>
      </c>
      <c r="F80">
        <v>1.64138545069171</v>
      </c>
      <c r="G80">
        <v>-1827.2182306310804</v>
      </c>
      <c r="H80">
        <v>-1507.1571831608796</v>
      </c>
      <c r="I80">
        <v>308.60159811933499</v>
      </c>
      <c r="J80">
        <v>161.36746188369401</v>
      </c>
      <c r="K80">
        <v>66.870383862066902</v>
      </c>
      <c r="L80">
        <v>0.30007833190735472</v>
      </c>
      <c r="M80">
        <v>-0.29920555646580771</v>
      </c>
      <c r="N80">
        <v>20.021935938072001</v>
      </c>
      <c r="O80">
        <v>20.021972248845501</v>
      </c>
      <c r="P80">
        <v>20.021912048241401</v>
      </c>
      <c r="Q80" t="s">
        <v>51</v>
      </c>
    </row>
    <row r="81" spans="1:17" x14ac:dyDescent="0.2">
      <c r="A81">
        <v>80</v>
      </c>
      <c r="B81">
        <v>762</v>
      </c>
      <c r="C81">
        <v>150</v>
      </c>
      <c r="D81">
        <v>0.439183210162781</v>
      </c>
      <c r="E81">
        <v>109.764474035779</v>
      </c>
      <c r="F81">
        <v>1.61229183541857</v>
      </c>
      <c r="G81">
        <v>-1826.6782942520329</v>
      </c>
      <c r="H81">
        <v>-1512.1648673806983</v>
      </c>
      <c r="I81">
        <v>303.839329262435</v>
      </c>
      <c r="J81">
        <v>160.634512021007</v>
      </c>
      <c r="K81">
        <v>68.079780362643206</v>
      </c>
      <c r="L81">
        <v>9.7548606210799874E-2</v>
      </c>
      <c r="M81">
        <v>-9.656295319067669E-2</v>
      </c>
      <c r="N81">
        <v>6.5899220485831398</v>
      </c>
      <c r="O81">
        <v>6.5899631336374798</v>
      </c>
      <c r="P81">
        <v>6.5898939346467804</v>
      </c>
      <c r="Q81" t="s">
        <v>51</v>
      </c>
    </row>
    <row r="82" spans="1:17" x14ac:dyDescent="0.2">
      <c r="A82">
        <v>81</v>
      </c>
      <c r="B82">
        <v>760</v>
      </c>
      <c r="C82">
        <v>150</v>
      </c>
      <c r="D82">
        <v>0.43796205778444602</v>
      </c>
      <c r="E82">
        <v>109.76442833363301</v>
      </c>
      <c r="F82">
        <v>1.6077725380004799</v>
      </c>
      <c r="G82">
        <v>-1826.0714522284236</v>
      </c>
      <c r="H82">
        <v>-1513.5718797031143</v>
      </c>
      <c r="I82">
        <v>302.47844141186499</v>
      </c>
      <c r="J82">
        <v>160.53638713485</v>
      </c>
      <c r="K82">
        <v>68.271117797635</v>
      </c>
      <c r="L82">
        <v>5.1482014617630835E-2</v>
      </c>
      <c r="M82">
        <v>-5.047023329258269E-2</v>
      </c>
      <c r="N82">
        <v>3.4619866524441201</v>
      </c>
      <c r="O82">
        <v>3.4620282697087399</v>
      </c>
      <c r="P82">
        <v>3.4619569174681102</v>
      </c>
      <c r="Q82" t="s">
        <v>51</v>
      </c>
    </row>
    <row r="83" spans="1:17" x14ac:dyDescent="0.2">
      <c r="A83">
        <v>82</v>
      </c>
      <c r="B83">
        <v>788</v>
      </c>
      <c r="C83">
        <v>125</v>
      </c>
      <c r="D83">
        <v>0.48055458700466802</v>
      </c>
      <c r="E83">
        <v>109.752148638854</v>
      </c>
      <c r="F83">
        <v>1.5827674048776801</v>
      </c>
      <c r="G83">
        <v>-1836.4116212377487</v>
      </c>
      <c r="H83">
        <v>-1494.4422685152488</v>
      </c>
      <c r="I83">
        <v>322.26653347103098</v>
      </c>
      <c r="J83">
        <v>162.45283966822601</v>
      </c>
      <c r="K83">
        <v>69.341931291121199</v>
      </c>
      <c r="L83">
        <v>0.67724893227835459</v>
      </c>
      <c r="M83">
        <v>-0.67642850762465234</v>
      </c>
      <c r="N83">
        <v>46.921911769444598</v>
      </c>
      <c r="O83">
        <v>46.921974711547399</v>
      </c>
      <c r="P83">
        <v>46.921907455406803</v>
      </c>
      <c r="Q83" t="s">
        <v>51</v>
      </c>
    </row>
    <row r="84" spans="1:17" x14ac:dyDescent="0.2">
      <c r="A84">
        <v>83</v>
      </c>
      <c r="B84">
        <v>786</v>
      </c>
      <c r="C84">
        <v>125</v>
      </c>
      <c r="D84">
        <v>0.47944153330501299</v>
      </c>
      <c r="E84">
        <v>109.75219232772</v>
      </c>
      <c r="F84">
        <v>1.5833967507698099</v>
      </c>
      <c r="G84">
        <v>-1835.7681939125202</v>
      </c>
      <c r="H84">
        <v>-1494.8885815247093</v>
      </c>
      <c r="I84">
        <v>321.84620876901602</v>
      </c>
      <c r="J84">
        <v>162.44060421360899</v>
      </c>
      <c r="K84">
        <v>69.314397843977702</v>
      </c>
      <c r="L84">
        <v>0.67297393041185738</v>
      </c>
      <c r="M84">
        <v>-0.67214877020542796</v>
      </c>
      <c r="N84">
        <v>46.6066629196091</v>
      </c>
      <c r="O84">
        <v>46.606726081702902</v>
      </c>
      <c r="P84">
        <v>46.606658380338303</v>
      </c>
      <c r="Q84" t="s">
        <v>51</v>
      </c>
    </row>
    <row r="85" spans="1:17" x14ac:dyDescent="0.2">
      <c r="A85">
        <v>84</v>
      </c>
      <c r="B85">
        <v>784</v>
      </c>
      <c r="C85">
        <v>125</v>
      </c>
      <c r="D85">
        <v>0.47832426807926898</v>
      </c>
      <c r="E85">
        <v>109.752233426125</v>
      </c>
      <c r="F85">
        <v>1.5837038423674299</v>
      </c>
      <c r="G85">
        <v>-1835.1256122911768</v>
      </c>
      <c r="H85">
        <v>-1495.3618287105544</v>
      </c>
      <c r="I85">
        <v>321.39962003792698</v>
      </c>
      <c r="J85">
        <v>162.42045567654301</v>
      </c>
      <c r="K85">
        <v>69.300983233114806</v>
      </c>
      <c r="L85">
        <v>0.66754938428554333</v>
      </c>
      <c r="M85">
        <v>-0.66671860193599397</v>
      </c>
      <c r="N85">
        <v>46.221373598822197</v>
      </c>
      <c r="O85">
        <v>46.221437050834297</v>
      </c>
      <c r="P85">
        <v>46.221368816554403</v>
      </c>
      <c r="Q85" t="s">
        <v>51</v>
      </c>
    </row>
    <row r="86" spans="1:17" x14ac:dyDescent="0.2">
      <c r="A86">
        <v>85</v>
      </c>
      <c r="B86">
        <v>782</v>
      </c>
      <c r="C86">
        <v>125</v>
      </c>
      <c r="D86">
        <v>0.47720276737904699</v>
      </c>
      <c r="E86">
        <v>109.752274557077</v>
      </c>
      <c r="F86">
        <v>1.58403824780684</v>
      </c>
      <c r="G86">
        <v>-1834.483924238587</v>
      </c>
      <c r="H86">
        <v>-1495.8341548296712</v>
      </c>
      <c r="I86">
        <v>320.95305805934697</v>
      </c>
      <c r="J86">
        <v>162.403149909142</v>
      </c>
      <c r="K86">
        <v>69.286379106712403</v>
      </c>
      <c r="L86">
        <v>0.66213565908709981</v>
      </c>
      <c r="M86">
        <v>-0.66129925721064786</v>
      </c>
      <c r="N86">
        <v>45.836191794508601</v>
      </c>
      <c r="O86">
        <v>45.836255525087203</v>
      </c>
      <c r="P86">
        <v>45.836186755658701</v>
      </c>
      <c r="Q86" t="s">
        <v>51</v>
      </c>
    </row>
    <row r="87" spans="1:17" x14ac:dyDescent="0.2">
      <c r="A87">
        <v>86</v>
      </c>
      <c r="B87">
        <v>780</v>
      </c>
      <c r="C87">
        <v>125</v>
      </c>
      <c r="D87">
        <v>0.47607700707401701</v>
      </c>
      <c r="E87">
        <v>109.752322217849</v>
      </c>
      <c r="F87">
        <v>1.5830728467522199</v>
      </c>
      <c r="G87">
        <v>-1833.8432710429618</v>
      </c>
      <c r="H87">
        <v>-1496.448909616656</v>
      </c>
      <c r="I87">
        <v>320.37056417504601</v>
      </c>
      <c r="J87">
        <v>162.37044050684401</v>
      </c>
      <c r="K87">
        <v>69.328661939349502</v>
      </c>
      <c r="L87">
        <v>0.65010824354713126</v>
      </c>
      <c r="M87">
        <v>-0.64926176430950755</v>
      </c>
      <c r="N87">
        <v>45.0297549428672</v>
      </c>
      <c r="O87">
        <v>45.029819329726898</v>
      </c>
      <c r="P87">
        <v>45.0297496038744</v>
      </c>
      <c r="Q87" t="s">
        <v>51</v>
      </c>
    </row>
    <row r="88" spans="1:17" x14ac:dyDescent="0.2">
      <c r="A88">
        <v>87</v>
      </c>
      <c r="B88">
        <v>778</v>
      </c>
      <c r="C88">
        <v>125</v>
      </c>
      <c r="D88">
        <v>0.47494696285021398</v>
      </c>
      <c r="E88">
        <v>109.752386632618</v>
      </c>
      <c r="F88">
        <v>1.5780875028411201</v>
      </c>
      <c r="G88">
        <v>-1833.2045644670557</v>
      </c>
      <c r="H88">
        <v>-1497.5032994217818</v>
      </c>
      <c r="I88">
        <v>319.36953234800097</v>
      </c>
      <c r="J88">
        <v>162.28379818247501</v>
      </c>
      <c r="K88">
        <v>69.547719270968599</v>
      </c>
      <c r="L88">
        <v>0.61767028055438966</v>
      </c>
      <c r="M88">
        <v>-0.61680003879869927</v>
      </c>
      <c r="N88">
        <v>42.914805037782202</v>
      </c>
      <c r="O88">
        <v>42.914871266315203</v>
      </c>
      <c r="P88">
        <v>42.9147992862368</v>
      </c>
      <c r="Q88" t="s">
        <v>51</v>
      </c>
    </row>
    <row r="89" spans="1:17" x14ac:dyDescent="0.2">
      <c r="A89">
        <v>88</v>
      </c>
      <c r="B89">
        <v>776</v>
      </c>
      <c r="C89">
        <v>125</v>
      </c>
      <c r="D89">
        <v>0.47381261020826598</v>
      </c>
      <c r="E89">
        <v>109.752446561502</v>
      </c>
      <c r="F89">
        <v>1.57215382841645</v>
      </c>
      <c r="G89">
        <v>-1832.567877029941</v>
      </c>
      <c r="H89">
        <v>-1498.6698944613461</v>
      </c>
      <c r="I89">
        <v>318.25967770932198</v>
      </c>
      <c r="J89">
        <v>162.17805556950501</v>
      </c>
      <c r="K89">
        <v>69.810246667815406</v>
      </c>
      <c r="L89">
        <v>0.57977200096340065</v>
      </c>
      <c r="M89">
        <v>-0.57887457845034029</v>
      </c>
      <c r="N89">
        <v>40.429687992125899</v>
      </c>
      <c r="O89">
        <v>40.429756353752701</v>
      </c>
      <c r="P89">
        <v>40.429681774754798</v>
      </c>
      <c r="Q89" t="s">
        <v>51</v>
      </c>
    </row>
    <row r="90" spans="1:17" x14ac:dyDescent="0.2">
      <c r="A90">
        <v>89</v>
      </c>
      <c r="B90">
        <v>774</v>
      </c>
      <c r="C90">
        <v>125</v>
      </c>
      <c r="D90">
        <v>0.47267392446163797</v>
      </c>
      <c r="E90">
        <v>109.752468790137</v>
      </c>
      <c r="F90">
        <v>1.5563355786464299</v>
      </c>
      <c r="G90">
        <v>-1831.9333220511878</v>
      </c>
      <c r="H90">
        <v>-1501.0044999284335</v>
      </c>
      <c r="I90">
        <v>316.03237576176502</v>
      </c>
      <c r="J90">
        <v>161.788538341736</v>
      </c>
      <c r="K90">
        <v>70.519796820163407</v>
      </c>
      <c r="L90">
        <v>0.48692202063086792</v>
      </c>
      <c r="M90">
        <v>-0.48596372046236497</v>
      </c>
      <c r="N90">
        <v>34.2897143593027</v>
      </c>
      <c r="O90">
        <v>34.289787839053297</v>
      </c>
      <c r="P90">
        <v>34.289707375378399</v>
      </c>
      <c r="Q90" t="s">
        <v>51</v>
      </c>
    </row>
    <row r="91" spans="1:17" x14ac:dyDescent="0.2">
      <c r="A91">
        <v>90</v>
      </c>
      <c r="B91">
        <v>772</v>
      </c>
      <c r="C91">
        <v>125</v>
      </c>
      <c r="D91">
        <v>0.47153088073482102</v>
      </c>
      <c r="E91">
        <v>109.762896763008</v>
      </c>
      <c r="F91">
        <v>1.50729389281375</v>
      </c>
      <c r="G91">
        <v>-1831.4773344684677</v>
      </c>
      <c r="H91">
        <v>-1507.8352706382193</v>
      </c>
      <c r="I91">
        <v>309.66609054336698</v>
      </c>
      <c r="J91">
        <v>160.25757612530401</v>
      </c>
      <c r="K91">
        <v>72.821164662259307</v>
      </c>
      <c r="L91">
        <v>0.21056649143768075</v>
      </c>
      <c r="M91">
        <v>-0.20943395277807941</v>
      </c>
      <c r="N91">
        <v>15.2750517614526</v>
      </c>
      <c r="O91">
        <v>15.2751409789081</v>
      </c>
      <c r="P91">
        <v>15.275042944847399</v>
      </c>
      <c r="Q91" t="s">
        <v>51</v>
      </c>
    </row>
    <row r="92" spans="1:17" x14ac:dyDescent="0.2">
      <c r="A92">
        <v>91</v>
      </c>
      <c r="B92">
        <v>770</v>
      </c>
      <c r="C92">
        <v>125</v>
      </c>
      <c r="D92">
        <v>0.47038345396155901</v>
      </c>
      <c r="E92">
        <v>109.764913366584</v>
      </c>
      <c r="F92">
        <v>1.4863510678335099</v>
      </c>
      <c r="G92">
        <v>-1830.8947001520116</v>
      </c>
      <c r="H92">
        <v>-1511.3266283162757</v>
      </c>
      <c r="I92">
        <v>306.35478415618701</v>
      </c>
      <c r="J92">
        <v>159.51503583653201</v>
      </c>
      <c r="K92">
        <v>73.848578402528403</v>
      </c>
      <c r="L92">
        <v>8.1923518838676976E-2</v>
      </c>
      <c r="M92">
        <v>-8.0709121277364571E-2</v>
      </c>
      <c r="N92">
        <v>5.9860346528467598</v>
      </c>
      <c r="O92">
        <v>5.9861313056608099</v>
      </c>
      <c r="P92">
        <v>5.9860246533882</v>
      </c>
      <c r="Q92" t="s">
        <v>51</v>
      </c>
    </row>
    <row r="93" spans="1:17" x14ac:dyDescent="0.2">
      <c r="A93">
        <v>92</v>
      </c>
      <c r="B93">
        <v>768</v>
      </c>
      <c r="C93">
        <v>125</v>
      </c>
      <c r="D93">
        <v>0.46923161888296799</v>
      </c>
      <c r="E93">
        <v>109.76477999534799</v>
      </c>
      <c r="F93">
        <v>1.48271896216202</v>
      </c>
      <c r="G93">
        <v>-1830.28110258682</v>
      </c>
      <c r="H93">
        <v>-1512.5179976207473</v>
      </c>
      <c r="I93">
        <v>305.20977299176002</v>
      </c>
      <c r="J93">
        <v>159.38415027690399</v>
      </c>
      <c r="K93">
        <v>74.029389787593701</v>
      </c>
      <c r="L93">
        <v>4.7125213199311206E-2</v>
      </c>
      <c r="M93">
        <v>-4.5887314662542748E-2</v>
      </c>
      <c r="N93">
        <v>3.42323896952173</v>
      </c>
      <c r="O93">
        <v>3.4233374132676202</v>
      </c>
      <c r="P93">
        <v>3.4232282768596098</v>
      </c>
      <c r="Q93" t="s">
        <v>51</v>
      </c>
    </row>
    <row r="94" spans="1:17" x14ac:dyDescent="0.2">
      <c r="A94">
        <v>93</v>
      </c>
      <c r="B94">
        <v>804</v>
      </c>
      <c r="C94">
        <v>100</v>
      </c>
      <c r="D94">
        <v>0.514840551455232</v>
      </c>
      <c r="E94">
        <v>109.75196521405201</v>
      </c>
      <c r="F94">
        <v>1.4136683373263501</v>
      </c>
      <c r="G94">
        <v>-1843.422366876739</v>
      </c>
      <c r="H94">
        <v>-1492.2559893130137</v>
      </c>
      <c r="I94">
        <v>326.01815465274598</v>
      </c>
      <c r="J94">
        <v>161.67107805850301</v>
      </c>
      <c r="K94">
        <v>77.636290151071606</v>
      </c>
      <c r="L94">
        <v>0.60046613565257023</v>
      </c>
      <c r="M94">
        <v>-0.59937407125452402</v>
      </c>
      <c r="N94">
        <v>46.565052036747801</v>
      </c>
      <c r="O94">
        <v>46.565178311476302</v>
      </c>
      <c r="P94">
        <v>46.565057388485997</v>
      </c>
      <c r="Q94" t="s">
        <v>51</v>
      </c>
    </row>
    <row r="95" spans="1:17" x14ac:dyDescent="0.2">
      <c r="A95">
        <v>94</v>
      </c>
      <c r="B95">
        <v>802</v>
      </c>
      <c r="C95">
        <v>100</v>
      </c>
      <c r="D95">
        <v>0.51380784076640695</v>
      </c>
      <c r="E95">
        <v>109.75200339246901</v>
      </c>
      <c r="F95">
        <v>1.41409637360558</v>
      </c>
      <c r="G95">
        <v>-1842.7713803623935</v>
      </c>
      <c r="H95">
        <v>-1492.7211666040603</v>
      </c>
      <c r="I95">
        <v>325.58648728851102</v>
      </c>
      <c r="J95">
        <v>161.63064581477099</v>
      </c>
      <c r="K95">
        <v>77.612817231565401</v>
      </c>
      <c r="L95">
        <v>0.59597161470235294</v>
      </c>
      <c r="M95">
        <v>-0.59487351146237166</v>
      </c>
      <c r="N95">
        <v>46.201743285795303</v>
      </c>
      <c r="O95">
        <v>46.201870417766898</v>
      </c>
      <c r="P95">
        <v>46.201748835683297</v>
      </c>
      <c r="Q95" t="s">
        <v>51</v>
      </c>
    </row>
    <row r="96" spans="1:17" x14ac:dyDescent="0.2">
      <c r="A96">
        <v>95</v>
      </c>
      <c r="B96">
        <v>800</v>
      </c>
      <c r="C96">
        <v>100</v>
      </c>
      <c r="D96">
        <v>0.51277128080883805</v>
      </c>
      <c r="E96">
        <v>109.752041621873</v>
      </c>
      <c r="F96">
        <v>1.4145491332175999</v>
      </c>
      <c r="G96">
        <v>-1842.1212577498168</v>
      </c>
      <c r="H96">
        <v>-1493.1853163806918</v>
      </c>
      <c r="I96">
        <v>325.15497340040798</v>
      </c>
      <c r="J96">
        <v>161.59264277506301</v>
      </c>
      <c r="K96">
        <v>77.588002455754705</v>
      </c>
      <c r="L96">
        <v>0.5914883187260791</v>
      </c>
      <c r="M96">
        <v>-0.59038415961470025</v>
      </c>
      <c r="N96">
        <v>45.838721539326798</v>
      </c>
      <c r="O96">
        <v>45.838849530131803</v>
      </c>
      <c r="P96">
        <v>45.8387272866714</v>
      </c>
      <c r="Q96" t="s">
        <v>51</v>
      </c>
    </row>
    <row r="97" spans="1:17" x14ac:dyDescent="0.2">
      <c r="A97">
        <v>96</v>
      </c>
      <c r="B97">
        <v>798</v>
      </c>
      <c r="C97">
        <v>100</v>
      </c>
      <c r="D97">
        <v>0.51173085002101004</v>
      </c>
      <c r="E97">
        <v>109.752079922006</v>
      </c>
      <c r="F97">
        <v>1.4150290932557299</v>
      </c>
      <c r="G97">
        <v>-1841.4719989046437</v>
      </c>
      <c r="H97">
        <v>-1493.6482796527944</v>
      </c>
      <c r="I97">
        <v>324.72376212448802</v>
      </c>
      <c r="J97">
        <v>161.557141642977</v>
      </c>
      <c r="K97">
        <v>77.561712649657593</v>
      </c>
      <c r="L97">
        <v>0.5870228916069743</v>
      </c>
      <c r="M97">
        <v>-0.58591266545560128</v>
      </c>
      <c r="N97">
        <v>45.476441535367798</v>
      </c>
      <c r="O97">
        <v>45.476570385551902</v>
      </c>
      <c r="P97">
        <v>45.476447479195997</v>
      </c>
      <c r="Q97" t="s">
        <v>51</v>
      </c>
    </row>
    <row r="98" spans="1:17" x14ac:dyDescent="0.2">
      <c r="A98">
        <v>97</v>
      </c>
      <c r="B98">
        <v>796</v>
      </c>
      <c r="C98">
        <v>100</v>
      </c>
      <c r="D98">
        <v>0.51068652668007097</v>
      </c>
      <c r="E98">
        <v>109.75211831267499</v>
      </c>
      <c r="F98">
        <v>1.41553852871752</v>
      </c>
      <c r="G98">
        <v>-1840.8236034068461</v>
      </c>
      <c r="H98">
        <v>-1494.1099109821646</v>
      </c>
      <c r="I98">
        <v>324.29299077201301</v>
      </c>
      <c r="J98">
        <v>161.524210607188</v>
      </c>
      <c r="K98">
        <v>77.533826233688302</v>
      </c>
      <c r="L98">
        <v>0.58258148470648063</v>
      </c>
      <c r="M98">
        <v>-0.58146518580056261</v>
      </c>
      <c r="N98">
        <v>45.115328100445801</v>
      </c>
      <c r="O98">
        <v>45.1154578095556</v>
      </c>
      <c r="P98">
        <v>45.115334239489499</v>
      </c>
      <c r="Q98" t="s">
        <v>51</v>
      </c>
    </row>
    <row r="99" spans="1:17" x14ac:dyDescent="0.2">
      <c r="A99">
        <v>98</v>
      </c>
      <c r="B99">
        <v>794</v>
      </c>
      <c r="C99">
        <v>100</v>
      </c>
      <c r="D99">
        <v>0.50963828890034402</v>
      </c>
      <c r="E99">
        <v>109.752156813423</v>
      </c>
      <c r="F99">
        <v>1.4160795013760501</v>
      </c>
      <c r="G99">
        <v>-1840.1760705701936</v>
      </c>
      <c r="H99">
        <v>-1494.5700794408449</v>
      </c>
      <c r="I99">
        <v>323.86278383901902</v>
      </c>
      <c r="J99">
        <v>161.49391346386</v>
      </c>
      <c r="K99">
        <v>77.504233841937406</v>
      </c>
      <c r="L99">
        <v>0.57816971370688963</v>
      </c>
      <c r="M99">
        <v>-0.57704734134100111</v>
      </c>
      <c r="N99">
        <v>44.7557728465708</v>
      </c>
      <c r="O99">
        <v>44.755903413205502</v>
      </c>
      <c r="P99">
        <v>44.755779179251903</v>
      </c>
      <c r="Q99" t="s">
        <v>51</v>
      </c>
    </row>
    <row r="100" spans="1:17" x14ac:dyDescent="0.2">
      <c r="A100">
        <v>99</v>
      </c>
      <c r="B100">
        <v>792</v>
      </c>
      <c r="C100">
        <v>100</v>
      </c>
      <c r="D100">
        <v>0.50858611463174297</v>
      </c>
      <c r="E100">
        <v>109.752209031134</v>
      </c>
      <c r="F100">
        <v>1.4133367323683499</v>
      </c>
      <c r="G100">
        <v>-1839.5298019398017</v>
      </c>
      <c r="H100">
        <v>-1495.3529608278354</v>
      </c>
      <c r="I100">
        <v>323.129218763003</v>
      </c>
      <c r="J100">
        <v>161.387063437412</v>
      </c>
      <c r="K100">
        <v>77.654678122757403</v>
      </c>
      <c r="L100">
        <v>0.55991973295496456</v>
      </c>
      <c r="M100">
        <v>-0.55878095696489016</v>
      </c>
      <c r="N100">
        <v>43.424534650269301</v>
      </c>
      <c r="O100">
        <v>43.424667571614997</v>
      </c>
      <c r="P100">
        <v>43.424541253019299</v>
      </c>
      <c r="Q100" t="s">
        <v>51</v>
      </c>
    </row>
    <row r="101" spans="1:17" x14ac:dyDescent="0.2">
      <c r="A101">
        <v>100</v>
      </c>
      <c r="B101">
        <v>790</v>
      </c>
      <c r="C101">
        <v>100</v>
      </c>
      <c r="D101">
        <v>0.507529981658283</v>
      </c>
      <c r="E101">
        <v>109.752268098581</v>
      </c>
      <c r="F101">
        <v>1.40794951716586</v>
      </c>
      <c r="G101">
        <v>-1838.8854734563658</v>
      </c>
      <c r="H101">
        <v>-1496.4011185616166</v>
      </c>
      <c r="I101">
        <v>322.14523649367902</v>
      </c>
      <c r="J101">
        <v>161.21446585954999</v>
      </c>
      <c r="K101">
        <v>77.951848955143703</v>
      </c>
      <c r="L101">
        <v>0.53021435622046176</v>
      </c>
      <c r="M101">
        <v>-0.52905072245642937</v>
      </c>
      <c r="N101">
        <v>41.273778618752701</v>
      </c>
      <c r="O101">
        <v>41.273915142460702</v>
      </c>
      <c r="P101">
        <v>41.273785559879002</v>
      </c>
      <c r="Q101" t="s">
        <v>51</v>
      </c>
    </row>
    <row r="102" spans="1:17" x14ac:dyDescent="0.2">
      <c r="A102">
        <v>101</v>
      </c>
      <c r="B102">
        <v>788</v>
      </c>
      <c r="C102">
        <v>100</v>
      </c>
      <c r="D102">
        <v>0.50646986759647905</v>
      </c>
      <c r="E102">
        <v>109.752321339468</v>
      </c>
      <c r="F102">
        <v>1.40128752449038</v>
      </c>
      <c r="G102">
        <v>-1838.2431256155282</v>
      </c>
      <c r="H102">
        <v>-1497.5860151243223</v>
      </c>
      <c r="I102">
        <v>321.030571739891</v>
      </c>
      <c r="J102">
        <v>160.997577976683</v>
      </c>
      <c r="K102">
        <v>78.322485158342403</v>
      </c>
      <c r="L102">
        <v>0.49439759545906542</v>
      </c>
      <c r="M102">
        <v>-0.49320486815478393</v>
      </c>
      <c r="N102">
        <v>38.663195314679101</v>
      </c>
      <c r="O102">
        <v>38.663336095614397</v>
      </c>
      <c r="P102">
        <v>38.663202633819999</v>
      </c>
      <c r="Q102" t="s">
        <v>51</v>
      </c>
    </row>
    <row r="103" spans="1:17" x14ac:dyDescent="0.2">
      <c r="A103">
        <v>102</v>
      </c>
      <c r="B103">
        <v>786</v>
      </c>
      <c r="C103">
        <v>100</v>
      </c>
      <c r="D103">
        <v>0.50540574989378495</v>
      </c>
      <c r="E103">
        <v>109.75234787588801</v>
      </c>
      <c r="F103">
        <v>1.38836520357277</v>
      </c>
      <c r="G103">
        <v>-1837.6029637045756</v>
      </c>
      <c r="H103">
        <v>-1499.4428616264624</v>
      </c>
      <c r="I103">
        <v>319.279428129564</v>
      </c>
      <c r="J103">
        <v>160.540887726427</v>
      </c>
      <c r="K103">
        <v>79.051497108581401</v>
      </c>
      <c r="L103">
        <v>0.42923438879280129</v>
      </c>
      <c r="M103">
        <v>-0.42799258620536162</v>
      </c>
      <c r="N103">
        <v>33.869213047146502</v>
      </c>
      <c r="O103">
        <v>33.869361130086403</v>
      </c>
      <c r="P103">
        <v>33.869220916252097</v>
      </c>
      <c r="Q103" t="s">
        <v>51</v>
      </c>
    </row>
    <row r="104" spans="1:17" x14ac:dyDescent="0.2">
      <c r="A104">
        <v>103</v>
      </c>
      <c r="B104">
        <v>784</v>
      </c>
      <c r="C104">
        <v>100</v>
      </c>
      <c r="D104">
        <v>0.50433760582698905</v>
      </c>
      <c r="E104">
        <v>109.760260118359</v>
      </c>
      <c r="F104">
        <v>1.34674540007766</v>
      </c>
      <c r="G104">
        <v>-1837.0978333610719</v>
      </c>
      <c r="H104">
        <v>-1504.8252837056677</v>
      </c>
      <c r="I104">
        <v>314.31484288610102</v>
      </c>
      <c r="J104">
        <v>158.81702791683699</v>
      </c>
      <c r="K104">
        <v>81.500378699663301</v>
      </c>
      <c r="L104">
        <v>0.23078312109714194</v>
      </c>
      <c r="M104">
        <v>-0.22940101533838708</v>
      </c>
      <c r="N104">
        <v>18.737098394351499</v>
      </c>
      <c r="O104">
        <v>18.7372682945227</v>
      </c>
      <c r="P104">
        <v>18.7371076319974</v>
      </c>
      <c r="Q104" t="s">
        <v>51</v>
      </c>
    </row>
    <row r="105" spans="1:17" x14ac:dyDescent="0.2">
      <c r="A105">
        <v>104</v>
      </c>
      <c r="B105">
        <v>782</v>
      </c>
      <c r="C105">
        <v>100</v>
      </c>
      <c r="D105">
        <v>0.50326541250059598</v>
      </c>
      <c r="E105">
        <v>109.765342833972</v>
      </c>
      <c r="F105">
        <v>1.32091129198044</v>
      </c>
      <c r="G105">
        <v>-1836.5561001684882</v>
      </c>
      <c r="H105">
        <v>-1508.6676423406311</v>
      </c>
      <c r="I105">
        <v>310.75611078507001</v>
      </c>
      <c r="J105">
        <v>157.60929576346501</v>
      </c>
      <c r="K105">
        <v>83.098194027399003</v>
      </c>
      <c r="L105">
        <v>0.10123644356679476</v>
      </c>
      <c r="M105">
        <v>-9.9761830896169051E-2</v>
      </c>
      <c r="N105">
        <v>8.3342536083674794</v>
      </c>
      <c r="O105">
        <v>8.3344385566846793</v>
      </c>
      <c r="P105">
        <v>8.3342638679351797</v>
      </c>
      <c r="Q105" t="s">
        <v>51</v>
      </c>
    </row>
    <row r="106" spans="1:17" x14ac:dyDescent="0.2">
      <c r="A106">
        <v>105</v>
      </c>
      <c r="B106">
        <v>780</v>
      </c>
      <c r="C106">
        <v>100</v>
      </c>
      <c r="D106">
        <v>0.50218914684517901</v>
      </c>
      <c r="E106">
        <v>109.765208240056</v>
      </c>
      <c r="F106">
        <v>1.31305249053087</v>
      </c>
      <c r="G106">
        <v>-1835.9342091752808</v>
      </c>
      <c r="H106">
        <v>-1510.31230828865</v>
      </c>
      <c r="I106">
        <v>309.194255979883</v>
      </c>
      <c r="J106">
        <v>157.18974213502099</v>
      </c>
      <c r="K106">
        <v>83.595445750746805</v>
      </c>
      <c r="L106">
        <v>5.2978565785047602E-2</v>
      </c>
      <c r="M106">
        <v>-5.1467501529644286E-2</v>
      </c>
      <c r="N106">
        <v>4.3478674080511599</v>
      </c>
      <c r="O106">
        <v>4.34805830686983</v>
      </c>
      <c r="P106">
        <v>4.34787818755039</v>
      </c>
      <c r="Q106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DE2A2-24E2-46DC-8425-1E43089CDCE9}">
  <sheetPr codeName="Sheet4"/>
  <dimension ref="A1:AI106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764</v>
      </c>
      <c r="C2">
        <v>300</v>
      </c>
      <c r="D2">
        <v>0.28130983946391902</v>
      </c>
      <c r="E2">
        <v>106.087626138777</v>
      </c>
      <c r="F2">
        <v>2.18814808208987</v>
      </c>
      <c r="G2">
        <v>-1738.8550920071511</v>
      </c>
      <c r="H2">
        <v>-1445.8668805762468</v>
      </c>
      <c r="I2">
        <v>282.493575115368</v>
      </c>
      <c r="J2">
        <v>144.059816392659</v>
      </c>
      <c r="K2">
        <v>48.482836699723997</v>
      </c>
      <c r="L2">
        <v>1.6429592152224435E-4</v>
      </c>
      <c r="M2">
        <v>1.7904672094952402E-5</v>
      </c>
      <c r="N2" s="1">
        <v>4.0139690571391903E-6</v>
      </c>
      <c r="O2" s="1">
        <v>1.09942971831677E-7</v>
      </c>
      <c r="P2" s="1">
        <v>-5.5114789237343998E-7</v>
      </c>
      <c r="Q2">
        <v>72.223314620878497</v>
      </c>
      <c r="R2">
        <v>7.4466743083361001E-2</v>
      </c>
      <c r="S2">
        <v>11.763860173169601</v>
      </c>
      <c r="T2">
        <v>0.17088689674200799</v>
      </c>
      <c r="V2">
        <v>0.43065662925598103</v>
      </c>
      <c r="W2">
        <v>2.4508042027434999E-2</v>
      </c>
      <c r="X2">
        <v>5.6557020063313097E-2</v>
      </c>
      <c r="AA2">
        <v>0.49958701055925597</v>
      </c>
      <c r="AB2">
        <v>3.7516156641996701</v>
      </c>
      <c r="AC2">
        <v>4.2040718247061299</v>
      </c>
      <c r="AD2">
        <v>3.7704680042206901E-3</v>
      </c>
      <c r="AE2">
        <v>6.7967049073104402</v>
      </c>
    </row>
    <row r="3" spans="1:35" x14ac:dyDescent="0.2">
      <c r="A3">
        <v>2</v>
      </c>
      <c r="B3">
        <v>762</v>
      </c>
      <c r="C3">
        <v>300</v>
      </c>
      <c r="D3">
        <v>0.27978602134956498</v>
      </c>
      <c r="E3">
        <v>105.99685281206401</v>
      </c>
      <c r="F3">
        <v>2.1889202138089598</v>
      </c>
      <c r="G3">
        <v>-1736.7799047806745</v>
      </c>
      <c r="H3">
        <v>-1444.8837134864748</v>
      </c>
      <c r="I3">
        <v>281.98443828836298</v>
      </c>
      <c r="J3">
        <v>143.91722398237101</v>
      </c>
      <c r="K3">
        <v>48.424265143779898</v>
      </c>
      <c r="L3">
        <v>1.6421615765883384E-4</v>
      </c>
      <c r="M3">
        <v>1.7887644004031001E-5</v>
      </c>
      <c r="N3" s="1">
        <v>4.0203785890142096E-6</v>
      </c>
      <c r="O3" s="1">
        <v>1.09673510028866E-7</v>
      </c>
      <c r="P3" s="1">
        <v>-5.5057963918804598E-7</v>
      </c>
      <c r="Q3">
        <v>72.204798149541404</v>
      </c>
      <c r="R3">
        <v>7.4530514731479799E-2</v>
      </c>
      <c r="S3">
        <v>11.773934479101399</v>
      </c>
      <c r="T3">
        <v>0.171587115050468</v>
      </c>
      <c r="V3">
        <v>0.43052705146377901</v>
      </c>
      <c r="W3">
        <v>2.4529030164790099E-2</v>
      </c>
      <c r="X3">
        <v>5.6605454226443003E-2</v>
      </c>
      <c r="AA3">
        <v>0.50001484566688803</v>
      </c>
      <c r="AB3">
        <v>3.7548284636871201</v>
      </c>
      <c r="AC3">
        <v>4.2076720974985502</v>
      </c>
      <c r="AD3">
        <v>3.7736969484290098E-3</v>
      </c>
      <c r="AE3">
        <v>6.7971991019190998</v>
      </c>
    </row>
    <row r="4" spans="1:35" x14ac:dyDescent="0.2">
      <c r="A4">
        <v>3</v>
      </c>
      <c r="B4">
        <v>760</v>
      </c>
      <c r="C4">
        <v>300</v>
      </c>
      <c r="D4">
        <v>0.27825630353772701</v>
      </c>
      <c r="E4">
        <v>105.529728985454</v>
      </c>
      <c r="F4">
        <v>2.1898213415341998</v>
      </c>
      <c r="G4">
        <v>-1728.4654984072874</v>
      </c>
      <c r="H4">
        <v>-1438.6226469662183</v>
      </c>
      <c r="I4">
        <v>280.54285577221998</v>
      </c>
      <c r="J4">
        <v>143.30483228909799</v>
      </c>
      <c r="K4">
        <v>48.191022246371901</v>
      </c>
      <c r="L4">
        <v>1.6432799005319335E-4</v>
      </c>
      <c r="M4">
        <v>1.7874096775923492E-5</v>
      </c>
      <c r="N4" s="1">
        <v>4.0157650245323203E-6</v>
      </c>
      <c r="O4" s="1">
        <v>1.09100399604411E-7</v>
      </c>
      <c r="P4" s="1">
        <v>-5.4905075273099297E-7</v>
      </c>
      <c r="Q4">
        <v>72.105696751418805</v>
      </c>
      <c r="R4">
        <v>7.4860421569820895E-2</v>
      </c>
      <c r="S4">
        <v>11.826051407488</v>
      </c>
      <c r="T4">
        <v>0.173006895834629</v>
      </c>
      <c r="V4">
        <v>0.431838659355885</v>
      </c>
      <c r="W4">
        <v>2.46376070989274E-2</v>
      </c>
      <c r="X4">
        <v>5.6856016382145803E-2</v>
      </c>
      <c r="AA4">
        <v>0.50222814470892196</v>
      </c>
      <c r="AB4">
        <v>3.7714490866820101</v>
      </c>
      <c r="AC4">
        <v>4.2262972177390203</v>
      </c>
      <c r="AD4">
        <v>3.7904010921423099E-3</v>
      </c>
      <c r="AE4">
        <v>6.8032873906295404</v>
      </c>
    </row>
    <row r="5" spans="1:35" x14ac:dyDescent="0.2">
      <c r="A5">
        <v>4</v>
      </c>
      <c r="B5">
        <v>758</v>
      </c>
      <c r="C5">
        <v>300</v>
      </c>
      <c r="D5">
        <v>0.27672065169955901</v>
      </c>
      <c r="E5">
        <v>105.067354857152</v>
      </c>
      <c r="F5">
        <v>2.1907217688167799</v>
      </c>
      <c r="G5">
        <v>-1720.2354096433187</v>
      </c>
      <c r="H5">
        <v>-1432.4256219060696</v>
      </c>
      <c r="I5">
        <v>279.11534474833798</v>
      </c>
      <c r="J5">
        <v>142.698724362267</v>
      </c>
      <c r="K5">
        <v>47.960154663501299</v>
      </c>
      <c r="L5">
        <v>1.6444040396159428E-4</v>
      </c>
      <c r="M5">
        <v>1.7860562350290529E-5</v>
      </c>
      <c r="N5" s="1">
        <v>4.0112779812696196E-6</v>
      </c>
      <c r="O5" s="1">
        <v>1.08533790173392E-7</v>
      </c>
      <c r="P5" s="1">
        <v>-5.4754448668894003E-7</v>
      </c>
      <c r="Q5">
        <v>72.006650329906904</v>
      </c>
      <c r="R5">
        <v>7.5189862833616103E-2</v>
      </c>
      <c r="S5">
        <v>11.878094786883301</v>
      </c>
      <c r="T5">
        <v>0.17443656527335499</v>
      </c>
      <c r="V5">
        <v>0.43313771545149898</v>
      </c>
      <c r="W5">
        <v>2.4746030805998898E-2</v>
      </c>
      <c r="X5">
        <v>5.7106224936928102E-2</v>
      </c>
      <c r="AA5">
        <v>0.50443832027615398</v>
      </c>
      <c r="AB5">
        <v>3.78804625414912</v>
      </c>
      <c r="AC5">
        <v>4.2448960536443296</v>
      </c>
      <c r="AD5">
        <v>3.8070816624608999E-3</v>
      </c>
      <c r="AE5">
        <v>6.8094507741761303</v>
      </c>
    </row>
    <row r="6" spans="1:35" x14ac:dyDescent="0.2">
      <c r="A6">
        <v>5</v>
      </c>
      <c r="B6">
        <v>756</v>
      </c>
      <c r="C6">
        <v>300</v>
      </c>
      <c r="D6">
        <v>0.27517903123937498</v>
      </c>
      <c r="E6">
        <v>104.609649678843</v>
      </c>
      <c r="F6">
        <v>2.1916214893019301</v>
      </c>
      <c r="G6">
        <v>-1712.0882204909165</v>
      </c>
      <c r="H6">
        <v>-1426.2915445472381</v>
      </c>
      <c r="I6">
        <v>277.70167219907501</v>
      </c>
      <c r="J6">
        <v>142.098795365527</v>
      </c>
      <c r="K6">
        <v>47.731622540424603</v>
      </c>
      <c r="L6">
        <v>1.6455341217479214E-4</v>
      </c>
      <c r="M6">
        <v>1.7847041149382425E-5</v>
      </c>
      <c r="N6" s="1">
        <v>4.0069161787837102E-6</v>
      </c>
      <c r="O6" s="1">
        <v>1.07973583283146E-7</v>
      </c>
      <c r="P6" s="1">
        <v>-5.4606055357199405E-7</v>
      </c>
      <c r="Q6">
        <v>71.907655931042498</v>
      </c>
      <c r="R6">
        <v>7.5518845768564796E-2</v>
      </c>
      <c r="S6">
        <v>11.9300657619238</v>
      </c>
      <c r="T6">
        <v>0.175876244875631</v>
      </c>
      <c r="V6">
        <v>0.43442416728057698</v>
      </c>
      <c r="W6">
        <v>2.4854303670665299E-2</v>
      </c>
      <c r="X6">
        <v>5.7356085393851702E-2</v>
      </c>
      <c r="AA6">
        <v>0.50664542097897403</v>
      </c>
      <c r="AB6">
        <v>3.8046203311250002</v>
      </c>
      <c r="AC6">
        <v>4.2634690142755698</v>
      </c>
      <c r="AD6">
        <v>3.8237390262556201E-3</v>
      </c>
      <c r="AE6">
        <v>6.8156901546384603</v>
      </c>
    </row>
    <row r="7" spans="1:35" x14ac:dyDescent="0.2">
      <c r="A7">
        <v>6</v>
      </c>
      <c r="B7">
        <v>754</v>
      </c>
      <c r="C7">
        <v>300</v>
      </c>
      <c r="D7">
        <v>0.27363140729202201</v>
      </c>
      <c r="E7">
        <v>104.156534456871</v>
      </c>
      <c r="F7">
        <v>2.1925204961453701</v>
      </c>
      <c r="G7">
        <v>-1704.0225439210783</v>
      </c>
      <c r="H7">
        <v>-1420.219344846917</v>
      </c>
      <c r="I7">
        <v>276.30161035307498</v>
      </c>
      <c r="J7">
        <v>141.50494278889099</v>
      </c>
      <c r="K7">
        <v>47.505386900595497</v>
      </c>
      <c r="L7">
        <v>1.6466702786962717E-4</v>
      </c>
      <c r="M7">
        <v>1.783353361708576E-5</v>
      </c>
      <c r="N7" s="1">
        <v>4.0026783865532904E-6</v>
      </c>
      <c r="O7" s="1">
        <v>1.0741968295864399E-7</v>
      </c>
      <c r="P7" s="1">
        <v>-5.4459867474330805E-7</v>
      </c>
      <c r="Q7">
        <v>71.808710574710702</v>
      </c>
      <c r="R7">
        <v>7.58473776148091E-2</v>
      </c>
      <c r="S7">
        <v>11.9819654763697</v>
      </c>
      <c r="T7">
        <v>0.17732605748993799</v>
      </c>
      <c r="V7">
        <v>0.43569796112391801</v>
      </c>
      <c r="W7">
        <v>2.4962428075757898E-2</v>
      </c>
      <c r="X7">
        <v>5.7605603251760597E-2</v>
      </c>
      <c r="AA7">
        <v>0.50884949539048496</v>
      </c>
      <c r="AB7">
        <v>3.8211716823661099</v>
      </c>
      <c r="AC7">
        <v>4.2820165083798702</v>
      </c>
      <c r="AD7">
        <v>3.8403735501158099E-3</v>
      </c>
      <c r="AE7">
        <v>6.8220064616767102</v>
      </c>
    </row>
    <row r="8" spans="1:35" x14ac:dyDescent="0.2">
      <c r="A8">
        <v>7</v>
      </c>
      <c r="B8">
        <v>752</v>
      </c>
      <c r="C8">
        <v>300</v>
      </c>
      <c r="D8">
        <v>0.27207774472028401</v>
      </c>
      <c r="E8">
        <v>103.707931903538</v>
      </c>
      <c r="F8">
        <v>2.1934187819953399</v>
      </c>
      <c r="G8">
        <v>-1696.0370230196352</v>
      </c>
      <c r="H8">
        <v>-1414.2079758185682</v>
      </c>
      <c r="I8">
        <v>274.91493654691197</v>
      </c>
      <c r="J8">
        <v>140.91706638580499</v>
      </c>
      <c r="K8">
        <v>47.2814096217394</v>
      </c>
      <c r="L8">
        <v>1.6478126462382873E-4</v>
      </c>
      <c r="M8">
        <v>1.782004021976562E-5</v>
      </c>
      <c r="N8" s="1">
        <v>3.9985634234297601E-6</v>
      </c>
      <c r="O8" s="1">
        <v>1.0687199564670201E-7</v>
      </c>
      <c r="P8" s="1">
        <v>-5.4315858027294899E-7</v>
      </c>
      <c r="Q8">
        <v>71.709811253320296</v>
      </c>
      <c r="R8">
        <v>7.6175465608052301E-2</v>
      </c>
      <c r="S8">
        <v>12.033795073277499</v>
      </c>
      <c r="T8">
        <v>0.17878612731926199</v>
      </c>
      <c r="V8">
        <v>0.43695904200904101</v>
      </c>
      <c r="W8">
        <v>2.5070406402647901E-2</v>
      </c>
      <c r="X8">
        <v>5.7854784006123101E-2</v>
      </c>
      <c r="AA8">
        <v>0.51105059205401404</v>
      </c>
      <c r="AB8">
        <v>3.8377006724054299</v>
      </c>
      <c r="AC8">
        <v>4.3005389444540603</v>
      </c>
      <c r="AD8">
        <v>3.8569856004063898E-3</v>
      </c>
      <c r="AE8">
        <v>6.8284006535430404</v>
      </c>
    </row>
    <row r="9" spans="1:35" x14ac:dyDescent="0.2">
      <c r="A9">
        <v>8</v>
      </c>
      <c r="B9">
        <v>750</v>
      </c>
      <c r="C9">
        <v>300</v>
      </c>
      <c r="D9">
        <v>0.270518008112205</v>
      </c>
      <c r="E9">
        <v>103.263766389693</v>
      </c>
      <c r="F9">
        <v>2.1943163389762899</v>
      </c>
      <c r="G9">
        <v>-1688.1303301558783</v>
      </c>
      <c r="H9">
        <v>-1408.2564128896249</v>
      </c>
      <c r="I9">
        <v>273.54143309021401</v>
      </c>
      <c r="J9">
        <v>140.335068111852</v>
      </c>
      <c r="K9">
        <v>47.059653412537997</v>
      </c>
      <c r="L9">
        <v>1.6489613643016433E-4</v>
      </c>
      <c r="M9">
        <v>1.7806561447041286E-5</v>
      </c>
      <c r="N9" s="1">
        <v>3.9945701570843703E-6</v>
      </c>
      <c r="O9" s="1">
        <v>1.0633043016104901E-7</v>
      </c>
      <c r="P9" s="1">
        <v>-5.4174000879199403E-7</v>
      </c>
      <c r="Q9">
        <v>71.610954930443597</v>
      </c>
      <c r="R9">
        <v>7.6503116980912E-2</v>
      </c>
      <c r="S9">
        <v>12.085555695219201</v>
      </c>
      <c r="T9">
        <v>0.18025657993639199</v>
      </c>
      <c r="V9">
        <v>0.43820735370626201</v>
      </c>
      <c r="W9">
        <v>2.5178241031689801E-2</v>
      </c>
      <c r="X9">
        <v>5.8103633150069202E-2</v>
      </c>
      <c r="AA9">
        <v>0.51324875949218496</v>
      </c>
      <c r="AB9">
        <v>3.8542076656203301</v>
      </c>
      <c r="AC9">
        <v>4.3190367308204296</v>
      </c>
      <c r="AD9">
        <v>3.8735755433357698E-3</v>
      </c>
      <c r="AE9">
        <v>6.8348737180554497</v>
      </c>
    </row>
    <row r="10" spans="1:35" x14ac:dyDescent="0.2">
      <c r="A10">
        <v>9</v>
      </c>
      <c r="B10">
        <v>748</v>
      </c>
      <c r="C10">
        <v>300</v>
      </c>
      <c r="D10">
        <v>0.26895216177838999</v>
      </c>
      <c r="E10">
        <v>102.823963895966</v>
      </c>
      <c r="F10">
        <v>2.1952131586689401</v>
      </c>
      <c r="G10">
        <v>-1680.3011661311716</v>
      </c>
      <c r="H10">
        <v>-1402.3636532390876</v>
      </c>
      <c r="I10">
        <v>272.18088712929898</v>
      </c>
      <c r="J10">
        <v>139.75885206209401</v>
      </c>
      <c r="K10">
        <v>46.840081788828499</v>
      </c>
      <c r="L10">
        <v>1.6501165771519839E-4</v>
      </c>
      <c r="M10">
        <v>1.7793097812802309E-5</v>
      </c>
      <c r="N10" s="1">
        <v>3.9906975035081297E-6</v>
      </c>
      <c r="O10" s="1">
        <v>1.05794897629512E-7</v>
      </c>
      <c r="P10" s="1">
        <v>-5.4034270736165105E-7</v>
      </c>
      <c r="Q10">
        <v>71.512138538618601</v>
      </c>
      <c r="R10">
        <v>7.6830338966442493E-2</v>
      </c>
      <c r="S10">
        <v>12.137248484833</v>
      </c>
      <c r="T10">
        <v>0.181737542305623</v>
      </c>
      <c r="V10">
        <v>0.439442838737645</v>
      </c>
      <c r="W10">
        <v>2.5285934343382999E-2</v>
      </c>
      <c r="X10">
        <v>5.8352156177055602E-2</v>
      </c>
      <c r="AA10">
        <v>0.51544404623055295</v>
      </c>
      <c r="AB10">
        <v>3.8706930264103101</v>
      </c>
      <c r="AC10">
        <v>4.33751027582624</v>
      </c>
      <c r="AD10">
        <v>3.89014374513455E-3</v>
      </c>
      <c r="AE10">
        <v>6.8414266738058602</v>
      </c>
    </row>
    <row r="11" spans="1:35" x14ac:dyDescent="0.2">
      <c r="A11">
        <v>10</v>
      </c>
      <c r="B11">
        <v>746</v>
      </c>
      <c r="C11">
        <v>300</v>
      </c>
      <c r="D11">
        <v>0.26738016974930101</v>
      </c>
      <c r="E11">
        <v>102.388451971386</v>
      </c>
      <c r="F11">
        <v>2.1961092320943298</v>
      </c>
      <c r="G11">
        <v>-1672.5482594502046</v>
      </c>
      <c r="H11">
        <v>-1396.528715238418</v>
      </c>
      <c r="I11">
        <v>270.83309052817202</v>
      </c>
      <c r="J11">
        <v>139.188324417421</v>
      </c>
      <c r="K11">
        <v>46.6226590531395</v>
      </c>
      <c r="L11">
        <v>1.6512784335129591E-4</v>
      </c>
      <c r="M11">
        <v>1.7779649855893799E-5</v>
      </c>
      <c r="N11" s="1">
        <v>3.98694442659042E-6</v>
      </c>
      <c r="O11" s="1">
        <v>1.0526531144442299E-7</v>
      </c>
      <c r="P11" s="1">
        <v>-5.3896643134230998E-7</v>
      </c>
      <c r="Q11">
        <v>71.413358978662799</v>
      </c>
      <c r="R11">
        <v>7.7157138797333602E-2</v>
      </c>
      <c r="S11">
        <v>12.1888745847011</v>
      </c>
      <c r="T11">
        <v>0.18322914279237401</v>
      </c>
      <c r="V11">
        <v>0.44066543836140198</v>
      </c>
      <c r="W11">
        <v>2.5393488718106299E-2</v>
      </c>
      <c r="X11">
        <v>5.8600358580265001E-2</v>
      </c>
      <c r="AA11">
        <v>0.51763650079222601</v>
      </c>
      <c r="AB11">
        <v>3.8871571191564298</v>
      </c>
      <c r="AC11">
        <v>4.3559599877980002</v>
      </c>
      <c r="AD11">
        <v>3.9066905720149103E-3</v>
      </c>
      <c r="AE11">
        <v>6.8480605710678297</v>
      </c>
    </row>
    <row r="12" spans="1:35" x14ac:dyDescent="0.2">
      <c r="A12">
        <v>11</v>
      </c>
      <c r="B12">
        <v>744</v>
      </c>
      <c r="C12">
        <v>300</v>
      </c>
      <c r="D12">
        <v>0.26580199577250502</v>
      </c>
      <c r="E12">
        <v>101.957159681801</v>
      </c>
      <c r="F12">
        <v>2.1970045496944999</v>
      </c>
      <c r="G12">
        <v>-1664.8703654263252</v>
      </c>
      <c r="H12">
        <v>-1390.7506377480831</v>
      </c>
      <c r="I12">
        <v>269.49783972692501</v>
      </c>
      <c r="J12">
        <v>138.623393378652</v>
      </c>
      <c r="K12">
        <v>46.407350269701503</v>
      </c>
      <c r="L12">
        <v>1.6524470867981193E-4</v>
      </c>
      <c r="M12">
        <v>1.7766218141256746E-5</v>
      </c>
      <c r="N12" s="1">
        <v>3.9833099375527902E-6</v>
      </c>
      <c r="O12" s="1">
        <v>1.04741587209614E-7</v>
      </c>
      <c r="P12" s="1">
        <v>-5.3761094426505804E-7</v>
      </c>
      <c r="Q12">
        <v>71.314613116049202</v>
      </c>
      <c r="R12">
        <v>7.7483523713838001E-2</v>
      </c>
      <c r="S12">
        <v>12.240435138600199</v>
      </c>
      <c r="T12">
        <v>0.184731511197054</v>
      </c>
      <c r="V12">
        <v>0.44187509260392199</v>
      </c>
      <c r="W12">
        <v>2.5500906538727799E-2</v>
      </c>
      <c r="X12">
        <v>5.8848245858623603E-2</v>
      </c>
      <c r="AA12">
        <v>0.51982617175105195</v>
      </c>
      <c r="AB12">
        <v>3.9036003086208</v>
      </c>
      <c r="AC12">
        <v>4.37438627548919</v>
      </c>
      <c r="AD12">
        <v>3.9232163905718702E-3</v>
      </c>
      <c r="AE12">
        <v>6.8547764931866997</v>
      </c>
    </row>
    <row r="13" spans="1:35" x14ac:dyDescent="0.2">
      <c r="A13">
        <v>12</v>
      </c>
      <c r="B13">
        <v>742</v>
      </c>
      <c r="C13">
        <v>300</v>
      </c>
      <c r="D13">
        <v>0.264217603309855</v>
      </c>
      <c r="E13">
        <v>101.530017577042</v>
      </c>
      <c r="F13">
        <v>2.19789910130915</v>
      </c>
      <c r="G13">
        <v>-1657.2662655981178</v>
      </c>
      <c r="H13">
        <v>-1385.0284796767385</v>
      </c>
      <c r="I13">
        <v>268.174935646336</v>
      </c>
      <c r="J13">
        <v>138.06396912397599</v>
      </c>
      <c r="K13">
        <v>46.194121248134998</v>
      </c>
      <c r="L13">
        <v>1.6536226952358746E-4</v>
      </c>
      <c r="M13">
        <v>1.7752803260799454E-5</v>
      </c>
      <c r="N13" s="1">
        <v>3.9797930948804401E-6</v>
      </c>
      <c r="O13" s="1">
        <v>1.0422364270162301E-7</v>
      </c>
      <c r="P13" s="1">
        <v>-5.3627601774450203E-7</v>
      </c>
      <c r="Q13">
        <v>71.215897781280106</v>
      </c>
      <c r="R13">
        <v>7.7809500958727004E-2</v>
      </c>
      <c r="S13">
        <v>12.291931290704699</v>
      </c>
      <c r="T13">
        <v>0.18624477875318901</v>
      </c>
      <c r="V13">
        <v>0.44307174022184798</v>
      </c>
      <c r="W13">
        <v>2.56081901889442E-2</v>
      </c>
      <c r="X13">
        <v>5.9095823512970401E-2</v>
      </c>
      <c r="AA13">
        <v>0.52201310769777498</v>
      </c>
      <c r="AB13">
        <v>3.9200229596924099</v>
      </c>
      <c r="AC13">
        <v>4.3927895477955401</v>
      </c>
      <c r="AD13">
        <v>3.9397215675281098E-3</v>
      </c>
      <c r="AE13">
        <v>6.8615755576261801</v>
      </c>
    </row>
    <row r="14" spans="1:35" x14ac:dyDescent="0.2">
      <c r="A14">
        <v>13</v>
      </c>
      <c r="B14">
        <v>740</v>
      </c>
      <c r="C14">
        <v>300</v>
      </c>
      <c r="D14">
        <v>0.26262695553471999</v>
      </c>
      <c r="E14">
        <v>101.106957642922</v>
      </c>
      <c r="F14">
        <v>2.1987928761559599</v>
      </c>
      <c r="G14">
        <v>-1649.7347668967675</v>
      </c>
      <c r="H14">
        <v>-1379.3613193266958</v>
      </c>
      <c r="I14">
        <v>266.86418355630701</v>
      </c>
      <c r="J14">
        <v>137.509963747695</v>
      </c>
      <c r="K14">
        <v>45.982938520194999</v>
      </c>
      <c r="L14">
        <v>1.6548054221011534E-4</v>
      </c>
      <c r="M14">
        <v>1.7739405834534433E-5</v>
      </c>
      <c r="N14" s="1">
        <v>3.9763930038508504E-6</v>
      </c>
      <c r="O14" s="1">
        <v>1.0371139782066E-7</v>
      </c>
      <c r="P14" s="1">
        <v>-5.3496143136339802E-7</v>
      </c>
      <c r="Q14">
        <v>71.117209766389806</v>
      </c>
      <c r="R14">
        <v>7.8135077784663498E-2</v>
      </c>
      <c r="S14">
        <v>12.343364186752099</v>
      </c>
      <c r="T14">
        <v>0.18776907815983199</v>
      </c>
      <c r="V14">
        <v>0.44425531873069302</v>
      </c>
      <c r="W14">
        <v>2.5715342055707802E-2</v>
      </c>
      <c r="X14">
        <v>5.9343097051657301E-2</v>
      </c>
      <c r="AA14">
        <v>0.52419735728949901</v>
      </c>
      <c r="AB14">
        <v>3.9364254377585399</v>
      </c>
      <c r="AC14">
        <v>4.4111702141711202</v>
      </c>
      <c r="AD14">
        <v>3.9562064701069303E-3</v>
      </c>
      <c r="AE14">
        <v>6.8684589173861497</v>
      </c>
    </row>
    <row r="15" spans="1:35" x14ac:dyDescent="0.2">
      <c r="A15">
        <v>14</v>
      </c>
      <c r="B15">
        <v>738</v>
      </c>
      <c r="C15">
        <v>300</v>
      </c>
      <c r="D15">
        <v>0.26103001532908299</v>
      </c>
      <c r="E15">
        <v>100.687913262397</v>
      </c>
      <c r="F15">
        <v>2.1996858628086202</v>
      </c>
      <c r="G15">
        <v>-1642.2747009662296</v>
      </c>
      <c r="H15">
        <v>-1373.7482538673291</v>
      </c>
      <c r="I15">
        <v>265.56539296731501</v>
      </c>
      <c r="J15">
        <v>136.96129121045001</v>
      </c>
      <c r="K15">
        <v>45.773769320786499</v>
      </c>
      <c r="L15">
        <v>1.6559954359036421E-4</v>
      </c>
      <c r="M15">
        <v>1.7726026511620979E-5</v>
      </c>
      <c r="N15" s="1">
        <v>3.9731088163181302E-6</v>
      </c>
      <c r="O15" s="1">
        <v>1.03204774549115E-7</v>
      </c>
      <c r="P15" s="1">
        <v>-5.3366697258070802E-7</v>
      </c>
      <c r="Q15">
        <v>71.018545823214495</v>
      </c>
      <c r="R15">
        <v>7.8460261455739297E-2</v>
      </c>
      <c r="S15">
        <v>12.3947349742849</v>
      </c>
      <c r="T15">
        <v>0.189304543598071</v>
      </c>
      <c r="V15">
        <v>0.44542576440218701</v>
      </c>
      <c r="W15">
        <v>2.5822364529732401E-2</v>
      </c>
      <c r="X15">
        <v>5.9590071991716002E-2</v>
      </c>
      <c r="AA15">
        <v>0.52637896926000605</v>
      </c>
      <c r="AB15">
        <v>3.9528081087823201</v>
      </c>
      <c r="AC15">
        <v>4.4295286847153097</v>
      </c>
      <c r="AD15">
        <v>3.9726714661105604E-3</v>
      </c>
      <c r="AE15">
        <v>6.8754277622992301</v>
      </c>
    </row>
    <row r="16" spans="1:35" x14ac:dyDescent="0.2">
      <c r="A16">
        <v>15</v>
      </c>
      <c r="B16">
        <v>736</v>
      </c>
      <c r="C16">
        <v>300</v>
      </c>
      <c r="D16">
        <v>0.25942674528068399</v>
      </c>
      <c r="E16">
        <v>84.846873389683495</v>
      </c>
      <c r="F16">
        <v>2.2004874550690299</v>
      </c>
      <c r="G16">
        <v>-1383.3274803347874</v>
      </c>
      <c r="H16">
        <v>-1157.1281898159666</v>
      </c>
      <c r="I16">
        <v>224.14833326940499</v>
      </c>
      <c r="J16">
        <v>115.58335423888499</v>
      </c>
      <c r="K16">
        <v>38.5582172687377</v>
      </c>
      <c r="L16">
        <v>1.6715785023667932E-4</v>
      </c>
      <c r="M16">
        <v>1.7816992893704406E-5</v>
      </c>
      <c r="N16" s="1">
        <v>3.3962096445671301E-6</v>
      </c>
      <c r="O16" s="1">
        <v>8.7792233250623504E-8</v>
      </c>
      <c r="P16" s="1">
        <v>-4.5515468250849499E-7</v>
      </c>
      <c r="Q16">
        <v>70.747914374000402</v>
      </c>
      <c r="R16">
        <v>9.3108911199571404E-2</v>
      </c>
      <c r="S16">
        <v>12.463079639641</v>
      </c>
      <c r="T16">
        <v>0.22500853385269001</v>
      </c>
      <c r="V16">
        <v>0.52826300741322196</v>
      </c>
      <c r="W16">
        <v>3.0643439128959098E-2</v>
      </c>
      <c r="X16">
        <v>7.0715628759217705E-2</v>
      </c>
      <c r="AA16">
        <v>0.54665407947922096</v>
      </c>
      <c r="AB16">
        <v>4.0596796439290497</v>
      </c>
      <c r="AC16">
        <v>4.2719187182528202</v>
      </c>
      <c r="AD16">
        <v>4.7143752506041301E-3</v>
      </c>
      <c r="AE16">
        <v>6.9582996490932096</v>
      </c>
    </row>
    <row r="17" spans="1:31" x14ac:dyDescent="0.2">
      <c r="A17">
        <v>16</v>
      </c>
      <c r="B17">
        <v>734</v>
      </c>
      <c r="C17">
        <v>300</v>
      </c>
      <c r="D17">
        <v>0.25781710768008598</v>
      </c>
      <c r="E17">
        <v>17.227300853015599</v>
      </c>
      <c r="F17">
        <v>2.2067305559580901</v>
      </c>
      <c r="G17">
        <v>-280.44783610460661</v>
      </c>
      <c r="H17">
        <v>-234.70649377472756</v>
      </c>
      <c r="I17">
        <v>45.416613543046203</v>
      </c>
      <c r="J17">
        <v>23.4856807056163</v>
      </c>
      <c r="K17">
        <v>7.80670789485493</v>
      </c>
      <c r="L17">
        <v>1.6725818174949294E-4</v>
      </c>
      <c r="M17">
        <v>1.7807665637836853E-5</v>
      </c>
      <c r="N17" s="1">
        <v>6.8949384600438905E-7</v>
      </c>
      <c r="O17" s="1">
        <v>1.7752661101795901E-8</v>
      </c>
      <c r="P17" s="1">
        <v>-9.19285029755629E-8</v>
      </c>
      <c r="Q17">
        <v>70.287364305824198</v>
      </c>
      <c r="R17">
        <v>0.121543777172859</v>
      </c>
      <c r="S17">
        <v>12.754380456094299</v>
      </c>
      <c r="T17">
        <v>0.263289656054427</v>
      </c>
      <c r="V17">
        <v>0.62424917135796598</v>
      </c>
      <c r="W17">
        <v>0.149451694367392</v>
      </c>
      <c r="X17">
        <v>0.12980142282722301</v>
      </c>
      <c r="AA17">
        <v>0.56259814619026105</v>
      </c>
      <c r="AB17">
        <v>3.86039779606363</v>
      </c>
      <c r="AC17">
        <v>4.28213285202746</v>
      </c>
      <c r="AD17">
        <v>2.3218959453464399E-2</v>
      </c>
      <c r="AE17">
        <v>6.9415717625666602</v>
      </c>
    </row>
    <row r="18" spans="1:31" x14ac:dyDescent="0.2">
      <c r="A18">
        <v>17</v>
      </c>
      <c r="B18">
        <v>732</v>
      </c>
      <c r="C18">
        <v>300</v>
      </c>
      <c r="D18">
        <v>0.256201064517732</v>
      </c>
      <c r="E18">
        <v>7.2997564634668501</v>
      </c>
      <c r="F18">
        <v>2.21206169932218</v>
      </c>
      <c r="G18">
        <v>-118.7541334901648</v>
      </c>
      <c r="H18">
        <v>-99.45446342240345</v>
      </c>
      <c r="I18">
        <v>19.200786019759501</v>
      </c>
      <c r="J18">
        <v>9.9604263209621902</v>
      </c>
      <c r="K18">
        <v>3.2999786876214299</v>
      </c>
      <c r="L18">
        <v>1.6739733942105724E-4</v>
      </c>
      <c r="M18">
        <v>1.783165070315708E-5</v>
      </c>
      <c r="N18" s="1">
        <v>2.9268949071577102E-7</v>
      </c>
      <c r="O18" s="1">
        <v>7.5051354225722702E-9</v>
      </c>
      <c r="P18" s="1">
        <v>-3.87456320775543E-8</v>
      </c>
      <c r="Q18">
        <v>69.743892390967503</v>
      </c>
      <c r="R18">
        <v>0.12094275075706799</v>
      </c>
      <c r="S18">
        <v>13.316596165585301</v>
      </c>
      <c r="T18">
        <v>0.25581013483950399</v>
      </c>
      <c r="V18">
        <v>0.61513620244218203</v>
      </c>
      <c r="W18">
        <v>0.346395061248221</v>
      </c>
      <c r="X18">
        <v>0.12876297329283601</v>
      </c>
      <c r="AA18">
        <v>0.57697699867053698</v>
      </c>
      <c r="AB18">
        <v>3.5784871933389799</v>
      </c>
      <c r="AC18">
        <v>4.3240184206600496</v>
      </c>
      <c r="AD18">
        <v>5.4796348618019901E-2</v>
      </c>
      <c r="AE18">
        <v>6.9381853595796299</v>
      </c>
    </row>
    <row r="19" spans="1:31" x14ac:dyDescent="0.2">
      <c r="A19">
        <v>18</v>
      </c>
      <c r="B19">
        <v>764</v>
      </c>
      <c r="C19">
        <v>275</v>
      </c>
      <c r="D19">
        <v>0.30782480836908999</v>
      </c>
      <c r="E19">
        <v>105.664362516593</v>
      </c>
      <c r="F19">
        <v>2.1890899926632201</v>
      </c>
      <c r="G19">
        <v>-1730.8751287275031</v>
      </c>
      <c r="H19">
        <v>-1441.506341050268</v>
      </c>
      <c r="I19">
        <v>279.00379663234298</v>
      </c>
      <c r="J19">
        <v>143.109752393538</v>
      </c>
      <c r="K19">
        <v>48.268624346522799</v>
      </c>
      <c r="L19">
        <v>1.6009650938088104E-4</v>
      </c>
      <c r="M19">
        <v>1.7899719513118857E-5</v>
      </c>
      <c r="N19" s="1">
        <v>3.80798256354643E-6</v>
      </c>
      <c r="O19" s="1">
        <v>1.06079588427039E-7</v>
      </c>
      <c r="P19" s="1">
        <v>-5.3538045245794701E-7</v>
      </c>
      <c r="Q19">
        <v>72.512622207874998</v>
      </c>
      <c r="R19">
        <v>7.4765037254252903E-2</v>
      </c>
      <c r="S19">
        <v>11.810983100419</v>
      </c>
      <c r="T19">
        <v>0.17368116434001599</v>
      </c>
      <c r="V19">
        <v>0.43048335936261001</v>
      </c>
      <c r="W19">
        <v>2.4606214792538699E-2</v>
      </c>
      <c r="X19">
        <v>5.6783572598167298E-2</v>
      </c>
      <c r="AA19">
        <v>0.50158822461713903</v>
      </c>
      <c r="AB19">
        <v>3.7666436490117099</v>
      </c>
      <c r="AC19">
        <v>4.2209122297970199</v>
      </c>
      <c r="AD19">
        <v>3.78557150654438E-3</v>
      </c>
      <c r="AE19">
        <v>6.4231456684258799</v>
      </c>
    </row>
    <row r="20" spans="1:31" x14ac:dyDescent="0.2">
      <c r="A20">
        <v>19</v>
      </c>
      <c r="B20">
        <v>762</v>
      </c>
      <c r="C20">
        <v>275</v>
      </c>
      <c r="D20">
        <v>0.306352219485102</v>
      </c>
      <c r="E20">
        <v>105.60424513474899</v>
      </c>
      <c r="F20">
        <v>2.18984984218348</v>
      </c>
      <c r="G20">
        <v>-1729.312797667689</v>
      </c>
      <c r="H20">
        <v>-1440.9509048732298</v>
      </c>
      <c r="I20">
        <v>278.57015195330001</v>
      </c>
      <c r="J20">
        <v>143.00528088389399</v>
      </c>
      <c r="K20">
        <v>48.2244230177226</v>
      </c>
      <c r="L20">
        <v>1.5999734980164757E-4</v>
      </c>
      <c r="M20">
        <v>1.7882094794026852E-5</v>
      </c>
      <c r="N20" s="1">
        <v>3.81451182876257E-6</v>
      </c>
      <c r="O20" s="1">
        <v>1.05839250358897E-7</v>
      </c>
      <c r="P20" s="1">
        <v>-5.3486004246374202E-7</v>
      </c>
      <c r="Q20">
        <v>72.501076301062895</v>
      </c>
      <c r="R20">
        <v>7.4807598784686902E-2</v>
      </c>
      <c r="S20">
        <v>11.817706744721599</v>
      </c>
      <c r="T20">
        <v>0.17433537073705399</v>
      </c>
      <c r="V20">
        <v>0.43022872444353</v>
      </c>
      <c r="W20">
        <v>2.46202223848331E-2</v>
      </c>
      <c r="X20">
        <v>5.6815897811156799E-2</v>
      </c>
      <c r="AA20">
        <v>0.50187376399853101</v>
      </c>
      <c r="AB20">
        <v>3.76878788813986</v>
      </c>
      <c r="AC20">
        <v>4.2233150706290097</v>
      </c>
      <c r="AD20">
        <v>3.7877265207433598E-3</v>
      </c>
      <c r="AE20">
        <v>6.4226446907660097</v>
      </c>
    </row>
    <row r="21" spans="1:31" x14ac:dyDescent="0.2">
      <c r="A21">
        <v>20</v>
      </c>
      <c r="B21">
        <v>760</v>
      </c>
      <c r="C21">
        <v>275</v>
      </c>
      <c r="D21">
        <v>0.30487392924551299</v>
      </c>
      <c r="E21">
        <v>105.15038798485</v>
      </c>
      <c r="F21">
        <v>2.1907634248393899</v>
      </c>
      <c r="G21">
        <v>-1721.2221876927047</v>
      </c>
      <c r="H21">
        <v>-1434.8681993904984</v>
      </c>
      <c r="I21">
        <v>277.16593747491203</v>
      </c>
      <c r="J21">
        <v>142.40999668374999</v>
      </c>
      <c r="K21">
        <v>47.9971441884733</v>
      </c>
      <c r="L21">
        <v>1.6009328649525811E-4</v>
      </c>
      <c r="M21">
        <v>1.7867695946638958E-5</v>
      </c>
      <c r="N21" s="1">
        <v>3.8098582010027698E-6</v>
      </c>
      <c r="O21" s="1">
        <v>1.05285673728233E-7</v>
      </c>
      <c r="P21" s="1">
        <v>-5.3334130033857605E-7</v>
      </c>
      <c r="Q21">
        <v>72.405338193204898</v>
      </c>
      <c r="R21">
        <v>7.5130488354815506E-2</v>
      </c>
      <c r="S21">
        <v>11.868715122383399</v>
      </c>
      <c r="T21">
        <v>0.175757337421413</v>
      </c>
      <c r="V21">
        <v>0.43148329320697798</v>
      </c>
      <c r="W21">
        <v>2.4726489838292801E-2</v>
      </c>
      <c r="X21">
        <v>5.70611303960658E-2</v>
      </c>
      <c r="AA21">
        <v>0.50403998516521498</v>
      </c>
      <c r="AB21">
        <v>3.7850549829386999</v>
      </c>
      <c r="AC21">
        <v>4.2415440261070598</v>
      </c>
      <c r="AD21">
        <v>3.8040753597370501E-3</v>
      </c>
      <c r="AE21">
        <v>6.42734487562337</v>
      </c>
    </row>
    <row r="22" spans="1:31" x14ac:dyDescent="0.2">
      <c r="A22">
        <v>21</v>
      </c>
      <c r="B22">
        <v>758</v>
      </c>
      <c r="C22">
        <v>275</v>
      </c>
      <c r="D22">
        <v>0.303389904475587</v>
      </c>
      <c r="E22">
        <v>104.70106130727601</v>
      </c>
      <c r="F22">
        <v>2.19167677106753</v>
      </c>
      <c r="G22">
        <v>-1713.2120064176445</v>
      </c>
      <c r="H22">
        <v>-1428.8466203557484</v>
      </c>
      <c r="I22">
        <v>275.77499496862202</v>
      </c>
      <c r="J22">
        <v>141.82067355445099</v>
      </c>
      <c r="K22">
        <v>47.772127117210701</v>
      </c>
      <c r="L22">
        <v>1.6018948160500843E-4</v>
      </c>
      <c r="M22">
        <v>1.7853291516321807E-5</v>
      </c>
      <c r="N22" s="1">
        <v>3.8053110796988499E-6</v>
      </c>
      <c r="O22" s="1">
        <v>1.04738009000579E-7</v>
      </c>
      <c r="P22" s="1">
        <v>-5.3184262500889202E-7</v>
      </c>
      <c r="Q22">
        <v>72.309679203979002</v>
      </c>
      <c r="R22">
        <v>7.5452912333097005E-2</v>
      </c>
      <c r="S22">
        <v>11.919649948319901</v>
      </c>
      <c r="T22">
        <v>0.17718918629879901</v>
      </c>
      <c r="V22">
        <v>0.43272531585242002</v>
      </c>
      <c r="W22">
        <v>2.4832604058992801E-2</v>
      </c>
      <c r="X22">
        <v>5.7306009366913199E-2</v>
      </c>
      <c r="AA22">
        <v>0.50620308274102699</v>
      </c>
      <c r="AB22">
        <v>3.8012986213381801</v>
      </c>
      <c r="AC22">
        <v>4.2597466962732904</v>
      </c>
      <c r="AD22">
        <v>3.8204006244599601E-3</v>
      </c>
      <c r="AE22">
        <v>6.4320960188137599</v>
      </c>
    </row>
    <row r="23" spans="1:31" x14ac:dyDescent="0.2">
      <c r="A23">
        <v>22</v>
      </c>
      <c r="B23">
        <v>756</v>
      </c>
      <c r="C23">
        <v>275</v>
      </c>
      <c r="D23">
        <v>0.30190011174270298</v>
      </c>
      <c r="E23">
        <v>104.256190225956</v>
      </c>
      <c r="F23">
        <v>2.1925898836923801</v>
      </c>
      <c r="G23">
        <v>-1705.2809364626464</v>
      </c>
      <c r="H23">
        <v>-1422.88515359761</v>
      </c>
      <c r="I23">
        <v>274.39710719043399</v>
      </c>
      <c r="J23">
        <v>141.23721407437199</v>
      </c>
      <c r="K23">
        <v>47.549334693812199</v>
      </c>
      <c r="L23">
        <v>1.6028594021356613E-4</v>
      </c>
      <c r="M23">
        <v>1.78388814959958E-5</v>
      </c>
      <c r="N23" s="1">
        <v>3.8008691333537701E-6</v>
      </c>
      <c r="O23" s="1">
        <v>1.04196163477733E-7</v>
      </c>
      <c r="P23" s="1">
        <v>-5.3036372925078302E-7</v>
      </c>
      <c r="Q23">
        <v>72.214097156197397</v>
      </c>
      <c r="R23">
        <v>7.5774877087666101E-2</v>
      </c>
      <c r="S23">
        <v>11.970512228536</v>
      </c>
      <c r="T23">
        <v>0.17863103663266799</v>
      </c>
      <c r="V23">
        <v>0.43395473504297799</v>
      </c>
      <c r="W23">
        <v>2.4938567142774801E-2</v>
      </c>
      <c r="X23">
        <v>5.7550539560257498E-2</v>
      </c>
      <c r="AA23">
        <v>0.50836309944889402</v>
      </c>
      <c r="AB23">
        <v>3.81751912416328</v>
      </c>
      <c r="AC23">
        <v>4.2779234406451101</v>
      </c>
      <c r="AD23">
        <v>3.83670263734951E-3</v>
      </c>
      <c r="AE23">
        <v>6.4368984929055797</v>
      </c>
    </row>
    <row r="24" spans="1:31" x14ac:dyDescent="0.2">
      <c r="A24">
        <v>23</v>
      </c>
      <c r="B24">
        <v>754</v>
      </c>
      <c r="C24">
        <v>275</v>
      </c>
      <c r="D24">
        <v>0.30040451735384299</v>
      </c>
      <c r="E24">
        <v>103.81570147603701</v>
      </c>
      <c r="F24">
        <v>2.193502765326</v>
      </c>
      <c r="G24">
        <v>-1697.4276888551133</v>
      </c>
      <c r="H24">
        <v>-1416.9828067467665</v>
      </c>
      <c r="I24">
        <v>273.03206163495702</v>
      </c>
      <c r="J24">
        <v>140.65952294088001</v>
      </c>
      <c r="K24">
        <v>47.328730611656297</v>
      </c>
      <c r="L24">
        <v>1.6038266755645148E-4</v>
      </c>
      <c r="M24">
        <v>1.7824465887440332E-5</v>
      </c>
      <c r="N24" s="1">
        <v>3.79653106831056E-6</v>
      </c>
      <c r="O24" s="1">
        <v>1.03660046590217E-7</v>
      </c>
      <c r="P24" s="1">
        <v>-5.2890433309210803E-7</v>
      </c>
      <c r="Q24">
        <v>72.118589867715201</v>
      </c>
      <c r="R24">
        <v>7.6096388963124498E-2</v>
      </c>
      <c r="S24">
        <v>12.021302965318499</v>
      </c>
      <c r="T24">
        <v>0.18008300894388399</v>
      </c>
      <c r="V24">
        <v>0.43517149212565398</v>
      </c>
      <c r="W24">
        <v>2.50443811777353E-2</v>
      </c>
      <c r="X24">
        <v>5.7794725794784597E-2</v>
      </c>
      <c r="AA24">
        <v>0.51052007785386699</v>
      </c>
      <c r="AB24">
        <v>3.8337168110534101</v>
      </c>
      <c r="AC24">
        <v>4.2960746174113797</v>
      </c>
      <c r="AD24">
        <v>3.8529817196508798E-3</v>
      </c>
      <c r="AE24">
        <v>6.4417526819226802</v>
      </c>
    </row>
    <row r="25" spans="1:31" x14ac:dyDescent="0.2">
      <c r="A25">
        <v>24</v>
      </c>
      <c r="B25">
        <v>752</v>
      </c>
      <c r="C25">
        <v>275</v>
      </c>
      <c r="D25">
        <v>0.29890308735307097</v>
      </c>
      <c r="E25">
        <v>103.379523362277</v>
      </c>
      <c r="F25">
        <v>2.19441541836557</v>
      </c>
      <c r="G25">
        <v>-1689.6510022950724</v>
      </c>
      <c r="H25">
        <v>-1411.1386086735818</v>
      </c>
      <c r="I25">
        <v>271.67965041358798</v>
      </c>
      <c r="J25">
        <v>140.087506915874</v>
      </c>
      <c r="K25">
        <v>47.110279346868602</v>
      </c>
      <c r="L25">
        <v>1.6047966902368497E-4</v>
      </c>
      <c r="M25">
        <v>1.7810044701373507E-5</v>
      </c>
      <c r="N25" s="1">
        <v>3.7922956280045099E-6</v>
      </c>
      <c r="O25" s="1">
        <v>1.03129569843578E-7</v>
      </c>
      <c r="P25" s="1">
        <v>-5.2746416364323401E-7</v>
      </c>
      <c r="Q25">
        <v>72.023155151476601</v>
      </c>
      <c r="R25">
        <v>7.6417454279760003E-2</v>
      </c>
      <c r="S25">
        <v>12.072023157111801</v>
      </c>
      <c r="T25">
        <v>0.18154522501939699</v>
      </c>
      <c r="V25">
        <v>0.43637552711761302</v>
      </c>
      <c r="W25">
        <v>2.5150048243969499E-2</v>
      </c>
      <c r="X25">
        <v>5.8038572870711402E-2</v>
      </c>
      <c r="AA25">
        <v>0.51267406035787599</v>
      </c>
      <c r="AB25">
        <v>3.8498920004231101</v>
      </c>
      <c r="AC25">
        <v>4.3142005833884403</v>
      </c>
      <c r="AD25">
        <v>3.8692381913790798E-3</v>
      </c>
      <c r="AE25">
        <v>6.4466589815192297</v>
      </c>
    </row>
    <row r="26" spans="1:31" x14ac:dyDescent="0.2">
      <c r="A26">
        <v>25</v>
      </c>
      <c r="B26">
        <v>750</v>
      </c>
      <c r="C26">
        <v>275</v>
      </c>
      <c r="D26">
        <v>0.29739578751893703</v>
      </c>
      <c r="E26">
        <v>102.947585715673</v>
      </c>
      <c r="F26">
        <v>2.1953278449858802</v>
      </c>
      <c r="G26">
        <v>-1681.9496423941737</v>
      </c>
      <c r="H26">
        <v>-1405.3516089001293</v>
      </c>
      <c r="I26">
        <v>270.33967013052199</v>
      </c>
      <c r="J26">
        <v>139.521074769541</v>
      </c>
      <c r="K26">
        <v>46.893946136931199</v>
      </c>
      <c r="L26">
        <v>1.6057695016690715E-4</v>
      </c>
      <c r="M26">
        <v>1.7795617957848526E-5</v>
      </c>
      <c r="N26" s="1">
        <v>3.7881615922865602E-6</v>
      </c>
      <c r="O26" s="1">
        <v>1.02604646767298E-7</v>
      </c>
      <c r="P26" s="1">
        <v>-5.2604295494708203E-7</v>
      </c>
      <c r="Q26">
        <v>71.927790814646002</v>
      </c>
      <c r="R26">
        <v>7.6738079335040996E-2</v>
      </c>
      <c r="S26">
        <v>12.1226737987568</v>
      </c>
      <c r="T26">
        <v>0.183017807926809</v>
      </c>
      <c r="V26">
        <v>0.43756677870441002</v>
      </c>
      <c r="W26">
        <v>2.52555704140617E-2</v>
      </c>
      <c r="X26">
        <v>5.8282085570925499E-2</v>
      </c>
      <c r="AA26">
        <v>0.51482508920976</v>
      </c>
      <c r="AB26">
        <v>3.8660450095372401</v>
      </c>
      <c r="AC26">
        <v>4.3323016941042498</v>
      </c>
      <c r="AD26">
        <v>3.8854723713931602E-3</v>
      </c>
      <c r="AE26">
        <v>6.4516177994231798</v>
      </c>
    </row>
    <row r="27" spans="1:31" x14ac:dyDescent="0.2">
      <c r="A27">
        <v>26</v>
      </c>
      <c r="B27">
        <v>748</v>
      </c>
      <c r="C27">
        <v>275</v>
      </c>
      <c r="D27">
        <v>0.29588258336189799</v>
      </c>
      <c r="E27">
        <v>102.51981985108399</v>
      </c>
      <c r="F27">
        <v>2.1962400471342698</v>
      </c>
      <c r="G27">
        <v>-1674.3224009319829</v>
      </c>
      <c r="H27">
        <v>-1399.620877025445</v>
      </c>
      <c r="I27">
        <v>269.01192176128598</v>
      </c>
      <c r="J27">
        <v>138.96013722531501</v>
      </c>
      <c r="K27">
        <v>46.6796969597453</v>
      </c>
      <c r="L27">
        <v>1.6067451670545165E-4</v>
      </c>
      <c r="M27">
        <v>1.7781185686553456E-5</v>
      </c>
      <c r="N27" s="1">
        <v>3.7841277767199902E-6</v>
      </c>
      <c r="O27" s="1">
        <v>1.02085192863954E-7</v>
      </c>
      <c r="P27" s="1">
        <v>-5.2464044782635295E-7</v>
      </c>
      <c r="Q27">
        <v>71.832494657720005</v>
      </c>
      <c r="R27">
        <v>7.70582704054249E-2</v>
      </c>
      <c r="S27">
        <v>12.1732558817758</v>
      </c>
      <c r="T27">
        <v>0.18450088203007001</v>
      </c>
      <c r="V27">
        <v>0.43874518424013598</v>
      </c>
      <c r="W27">
        <v>2.5360949753681201E-2</v>
      </c>
      <c r="X27">
        <v>5.8525268662358201E-2</v>
      </c>
      <c r="AA27">
        <v>0.51697320651739698</v>
      </c>
      <c r="AB27">
        <v>3.8821761546020901</v>
      </c>
      <c r="AC27">
        <v>4.3503783039004604</v>
      </c>
      <c r="AD27">
        <v>3.9016845774882498E-3</v>
      </c>
      <c r="AE27">
        <v>6.4566295558149696</v>
      </c>
    </row>
    <row r="28" spans="1:31" x14ac:dyDescent="0.2">
      <c r="A28">
        <v>27</v>
      </c>
      <c r="B28">
        <v>746</v>
      </c>
      <c r="C28">
        <v>275</v>
      </c>
      <c r="D28">
        <v>0.29436344012167098</v>
      </c>
      <c r="E28">
        <v>102.096158527433</v>
      </c>
      <c r="F28">
        <v>2.1971520265225699</v>
      </c>
      <c r="G28">
        <v>-1666.7680951568125</v>
      </c>
      <c r="H28">
        <v>-1393.9455021862213</v>
      </c>
      <c r="I28">
        <v>267.69621053877398</v>
      </c>
      <c r="J28">
        <v>138.40460690825299</v>
      </c>
      <c r="K28">
        <v>46.4674985139835</v>
      </c>
      <c r="L28">
        <v>1.6077237453329118E-4</v>
      </c>
      <c r="M28">
        <v>1.7766747927210314E-5</v>
      </c>
      <c r="N28" s="1">
        <v>3.7801930319912501E-6</v>
      </c>
      <c r="O28" s="1">
        <v>1.0157112556225899E-7</v>
      </c>
      <c r="P28" s="1">
        <v>-5.2325638974735402E-7</v>
      </c>
      <c r="Q28">
        <v>71.737264473824993</v>
      </c>
      <c r="R28">
        <v>7.73780337472499E-2</v>
      </c>
      <c r="S28">
        <v>12.223770394510201</v>
      </c>
      <c r="T28">
        <v>0.185994573002733</v>
      </c>
      <c r="V28">
        <v>0.43991067974292702</v>
      </c>
      <c r="W28">
        <v>2.5466188321876599E-2</v>
      </c>
      <c r="X28">
        <v>5.87681268966566E-2</v>
      </c>
      <c r="AA28">
        <v>0.51911845425369096</v>
      </c>
      <c r="AB28">
        <v>3.8982857508104698</v>
      </c>
      <c r="AC28">
        <v>4.3684307659831898</v>
      </c>
      <c r="AD28">
        <v>3.9178751264412701E-3</v>
      </c>
      <c r="AE28">
        <v>6.4616946837794202</v>
      </c>
    </row>
    <row r="29" spans="1:31" x14ac:dyDescent="0.2">
      <c r="A29">
        <v>28</v>
      </c>
      <c r="B29">
        <v>744</v>
      </c>
      <c r="C29">
        <v>275</v>
      </c>
      <c r="D29">
        <v>0.29283832276459099</v>
      </c>
      <c r="E29">
        <v>101.676535908967</v>
      </c>
      <c r="F29">
        <v>2.1980637846231299</v>
      </c>
      <c r="G29">
        <v>-1659.2855671047432</v>
      </c>
      <c r="H29">
        <v>-1388.324592532038</v>
      </c>
      <c r="I29">
        <v>266.39234584152302</v>
      </c>
      <c r="J29">
        <v>137.85439829462399</v>
      </c>
      <c r="K29">
        <v>46.257318199890101</v>
      </c>
      <c r="L29">
        <v>1.6087052972374826E-4</v>
      </c>
      <c r="M29">
        <v>1.7752304729795822E-5</v>
      </c>
      <c r="N29" s="1">
        <v>3.77635624326096E-6</v>
      </c>
      <c r="O29" s="1">
        <v>1.01062364169443E-7</v>
      </c>
      <c r="P29" s="1">
        <v>-5.2189053467513598E-7</v>
      </c>
      <c r="Q29">
        <v>71.642098048096202</v>
      </c>
      <c r="R29">
        <v>7.7697375597781795E-2</v>
      </c>
      <c r="S29">
        <v>12.274218322291199</v>
      </c>
      <c r="T29">
        <v>0.187499007841371</v>
      </c>
      <c r="V29">
        <v>0.44106319989043902</v>
      </c>
      <c r="W29">
        <v>2.5571288171418301E-2</v>
      </c>
      <c r="X29">
        <v>5.9010665010985501E-2</v>
      </c>
      <c r="AA29">
        <v>0.52126087426358703</v>
      </c>
      <c r="AB29">
        <v>3.91437411239419</v>
      </c>
      <c r="AC29">
        <v>4.3864594324814998</v>
      </c>
      <c r="AD29">
        <v>3.9340443340629503E-3</v>
      </c>
      <c r="AE29">
        <v>6.4668136296271896</v>
      </c>
    </row>
    <row r="30" spans="1:31" x14ac:dyDescent="0.2">
      <c r="A30">
        <v>29</v>
      </c>
      <c r="B30">
        <v>742</v>
      </c>
      <c r="C30">
        <v>275</v>
      </c>
      <c r="D30">
        <v>0.291307195980888</v>
      </c>
      <c r="E30">
        <v>101.260887528979</v>
      </c>
      <c r="F30">
        <v>2.1989753226579398</v>
      </c>
      <c r="G30">
        <v>-1651.8736829617667</v>
      </c>
      <c r="H30">
        <v>-1382.7572747341801</v>
      </c>
      <c r="I30">
        <v>265.10014109007102</v>
      </c>
      <c r="J30">
        <v>137.30942766493101</v>
      </c>
      <c r="K30">
        <v>46.049124101394199</v>
      </c>
      <c r="L30">
        <v>1.6096898853746629E-4</v>
      </c>
      <c r="M30">
        <v>1.773785615504286E-5</v>
      </c>
      <c r="N30" s="1">
        <v>3.7726163297088801E-6</v>
      </c>
      <c r="O30" s="1">
        <v>1.00558829829431E-7</v>
      </c>
      <c r="P30" s="1">
        <v>-5.2054264295804903E-7</v>
      </c>
      <c r="Q30">
        <v>71.546993157119104</v>
      </c>
      <c r="R30">
        <v>7.8016302175305099E-2</v>
      </c>
      <c r="S30">
        <v>12.32460064745</v>
      </c>
      <c r="T30">
        <v>0.189014314876531</v>
      </c>
      <c r="V30">
        <v>0.44220267801118701</v>
      </c>
      <c r="W30">
        <v>2.5676251348830802E-2</v>
      </c>
      <c r="X30">
        <v>5.9252887728092701E-2</v>
      </c>
      <c r="AA30">
        <v>0.52340050826469198</v>
      </c>
      <c r="AB30">
        <v>3.9304415526288801</v>
      </c>
      <c r="AC30">
        <v>4.4044646544530002</v>
      </c>
      <c r="AD30">
        <v>3.9501925152032298E-3</v>
      </c>
      <c r="AE30">
        <v>6.4719868534290903</v>
      </c>
    </row>
    <row r="31" spans="1:31" x14ac:dyDescent="0.2">
      <c r="A31">
        <v>30</v>
      </c>
      <c r="B31">
        <v>740</v>
      </c>
      <c r="C31">
        <v>275</v>
      </c>
      <c r="D31">
        <v>0.28977002418201098</v>
      </c>
      <c r="E31">
        <v>85.946582451402506</v>
      </c>
      <c r="F31">
        <v>2.2008556497526399</v>
      </c>
      <c r="G31">
        <v>-1400.8276120864862</v>
      </c>
      <c r="H31">
        <v>-1172.8854883264901</v>
      </c>
      <c r="I31">
        <v>224.983589557317</v>
      </c>
      <c r="J31">
        <v>116.604846965812</v>
      </c>
      <c r="K31">
        <v>39.051440043813002</v>
      </c>
      <c r="L31">
        <v>1.615819902999895E-4</v>
      </c>
      <c r="M31">
        <v>1.7756929077153923E-5</v>
      </c>
      <c r="N31" s="1">
        <v>3.2222970634949701E-6</v>
      </c>
      <c r="O31" s="1">
        <v>8.5526121440413904E-8</v>
      </c>
      <c r="P31" s="1">
        <v>-4.4378633835487598E-7</v>
      </c>
      <c r="Q31">
        <v>71.349935484300701</v>
      </c>
      <c r="R31">
        <v>9.1917558263213406E-2</v>
      </c>
      <c r="S31">
        <v>12.3624577472527</v>
      </c>
      <c r="T31">
        <v>0.22313213646247099</v>
      </c>
      <c r="V31">
        <v>0.52060155196046198</v>
      </c>
      <c r="W31">
        <v>3.0251348289149799E-2</v>
      </c>
      <c r="X31">
        <v>6.9810803744245406E-2</v>
      </c>
      <c r="AA31">
        <v>0.52510158544198204</v>
      </c>
      <c r="AB31">
        <v>3.96850347224985</v>
      </c>
      <c r="AC31">
        <v>4.3557111358303802</v>
      </c>
      <c r="AD31">
        <v>4.6540535829427696E-3</v>
      </c>
      <c r="AE31">
        <v>6.4979231226217404</v>
      </c>
    </row>
    <row r="32" spans="1:31" x14ac:dyDescent="0.2">
      <c r="A32">
        <v>31</v>
      </c>
      <c r="B32">
        <v>738</v>
      </c>
      <c r="C32">
        <v>275</v>
      </c>
      <c r="D32">
        <v>0.28822677149780002</v>
      </c>
      <c r="E32">
        <v>21.114700798485899</v>
      </c>
      <c r="F32">
        <v>2.2052267604992402</v>
      </c>
      <c r="G32">
        <v>-343.74283253642892</v>
      </c>
      <c r="H32">
        <v>-287.88291463558159</v>
      </c>
      <c r="I32">
        <v>55.243947881963301</v>
      </c>
      <c r="J32">
        <v>28.680305446237298</v>
      </c>
      <c r="K32">
        <v>9.5748433570186098</v>
      </c>
      <c r="L32">
        <v>1.6233875614582232E-4</v>
      </c>
      <c r="M32">
        <v>1.7792679385899201E-5</v>
      </c>
      <c r="N32" s="1">
        <v>7.9620918626264095E-7</v>
      </c>
      <c r="O32" s="1">
        <v>2.10428086140573E-8</v>
      </c>
      <c r="P32" s="1">
        <v>-1.0921209405368201E-7</v>
      </c>
      <c r="Q32">
        <v>70.935816982156197</v>
      </c>
      <c r="R32">
        <v>0.128958635930321</v>
      </c>
      <c r="S32">
        <v>12.5705522470363</v>
      </c>
      <c r="T32">
        <v>0.26230600300047002</v>
      </c>
      <c r="V32">
        <v>0.616058881584721</v>
      </c>
      <c r="W32">
        <v>0.122440963382996</v>
      </c>
      <c r="X32">
        <v>0.139549242535598</v>
      </c>
      <c r="AA32">
        <v>0.486414409946828</v>
      </c>
      <c r="AB32">
        <v>3.9025409528678998</v>
      </c>
      <c r="AC32">
        <v>4.2958853799103904</v>
      </c>
      <c r="AD32">
        <v>1.8944147199474601E-2</v>
      </c>
      <c r="AE32">
        <v>6.5205321544487296</v>
      </c>
    </row>
    <row r="33" spans="1:31" x14ac:dyDescent="0.2">
      <c r="A33">
        <v>32</v>
      </c>
      <c r="B33">
        <v>736</v>
      </c>
      <c r="C33">
        <v>275</v>
      </c>
      <c r="D33">
        <v>0.28667740177377199</v>
      </c>
      <c r="E33">
        <v>8.0243518521363608</v>
      </c>
      <c r="F33">
        <v>2.2099238436171702</v>
      </c>
      <c r="G33">
        <v>-130.56072978023266</v>
      </c>
      <c r="H33">
        <v>-109.40928744756194</v>
      </c>
      <c r="I33">
        <v>20.959661430580901</v>
      </c>
      <c r="J33">
        <v>10.9112454967453</v>
      </c>
      <c r="K33">
        <v>3.6310535656297498</v>
      </c>
      <c r="L33">
        <v>1.627410165680215E-4</v>
      </c>
      <c r="M33">
        <v>1.7837667772528183E-5</v>
      </c>
      <c r="N33" s="1">
        <v>3.0388310661497603E-7</v>
      </c>
      <c r="O33" s="1">
        <v>7.9975707426875095E-9</v>
      </c>
      <c r="P33" s="1">
        <v>-4.1391541720711298E-8</v>
      </c>
      <c r="Q33">
        <v>70.391871938528098</v>
      </c>
      <c r="R33">
        <v>0.12724319117626401</v>
      </c>
      <c r="S33">
        <v>13.1230546174659</v>
      </c>
      <c r="T33">
        <v>0.25604633970045099</v>
      </c>
      <c r="V33">
        <v>0.60967758165614805</v>
      </c>
      <c r="W33">
        <v>0.31612928601923901</v>
      </c>
      <c r="X33">
        <v>0.13847891682241401</v>
      </c>
      <c r="AA33">
        <v>0.48123637824135101</v>
      </c>
      <c r="AB33">
        <v>3.6630519208754699</v>
      </c>
      <c r="AC33">
        <v>4.3099074029479203</v>
      </c>
      <c r="AD33">
        <v>4.9848262809281799E-2</v>
      </c>
      <c r="AE33">
        <v>6.5334541637574199</v>
      </c>
    </row>
    <row r="34" spans="1:31" x14ac:dyDescent="0.2">
      <c r="A34">
        <v>33</v>
      </c>
      <c r="B34">
        <v>764</v>
      </c>
      <c r="C34">
        <v>250</v>
      </c>
      <c r="D34">
        <v>0.33433977727426201</v>
      </c>
      <c r="E34">
        <v>105.253991189072</v>
      </c>
      <c r="F34">
        <v>2.1901178879720198</v>
      </c>
      <c r="G34">
        <v>-1723.1510080620774</v>
      </c>
      <c r="H34">
        <v>-1437.3198964342537</v>
      </c>
      <c r="I34">
        <v>275.59283770700802</v>
      </c>
      <c r="J34">
        <v>142.18046528800701</v>
      </c>
      <c r="K34">
        <v>48.058596191155097</v>
      </c>
      <c r="L34">
        <v>1.5580200526708502E-4</v>
      </c>
      <c r="M34">
        <v>1.7861056809764704E-5</v>
      </c>
      <c r="N34" s="1">
        <v>3.6055706501559598E-6</v>
      </c>
      <c r="O34" s="1">
        <v>1.02131097447419E-7</v>
      </c>
      <c r="P34" s="1">
        <v>-5.18141324090028E-7</v>
      </c>
      <c r="Q34">
        <v>72.795339287787897</v>
      </c>
      <c r="R34">
        <v>7.5056536201167506E-2</v>
      </c>
      <c r="S34">
        <v>11.8570325543115</v>
      </c>
      <c r="T34">
        <v>0.17649655385493801</v>
      </c>
      <c r="V34">
        <v>0.43023775412985799</v>
      </c>
      <c r="W34">
        <v>2.4702151154814399E-2</v>
      </c>
      <c r="X34">
        <v>5.7004964203419099E-2</v>
      </c>
      <c r="AA34">
        <v>0.50354385046352801</v>
      </c>
      <c r="AB34">
        <v>3.7813292921600601</v>
      </c>
      <c r="AC34">
        <v>4.2373690057873796</v>
      </c>
      <c r="AD34">
        <v>3.8003309468944602E-3</v>
      </c>
      <c r="AE34">
        <v>6.0580877189984301</v>
      </c>
    </row>
    <row r="35" spans="1:31" x14ac:dyDescent="0.2">
      <c r="A35">
        <v>34</v>
      </c>
      <c r="B35">
        <v>762</v>
      </c>
      <c r="C35">
        <v>250</v>
      </c>
      <c r="D35">
        <v>0.33291841762063901</v>
      </c>
      <c r="E35">
        <v>105.19020485504601</v>
      </c>
      <c r="F35">
        <v>2.1908705021410602</v>
      </c>
      <c r="G35">
        <v>-1721.5334523778185</v>
      </c>
      <c r="H35">
        <v>-1436.7105290206871</v>
      </c>
      <c r="I35">
        <v>275.15135328902198</v>
      </c>
      <c r="J35">
        <v>142.07160166504801</v>
      </c>
      <c r="K35">
        <v>48.012972356078599</v>
      </c>
      <c r="L35">
        <v>1.5570473822860891E-4</v>
      </c>
      <c r="M35">
        <v>1.7843477187272689E-5</v>
      </c>
      <c r="N35" s="1">
        <v>3.6113909867073102E-6</v>
      </c>
      <c r="O35" s="1">
        <v>1.01895679002796E-7</v>
      </c>
      <c r="P35" s="1">
        <v>-5.1760452926293104E-7</v>
      </c>
      <c r="Q35">
        <v>72.783203488117707</v>
      </c>
      <c r="R35">
        <v>7.5102049766766002E-2</v>
      </c>
      <c r="S35">
        <v>11.864222545434499</v>
      </c>
      <c r="T35">
        <v>0.17716944232791701</v>
      </c>
      <c r="V35">
        <v>0.42998947674411298</v>
      </c>
      <c r="W35">
        <v>2.47171303029858E-2</v>
      </c>
      <c r="X35">
        <v>5.7039531468431499E-2</v>
      </c>
      <c r="AA35">
        <v>0.50384919463779598</v>
      </c>
      <c r="AB35">
        <v>3.7836222540724598</v>
      </c>
      <c r="AC35">
        <v>4.2399385058198398</v>
      </c>
      <c r="AD35">
        <v>3.80263543122845E-3</v>
      </c>
      <c r="AE35">
        <v>6.0573437458761603</v>
      </c>
    </row>
    <row r="36" spans="1:31" x14ac:dyDescent="0.2">
      <c r="A36">
        <v>35</v>
      </c>
      <c r="B36">
        <v>760</v>
      </c>
      <c r="C36">
        <v>250</v>
      </c>
      <c r="D36">
        <v>0.33149155495329902</v>
      </c>
      <c r="E36">
        <v>104.75052979074999</v>
      </c>
      <c r="F36">
        <v>2.1917872080432002</v>
      </c>
      <c r="G36">
        <v>-1713.6834917450601</v>
      </c>
      <c r="H36">
        <v>-1430.8189455628494</v>
      </c>
      <c r="I36">
        <v>273.78845877385601</v>
      </c>
      <c r="J36">
        <v>141.49492720746099</v>
      </c>
      <c r="K36">
        <v>47.792289966082301</v>
      </c>
      <c r="L36">
        <v>1.5578937764720174E-4</v>
      </c>
      <c r="M36">
        <v>1.782857782078891E-5</v>
      </c>
      <c r="N36" s="1">
        <v>3.6068917374540898E-6</v>
      </c>
      <c r="O36" s="1">
        <v>1.01366603756583E-7</v>
      </c>
      <c r="P36" s="1">
        <v>-5.1612946735165195E-7</v>
      </c>
      <c r="Q36">
        <v>72.690653364849993</v>
      </c>
      <c r="R36">
        <v>7.5417279662270506E-2</v>
      </c>
      <c r="S36">
        <v>11.9140208884209</v>
      </c>
      <c r="T36">
        <v>0.17859154458523899</v>
      </c>
      <c r="V36">
        <v>0.43118380961547498</v>
      </c>
      <c r="W36">
        <v>2.48208768508732E-2</v>
      </c>
      <c r="X36">
        <v>5.7278946578941697E-2</v>
      </c>
      <c r="AA36">
        <v>0.50596402811396501</v>
      </c>
      <c r="AB36">
        <v>3.7995034564029302</v>
      </c>
      <c r="AC36">
        <v>4.2577350290343601</v>
      </c>
      <c r="AD36">
        <v>3.8185964385956E-3</v>
      </c>
      <c r="AE36">
        <v>6.0610121794463199</v>
      </c>
    </row>
    <row r="37" spans="1:31" x14ac:dyDescent="0.2">
      <c r="A37">
        <v>36</v>
      </c>
      <c r="B37">
        <v>758</v>
      </c>
      <c r="C37">
        <v>250</v>
      </c>
      <c r="D37">
        <v>0.330059157251614</v>
      </c>
      <c r="E37">
        <v>104.315143142875</v>
      </c>
      <c r="F37">
        <v>2.1927040247074698</v>
      </c>
      <c r="G37">
        <v>-1705.9096988304127</v>
      </c>
      <c r="H37">
        <v>-1424.9852494718905</v>
      </c>
      <c r="I37">
        <v>272.43800548758401</v>
      </c>
      <c r="J37">
        <v>140.923867867463</v>
      </c>
      <c r="K37">
        <v>47.5737454610599</v>
      </c>
      <c r="L37">
        <v>1.5587404389069562E-4</v>
      </c>
      <c r="M37">
        <v>1.7813659023034901E-5</v>
      </c>
      <c r="N37" s="1">
        <v>3.6024817757916602E-6</v>
      </c>
      <c r="O37" s="1">
        <v>1.0084286873355E-7</v>
      </c>
      <c r="P37" s="1">
        <v>-5.1467207595186698E-7</v>
      </c>
      <c r="Q37">
        <v>72.598196985296298</v>
      </c>
      <c r="R37">
        <v>7.5732053486998102E-2</v>
      </c>
      <c r="S37">
        <v>11.9637471837706</v>
      </c>
      <c r="T37">
        <v>0.18002352387783599</v>
      </c>
      <c r="V37">
        <v>0.43236567573210499</v>
      </c>
      <c r="W37">
        <v>2.4924473299517601E-2</v>
      </c>
      <c r="X37">
        <v>5.7518015306583299E-2</v>
      </c>
      <c r="AA37">
        <v>0.50807580187479495</v>
      </c>
      <c r="AB37">
        <v>3.8153616820031102</v>
      </c>
      <c r="AC37">
        <v>4.2755058044556602</v>
      </c>
      <c r="AD37">
        <v>3.8345343537716102E-3</v>
      </c>
      <c r="AE37">
        <v>6.0647142665426204</v>
      </c>
    </row>
    <row r="38" spans="1:31" x14ac:dyDescent="0.2">
      <c r="A38">
        <v>37</v>
      </c>
      <c r="B38">
        <v>756</v>
      </c>
      <c r="C38">
        <v>250</v>
      </c>
      <c r="D38">
        <v>0.32862119224602798</v>
      </c>
      <c r="E38">
        <v>103.883976068582</v>
      </c>
      <c r="F38">
        <v>2.19362096085039</v>
      </c>
      <c r="G38">
        <v>-1698.2108603925496</v>
      </c>
      <c r="H38">
        <v>-1419.2085082999936</v>
      </c>
      <c r="I38">
        <v>271.09979312301999</v>
      </c>
      <c r="J38">
        <v>140.35833400307101</v>
      </c>
      <c r="K38">
        <v>47.357304622175803</v>
      </c>
      <c r="L38">
        <v>1.5595873690326479E-4</v>
      </c>
      <c r="M38">
        <v>1.7798720492102674E-5</v>
      </c>
      <c r="N38" s="1">
        <v>3.5981598040644901E-6</v>
      </c>
      <c r="O38" s="1">
        <v>1.00324388570659E-7</v>
      </c>
      <c r="P38" s="1">
        <v>-5.13232080071032E-7</v>
      </c>
      <c r="Q38">
        <v>72.505832705342797</v>
      </c>
      <c r="R38">
        <v>7.6046376919427394E-2</v>
      </c>
      <c r="S38">
        <v>12.0134023285416</v>
      </c>
      <c r="T38">
        <v>0.18146549755935701</v>
      </c>
      <c r="V38">
        <v>0.43353501406289902</v>
      </c>
      <c r="W38">
        <v>2.5027921517784501E-2</v>
      </c>
      <c r="X38">
        <v>5.7756741964128097E-2</v>
      </c>
      <c r="AA38">
        <v>0.51018455401640606</v>
      </c>
      <c r="AB38">
        <v>3.8311972169532398</v>
      </c>
      <c r="AC38">
        <v>4.29325115266598</v>
      </c>
      <c r="AD38">
        <v>3.8504494642739402E-3</v>
      </c>
      <c r="AE38">
        <v>6.0684500409920004</v>
      </c>
    </row>
    <row r="39" spans="1:31" x14ac:dyDescent="0.2">
      <c r="A39">
        <v>38</v>
      </c>
      <c r="B39">
        <v>754</v>
      </c>
      <c r="C39">
        <v>250</v>
      </c>
      <c r="D39">
        <v>0.32717762741566497</v>
      </c>
      <c r="E39">
        <v>103.456961185843</v>
      </c>
      <c r="F39">
        <v>2.1945380251359299</v>
      </c>
      <c r="G39">
        <v>-1690.5857889342276</v>
      </c>
      <c r="H39">
        <v>-1413.4878093841935</v>
      </c>
      <c r="I39">
        <v>269.77362561459699</v>
      </c>
      <c r="J39">
        <v>139.79823788132299</v>
      </c>
      <c r="K39">
        <v>47.142933957334897</v>
      </c>
      <c r="L39">
        <v>1.560434566404094E-4</v>
      </c>
      <c r="M39">
        <v>1.778376192707459E-5</v>
      </c>
      <c r="N39" s="1">
        <v>3.5939245534972901E-6</v>
      </c>
      <c r="O39" s="1">
        <v>9.9811079727101395E-8</v>
      </c>
      <c r="P39" s="1">
        <v>-5.1180921066855704E-7</v>
      </c>
      <c r="Q39">
        <v>72.4135588887208</v>
      </c>
      <c r="R39">
        <v>7.6360255602415703E-2</v>
      </c>
      <c r="S39">
        <v>12.0629872141586</v>
      </c>
      <c r="T39">
        <v>0.18291758417397699</v>
      </c>
      <c r="V39">
        <v>0.43469176222670702</v>
      </c>
      <c r="W39">
        <v>2.5131223362818401E-2</v>
      </c>
      <c r="X39">
        <v>5.7995130837284602E-2</v>
      </c>
      <c r="AA39">
        <v>0.51229032239594696</v>
      </c>
      <c r="AB39">
        <v>3.8470103455392102</v>
      </c>
      <c r="AC39">
        <v>4.3109713922371604</v>
      </c>
      <c r="AD39">
        <v>3.8663420558175199E-3</v>
      </c>
      <c r="AE39">
        <v>6.0722195386891302</v>
      </c>
    </row>
    <row r="40" spans="1:31" x14ac:dyDescent="0.2">
      <c r="A40">
        <v>39</v>
      </c>
      <c r="B40">
        <v>752</v>
      </c>
      <c r="C40">
        <v>250</v>
      </c>
      <c r="D40">
        <v>0.32572842998585799</v>
      </c>
      <c r="E40">
        <v>103.034032534679</v>
      </c>
      <c r="F40">
        <v>2.1954552261750599</v>
      </c>
      <c r="G40">
        <v>-1683.0333220198318</v>
      </c>
      <c r="H40">
        <v>-1407.822259321352</v>
      </c>
      <c r="I40">
        <v>268.45931102616998</v>
      </c>
      <c r="J40">
        <v>139.243493627753</v>
      </c>
      <c r="K40">
        <v>46.9306006819304</v>
      </c>
      <c r="L40">
        <v>1.5612820306977373E-4</v>
      </c>
      <c r="M40">
        <v>1.7768783028059354E-5</v>
      </c>
      <c r="N40" s="1">
        <v>3.5897747834676401E-6</v>
      </c>
      <c r="O40" s="1">
        <v>9.9302860436688598E-8</v>
      </c>
      <c r="P40" s="1">
        <v>-5.10403204503149E-7</v>
      </c>
      <c r="Q40">
        <v>72.3213739067821</v>
      </c>
      <c r="R40">
        <v>7.6673695143799098E-2</v>
      </c>
      <c r="S40">
        <v>12.1125027265204</v>
      </c>
      <c r="T40">
        <v>0.184379903467175</v>
      </c>
      <c r="V40">
        <v>0.435835856485777</v>
      </c>
      <c r="W40">
        <v>2.5234380680235199E-2</v>
      </c>
      <c r="X40">
        <v>5.8233186185172703E-2</v>
      </c>
      <c r="AA40">
        <v>0.51439314463560604</v>
      </c>
      <c r="AB40">
        <v>3.8628013502822598</v>
      </c>
      <c r="AC40">
        <v>4.32866683976322</v>
      </c>
      <c r="AD40">
        <v>3.8822124123429102E-3</v>
      </c>
      <c r="AE40">
        <v>6.0760227976417598</v>
      </c>
    </row>
    <row r="41" spans="1:31" x14ac:dyDescent="0.2">
      <c r="A41">
        <v>40</v>
      </c>
      <c r="B41">
        <v>750</v>
      </c>
      <c r="C41">
        <v>250</v>
      </c>
      <c r="D41">
        <v>0.324273566925672</v>
      </c>
      <c r="E41">
        <v>102.615125537503</v>
      </c>
      <c r="F41">
        <v>2.1963725725244201</v>
      </c>
      <c r="G41">
        <v>-1675.5523215796347</v>
      </c>
      <c r="H41">
        <v>-1402.2109834297021</v>
      </c>
      <c r="I41">
        <v>267.156661437651</v>
      </c>
      <c r="J41">
        <v>138.69401717490899</v>
      </c>
      <c r="K41">
        <v>46.720272699254302</v>
      </c>
      <c r="L41">
        <v>1.5621297617424601E-4</v>
      </c>
      <c r="M41">
        <v>1.7753783496335662E-5</v>
      </c>
      <c r="N41" s="1">
        <v>3.5857092807839201E-6</v>
      </c>
      <c r="O41" s="1">
        <v>9.8799650661134202E-8</v>
      </c>
      <c r="P41" s="1">
        <v>-5.0901380398657602E-7</v>
      </c>
      <c r="Q41">
        <v>72.229276137752294</v>
      </c>
      <c r="R41">
        <v>7.69867011185697E-2</v>
      </c>
      <c r="S41">
        <v>12.161949746332899</v>
      </c>
      <c r="T41">
        <v>0.18585257640180899</v>
      </c>
      <c r="V41">
        <v>0.436967231749674</v>
      </c>
      <c r="W41">
        <v>2.5337395304843E-2</v>
      </c>
      <c r="X41">
        <v>5.8470912241961499E-2</v>
      </c>
      <c r="AA41">
        <v>0.51649305813723001</v>
      </c>
      <c r="AB41">
        <v>3.87857051204915</v>
      </c>
      <c r="AC41">
        <v>4.3463378099843704</v>
      </c>
      <c r="AD41">
        <v>3.8980608161285801E-3</v>
      </c>
      <c r="AE41">
        <v>6.0798598581108498</v>
      </c>
    </row>
    <row r="42" spans="1:31" x14ac:dyDescent="0.2">
      <c r="A42">
        <v>41</v>
      </c>
      <c r="B42">
        <v>748</v>
      </c>
      <c r="C42">
        <v>250</v>
      </c>
      <c r="D42">
        <v>0.32281300494540499</v>
      </c>
      <c r="E42">
        <v>102.200176968237</v>
      </c>
      <c r="F42">
        <v>2.1972900726820801</v>
      </c>
      <c r="G42">
        <v>-1668.1416733604349</v>
      </c>
      <c r="H42">
        <v>-1396.6531253331702</v>
      </c>
      <c r="I42">
        <v>265.86549285341403</v>
      </c>
      <c r="J42">
        <v>138.14972622181099</v>
      </c>
      <c r="K42">
        <v>46.5119185850088</v>
      </c>
      <c r="L42">
        <v>1.5629777595081501E-4</v>
      </c>
      <c r="M42">
        <v>1.7738763034409188E-5</v>
      </c>
      <c r="N42" s="1">
        <v>3.5817268591818398E-6</v>
      </c>
      <c r="O42" s="1">
        <v>9.8301372050285197E-8</v>
      </c>
      <c r="P42" s="1">
        <v>-5.07640757058452E-7</v>
      </c>
      <c r="Q42">
        <v>72.137263967681903</v>
      </c>
      <c r="R42">
        <v>7.7299279065392995E-2</v>
      </c>
      <c r="S42">
        <v>12.211329148565801</v>
      </c>
      <c r="T42">
        <v>0.187335725157636</v>
      </c>
      <c r="V42">
        <v>0.43808582154766301</v>
      </c>
      <c r="W42">
        <v>2.5440269059493498E-2</v>
      </c>
      <c r="X42">
        <v>5.8708313214233102E-2</v>
      </c>
      <c r="AA42">
        <v>0.51859010005895601</v>
      </c>
      <c r="AB42">
        <v>3.8943181098764299</v>
      </c>
      <c r="AC42">
        <v>4.3639846155897999</v>
      </c>
      <c r="AD42">
        <v>3.9138875476132304E-3</v>
      </c>
      <c r="AE42">
        <v>6.0837307626350103</v>
      </c>
    </row>
    <row r="43" spans="1:31" x14ac:dyDescent="0.2">
      <c r="A43">
        <v>42</v>
      </c>
      <c r="B43">
        <v>746</v>
      </c>
      <c r="C43">
        <v>250</v>
      </c>
      <c r="D43">
        <v>0.32134671049404001</v>
      </c>
      <c r="E43">
        <v>101.78912490993601</v>
      </c>
      <c r="F43">
        <v>2.1982077350934102</v>
      </c>
      <c r="G43">
        <v>-1660.8002861863897</v>
      </c>
      <c r="H43">
        <v>-1391.1478463838539</v>
      </c>
      <c r="I43">
        <v>264.58562508221098</v>
      </c>
      <c r="J43">
        <v>137.61054017901901</v>
      </c>
      <c r="K43">
        <v>46.305507566422499</v>
      </c>
      <c r="L43">
        <v>1.5638260241322179E-4</v>
      </c>
      <c r="M43">
        <v>1.7723721345958815E-5</v>
      </c>
      <c r="N43" s="1">
        <v>3.5778263584085299E-6</v>
      </c>
      <c r="O43" s="1">
        <v>9.78079478917659E-8</v>
      </c>
      <c r="P43" s="1">
        <v>-5.0628381701991298E-7</v>
      </c>
      <c r="Q43">
        <v>72.045335788741397</v>
      </c>
      <c r="R43">
        <v>7.7611434492538295E-2</v>
      </c>
      <c r="S43">
        <v>12.260641803386401</v>
      </c>
      <c r="T43">
        <v>0.188829473157649</v>
      </c>
      <c r="V43">
        <v>0.43919155805178201</v>
      </c>
      <c r="W43">
        <v>2.55430037570347E-2</v>
      </c>
      <c r="X43">
        <v>5.8945393285483601E-2</v>
      </c>
      <c r="AA43">
        <v>0.52068430735499305</v>
      </c>
      <c r="AB43">
        <v>3.9100444212692902</v>
      </c>
      <c r="AC43">
        <v>4.3816075675526198</v>
      </c>
      <c r="AD43">
        <v>3.9296928856963603E-3</v>
      </c>
      <c r="AE43">
        <v>6.0876355560649902</v>
      </c>
    </row>
    <row r="44" spans="1:31" x14ac:dyDescent="0.2">
      <c r="A44">
        <v>43</v>
      </c>
      <c r="B44">
        <v>744</v>
      </c>
      <c r="C44">
        <v>250</v>
      </c>
      <c r="D44">
        <v>0.31987464975667701</v>
      </c>
      <c r="E44">
        <v>101.38190872668299</v>
      </c>
      <c r="F44">
        <v>2.1991255681430002</v>
      </c>
      <c r="G44">
        <v>-1653.5270914586026</v>
      </c>
      <c r="H44">
        <v>-1385.6943252840315</v>
      </c>
      <c r="I44">
        <v>263.31688165420098</v>
      </c>
      <c r="J44">
        <v>137.07638013183899</v>
      </c>
      <c r="K44">
        <v>46.101009508198601</v>
      </c>
      <c r="L44">
        <v>1.5646745559273799E-4</v>
      </c>
      <c r="M44">
        <v>1.7708658136059872E-5</v>
      </c>
      <c r="N44" s="1">
        <v>3.5740066438509802E-6</v>
      </c>
      <c r="O44" s="1">
        <v>9.7319303076249496E-8</v>
      </c>
      <c r="P44" s="1">
        <v>-5.0494274243088499E-7</v>
      </c>
      <c r="Q44">
        <v>71.9534900001848</v>
      </c>
      <c r="R44">
        <v>7.7923172873950397E-2</v>
      </c>
      <c r="S44">
        <v>12.309888575539899</v>
      </c>
      <c r="T44">
        <v>0.19033394506637899</v>
      </c>
      <c r="V44">
        <v>0.44028437204752602</v>
      </c>
      <c r="W44">
        <v>2.5645601199017799E-2</v>
      </c>
      <c r="X44">
        <v>5.9182156613140302E-2</v>
      </c>
      <c r="AA44">
        <v>0.52277571674927503</v>
      </c>
      <c r="AB44">
        <v>3.9257497220036601</v>
      </c>
      <c r="AC44">
        <v>4.3992069749081502</v>
      </c>
      <c r="AD44">
        <v>3.9454771075397403E-3</v>
      </c>
      <c r="AE44">
        <v>6.0915742857065798</v>
      </c>
    </row>
    <row r="45" spans="1:31" x14ac:dyDescent="0.2">
      <c r="A45">
        <v>44</v>
      </c>
      <c r="B45">
        <v>742</v>
      </c>
      <c r="C45">
        <v>250</v>
      </c>
      <c r="D45">
        <v>0.318396788651924</v>
      </c>
      <c r="E45">
        <v>20.756837330865899</v>
      </c>
      <c r="F45">
        <v>2.2062426605062999</v>
      </c>
      <c r="G45">
        <v>-337.80815307682525</v>
      </c>
      <c r="H45">
        <v>-283.19399084570711</v>
      </c>
      <c r="I45">
        <v>53.799105778572702</v>
      </c>
      <c r="J45">
        <v>28.081364165815799</v>
      </c>
      <c r="K45">
        <v>9.4082295218162901</v>
      </c>
      <c r="L45">
        <v>1.5657009932831033E-4</v>
      </c>
      <c r="M45">
        <v>1.7684191027650297E-5</v>
      </c>
      <c r="N45" s="1">
        <v>7.3050323871168601E-7</v>
      </c>
      <c r="O45" s="1">
        <v>1.9817443539192501E-8</v>
      </c>
      <c r="P45" s="1">
        <v>-1.02756200168222E-7</v>
      </c>
      <c r="Q45">
        <v>71.4964417984487</v>
      </c>
      <c r="R45">
        <v>0.139999509146707</v>
      </c>
      <c r="S45">
        <v>12.4830863074554</v>
      </c>
      <c r="T45">
        <v>0.25714606511529398</v>
      </c>
      <c r="V45">
        <v>0.60064073171784105</v>
      </c>
      <c r="W45">
        <v>0.124786774470207</v>
      </c>
      <c r="X45">
        <v>0.149796391546931</v>
      </c>
      <c r="AA45">
        <v>0.491295028770178</v>
      </c>
      <c r="AB45">
        <v>3.7635430102841698</v>
      </c>
      <c r="AC45">
        <v>4.4066054274597102</v>
      </c>
      <c r="AD45">
        <v>1.9270758527555599E-2</v>
      </c>
      <c r="AE45">
        <v>6.0673881970571202</v>
      </c>
    </row>
    <row r="46" spans="1:31" x14ac:dyDescent="0.2">
      <c r="A46">
        <v>45</v>
      </c>
      <c r="B46">
        <v>740</v>
      </c>
      <c r="C46">
        <v>250</v>
      </c>
      <c r="D46">
        <v>0.31691309282929903</v>
      </c>
      <c r="E46">
        <v>8.0669612928667895</v>
      </c>
      <c r="F46">
        <v>2.21102259155069</v>
      </c>
      <c r="G46">
        <v>-131.20852331924706</v>
      </c>
      <c r="H46">
        <v>-110.06433779256386</v>
      </c>
      <c r="I46">
        <v>20.8697483360639</v>
      </c>
      <c r="J46">
        <v>10.9243251713995</v>
      </c>
      <c r="K46">
        <v>3.6485205188288301</v>
      </c>
      <c r="L46">
        <v>1.5684210574561669E-4</v>
      </c>
      <c r="M46">
        <v>1.772075132895357E-5</v>
      </c>
      <c r="N46" s="1">
        <v>2.8485493383842298E-7</v>
      </c>
      <c r="O46" s="1">
        <v>7.69609710050721E-9</v>
      </c>
      <c r="P46" s="1">
        <v>-3.9781746338498801E-8</v>
      </c>
      <c r="Q46">
        <v>70.965648285265004</v>
      </c>
      <c r="R46">
        <v>0.13824826780436</v>
      </c>
      <c r="S46">
        <v>13.0284617369123</v>
      </c>
      <c r="T46">
        <v>0.25076196929802602</v>
      </c>
      <c r="V46">
        <v>0.59383242016340099</v>
      </c>
      <c r="W46">
        <v>0.31494820965005799</v>
      </c>
      <c r="X46">
        <v>0.14874576919365401</v>
      </c>
      <c r="AA46">
        <v>0.48897373635112101</v>
      </c>
      <c r="AB46">
        <v>3.5194577708281498</v>
      </c>
      <c r="AC46">
        <v>4.4275013585633802</v>
      </c>
      <c r="AD46">
        <v>4.9584965822577098E-2</v>
      </c>
      <c r="AE46">
        <v>6.07383551014793</v>
      </c>
    </row>
    <row r="47" spans="1:31" x14ac:dyDescent="0.2">
      <c r="A47">
        <v>46</v>
      </c>
      <c r="B47">
        <v>764</v>
      </c>
      <c r="C47">
        <v>225</v>
      </c>
      <c r="D47">
        <v>0.36085474617943802</v>
      </c>
      <c r="E47">
        <v>104.85060654952299</v>
      </c>
      <c r="F47">
        <v>2.19140978605996</v>
      </c>
      <c r="G47">
        <v>-1715.5541731815642</v>
      </c>
      <c r="H47">
        <v>-1433.2326988846219</v>
      </c>
      <c r="I47">
        <v>272.20891317258003</v>
      </c>
      <c r="J47">
        <v>141.257487685131</v>
      </c>
      <c r="K47">
        <v>47.846188885575202</v>
      </c>
      <c r="L47">
        <v>1.5131519533488185E-4</v>
      </c>
      <c r="M47">
        <v>1.778136096254884E-5</v>
      </c>
      <c r="N47" s="1">
        <v>3.4035373593384898E-6</v>
      </c>
      <c r="O47" s="1">
        <v>9.8019313405137999E-8</v>
      </c>
      <c r="P47" s="1">
        <v>-4.9897673581072403E-7</v>
      </c>
      <c r="Q47">
        <v>73.075399867932802</v>
      </c>
      <c r="R47">
        <v>7.5345296131106798E-2</v>
      </c>
      <c r="S47">
        <v>11.902649312863799</v>
      </c>
      <c r="T47">
        <v>0.17934694069698301</v>
      </c>
      <c r="V47">
        <v>0.42993916183423803</v>
      </c>
      <c r="W47">
        <v>2.4797186068465399E-2</v>
      </c>
      <c r="X47">
        <v>5.72242755426133E-2</v>
      </c>
      <c r="AA47">
        <v>0.50548110062641205</v>
      </c>
      <c r="AB47">
        <v>3.79587694432663</v>
      </c>
      <c r="AC47">
        <v>4.2536711486675101</v>
      </c>
      <c r="AD47">
        <v>3.81495170284078E-3</v>
      </c>
      <c r="AE47">
        <v>5.6964538136065404</v>
      </c>
    </row>
    <row r="48" spans="1:31" x14ac:dyDescent="0.2">
      <c r="A48">
        <v>47</v>
      </c>
      <c r="B48">
        <v>762</v>
      </c>
      <c r="C48">
        <v>225</v>
      </c>
      <c r="D48">
        <v>0.35948461575617302</v>
      </c>
      <c r="E48">
        <v>104.728071355476</v>
      </c>
      <c r="F48">
        <v>2.1921747622705401</v>
      </c>
      <c r="G48">
        <v>-1712.9689379576289</v>
      </c>
      <c r="H48">
        <v>-1431.7943185840827</v>
      </c>
      <c r="I48">
        <v>271.62693268951</v>
      </c>
      <c r="J48">
        <v>141.07611259681201</v>
      </c>
      <c r="K48">
        <v>47.773595955006897</v>
      </c>
      <c r="L48">
        <v>1.5124961651250454E-4</v>
      </c>
      <c r="M48">
        <v>1.7764508430558215E-5</v>
      </c>
      <c r="N48" s="1">
        <v>3.4073497139694599E-6</v>
      </c>
      <c r="O48" s="1">
        <v>9.7750153584834095E-8</v>
      </c>
      <c r="P48" s="1">
        <v>-4.9831271197571102E-7</v>
      </c>
      <c r="Q48">
        <v>73.050703085329602</v>
      </c>
      <c r="R48">
        <v>7.5433452538099799E-2</v>
      </c>
      <c r="S48">
        <v>11.9165757933623</v>
      </c>
      <c r="T48">
        <v>0.180149239241431</v>
      </c>
      <c r="V48">
        <v>0.42990910517863101</v>
      </c>
      <c r="W48">
        <v>2.4826199569500499E-2</v>
      </c>
      <c r="X48">
        <v>5.7291229775774499E-2</v>
      </c>
      <c r="AA48">
        <v>0.50607252968598404</v>
      </c>
      <c r="AB48">
        <v>3.8003182417927999</v>
      </c>
      <c r="AC48">
        <v>4.2586480799988804</v>
      </c>
      <c r="AD48">
        <v>3.8194153183844499E-3</v>
      </c>
      <c r="AE48">
        <v>5.6962536282085399</v>
      </c>
    </row>
    <row r="49" spans="1:31" x14ac:dyDescent="0.2">
      <c r="A49">
        <v>48</v>
      </c>
      <c r="B49">
        <v>760</v>
      </c>
      <c r="C49">
        <v>225</v>
      </c>
      <c r="D49">
        <v>0.35810918066108399</v>
      </c>
      <c r="E49">
        <v>104.303919612212</v>
      </c>
      <c r="F49">
        <v>2.19308539204473</v>
      </c>
      <c r="G49">
        <v>-1705.3836098961926</v>
      </c>
      <c r="H49">
        <v>-1426.1125696119545</v>
      </c>
      <c r="I49">
        <v>270.31025532036699</v>
      </c>
      <c r="J49">
        <v>140.52005793753901</v>
      </c>
      <c r="K49">
        <v>47.560354918493999</v>
      </c>
      <c r="L49">
        <v>1.5132714416031607E-4</v>
      </c>
      <c r="M49">
        <v>1.7749474878365976E-5</v>
      </c>
      <c r="N49" s="1">
        <v>3.4031855122381601E-6</v>
      </c>
      <c r="O49" s="1">
        <v>9.7250801716298502E-8</v>
      </c>
      <c r="P49" s="1">
        <v>-4.9691548194153196E-7</v>
      </c>
      <c r="Q49">
        <v>72.9612642199356</v>
      </c>
      <c r="R49">
        <v>7.5740202567374501E-2</v>
      </c>
      <c r="S49">
        <v>11.965034532164699</v>
      </c>
      <c r="T49">
        <v>0.18156912784715001</v>
      </c>
      <c r="V49">
        <v>0.43103887906917199</v>
      </c>
      <c r="W49">
        <v>2.4927155275337599E-2</v>
      </c>
      <c r="X49">
        <v>5.7524204481553501E-2</v>
      </c>
      <c r="AA49">
        <v>0.50813047292035696</v>
      </c>
      <c r="AB49">
        <v>3.8157722306094</v>
      </c>
      <c r="AC49">
        <v>4.2759658664616698</v>
      </c>
      <c r="AD49">
        <v>3.8349469654361599E-3</v>
      </c>
      <c r="AE49">
        <v>5.6991981617021397</v>
      </c>
    </row>
    <row r="50" spans="1:31" x14ac:dyDescent="0.2">
      <c r="A50">
        <v>49</v>
      </c>
      <c r="B50">
        <v>758</v>
      </c>
      <c r="C50">
        <v>225</v>
      </c>
      <c r="D50">
        <v>0.356728410027642</v>
      </c>
      <c r="E50">
        <v>103.88378746570601</v>
      </c>
      <c r="F50">
        <v>2.1939963900790498</v>
      </c>
      <c r="G50">
        <v>-1697.8697414209407</v>
      </c>
      <c r="H50">
        <v>-1420.4850916778892</v>
      </c>
      <c r="I50">
        <v>269.00513964316701</v>
      </c>
      <c r="J50">
        <v>139.969242725404</v>
      </c>
      <c r="K50">
        <v>47.349115037496901</v>
      </c>
      <c r="L50">
        <v>1.514045407096115E-4</v>
      </c>
      <c r="M50">
        <v>1.7734411836854184E-5</v>
      </c>
      <c r="N50" s="1">
        <v>3.3990954460740798E-6</v>
      </c>
      <c r="O50" s="1">
        <v>9.6756220727683305E-8</v>
      </c>
      <c r="P50" s="1">
        <v>-4.9553360385512496E-7</v>
      </c>
      <c r="Q50">
        <v>72.871925966343198</v>
      </c>
      <c r="R50">
        <v>7.6046514982985605E-2</v>
      </c>
      <c r="S50">
        <v>12.0134241390873</v>
      </c>
      <c r="T50">
        <v>0.18299888736230099</v>
      </c>
      <c r="V50">
        <v>0.43215633657034003</v>
      </c>
      <c r="W50">
        <v>2.50279669564244E-2</v>
      </c>
      <c r="X50">
        <v>5.7756846822525E-2</v>
      </c>
      <c r="AA50">
        <v>0.51018548026559496</v>
      </c>
      <c r="AB50">
        <v>3.8312041725603998</v>
      </c>
      <c r="AC50">
        <v>4.2932589471403997</v>
      </c>
      <c r="AD50">
        <v>3.8504564548340098E-3</v>
      </c>
      <c r="AE50">
        <v>5.7021642854535504</v>
      </c>
    </row>
    <row r="51" spans="1:31" x14ac:dyDescent="0.2">
      <c r="A51">
        <v>50</v>
      </c>
      <c r="B51">
        <v>756</v>
      </c>
      <c r="C51">
        <v>225</v>
      </c>
      <c r="D51">
        <v>0.35534227274935698</v>
      </c>
      <c r="E51">
        <v>103.46761234003699</v>
      </c>
      <c r="F51">
        <v>2.1949077689439598</v>
      </c>
      <c r="G51">
        <v>-1690.4262279982254</v>
      </c>
      <c r="H51">
        <v>-1414.9110372332696</v>
      </c>
      <c r="I51">
        <v>267.711403357096</v>
      </c>
      <c r="J51">
        <v>139.423585493291</v>
      </c>
      <c r="K51">
        <v>47.139845147032403</v>
      </c>
      <c r="L51">
        <v>1.51481802682302E-4</v>
      </c>
      <c r="M51">
        <v>1.77193187981286E-5</v>
      </c>
      <c r="N51" s="1">
        <v>3.39507830561732E-6</v>
      </c>
      <c r="O51" s="1">
        <v>9.6266333665797305E-8</v>
      </c>
      <c r="P51" s="1">
        <v>-4.9416682326994697E-7</v>
      </c>
      <c r="Q51">
        <v>72.782687044467195</v>
      </c>
      <c r="R51">
        <v>7.6352394931444897E-2</v>
      </c>
      <c r="S51">
        <v>12.061745427148001</v>
      </c>
      <c r="T51">
        <v>0.18443863352113399</v>
      </c>
      <c r="V51">
        <v>0.43326141393360901</v>
      </c>
      <c r="W51">
        <v>2.5128636306550101E-2</v>
      </c>
      <c r="X51">
        <v>5.7989160707431202E-2</v>
      </c>
      <c r="AA51">
        <v>0.51223758624893001</v>
      </c>
      <c r="AB51">
        <v>3.8466143269258102</v>
      </c>
      <c r="AC51">
        <v>4.31052761258504</v>
      </c>
      <c r="AD51">
        <v>3.8659440471608998E-3</v>
      </c>
      <c r="AE51">
        <v>5.7051518191775399</v>
      </c>
    </row>
    <row r="52" spans="1:31" x14ac:dyDescent="0.2">
      <c r="A52">
        <v>51</v>
      </c>
      <c r="B52">
        <v>754</v>
      </c>
      <c r="C52">
        <v>225</v>
      </c>
      <c r="D52">
        <v>0.35395073747748601</v>
      </c>
      <c r="E52">
        <v>103.055332959365</v>
      </c>
      <c r="F52">
        <v>2.1958195412472201</v>
      </c>
      <c r="G52">
        <v>-1683.0519880107236</v>
      </c>
      <c r="H52">
        <v>-1409.3895763482951</v>
      </c>
      <c r="I52">
        <v>266.42886789897102</v>
      </c>
      <c r="J52">
        <v>138.88300646435499</v>
      </c>
      <c r="K52">
        <v>46.932514727885902</v>
      </c>
      <c r="L52">
        <v>1.5155892653008257E-4</v>
      </c>
      <c r="M52">
        <v>1.7704195250632403E-5</v>
      </c>
      <c r="N52" s="1">
        <v>3.3911329028098899E-6</v>
      </c>
      <c r="O52" s="1">
        <v>9.5781065117228195E-8</v>
      </c>
      <c r="P52" s="1">
        <v>-4.92814890570742E-7</v>
      </c>
      <c r="Q52">
        <v>72.693546188661799</v>
      </c>
      <c r="R52">
        <v>7.6657847518819405E-2</v>
      </c>
      <c r="S52">
        <v>12.1099992029771</v>
      </c>
      <c r="T52">
        <v>0.185888483202168</v>
      </c>
      <c r="V52">
        <v>0.43435404606322298</v>
      </c>
      <c r="W52">
        <v>2.52291650061921E-2</v>
      </c>
      <c r="X52">
        <v>5.8221150014298999E-2</v>
      </c>
      <c r="AA52">
        <v>0.51428682512625101</v>
      </c>
      <c r="AB52">
        <v>3.8620029509479301</v>
      </c>
      <c r="AC52">
        <v>4.3277721510620504</v>
      </c>
      <c r="AD52">
        <v>3.8814100009517899E-3</v>
      </c>
      <c r="AE52">
        <v>5.7081605794191299</v>
      </c>
    </row>
    <row r="53" spans="1:31" x14ac:dyDescent="0.2">
      <c r="A53">
        <v>52</v>
      </c>
      <c r="B53">
        <v>752</v>
      </c>
      <c r="C53">
        <v>225</v>
      </c>
      <c r="D53">
        <v>0.35255377261864101</v>
      </c>
      <c r="E53">
        <v>102.646889316261</v>
      </c>
      <c r="F53">
        <v>2.1967317196349998</v>
      </c>
      <c r="G53">
        <v>-1675.7459621968892</v>
      </c>
      <c r="H53">
        <v>-1403.9198962838279</v>
      </c>
      <c r="I53">
        <v>265.15735835054397</v>
      </c>
      <c r="J53">
        <v>138.347427510583</v>
      </c>
      <c r="K53">
        <v>46.727093890790101</v>
      </c>
      <c r="L53">
        <v>1.5163590863207074E-4</v>
      </c>
      <c r="M53">
        <v>1.768904067904306E-5</v>
      </c>
      <c r="N53" s="1">
        <v>3.3872580707860401E-6</v>
      </c>
      <c r="O53" s="1">
        <v>9.5300341168856302E-8</v>
      </c>
      <c r="P53" s="1">
        <v>-4.9147756084265802E-7</v>
      </c>
      <c r="Q53">
        <v>72.604502148114406</v>
      </c>
      <c r="R53">
        <v>7.6962877809768404E-2</v>
      </c>
      <c r="S53">
        <v>12.158186266662799</v>
      </c>
      <c r="T53">
        <v>0.18734855443433601</v>
      </c>
      <c r="V53">
        <v>0.43543416650336603</v>
      </c>
      <c r="W53">
        <v>2.5329554722199998E-2</v>
      </c>
      <c r="X53">
        <v>5.84528185897056E-2</v>
      </c>
      <c r="AA53">
        <v>0.51633323087565297</v>
      </c>
      <c r="AB53">
        <v>3.87737029978301</v>
      </c>
      <c r="AC53">
        <v>4.3449928485002696</v>
      </c>
      <c r="AD53">
        <v>3.8968545726450598E-3</v>
      </c>
      <c r="AE53">
        <v>5.7111903794316703</v>
      </c>
    </row>
    <row r="54" spans="1:31" x14ac:dyDescent="0.2">
      <c r="A54">
        <v>53</v>
      </c>
      <c r="B54">
        <v>750</v>
      </c>
      <c r="C54">
        <v>225</v>
      </c>
      <c r="D54">
        <v>0.35115134633240402</v>
      </c>
      <c r="E54">
        <v>99.994519745829393</v>
      </c>
      <c r="F54">
        <v>2.1983048091494899</v>
      </c>
      <c r="G54">
        <v>-1631.2151827898183</v>
      </c>
      <c r="H54">
        <v>-1367.3632092160365</v>
      </c>
      <c r="I54">
        <v>257.88200515445601</v>
      </c>
      <c r="J54">
        <v>134.72111229945099</v>
      </c>
      <c r="K54">
        <v>45.487104122069503</v>
      </c>
      <c r="L54">
        <v>1.513167363296735E-4</v>
      </c>
      <c r="M54">
        <v>1.7636931927264835E-5</v>
      </c>
      <c r="N54" s="1">
        <v>3.29549620712031E-6</v>
      </c>
      <c r="O54" s="1">
        <v>9.2390018334892602E-8</v>
      </c>
      <c r="P54" s="1">
        <v>-4.77645376146208E-7</v>
      </c>
      <c r="Q54">
        <v>72.534709242173093</v>
      </c>
      <c r="R54">
        <v>7.9004329638073106E-2</v>
      </c>
      <c r="S54">
        <v>12.183700250333899</v>
      </c>
      <c r="T54">
        <v>0.19306392432368599</v>
      </c>
      <c r="V54">
        <v>0.44631293442015202</v>
      </c>
      <c r="W54">
        <v>2.6001424944172999E-2</v>
      </c>
      <c r="X54">
        <v>6.0003288332724197E-2</v>
      </c>
      <c r="AA54">
        <v>0.50136412911497996</v>
      </c>
      <c r="AB54">
        <v>3.8517139542483401</v>
      </c>
      <c r="AC54">
        <v>4.4293259523390303</v>
      </c>
      <c r="AD54">
        <v>4.0002192221789499E-3</v>
      </c>
      <c r="AE54">
        <v>5.6908003509095</v>
      </c>
    </row>
    <row r="55" spans="1:31" x14ac:dyDescent="0.2">
      <c r="A55">
        <v>54</v>
      </c>
      <c r="B55">
        <v>748</v>
      </c>
      <c r="C55">
        <v>225</v>
      </c>
      <c r="D55">
        <v>0.34974342652891699</v>
      </c>
      <c r="E55">
        <v>77.554030692688698</v>
      </c>
      <c r="F55">
        <v>2.2023774463489501</v>
      </c>
      <c r="G55">
        <v>-1262.7705798402947</v>
      </c>
      <c r="H55">
        <v>-1058.9280529205164</v>
      </c>
      <c r="I55">
        <v>199.62055223990399</v>
      </c>
      <c r="J55">
        <v>104.44394491793901</v>
      </c>
      <c r="K55">
        <v>35.2137781020486</v>
      </c>
      <c r="L55">
        <v>1.5110444502013283E-4</v>
      </c>
      <c r="M55">
        <v>1.7581315085792235E-5</v>
      </c>
      <c r="N55" s="1">
        <v>2.5494483803065601E-6</v>
      </c>
      <c r="O55" s="1">
        <v>7.1225835160412703E-8</v>
      </c>
      <c r="P55" s="1">
        <v>-3.69021518440262E-7</v>
      </c>
      <c r="Q55">
        <v>72.343777500529796</v>
      </c>
      <c r="R55">
        <v>0.10186446699726601</v>
      </c>
      <c r="S55">
        <v>12.1748348873945</v>
      </c>
      <c r="T55">
        <v>0.24912059459310401</v>
      </c>
      <c r="V55">
        <v>0.57528119819248802</v>
      </c>
      <c r="W55">
        <v>3.3525014454791301E-2</v>
      </c>
      <c r="X55">
        <v>7.7365417972624501E-2</v>
      </c>
      <c r="AA55">
        <v>0.48992431395671798</v>
      </c>
      <c r="AB55">
        <v>3.7910550413034598</v>
      </c>
      <c r="AC55">
        <v>4.4946911370790303</v>
      </c>
      <c r="AD55">
        <v>5.1576945315042503E-3</v>
      </c>
      <c r="AE55">
        <v>5.6634027329945802</v>
      </c>
    </row>
    <row r="56" spans="1:31" x14ac:dyDescent="0.2">
      <c r="A56">
        <v>55</v>
      </c>
      <c r="B56">
        <v>746</v>
      </c>
      <c r="C56">
        <v>225</v>
      </c>
      <c r="D56">
        <v>0.34832998086640898</v>
      </c>
      <c r="E56">
        <v>17.554264146958602</v>
      </c>
      <c r="F56">
        <v>2.2076117963712298</v>
      </c>
      <c r="G56">
        <v>-285.60279146565904</v>
      </c>
      <c r="H56">
        <v>-239.65109635973803</v>
      </c>
      <c r="I56">
        <v>45.088255022245001</v>
      </c>
      <c r="J56">
        <v>23.6615480773842</v>
      </c>
      <c r="K56">
        <v>7.9516988339224897</v>
      </c>
      <c r="L56">
        <v>1.5097382523578663E-4</v>
      </c>
      <c r="M56">
        <v>1.7558044343349298E-5</v>
      </c>
      <c r="N56" s="1">
        <v>5.7616531758149697E-7</v>
      </c>
      <c r="O56" s="1">
        <v>1.6037061690217098E-8</v>
      </c>
      <c r="P56" s="1">
        <v>-8.2931370302134901E-8</v>
      </c>
      <c r="Q56">
        <v>71.959240320233903</v>
      </c>
      <c r="R56">
        <v>0.15149950948631899</v>
      </c>
      <c r="S56">
        <v>12.461213868827</v>
      </c>
      <c r="T56">
        <v>0.25206511402944398</v>
      </c>
      <c r="V56">
        <v>0.58668783976213101</v>
      </c>
      <c r="W56">
        <v>0.14753300128795499</v>
      </c>
      <c r="X56">
        <v>0.16034834971992101</v>
      </c>
      <c r="AA56">
        <v>0.497143459647644</v>
      </c>
      <c r="AB56">
        <v>3.60415365960935</v>
      </c>
      <c r="AC56">
        <v>4.5156384921158601</v>
      </c>
      <c r="AD56">
        <v>2.2786486328928199E-2</v>
      </c>
      <c r="AE56">
        <v>5.6416898989515403</v>
      </c>
    </row>
    <row r="57" spans="1:31" x14ac:dyDescent="0.2">
      <c r="A57">
        <v>56</v>
      </c>
      <c r="B57">
        <v>744</v>
      </c>
      <c r="C57">
        <v>225</v>
      </c>
      <c r="D57">
        <v>0.34691097674876298</v>
      </c>
      <c r="E57">
        <v>7.7269191171379399</v>
      </c>
      <c r="F57">
        <v>2.2122929148791202</v>
      </c>
      <c r="G57">
        <v>-125.6401180583989</v>
      </c>
      <c r="H57">
        <v>-105.49229808319085</v>
      </c>
      <c r="I57">
        <v>19.808110873723699</v>
      </c>
      <c r="J57">
        <v>10.424635004336301</v>
      </c>
      <c r="K57">
        <v>3.49271973216988</v>
      </c>
      <c r="L57">
        <v>1.5115693629153221E-4</v>
      </c>
      <c r="M57">
        <v>1.7588054790782264E-5</v>
      </c>
      <c r="N57" s="1">
        <v>2.5431705551008697E-7</v>
      </c>
      <c r="O57" s="1">
        <v>7.0503829424583701E-9</v>
      </c>
      <c r="P57" s="1">
        <v>-3.63415896963359E-8</v>
      </c>
      <c r="Q57">
        <v>71.451645882137598</v>
      </c>
      <c r="R57">
        <v>0.14970311323427599</v>
      </c>
      <c r="S57">
        <v>12.985845708369499</v>
      </c>
      <c r="T57">
        <v>0.24574282868406</v>
      </c>
      <c r="V57">
        <v>0.57956748041516504</v>
      </c>
      <c r="W57">
        <v>0.32896535113860298</v>
      </c>
      <c r="X57">
        <v>0.15930400571296499</v>
      </c>
      <c r="AA57">
        <v>0.49714393440560101</v>
      </c>
      <c r="AB57">
        <v>3.36562172476697</v>
      </c>
      <c r="AC57">
        <v>4.5401960515606596</v>
      </c>
      <c r="AD57">
        <v>5.1767074811470998E-2</v>
      </c>
      <c r="AE57">
        <v>5.6444968447629904</v>
      </c>
    </row>
    <row r="58" spans="1:31" x14ac:dyDescent="0.2">
      <c r="A58">
        <v>57</v>
      </c>
      <c r="B58">
        <v>764</v>
      </c>
      <c r="C58">
        <v>200</v>
      </c>
      <c r="D58">
        <v>0.38736971508460899</v>
      </c>
      <c r="E58">
        <v>104.44774642164801</v>
      </c>
      <c r="F58">
        <v>2.1931850409610298</v>
      </c>
      <c r="G58">
        <v>-1707.9426579403414</v>
      </c>
      <c r="H58">
        <v>-1429.1634460684616</v>
      </c>
      <c r="I58">
        <v>268.79353215241701</v>
      </c>
      <c r="J58">
        <v>140.32459897233099</v>
      </c>
      <c r="K58">
        <v>47.623772947074499</v>
      </c>
      <c r="L58">
        <v>1.4651561091272086E-4</v>
      </c>
      <c r="M58">
        <v>1.7650718185491684E-5</v>
      </c>
      <c r="N58" s="1">
        <v>3.1982634691625002E-6</v>
      </c>
      <c r="O58" s="1">
        <v>9.3649504346346302E-8</v>
      </c>
      <c r="P58" s="1">
        <v>-4.7730180157347099E-7</v>
      </c>
      <c r="Q58">
        <v>73.357255302296394</v>
      </c>
      <c r="R58">
        <v>7.5635906667705796E-2</v>
      </c>
      <c r="S58">
        <v>11.9485584204178</v>
      </c>
      <c r="T58">
        <v>0.18224911427254201</v>
      </c>
      <c r="V58">
        <v>0.42960849501398601</v>
      </c>
      <c r="W58">
        <v>2.4892830042535799E-2</v>
      </c>
      <c r="X58">
        <v>5.7444992405853199E-2</v>
      </c>
      <c r="AA58">
        <v>0.50743076625169603</v>
      </c>
      <c r="AB58">
        <v>3.8105178295881901</v>
      </c>
      <c r="AC58">
        <v>4.2700777688349802</v>
      </c>
      <c r="AD58">
        <v>3.8296661603900699E-3</v>
      </c>
      <c r="AE58">
        <v>5.3324989080477598</v>
      </c>
    </row>
    <row r="59" spans="1:31" x14ac:dyDescent="0.2">
      <c r="A59">
        <v>58</v>
      </c>
      <c r="B59">
        <v>762</v>
      </c>
      <c r="C59">
        <v>200</v>
      </c>
      <c r="D59">
        <v>0.38605081389170998</v>
      </c>
      <c r="E59">
        <v>104.183252144161</v>
      </c>
      <c r="F59">
        <v>2.1940037093649001</v>
      </c>
      <c r="G59">
        <v>-1703.0108518745558</v>
      </c>
      <c r="H59">
        <v>-1425.7223801953648</v>
      </c>
      <c r="I59">
        <v>267.87274470288401</v>
      </c>
      <c r="J59">
        <v>139.96809686635899</v>
      </c>
      <c r="K59">
        <v>47.485449408979797</v>
      </c>
      <c r="L59">
        <v>1.4652301973764397E-4</v>
      </c>
      <c r="M59">
        <v>1.7635258239765627E-5</v>
      </c>
      <c r="N59" s="1">
        <v>3.1982267104549899E-6</v>
      </c>
      <c r="O59" s="1">
        <v>9.3290476223804398E-8</v>
      </c>
      <c r="P59" s="1">
        <v>-4.7634895523054799E-7</v>
      </c>
      <c r="Q59">
        <v>73.301928030082493</v>
      </c>
      <c r="R59">
        <v>7.5827926633242407E-2</v>
      </c>
      <c r="S59">
        <v>11.9788927137083</v>
      </c>
      <c r="T59">
        <v>0.183357083974486</v>
      </c>
      <c r="V59">
        <v>0.43011852381036098</v>
      </c>
      <c r="W59">
        <v>2.49560264868894E-2</v>
      </c>
      <c r="X59">
        <v>5.7590830354362903E-2</v>
      </c>
      <c r="AA59">
        <v>0.508719001463523</v>
      </c>
      <c r="AB59">
        <v>3.8201917468392499</v>
      </c>
      <c r="AC59">
        <v>4.2809183896740803</v>
      </c>
      <c r="AD59">
        <v>3.83938869029056E-3</v>
      </c>
      <c r="AE59">
        <v>5.3336603382826597</v>
      </c>
    </row>
    <row r="60" spans="1:31" x14ac:dyDescent="0.2">
      <c r="A60">
        <v>59</v>
      </c>
      <c r="B60">
        <v>760</v>
      </c>
      <c r="C60">
        <v>200</v>
      </c>
      <c r="D60">
        <v>0.38472680636887402</v>
      </c>
      <c r="E60">
        <v>103.776475274863</v>
      </c>
      <c r="F60">
        <v>2.19489880029094</v>
      </c>
      <c r="G60">
        <v>-1695.7227752630974</v>
      </c>
      <c r="H60">
        <v>-1420.2763110561198</v>
      </c>
      <c r="I60">
        <v>266.60839588344101</v>
      </c>
      <c r="J60">
        <v>139.435296683926</v>
      </c>
      <c r="K60">
        <v>47.280756297788201</v>
      </c>
      <c r="L60">
        <v>1.4659734898635931E-4</v>
      </c>
      <c r="M60">
        <v>1.7620483107956689E-5</v>
      </c>
      <c r="N60" s="1">
        <v>3.1945696809855902E-6</v>
      </c>
      <c r="O60" s="1">
        <v>9.2826497918842802E-8</v>
      </c>
      <c r="P60" s="1">
        <v>-4.7506510468061602E-7</v>
      </c>
      <c r="Q60">
        <v>73.2156237945767</v>
      </c>
      <c r="R60">
        <v>7.6125152440146296E-2</v>
      </c>
      <c r="S60">
        <v>12.025846866496</v>
      </c>
      <c r="T60">
        <v>0.184772031787341</v>
      </c>
      <c r="V60">
        <v>0.43117799641904198</v>
      </c>
      <c r="W60">
        <v>2.50538476385283E-2</v>
      </c>
      <c r="X60">
        <v>5.7816571473531801E-2</v>
      </c>
      <c r="AA60">
        <v>0.51071304801616901</v>
      </c>
      <c r="AB60">
        <v>3.8351659077439901</v>
      </c>
      <c r="AC60">
        <v>4.2976984795321096</v>
      </c>
      <c r="AD60">
        <v>3.8544380982349102E-3</v>
      </c>
      <c r="AE60">
        <v>5.3361518657780902</v>
      </c>
    </row>
    <row r="61" spans="1:31" x14ac:dyDescent="0.2">
      <c r="A61">
        <v>60</v>
      </c>
      <c r="B61">
        <v>758</v>
      </c>
      <c r="C61">
        <v>200</v>
      </c>
      <c r="D61">
        <v>0.383397662803666</v>
      </c>
      <c r="E61">
        <v>103.373418796236</v>
      </c>
      <c r="F61">
        <v>2.19579444129438</v>
      </c>
      <c r="G61">
        <v>-1688.5009349119528</v>
      </c>
      <c r="H61">
        <v>-1414.8804702280379</v>
      </c>
      <c r="I61">
        <v>265.35466681269901</v>
      </c>
      <c r="J61">
        <v>138.90732516460301</v>
      </c>
      <c r="K61">
        <v>47.0779126006437</v>
      </c>
      <c r="L61">
        <v>1.4667145277371814E-4</v>
      </c>
      <c r="M61">
        <v>1.7605671923888116E-5</v>
      </c>
      <c r="N61" s="1">
        <v>3.1909733302654602E-6</v>
      </c>
      <c r="O61" s="1">
        <v>9.2366715623169095E-8</v>
      </c>
      <c r="P61" s="1">
        <v>-4.7379433013583898E-7</v>
      </c>
      <c r="Q61">
        <v>73.129420567764697</v>
      </c>
      <c r="R61">
        <v>7.6421967000744898E-2</v>
      </c>
      <c r="S61">
        <v>12.072736052779501</v>
      </c>
      <c r="T61">
        <v>0.18619683894029099</v>
      </c>
      <c r="V61">
        <v>0.432225369982222</v>
      </c>
      <c r="W61">
        <v>2.51515334432817E-2</v>
      </c>
      <c r="X61">
        <v>5.8042000253735501E-2</v>
      </c>
      <c r="AA61">
        <v>0.51270433557461303</v>
      </c>
      <c r="AB61">
        <v>3.8501193501639501</v>
      </c>
      <c r="AC61">
        <v>4.3144553521936002</v>
      </c>
      <c r="AD61">
        <v>3.8694666835813402E-3</v>
      </c>
      <c r="AE61">
        <v>5.3386571652197299</v>
      </c>
    </row>
    <row r="62" spans="1:31" x14ac:dyDescent="0.2">
      <c r="A62">
        <v>61</v>
      </c>
      <c r="B62">
        <v>756</v>
      </c>
      <c r="C62">
        <v>200</v>
      </c>
      <c r="D62">
        <v>0.38206335325268598</v>
      </c>
      <c r="E62">
        <v>100.606712417525</v>
      </c>
      <c r="F62">
        <v>2.1973417962662798</v>
      </c>
      <c r="G62">
        <v>-1642.053934706373</v>
      </c>
      <c r="H62">
        <v>-1376.7104543595638</v>
      </c>
      <c r="I62">
        <v>257.82779997746502</v>
      </c>
      <c r="J62">
        <v>135.135853463183</v>
      </c>
      <c r="K62">
        <v>45.785645450551002</v>
      </c>
      <c r="L62">
        <v>1.4636332473786837E-4</v>
      </c>
      <c r="M62">
        <v>1.7553544499884586E-5</v>
      </c>
      <c r="N62" s="1">
        <v>3.1011721301785202E-6</v>
      </c>
      <c r="O62" s="1">
        <v>8.9455529915596204E-8</v>
      </c>
      <c r="P62" s="1">
        <v>-4.6001180829446502E-7</v>
      </c>
      <c r="Q62">
        <v>73.060528541094698</v>
      </c>
      <c r="R62">
        <v>7.8523587643087298E-2</v>
      </c>
      <c r="S62">
        <v>12.0960935343569</v>
      </c>
      <c r="T62">
        <v>0.19204725770892001</v>
      </c>
      <c r="V62">
        <v>0.44345483037549599</v>
      </c>
      <c r="W62">
        <v>2.58432060597465E-2</v>
      </c>
      <c r="X62">
        <v>5.9638167830206201E-2</v>
      </c>
      <c r="AA62">
        <v>0.496840689669446</v>
      </c>
      <c r="AB62">
        <v>3.8215956650574898</v>
      </c>
      <c r="AC62">
        <v>4.4025572098057104</v>
      </c>
      <c r="AD62">
        <v>3.97587785534456E-3</v>
      </c>
      <c r="AE62">
        <v>5.3189014325428996</v>
      </c>
    </row>
    <row r="63" spans="1:31" x14ac:dyDescent="0.2">
      <c r="A63">
        <v>62</v>
      </c>
      <c r="B63">
        <v>754</v>
      </c>
      <c r="C63">
        <v>200</v>
      </c>
      <c r="D63">
        <v>0.38072384753930699</v>
      </c>
      <c r="E63">
        <v>95.459218917470594</v>
      </c>
      <c r="F63">
        <v>2.1996186488479101</v>
      </c>
      <c r="G63">
        <v>-1556.2662383542447</v>
      </c>
      <c r="H63">
        <v>-1305.6009901198004</v>
      </c>
      <c r="I63">
        <v>244.03957380562099</v>
      </c>
      <c r="J63">
        <v>128.115342164292</v>
      </c>
      <c r="K63">
        <v>43.3980767381967</v>
      </c>
      <c r="L63">
        <v>1.4569862829358948E-4</v>
      </c>
      <c r="M63">
        <v>1.7466779491119812E-5</v>
      </c>
      <c r="N63" s="1">
        <v>2.9266587183549299E-6</v>
      </c>
      <c r="O63" s="1">
        <v>8.4156738923689396E-8</v>
      </c>
      <c r="P63" s="1">
        <v>-4.3389090649815202E-7</v>
      </c>
      <c r="Q63">
        <v>73.000801307152102</v>
      </c>
      <c r="R63">
        <v>8.2757852930166201E-2</v>
      </c>
      <c r="S63">
        <v>12.1007248142986</v>
      </c>
      <c r="T63">
        <v>0.203145808198608</v>
      </c>
      <c r="V63">
        <v>0.46669917519278997</v>
      </c>
      <c r="W63">
        <v>2.72367617238468E-2</v>
      </c>
      <c r="X63">
        <v>6.2854065516601207E-2</v>
      </c>
      <c r="AA63">
        <v>0.47209914648343798</v>
      </c>
      <c r="AB63">
        <v>3.7478878972424701</v>
      </c>
      <c r="AC63">
        <v>4.5534156233162504</v>
      </c>
      <c r="AD63">
        <v>4.1902710344362704E-3</v>
      </c>
      <c r="AE63">
        <v>5.2781872769106402</v>
      </c>
    </row>
    <row r="64" spans="1:31" x14ac:dyDescent="0.2">
      <c r="A64">
        <v>63</v>
      </c>
      <c r="B64">
        <v>752</v>
      </c>
      <c r="C64">
        <v>200</v>
      </c>
      <c r="D64">
        <v>0.37937911525142798</v>
      </c>
      <c r="E64">
        <v>50.224410755001003</v>
      </c>
      <c r="F64">
        <v>2.2049944189120301</v>
      </c>
      <c r="G64">
        <v>-817.1840776026628</v>
      </c>
      <c r="H64">
        <v>-685.81008156351459</v>
      </c>
      <c r="I64">
        <v>128.15099842866701</v>
      </c>
      <c r="J64">
        <v>67.411586208572601</v>
      </c>
      <c r="K64">
        <v>22.777568198917301</v>
      </c>
      <c r="L64">
        <v>1.4562033646589549E-4</v>
      </c>
      <c r="M64">
        <v>1.7421112487493859E-5</v>
      </c>
      <c r="N64" s="1">
        <v>1.5362361160578201E-6</v>
      </c>
      <c r="O64" s="1">
        <v>4.4019580828270802E-8</v>
      </c>
      <c r="P64" s="1">
        <v>-2.2717377767140199E-7</v>
      </c>
      <c r="Q64">
        <v>72.719940748158706</v>
      </c>
      <c r="R64">
        <v>0.12377317701337701</v>
      </c>
      <c r="S64">
        <v>12.123547038391701</v>
      </c>
      <c r="T64">
        <v>0.26836520158440902</v>
      </c>
      <c r="V64">
        <v>0.61807128865250605</v>
      </c>
      <c r="W64">
        <v>5.1767655626309403E-2</v>
      </c>
      <c r="X64">
        <v>0.1158610490464</v>
      </c>
      <c r="AA64">
        <v>0.49046875956229302</v>
      </c>
      <c r="AB64">
        <v>3.6504069374694401</v>
      </c>
      <c r="AC64">
        <v>4.5759129110141199</v>
      </c>
      <c r="AD64">
        <v>7.9642547117361896E-3</v>
      </c>
      <c r="AE64">
        <v>5.2539209787689103</v>
      </c>
    </row>
    <row r="65" spans="1:31" x14ac:dyDescent="0.2">
      <c r="A65">
        <v>64</v>
      </c>
      <c r="B65">
        <v>750</v>
      </c>
      <c r="C65">
        <v>200</v>
      </c>
      <c r="D65">
        <v>0.37802912573913899</v>
      </c>
      <c r="E65">
        <v>12.5528953435172</v>
      </c>
      <c r="F65">
        <v>2.2100718273861801</v>
      </c>
      <c r="G65">
        <v>-204.15950684598397</v>
      </c>
      <c r="H65">
        <v>-171.47106912900227</v>
      </c>
      <c r="I65">
        <v>31.948822476647202</v>
      </c>
      <c r="J65">
        <v>16.862991092893299</v>
      </c>
      <c r="K65">
        <v>5.6798585403277597</v>
      </c>
      <c r="L65">
        <v>1.4533460913305127E-4</v>
      </c>
      <c r="M65">
        <v>1.7400977635859257E-5</v>
      </c>
      <c r="N65" s="1">
        <v>3.8309420707115398E-7</v>
      </c>
      <c r="O65" s="1">
        <v>1.0937670009621E-8</v>
      </c>
      <c r="P65" s="1">
        <v>-5.6254088444432401E-8</v>
      </c>
      <c r="Q65">
        <v>72.293524276228595</v>
      </c>
      <c r="R65">
        <v>0.16374606888527299</v>
      </c>
      <c r="S65">
        <v>12.5487303411646</v>
      </c>
      <c r="T65">
        <v>0.246423385557376</v>
      </c>
      <c r="V65">
        <v>0.57350022985624105</v>
      </c>
      <c r="W65">
        <v>0.20555409246950901</v>
      </c>
      <c r="X65">
        <v>0.17125610019759899</v>
      </c>
      <c r="AA65">
        <v>0.50582935249661498</v>
      </c>
      <c r="AB65">
        <v>3.3985909585677998</v>
      </c>
      <c r="AC65">
        <v>4.6308297218559504</v>
      </c>
      <c r="AD65">
        <v>3.1865158519488498E-2</v>
      </c>
      <c r="AE65">
        <v>5.2301503142009098</v>
      </c>
    </row>
    <row r="66" spans="1:31" x14ac:dyDescent="0.2">
      <c r="A66">
        <v>65</v>
      </c>
      <c r="B66">
        <v>748</v>
      </c>
      <c r="C66">
        <v>200</v>
      </c>
      <c r="D66">
        <v>0.37667384811242399</v>
      </c>
      <c r="E66">
        <v>6.8322821606556099</v>
      </c>
      <c r="F66">
        <v>2.2144031242398401</v>
      </c>
      <c r="G66">
        <v>-111.05742064137317</v>
      </c>
      <c r="H66">
        <v>-93.334030665425743</v>
      </c>
      <c r="I66">
        <v>17.356304143316201</v>
      </c>
      <c r="J66">
        <v>9.1859081605267399</v>
      </c>
      <c r="K66">
        <v>3.08538318333567</v>
      </c>
      <c r="L66">
        <v>1.4548393555337873E-4</v>
      </c>
      <c r="M66">
        <v>1.7427566888608173E-5</v>
      </c>
      <c r="N66" s="1">
        <v>2.09083905853408E-7</v>
      </c>
      <c r="O66" s="1">
        <v>5.94597049850407E-9</v>
      </c>
      <c r="P66" s="1">
        <v>-3.0486222221548201E-8</v>
      </c>
      <c r="Q66">
        <v>71.824153592217598</v>
      </c>
      <c r="R66">
        <v>0.161848014078078</v>
      </c>
      <c r="S66">
        <v>13.034140446952399</v>
      </c>
      <c r="T66">
        <v>0.240464987899451</v>
      </c>
      <c r="V66">
        <v>0.56632961948120697</v>
      </c>
      <c r="W66">
        <v>0.371336609918474</v>
      </c>
      <c r="X66">
        <v>0.17019957831900601</v>
      </c>
      <c r="AA66">
        <v>0.50604207656904898</v>
      </c>
      <c r="AB66">
        <v>3.1815855349989399</v>
      </c>
      <c r="AC66">
        <v>4.65270469430925</v>
      </c>
      <c r="AD66">
        <v>5.8545591442810498E-2</v>
      </c>
      <c r="AE66">
        <v>5.2326492538135998</v>
      </c>
    </row>
    <row r="67" spans="1:31" x14ac:dyDescent="0.2">
      <c r="A67">
        <v>66</v>
      </c>
      <c r="B67">
        <v>766</v>
      </c>
      <c r="C67">
        <v>175</v>
      </c>
      <c r="D67">
        <v>0.41514747630275201</v>
      </c>
      <c r="E67">
        <v>104.038620821122</v>
      </c>
      <c r="F67">
        <v>2.1950833806607601</v>
      </c>
      <c r="G67">
        <v>-1700.6969073751436</v>
      </c>
      <c r="H67">
        <v>-1424.7484006153477</v>
      </c>
      <c r="I67">
        <v>265.55214046075702</v>
      </c>
      <c r="J67">
        <v>139.390725944206</v>
      </c>
      <c r="K67">
        <v>47.396204507641301</v>
      </c>
      <c r="L67">
        <v>1.4134655789310987E-4</v>
      </c>
      <c r="M67">
        <v>1.7470738334645491E-5</v>
      </c>
      <c r="N67" s="1">
        <v>2.9790191391998302E-6</v>
      </c>
      <c r="O67" s="1">
        <v>8.9045188193014597E-8</v>
      </c>
      <c r="P67" s="1">
        <v>-4.5260515947904201E-7</v>
      </c>
      <c r="Q67">
        <v>73.645728283688399</v>
      </c>
      <c r="R67">
        <v>7.5933340308141903E-2</v>
      </c>
      <c r="S67">
        <v>11.995545405641099</v>
      </c>
      <c r="T67">
        <v>0.18465330480786499</v>
      </c>
      <c r="V67">
        <v>0.42977946722673399</v>
      </c>
      <c r="W67">
        <v>2.4990719595084501E-2</v>
      </c>
      <c r="X67">
        <v>5.7670891373272998E-2</v>
      </c>
      <c r="AA67">
        <v>0.50942620713057196</v>
      </c>
      <c r="AB67">
        <v>3.8255024610937101</v>
      </c>
      <c r="AC67">
        <v>4.2868695920798601</v>
      </c>
      <c r="AD67">
        <v>3.8447260915513998E-3</v>
      </c>
      <c r="AE67">
        <v>4.9600556009636199</v>
      </c>
    </row>
    <row r="68" spans="1:31" x14ac:dyDescent="0.2">
      <c r="A68">
        <v>67</v>
      </c>
      <c r="B68">
        <v>764</v>
      </c>
      <c r="C68">
        <v>175</v>
      </c>
      <c r="D68">
        <v>0.41388468398978101</v>
      </c>
      <c r="E68">
        <v>103.71271055867</v>
      </c>
      <c r="F68">
        <v>2.1958541798214899</v>
      </c>
      <c r="G68">
        <v>-1694.7502151058843</v>
      </c>
      <c r="H68">
        <v>-1420.4756460005979</v>
      </c>
      <c r="I68">
        <v>264.45024259295798</v>
      </c>
      <c r="J68">
        <v>138.93560345792599</v>
      </c>
      <c r="K68">
        <v>47.231146545032097</v>
      </c>
      <c r="L68">
        <v>1.4128061669005246E-4</v>
      </c>
      <c r="M68">
        <v>1.7453016694255608E-5</v>
      </c>
      <c r="N68" s="1">
        <v>2.9757397368050501E-6</v>
      </c>
      <c r="O68" s="1">
        <v>8.8615029099821101E-8</v>
      </c>
      <c r="P68" s="1">
        <v>-4.5108993534490703E-7</v>
      </c>
      <c r="Q68">
        <v>73.617954867196104</v>
      </c>
      <c r="R68">
        <v>7.6171955755906101E-2</v>
      </c>
      <c r="S68">
        <v>12.0097365753952</v>
      </c>
      <c r="T68">
        <v>0.18584760113450899</v>
      </c>
      <c r="V68">
        <v>0.43057750443839299</v>
      </c>
      <c r="W68">
        <v>2.5069251261435999E-2</v>
      </c>
      <c r="X68">
        <v>5.7852118295630001E-2</v>
      </c>
      <c r="AA68">
        <v>0.50861987645547801</v>
      </c>
      <c r="AB68">
        <v>3.8272441346310999</v>
      </c>
      <c r="AC68">
        <v>4.2982931190895401</v>
      </c>
      <c r="AD68">
        <v>3.8568078863743401E-3</v>
      </c>
      <c r="AE68">
        <v>4.9587761884602104</v>
      </c>
    </row>
    <row r="69" spans="1:31" x14ac:dyDescent="0.2">
      <c r="A69">
        <v>68</v>
      </c>
      <c r="B69">
        <v>762</v>
      </c>
      <c r="C69">
        <v>175</v>
      </c>
      <c r="D69">
        <v>0.41261701202724399</v>
      </c>
      <c r="E69">
        <v>99.212232202802994</v>
      </c>
      <c r="F69">
        <v>2.1977990528474498</v>
      </c>
      <c r="G69">
        <v>-1619.533826231167</v>
      </c>
      <c r="H69">
        <v>-1358.2350023334793</v>
      </c>
      <c r="I69">
        <v>252.426048299944</v>
      </c>
      <c r="J69">
        <v>132.81045033252099</v>
      </c>
      <c r="K69">
        <v>45.141630247890099</v>
      </c>
      <c r="L69">
        <v>1.4075631035516238E-4</v>
      </c>
      <c r="M69">
        <v>1.7377661456526538E-5</v>
      </c>
      <c r="N69" s="1">
        <v>2.8345660641211199E-6</v>
      </c>
      <c r="O69" s="1">
        <v>8.4144334528208895E-8</v>
      </c>
      <c r="P69" s="1">
        <v>-4.2950482764484202E-7</v>
      </c>
      <c r="Q69">
        <v>73.558009872050206</v>
      </c>
      <c r="R69">
        <v>7.9627278054299894E-2</v>
      </c>
      <c r="S69">
        <v>12.015929119653</v>
      </c>
      <c r="T69">
        <v>0.194999157183014</v>
      </c>
      <c r="V69">
        <v>0.44946055283750203</v>
      </c>
      <c r="W69">
        <v>2.6206445941918202E-2</v>
      </c>
      <c r="X69">
        <v>6.0476413712138299E-2</v>
      </c>
      <c r="AA69">
        <v>0.48180777253958801</v>
      </c>
      <c r="AB69">
        <v>3.7649833446919301</v>
      </c>
      <c r="AC69">
        <v>4.4379636009243297</v>
      </c>
      <c r="AD69">
        <v>4.03176091413997E-3</v>
      </c>
      <c r="AE69">
        <v>4.9265046814978097</v>
      </c>
    </row>
    <row r="70" spans="1:31" x14ac:dyDescent="0.2">
      <c r="A70">
        <v>69</v>
      </c>
      <c r="B70">
        <v>760</v>
      </c>
      <c r="C70">
        <v>175</v>
      </c>
      <c r="D70">
        <v>0.41134443207665999</v>
      </c>
      <c r="E70">
        <v>94.063345031888602</v>
      </c>
      <c r="F70">
        <v>2.2000043467680901</v>
      </c>
      <c r="G70">
        <v>-1533.7636107893766</v>
      </c>
      <c r="H70">
        <v>-1287.0839470254041</v>
      </c>
      <c r="I70">
        <v>238.76461671971299</v>
      </c>
      <c r="J70">
        <v>125.820100179533</v>
      </c>
      <c r="K70">
        <v>42.755981446160298</v>
      </c>
      <c r="L70">
        <v>1.4016800061910541E-4</v>
      </c>
      <c r="M70">
        <v>1.7295925725859233E-5</v>
      </c>
      <c r="N70" s="1">
        <v>2.6738368079292298E-6</v>
      </c>
      <c r="O70" s="1">
        <v>7.9127994529622395E-8</v>
      </c>
      <c r="P70" s="1">
        <v>-4.0497412120011002E-7</v>
      </c>
      <c r="Q70">
        <v>73.492278910760305</v>
      </c>
      <c r="R70">
        <v>8.3985956456497604E-2</v>
      </c>
      <c r="S70">
        <v>12.021516991444599</v>
      </c>
      <c r="T70">
        <v>0.20639845467145501</v>
      </c>
      <c r="V70">
        <v>0.47341068891941401</v>
      </c>
      <c r="W70">
        <v>2.7640947694536799E-2</v>
      </c>
      <c r="X70">
        <v>6.3786802372047299E-2</v>
      </c>
      <c r="AA70">
        <v>0.46080629733024098</v>
      </c>
      <c r="AB70">
        <v>3.68920600177402</v>
      </c>
      <c r="AC70">
        <v>4.5863627393221797</v>
      </c>
      <c r="AD70">
        <v>4.2524534914644401E-3</v>
      </c>
      <c r="AE70">
        <v>4.89035375576315</v>
      </c>
    </row>
    <row r="71" spans="1:31" x14ac:dyDescent="0.2">
      <c r="A71">
        <v>70</v>
      </c>
      <c r="B71">
        <v>758</v>
      </c>
      <c r="C71">
        <v>175</v>
      </c>
      <c r="D71">
        <v>0.41006691557969399</v>
      </c>
      <c r="E71">
        <v>71.316828202893703</v>
      </c>
      <c r="F71">
        <v>2.2046459058266401</v>
      </c>
      <c r="G71">
        <v>-1160.4858329020333</v>
      </c>
      <c r="H71">
        <v>-974.19017837103502</v>
      </c>
      <c r="I71">
        <v>180.66785097318299</v>
      </c>
      <c r="J71">
        <v>95.362638296592195</v>
      </c>
      <c r="K71">
        <v>32.348427479628697</v>
      </c>
      <c r="L71">
        <v>1.4001644474479979E-4</v>
      </c>
      <c r="M71">
        <v>1.7243209572238667E-5</v>
      </c>
      <c r="N71" s="1">
        <v>2.0215627010246198E-6</v>
      </c>
      <c r="O71" s="1">
        <v>5.9624240585770997E-8</v>
      </c>
      <c r="P71" s="1">
        <v>-3.0570506289633501E-7</v>
      </c>
      <c r="Q71">
        <v>73.266464193867805</v>
      </c>
      <c r="R71">
        <v>0.110773294313171</v>
      </c>
      <c r="S71">
        <v>12.0139440090955</v>
      </c>
      <c r="T71">
        <v>0.272151943255805</v>
      </c>
      <c r="V71">
        <v>0.62447471599021398</v>
      </c>
      <c r="W71">
        <v>3.6457033571410599E-2</v>
      </c>
      <c r="X71">
        <v>8.4131615934101803E-2</v>
      </c>
      <c r="AA71">
        <v>0.47196100829432303</v>
      </c>
      <c r="AB71">
        <v>3.6064716116348001</v>
      </c>
      <c r="AC71">
        <v>4.6420165817414203</v>
      </c>
      <c r="AD71">
        <v>5.6087743955980998E-3</v>
      </c>
      <c r="AE71">
        <v>4.8655452179057397</v>
      </c>
    </row>
    <row r="72" spans="1:31" x14ac:dyDescent="0.2">
      <c r="A72">
        <v>71</v>
      </c>
      <c r="B72">
        <v>756</v>
      </c>
      <c r="C72">
        <v>175</v>
      </c>
      <c r="D72">
        <v>0.40878443375601398</v>
      </c>
      <c r="E72">
        <v>18.281091674872702</v>
      </c>
      <c r="F72">
        <v>2.2096978318796001</v>
      </c>
      <c r="G72">
        <v>-297.35498665250384</v>
      </c>
      <c r="H72">
        <v>-249.82682912088609</v>
      </c>
      <c r="I72">
        <v>46.181953584625802</v>
      </c>
      <c r="J72">
        <v>24.4632923033598</v>
      </c>
      <c r="K72">
        <v>8.2731183472821499</v>
      </c>
      <c r="L72">
        <v>1.3944738340226697E-4</v>
      </c>
      <c r="M72">
        <v>1.718352556164521E-5</v>
      </c>
      <c r="N72" s="1">
        <v>5.1525673766418801E-7</v>
      </c>
      <c r="O72" s="1">
        <v>1.5147096894030399E-8</v>
      </c>
      <c r="P72" s="1">
        <v>-7.7453266835933902E-8</v>
      </c>
      <c r="Q72">
        <v>72.940399634500096</v>
      </c>
      <c r="R72">
        <v>0.170532039604221</v>
      </c>
      <c r="S72">
        <v>12.294857976205</v>
      </c>
      <c r="T72">
        <v>0.24861157873203801</v>
      </c>
      <c r="V72">
        <v>0.57415803009469801</v>
      </c>
      <c r="W72">
        <v>0.14222345395120001</v>
      </c>
      <c r="X72">
        <v>0.181867590303016</v>
      </c>
      <c r="AA72">
        <v>0.51313682526317805</v>
      </c>
      <c r="AB72">
        <v>3.3673187109488301</v>
      </c>
      <c r="AC72">
        <v>4.7180876555756202</v>
      </c>
      <c r="AD72">
        <v>2.18805313771025E-2</v>
      </c>
      <c r="AE72">
        <v>4.8269259734448902</v>
      </c>
    </row>
    <row r="73" spans="1:31" x14ac:dyDescent="0.2">
      <c r="A73">
        <v>72</v>
      </c>
      <c r="B73">
        <v>754</v>
      </c>
      <c r="C73">
        <v>175</v>
      </c>
      <c r="D73">
        <v>0.40749695760112897</v>
      </c>
      <c r="E73">
        <v>8.2438544936372509</v>
      </c>
      <c r="F73">
        <v>2.21425025554794</v>
      </c>
      <c r="G73">
        <v>-134.01453360981517</v>
      </c>
      <c r="H73">
        <v>-112.66825369931261</v>
      </c>
      <c r="I73">
        <v>20.782047325612101</v>
      </c>
      <c r="J73">
        <v>11.0401806854321</v>
      </c>
      <c r="K73">
        <v>3.7230906818150902</v>
      </c>
      <c r="L73">
        <v>1.3946856594742907E-4</v>
      </c>
      <c r="M73">
        <v>1.7200049512965361E-5</v>
      </c>
      <c r="N73" s="1">
        <v>2.3268909931682599E-7</v>
      </c>
      <c r="O73" s="1">
        <v>6.8143767152816903E-9</v>
      </c>
      <c r="P73" s="1">
        <v>-3.4718515514713198E-8</v>
      </c>
      <c r="Q73">
        <v>72.470442418575999</v>
      </c>
      <c r="R73">
        <v>0.17702215799344301</v>
      </c>
      <c r="S73">
        <v>12.7837511152565</v>
      </c>
      <c r="T73">
        <v>0.239826111671084</v>
      </c>
      <c r="V73">
        <v>0.56069678462150896</v>
      </c>
      <c r="W73">
        <v>0.31050892712780698</v>
      </c>
      <c r="X73">
        <v>0.18258858433756101</v>
      </c>
      <c r="AA73">
        <v>0.51644449720037999</v>
      </c>
      <c r="AB73">
        <v>3.1331326411296998</v>
      </c>
      <c r="AC73">
        <v>4.7541484798821996</v>
      </c>
      <c r="AD73">
        <v>4.8520992250446301E-2</v>
      </c>
      <c r="AE73">
        <v>4.8229172899532697</v>
      </c>
    </row>
    <row r="74" spans="1:31" x14ac:dyDescent="0.2">
      <c r="A74">
        <v>73</v>
      </c>
      <c r="B74">
        <v>776</v>
      </c>
      <c r="C74">
        <v>150</v>
      </c>
      <c r="D74">
        <v>0.447600915026452</v>
      </c>
      <c r="E74">
        <v>103.611903407355</v>
      </c>
      <c r="F74">
        <v>2.1958324216731602</v>
      </c>
      <c r="G74">
        <v>-1695.1213323124377</v>
      </c>
      <c r="H74">
        <v>-1419.0212130710747</v>
      </c>
      <c r="I74">
        <v>263.165533280619</v>
      </c>
      <c r="J74">
        <v>138.501649833735</v>
      </c>
      <c r="K74">
        <v>47.1857061516587</v>
      </c>
      <c r="L74">
        <v>1.3578252757383424E-4</v>
      </c>
      <c r="M74">
        <v>1.7256479632816152E-5</v>
      </c>
      <c r="N74" s="1">
        <v>2.7220891669676098E-6</v>
      </c>
      <c r="O74" s="1">
        <v>8.4345704322385204E-8</v>
      </c>
      <c r="P74" s="1">
        <v>-4.2409332521115697E-7</v>
      </c>
      <c r="Q74">
        <v>73.949032379788704</v>
      </c>
      <c r="R74">
        <v>7.6246065753089898E-2</v>
      </c>
      <c r="S74">
        <v>12.044948108843</v>
      </c>
      <c r="T74">
        <v>0.18490343514445801</v>
      </c>
      <c r="V74">
        <v>0.43200869815592402</v>
      </c>
      <c r="W74">
        <v>2.5093641893421802E-2</v>
      </c>
      <c r="X74">
        <v>5.7908404369435999E-2</v>
      </c>
      <c r="AA74">
        <v>0.51152423859667895</v>
      </c>
      <c r="AB74">
        <v>3.8412574898391898</v>
      </c>
      <c r="AC74">
        <v>4.3045247247946499</v>
      </c>
      <c r="AD74">
        <v>3.8605602912956099E-3</v>
      </c>
      <c r="AE74">
        <v>4.5686922525300604</v>
      </c>
    </row>
    <row r="75" spans="1:31" x14ac:dyDescent="0.2">
      <c r="A75">
        <v>74</v>
      </c>
      <c r="B75">
        <v>774</v>
      </c>
      <c r="C75">
        <v>150</v>
      </c>
      <c r="D75">
        <v>0.44641216635630598</v>
      </c>
      <c r="E75">
        <v>103.35640996868401</v>
      </c>
      <c r="F75">
        <v>2.1964370685223602</v>
      </c>
      <c r="G75">
        <v>-1690.3466102171626</v>
      </c>
      <c r="H75">
        <v>-1415.7797160343541</v>
      </c>
      <c r="I75">
        <v>262.20397668224001</v>
      </c>
      <c r="J75">
        <v>138.111141033226</v>
      </c>
      <c r="K75">
        <v>47.056394854151897</v>
      </c>
      <c r="L75">
        <v>1.3559479279999089E-4</v>
      </c>
      <c r="M75">
        <v>1.7237397666469267E-5</v>
      </c>
      <c r="N75" s="1">
        <v>2.71938590012163E-6</v>
      </c>
      <c r="O75" s="1">
        <v>8.3954405117870602E-8</v>
      </c>
      <c r="P75" s="1">
        <v>-4.2239684604417199E-7</v>
      </c>
      <c r="Q75">
        <v>73.979579722038906</v>
      </c>
      <c r="R75">
        <v>7.6434543366914701E-2</v>
      </c>
      <c r="S75">
        <v>12.025588321958001</v>
      </c>
      <c r="T75">
        <v>0.18587503799002</v>
      </c>
      <c r="V75">
        <v>0.43261363061632402</v>
      </c>
      <c r="W75">
        <v>2.5155672500503198E-2</v>
      </c>
      <c r="X75">
        <v>5.8051551924240503E-2</v>
      </c>
      <c r="AA75">
        <v>0.50777820365787196</v>
      </c>
      <c r="AB75">
        <v>3.82920831233342</v>
      </c>
      <c r="AC75">
        <v>4.3109323545156002</v>
      </c>
      <c r="AD75">
        <v>3.8701034616157402E-3</v>
      </c>
      <c r="AE75">
        <v>4.5649125456364201</v>
      </c>
    </row>
    <row r="76" spans="1:31" x14ac:dyDescent="0.2">
      <c r="A76">
        <v>75</v>
      </c>
      <c r="B76">
        <v>772</v>
      </c>
      <c r="C76">
        <v>150</v>
      </c>
      <c r="D76">
        <v>0.44521886810505501</v>
      </c>
      <c r="E76">
        <v>102.488002909448</v>
      </c>
      <c r="F76">
        <v>2.1970660234161801</v>
      </c>
      <c r="G76">
        <v>-1675.3906057732354</v>
      </c>
      <c r="H76">
        <v>-1404.0971369295112</v>
      </c>
      <c r="I76">
        <v>259.57371558505798</v>
      </c>
      <c r="J76">
        <v>136.845715894628</v>
      </c>
      <c r="K76">
        <v>46.647666395610301</v>
      </c>
      <c r="L76">
        <v>1.351436091387562E-4</v>
      </c>
      <c r="M76">
        <v>1.7204458430891911E-5</v>
      </c>
      <c r="N76" s="1">
        <v>2.6951344720929601E-6</v>
      </c>
      <c r="O76" s="1">
        <v>8.2916897728556197E-8</v>
      </c>
      <c r="P76" s="1">
        <v>-4.1704636461395398E-7</v>
      </c>
      <c r="Q76">
        <v>74.083715560459794</v>
      </c>
      <c r="R76">
        <v>7.7082192800458693E-2</v>
      </c>
      <c r="S76">
        <v>11.9597695000525</v>
      </c>
      <c r="T76">
        <v>0.18787168638711901</v>
      </c>
      <c r="V76">
        <v>0.435899842741796</v>
      </c>
      <c r="W76">
        <v>2.5368822946985801E-2</v>
      </c>
      <c r="X76">
        <v>5.8543437569970803E-2</v>
      </c>
      <c r="AA76">
        <v>0.495682100871918</v>
      </c>
      <c r="AB76">
        <v>3.78781541365574</v>
      </c>
      <c r="AC76">
        <v>4.3322823470040301</v>
      </c>
      <c r="AD76">
        <v>3.9028958379975702E-3</v>
      </c>
      <c r="AE76">
        <v>4.5520661996715504</v>
      </c>
    </row>
    <row r="77" spans="1:31" x14ac:dyDescent="0.2">
      <c r="A77">
        <v>76</v>
      </c>
      <c r="B77">
        <v>770</v>
      </c>
      <c r="C77">
        <v>150</v>
      </c>
      <c r="D77">
        <v>0.44402099410439499</v>
      </c>
      <c r="E77">
        <v>99.341207839116507</v>
      </c>
      <c r="F77">
        <v>2.1984720755138101</v>
      </c>
      <c r="G77">
        <v>-1622.6394218473938</v>
      </c>
      <c r="H77">
        <v>-1360.6818321999219</v>
      </c>
      <c r="I77">
        <v>251.12168877675401</v>
      </c>
      <c r="J77">
        <v>132.550275296824</v>
      </c>
      <c r="K77">
        <v>45.186476983520002</v>
      </c>
      <c r="L77">
        <v>1.3469490426724884E-4</v>
      </c>
      <c r="M77">
        <v>1.7148119831937598E-5</v>
      </c>
      <c r="N77" s="1">
        <v>2.6054433724282699E-6</v>
      </c>
      <c r="O77" s="1">
        <v>7.9897521100495405E-8</v>
      </c>
      <c r="P77" s="1">
        <v>-4.0254262879964098E-7</v>
      </c>
      <c r="Q77">
        <v>74.080042777041697</v>
      </c>
      <c r="R77">
        <v>7.9523897200789201E-2</v>
      </c>
      <c r="S77">
        <v>11.940579580065901</v>
      </c>
      <c r="T77">
        <v>0.19442505057345</v>
      </c>
      <c r="V77">
        <v>0.449165796879815</v>
      </c>
      <c r="W77">
        <v>2.6172421863549601E-2</v>
      </c>
      <c r="X77">
        <v>6.0397896608198401E-2</v>
      </c>
      <c r="AA77">
        <v>0.47618511713410699</v>
      </c>
      <c r="AB77">
        <v>3.7323713203943698</v>
      </c>
      <c r="AC77">
        <v>4.4275312735256298</v>
      </c>
      <c r="AD77">
        <v>4.0265264405457404E-3</v>
      </c>
      <c r="AE77">
        <v>4.5295783422718898</v>
      </c>
    </row>
    <row r="78" spans="1:31" x14ac:dyDescent="0.2">
      <c r="A78">
        <v>77</v>
      </c>
      <c r="B78">
        <v>768</v>
      </c>
      <c r="C78">
        <v>150</v>
      </c>
      <c r="D78">
        <v>0.442818517984921</v>
      </c>
      <c r="E78">
        <v>94.522676117841897</v>
      </c>
      <c r="F78">
        <v>2.2004817591629098</v>
      </c>
      <c r="G78">
        <v>-1542.2915337872591</v>
      </c>
      <c r="H78">
        <v>-1294.0595013872105</v>
      </c>
      <c r="I78">
        <v>238.42100792397599</v>
      </c>
      <c r="J78">
        <v>126.03223227462399</v>
      </c>
      <c r="K78">
        <v>42.955446335442097</v>
      </c>
      <c r="L78">
        <v>1.3421041503842318E-4</v>
      </c>
      <c r="M78">
        <v>1.7074750539043851E-5</v>
      </c>
      <c r="N78" s="1">
        <v>2.4682226175014199E-6</v>
      </c>
      <c r="O78" s="1">
        <v>7.5457223023925094E-8</v>
      </c>
      <c r="P78" s="1">
        <v>-3.8122951692017898E-7</v>
      </c>
      <c r="Q78">
        <v>74.011723912999997</v>
      </c>
      <c r="R78">
        <v>8.3577828352545097E-2</v>
      </c>
      <c r="S78">
        <v>11.947148093329799</v>
      </c>
      <c r="T78">
        <v>0.20504245707691099</v>
      </c>
      <c r="V78">
        <v>0.47142779979856703</v>
      </c>
      <c r="W78">
        <v>2.7506627052734298E-2</v>
      </c>
      <c r="X78">
        <v>6.3476831660167099E-2</v>
      </c>
      <c r="AA78">
        <v>0.45647680580126698</v>
      </c>
      <c r="AB78">
        <v>3.6601269491367399</v>
      </c>
      <c r="AC78">
        <v>4.5697989810853903</v>
      </c>
      <c r="AD78">
        <v>4.2317887773434702E-3</v>
      </c>
      <c r="AE78">
        <v>4.4994619249285304</v>
      </c>
    </row>
    <row r="79" spans="1:31" x14ac:dyDescent="0.2">
      <c r="A79">
        <v>78</v>
      </c>
      <c r="B79">
        <v>766</v>
      </c>
      <c r="C79">
        <v>150</v>
      </c>
      <c r="D79">
        <v>0.44161141317423203</v>
      </c>
      <c r="E79">
        <v>88.387174195385498</v>
      </c>
      <c r="F79">
        <v>2.2028683666093198</v>
      </c>
      <c r="G79">
        <v>-1440.4620166588252</v>
      </c>
      <c r="H79">
        <v>-1209.3350987289632</v>
      </c>
      <c r="I79">
        <v>222.41920601439799</v>
      </c>
      <c r="J79">
        <v>117.76375435304401</v>
      </c>
      <c r="K79">
        <v>40.123674902750501</v>
      </c>
      <c r="L79">
        <v>1.3367147703200838E-4</v>
      </c>
      <c r="M79">
        <v>1.6995258077800777E-5</v>
      </c>
      <c r="N79" s="1">
        <v>2.2959065357133902E-6</v>
      </c>
      <c r="O79" s="1">
        <v>6.9979030180777104E-8</v>
      </c>
      <c r="P79" s="1">
        <v>-3.5449246828959702E-7</v>
      </c>
      <c r="Q79">
        <v>73.930676822883797</v>
      </c>
      <c r="R79">
        <v>8.9379483753342703E-2</v>
      </c>
      <c r="S79">
        <v>11.9530020695264</v>
      </c>
      <c r="T79">
        <v>0.21995675381277399</v>
      </c>
      <c r="V79">
        <v>0.50353973046233502</v>
      </c>
      <c r="W79">
        <v>2.94160326276788E-2</v>
      </c>
      <c r="X79">
        <v>6.7883152217739204E-2</v>
      </c>
      <c r="AA79">
        <v>0.44519959970842998</v>
      </c>
      <c r="AB79">
        <v>3.5714889344493002</v>
      </c>
      <c r="AC79">
        <v>4.71926654130346</v>
      </c>
      <c r="AD79">
        <v>4.52554348118165E-3</v>
      </c>
      <c r="AE79">
        <v>4.4656653357733598</v>
      </c>
    </row>
    <row r="80" spans="1:31" x14ac:dyDescent="0.2">
      <c r="A80">
        <v>79</v>
      </c>
      <c r="B80">
        <v>764</v>
      </c>
      <c r="C80">
        <v>150</v>
      </c>
      <c r="D80">
        <v>0.44039965289495597</v>
      </c>
      <c r="E80">
        <v>44.214368112180999</v>
      </c>
      <c r="F80">
        <v>2.20829491714268</v>
      </c>
      <c r="G80">
        <v>-719.32973233045573</v>
      </c>
      <c r="H80">
        <v>-604.19177711481314</v>
      </c>
      <c r="I80">
        <v>111.013792812652</v>
      </c>
      <c r="J80">
        <v>58.919408479201302</v>
      </c>
      <c r="K80">
        <v>20.021948956614001</v>
      </c>
      <c r="L80">
        <v>1.3343435651225606E-4</v>
      </c>
      <c r="M80">
        <v>1.6939022444862878E-5</v>
      </c>
      <c r="N80" s="1">
        <v>1.1438464656583399E-6</v>
      </c>
      <c r="O80" s="1">
        <v>3.4749910120568299E-8</v>
      </c>
      <c r="P80" s="1">
        <v>-1.7606128575775499E-7</v>
      </c>
      <c r="Q80">
        <v>73.652656337685002</v>
      </c>
      <c r="R80">
        <v>0.13313667848340599</v>
      </c>
      <c r="S80">
        <v>12.002927174107599</v>
      </c>
      <c r="T80">
        <v>0.27000580629695797</v>
      </c>
      <c r="V80">
        <v>0.62000464038682901</v>
      </c>
      <c r="W80">
        <v>5.8804413836751501E-2</v>
      </c>
      <c r="X80">
        <v>0.13010854473345301</v>
      </c>
      <c r="AA80">
        <v>0.49575911301189901</v>
      </c>
      <c r="AB80">
        <v>3.4272092097511999</v>
      </c>
      <c r="AC80">
        <v>4.7628578376721604</v>
      </c>
      <c r="AD80">
        <v>9.0468328979568004E-3</v>
      </c>
      <c r="AE80">
        <v>4.4374834111367498</v>
      </c>
    </row>
    <row r="81" spans="1:31" x14ac:dyDescent="0.2">
      <c r="A81">
        <v>80</v>
      </c>
      <c r="B81">
        <v>762</v>
      </c>
      <c r="C81">
        <v>150</v>
      </c>
      <c r="D81">
        <v>0.439183210162781</v>
      </c>
      <c r="E81">
        <v>14.5833418682297</v>
      </c>
      <c r="F81">
        <v>2.2129715336759799</v>
      </c>
      <c r="G81">
        <v>-237.16922900919869</v>
      </c>
      <c r="H81">
        <v>-199.36441121644964</v>
      </c>
      <c r="I81">
        <v>36.521101089454703</v>
      </c>
      <c r="J81">
        <v>19.447092540521901</v>
      </c>
      <c r="K81">
        <v>6.5899364932206099</v>
      </c>
      <c r="L81">
        <v>1.3301923931846498E-4</v>
      </c>
      <c r="M81">
        <v>1.6898797392273389E-5</v>
      </c>
      <c r="N81" s="1">
        <v>3.7574148915902599E-7</v>
      </c>
      <c r="O81" s="1">
        <v>1.1377040040916201E-8</v>
      </c>
      <c r="P81" s="1">
        <v>-5.7460758333170798E-8</v>
      </c>
      <c r="Q81">
        <v>73.299471715304406</v>
      </c>
      <c r="R81">
        <v>0.18854080056494499</v>
      </c>
      <c r="S81">
        <v>12.334588517252</v>
      </c>
      <c r="T81">
        <v>0.245256841245447</v>
      </c>
      <c r="V81">
        <v>0.56740267502344399</v>
      </c>
      <c r="W81">
        <v>0.178285609943969</v>
      </c>
      <c r="X81">
        <v>0.19511442746120999</v>
      </c>
      <c r="AA81">
        <v>0.52716741403571499</v>
      </c>
      <c r="AB81">
        <v>3.1906749772351901</v>
      </c>
      <c r="AC81">
        <v>4.8366838304264697</v>
      </c>
      <c r="AD81">
        <v>2.7428555375955802E-2</v>
      </c>
      <c r="AE81">
        <v>4.4093846361312199</v>
      </c>
    </row>
    <row r="82" spans="1:31" x14ac:dyDescent="0.2">
      <c r="A82">
        <v>81</v>
      </c>
      <c r="B82">
        <v>760</v>
      </c>
      <c r="C82">
        <v>150</v>
      </c>
      <c r="D82">
        <v>0.43796205778444602</v>
      </c>
      <c r="E82">
        <v>7.6758537166493399</v>
      </c>
      <c r="F82">
        <v>2.2171726272537402</v>
      </c>
      <c r="G82">
        <v>-124.76358840366059</v>
      </c>
      <c r="H82">
        <v>-104.94316580281568</v>
      </c>
      <c r="I82">
        <v>19.184457823979901</v>
      </c>
      <c r="J82">
        <v>10.243284443375099</v>
      </c>
      <c r="K82">
        <v>3.4620009386264399</v>
      </c>
      <c r="L82">
        <v>1.3304603022664974E-4</v>
      </c>
      <c r="M82">
        <v>1.6915130032991007E-5</v>
      </c>
      <c r="N82" s="1">
        <v>1.9810889702607201E-7</v>
      </c>
      <c r="O82" s="1">
        <v>5.9758720980482399E-9</v>
      </c>
      <c r="P82" s="1">
        <v>-3.0074323928848398E-8</v>
      </c>
      <c r="Q82">
        <v>72.860839384691204</v>
      </c>
      <c r="R82">
        <v>0.19404198467780101</v>
      </c>
      <c r="S82">
        <v>12.7895286179003</v>
      </c>
      <c r="T82">
        <v>0.23723497832857601</v>
      </c>
      <c r="V82">
        <v>0.55502649410926697</v>
      </c>
      <c r="W82">
        <v>0.33396691451481803</v>
      </c>
      <c r="X82">
        <v>0.19555512575435099</v>
      </c>
      <c r="AA82">
        <v>0.52896094842196495</v>
      </c>
      <c r="AB82">
        <v>2.9768937225821901</v>
      </c>
      <c r="AC82">
        <v>4.86888274254009</v>
      </c>
      <c r="AD82">
        <v>5.2111467305798402E-2</v>
      </c>
      <c r="AE82">
        <v>4.4069576191735402</v>
      </c>
    </row>
    <row r="83" spans="1:31" x14ac:dyDescent="0.2">
      <c r="A83">
        <v>82</v>
      </c>
      <c r="B83">
        <v>788</v>
      </c>
      <c r="C83">
        <v>125</v>
      </c>
      <c r="D83">
        <v>0.48055458700466802</v>
      </c>
      <c r="E83">
        <v>103.148050862966</v>
      </c>
      <c r="F83">
        <v>2.1982903251250598</v>
      </c>
      <c r="G83">
        <v>-1689.1413263769164</v>
      </c>
      <c r="H83">
        <v>-1412.5906545757264</v>
      </c>
      <c r="I83">
        <v>260.61411845751201</v>
      </c>
      <c r="J83">
        <v>137.52207376511799</v>
      </c>
      <c r="K83">
        <v>46.921941876397803</v>
      </c>
      <c r="L83">
        <v>1.2907355658347977E-4</v>
      </c>
      <c r="M83">
        <v>1.6916308129051844E-5</v>
      </c>
      <c r="N83" s="1">
        <v>2.4401662012451898E-6</v>
      </c>
      <c r="O83" s="1">
        <v>7.8734471751196103E-8</v>
      </c>
      <c r="P83" s="1">
        <v>-3.8876816564456801E-7</v>
      </c>
      <c r="Q83">
        <v>74.281578138412897</v>
      </c>
      <c r="R83">
        <v>7.6588941176361197E-2</v>
      </c>
      <c r="S83">
        <v>12.0991137453295</v>
      </c>
      <c r="T83">
        <v>0.18480826842627901</v>
      </c>
      <c r="V83">
        <v>0.43478525126024797</v>
      </c>
      <c r="W83">
        <v>2.5206486969435098E-2</v>
      </c>
      <c r="X83">
        <v>5.8168816083313098E-2</v>
      </c>
      <c r="AA83">
        <v>0.51382454206925798</v>
      </c>
      <c r="AB83">
        <v>3.8585314668596902</v>
      </c>
      <c r="AC83">
        <v>4.3238819955261603</v>
      </c>
      <c r="AD83">
        <v>3.8779210722207202E-3</v>
      </c>
      <c r="AE83">
        <v>4.1396344268145704</v>
      </c>
    </row>
    <row r="84" spans="1:31" x14ac:dyDescent="0.2">
      <c r="A84">
        <v>83</v>
      </c>
      <c r="B84">
        <v>786</v>
      </c>
      <c r="C84">
        <v>125</v>
      </c>
      <c r="D84">
        <v>0.47944153330501299</v>
      </c>
      <c r="E84">
        <v>102.479535211209</v>
      </c>
      <c r="F84">
        <v>2.1988158413924301</v>
      </c>
      <c r="G84">
        <v>-1677.5053191618492</v>
      </c>
      <c r="H84">
        <v>-1403.658846652924</v>
      </c>
      <c r="I84">
        <v>258.55305906521801</v>
      </c>
      <c r="J84">
        <v>136.547537170135</v>
      </c>
      <c r="K84">
        <v>46.606693149123402</v>
      </c>
      <c r="L84">
        <v>1.2875310133964829E-4</v>
      </c>
      <c r="M84">
        <v>1.6891876645591776E-5</v>
      </c>
      <c r="N84" s="1">
        <v>2.4254487274291001E-6</v>
      </c>
      <c r="O84" s="1">
        <v>7.7984960426293994E-8</v>
      </c>
      <c r="P84" s="1">
        <v>-3.8505607011612098E-7</v>
      </c>
      <c r="Q84">
        <v>74.360779006369995</v>
      </c>
      <c r="R84">
        <v>7.7088561962329799E-2</v>
      </c>
      <c r="S84">
        <v>12.0475682388959</v>
      </c>
      <c r="T84">
        <v>0.18643936133578501</v>
      </c>
      <c r="V84">
        <v>0.43723865042231302</v>
      </c>
      <c r="W84">
        <v>2.5370919126842199E-2</v>
      </c>
      <c r="X84">
        <v>5.8548274908100301E-2</v>
      </c>
      <c r="AA84">
        <v>0.50412200831765996</v>
      </c>
      <c r="AB84">
        <v>3.82629905948406</v>
      </c>
      <c r="AC84">
        <v>4.3407204035846201</v>
      </c>
      <c r="AD84">
        <v>3.90321832720638E-3</v>
      </c>
      <c r="AE84">
        <v>4.13192229726506</v>
      </c>
    </row>
    <row r="85" spans="1:31" x14ac:dyDescent="0.2">
      <c r="A85">
        <v>84</v>
      </c>
      <c r="B85">
        <v>784</v>
      </c>
      <c r="C85">
        <v>125</v>
      </c>
      <c r="D85">
        <v>0.47832426807926898</v>
      </c>
      <c r="E85">
        <v>101.656714889025</v>
      </c>
      <c r="F85">
        <v>2.1993428613915098</v>
      </c>
      <c r="G85">
        <v>-1663.3160251730399</v>
      </c>
      <c r="H85">
        <v>-1392.6018296570414</v>
      </c>
      <c r="I85">
        <v>256.07926549306899</v>
      </c>
      <c r="J85">
        <v>135.354676484164</v>
      </c>
      <c r="K85">
        <v>46.221403980963501</v>
      </c>
      <c r="L85">
        <v>1.2836861302502491E-4</v>
      </c>
      <c r="M85">
        <v>1.6864319001719805E-5</v>
      </c>
      <c r="N85" s="1">
        <v>2.4058684560999698E-6</v>
      </c>
      <c r="O85" s="1">
        <v>7.7087781126121096E-8</v>
      </c>
      <c r="P85" s="1">
        <v>-3.8050675746684898E-7</v>
      </c>
      <c r="Q85">
        <v>74.458751128276802</v>
      </c>
      <c r="R85">
        <v>7.7712525027236704E-2</v>
      </c>
      <c r="S85">
        <v>11.9840824069544</v>
      </c>
      <c r="T85">
        <v>0.188351944860636</v>
      </c>
      <c r="V85">
        <v>0.44041461202584198</v>
      </c>
      <c r="W85">
        <v>2.5576274059596199E-2</v>
      </c>
      <c r="X85">
        <v>5.9022170906764301E-2</v>
      </c>
      <c r="AA85">
        <v>0.49295663433213099</v>
      </c>
      <c r="AB85">
        <v>3.7860773695804699</v>
      </c>
      <c r="AC85">
        <v>4.3609214939405101</v>
      </c>
      <c r="AD85">
        <v>3.9348113937838101E-3</v>
      </c>
      <c r="AE85">
        <v>4.12219862864172</v>
      </c>
    </row>
    <row r="86" spans="1:31" x14ac:dyDescent="0.2">
      <c r="A86">
        <v>85</v>
      </c>
      <c r="B86">
        <v>782</v>
      </c>
      <c r="C86">
        <v>125</v>
      </c>
      <c r="D86">
        <v>0.47720276737904699</v>
      </c>
      <c r="E86">
        <v>100.83393308034699</v>
      </c>
      <c r="F86">
        <v>2.1998744219529298</v>
      </c>
      <c r="G86">
        <v>-1649.1420629783163</v>
      </c>
      <c r="H86">
        <v>-1381.5450197752884</v>
      </c>
      <c r="I86">
        <v>253.61042809366199</v>
      </c>
      <c r="J86">
        <v>134.16319992661201</v>
      </c>
      <c r="K86">
        <v>45.836222319832302</v>
      </c>
      <c r="L86">
        <v>1.2798087834921224E-4</v>
      </c>
      <c r="M86">
        <v>1.6836788320574291E-5</v>
      </c>
      <c r="N86" s="1">
        <v>2.3862247625930801E-6</v>
      </c>
      <c r="O86" s="1">
        <v>7.6194240289452199E-8</v>
      </c>
      <c r="P86" s="1">
        <v>-3.7596188932865599E-7</v>
      </c>
      <c r="Q86">
        <v>74.557230634100904</v>
      </c>
      <c r="R86">
        <v>7.8346641439693998E-2</v>
      </c>
      <c r="S86">
        <v>11.9204503804967</v>
      </c>
      <c r="T86">
        <v>0.19029599183728699</v>
      </c>
      <c r="V86">
        <v>0.44364194696874598</v>
      </c>
      <c r="W86">
        <v>2.57849706004048E-2</v>
      </c>
      <c r="X86">
        <v>5.95037783086311E-2</v>
      </c>
      <c r="AA86">
        <v>0.48259485206387598</v>
      </c>
      <c r="AB86">
        <v>3.7452758615346502</v>
      </c>
      <c r="AC86">
        <v>4.3805020883439996</v>
      </c>
      <c r="AD86">
        <v>3.9669185539081796E-3</v>
      </c>
      <c r="AE86">
        <v>4.1124059357511404</v>
      </c>
    </row>
    <row r="87" spans="1:31" x14ac:dyDescent="0.2">
      <c r="A87">
        <v>86</v>
      </c>
      <c r="B87">
        <v>780</v>
      </c>
      <c r="C87">
        <v>125</v>
      </c>
      <c r="D87">
        <v>0.47607700707401701</v>
      </c>
      <c r="E87">
        <v>99.097852393143199</v>
      </c>
      <c r="F87">
        <v>2.2007178283387101</v>
      </c>
      <c r="G87">
        <v>-1619.8199270418604</v>
      </c>
      <c r="H87">
        <v>-1357.766384374821</v>
      </c>
      <c r="I87">
        <v>248.828317587275</v>
      </c>
      <c r="J87">
        <v>131.76220464761801</v>
      </c>
      <c r="K87">
        <v>45.029785789462501</v>
      </c>
      <c r="L87">
        <v>1.2759775290193079E-4</v>
      </c>
      <c r="M87">
        <v>1.6800193684280428E-5</v>
      </c>
      <c r="N87" s="1">
        <v>2.34290820544993E-6</v>
      </c>
      <c r="O87" s="1">
        <v>7.4560201959536805E-8</v>
      </c>
      <c r="P87" s="1">
        <v>-3.6807861883918599E-7</v>
      </c>
      <c r="Q87">
        <v>74.612688487555999</v>
      </c>
      <c r="R87">
        <v>7.9719184717133199E-2</v>
      </c>
      <c r="S87">
        <v>11.8752272136146</v>
      </c>
      <c r="T87">
        <v>0.19410979763129901</v>
      </c>
      <c r="V87">
        <v>0.450982101152616</v>
      </c>
      <c r="W87">
        <v>2.6236693704371102E-2</v>
      </c>
      <c r="X87">
        <v>6.0546216240866799E-2</v>
      </c>
      <c r="AA87">
        <v>0.46998399799852197</v>
      </c>
      <c r="AB87">
        <v>3.6981225402982201</v>
      </c>
      <c r="AC87">
        <v>4.4293003181573001</v>
      </c>
      <c r="AD87">
        <v>4.0364144160565402E-3</v>
      </c>
      <c r="AE87">
        <v>4.0990470345128296</v>
      </c>
    </row>
    <row r="88" spans="1:31" x14ac:dyDescent="0.2">
      <c r="A88">
        <v>87</v>
      </c>
      <c r="B88">
        <v>778</v>
      </c>
      <c r="C88">
        <v>125</v>
      </c>
      <c r="D88">
        <v>0.47494696285021398</v>
      </c>
      <c r="E88">
        <v>94.521924214529307</v>
      </c>
      <c r="F88">
        <v>2.2025465158567101</v>
      </c>
      <c r="G88">
        <v>-1543.4545668164974</v>
      </c>
      <c r="H88">
        <v>-1294.4807243154771</v>
      </c>
      <c r="I88">
        <v>236.858528755192</v>
      </c>
      <c r="J88">
        <v>125.598075561168</v>
      </c>
      <c r="K88">
        <v>42.914836773725803</v>
      </c>
      <c r="L88">
        <v>1.2721302779499763E-4</v>
      </c>
      <c r="M88">
        <v>1.673543166017814E-5</v>
      </c>
      <c r="N88" s="1">
        <v>2.2264146024755698E-6</v>
      </c>
      <c r="O88" s="1">
        <v>7.0637007600428805E-8</v>
      </c>
      <c r="P88" s="1">
        <v>-3.49740499583681E-7</v>
      </c>
      <c r="Q88">
        <v>74.541884345480796</v>
      </c>
      <c r="R88">
        <v>8.3578493197728601E-2</v>
      </c>
      <c r="S88">
        <v>11.8823469101717</v>
      </c>
      <c r="T88">
        <v>0.204187096616256</v>
      </c>
      <c r="V88">
        <v>0.47220268033199098</v>
      </c>
      <c r="W88">
        <v>2.75068458625412E-2</v>
      </c>
      <c r="X88">
        <v>6.3477336605878495E-2</v>
      </c>
      <c r="AA88">
        <v>0.45205597251787499</v>
      </c>
      <c r="AB88">
        <v>3.6281883806356499</v>
      </c>
      <c r="AC88">
        <v>4.5658976657539299</v>
      </c>
      <c r="AD88">
        <v>4.2318224403908502E-3</v>
      </c>
      <c r="AE88">
        <v>4.07444245038511</v>
      </c>
    </row>
    <row r="89" spans="1:31" x14ac:dyDescent="0.2">
      <c r="A89">
        <v>88</v>
      </c>
      <c r="B89">
        <v>776</v>
      </c>
      <c r="C89">
        <v>125</v>
      </c>
      <c r="D89">
        <v>0.47381261020826598</v>
      </c>
      <c r="E89">
        <v>89.132881715221401</v>
      </c>
      <c r="F89">
        <v>2.2046375798165299</v>
      </c>
      <c r="G89">
        <v>-1453.8490361387687</v>
      </c>
      <c r="H89">
        <v>-1220.0207560739193</v>
      </c>
      <c r="I89">
        <v>222.87402188900501</v>
      </c>
      <c r="J89">
        <v>118.35879885599201</v>
      </c>
      <c r="K89">
        <v>40.429720753757103</v>
      </c>
      <c r="L89">
        <v>1.2679205512912298E-4</v>
      </c>
      <c r="M89">
        <v>1.6666408064193448E-5</v>
      </c>
      <c r="N89" s="1">
        <v>2.0903567311288398E-6</v>
      </c>
      <c r="O89" s="1">
        <v>6.6122119600516405E-8</v>
      </c>
      <c r="P89" s="1">
        <v>-3.2832417800654199E-7</v>
      </c>
      <c r="Q89">
        <v>74.461742933667793</v>
      </c>
      <c r="R89">
        <v>8.8631713100455603E-2</v>
      </c>
      <c r="S89">
        <v>11.889206973656</v>
      </c>
      <c r="T89">
        <v>0.217203490533769</v>
      </c>
      <c r="V89">
        <v>0.50014856727061696</v>
      </c>
      <c r="W89">
        <v>2.9169930893817701E-2</v>
      </c>
      <c r="X89">
        <v>6.7315225139599005E-2</v>
      </c>
      <c r="AA89">
        <v>0.44042466344199199</v>
      </c>
      <c r="AB89">
        <v>3.5462203093320399</v>
      </c>
      <c r="AC89">
        <v>4.7079912319090402</v>
      </c>
      <c r="AD89">
        <v>4.4876816759705099E-3</v>
      </c>
      <c r="AE89">
        <v>4.04745727937875</v>
      </c>
    </row>
    <row r="90" spans="1:31" x14ac:dyDescent="0.2">
      <c r="A90">
        <v>89</v>
      </c>
      <c r="B90">
        <v>774</v>
      </c>
      <c r="C90">
        <v>125</v>
      </c>
      <c r="D90">
        <v>0.47267392446163797</v>
      </c>
      <c r="E90">
        <v>75.714650877422997</v>
      </c>
      <c r="F90">
        <v>2.2080841010642298</v>
      </c>
      <c r="G90">
        <v>-1233.0369437944071</v>
      </c>
      <c r="H90">
        <v>-1035.2125939620655</v>
      </c>
      <c r="I90">
        <v>188.91691718697501</v>
      </c>
      <c r="J90">
        <v>100.49135086377601</v>
      </c>
      <c r="K90">
        <v>34.289749580158897</v>
      </c>
      <c r="L90">
        <v>1.2649194501292686E-4</v>
      </c>
      <c r="M90">
        <v>1.6604384362229458E-5</v>
      </c>
      <c r="N90" s="1">
        <v>1.7685069048992499E-6</v>
      </c>
      <c r="O90" s="1">
        <v>5.5769780516693498E-8</v>
      </c>
      <c r="P90" s="1">
        <v>-2.7753300562576901E-7</v>
      </c>
      <c r="Q90">
        <v>74.304515177923093</v>
      </c>
      <c r="R90">
        <v>0.104339119423406</v>
      </c>
      <c r="S90">
        <v>11.8919842027956</v>
      </c>
      <c r="T90">
        <v>0.25598954852753503</v>
      </c>
      <c r="V90">
        <v>0.58852176064156603</v>
      </c>
      <c r="W90">
        <v>3.4339457025414397E-2</v>
      </c>
      <c r="X90">
        <v>7.9244900827942097E-2</v>
      </c>
      <c r="AA90">
        <v>0.45290614017184599</v>
      </c>
      <c r="AB90">
        <v>3.4478356231416898</v>
      </c>
      <c r="AC90">
        <v>4.8131154325262804</v>
      </c>
      <c r="AD90">
        <v>5.2829933885208203E-3</v>
      </c>
      <c r="AE90">
        <v>4.0219256436069397</v>
      </c>
    </row>
    <row r="91" spans="1:31" x14ac:dyDescent="0.2">
      <c r="A91">
        <v>90</v>
      </c>
      <c r="B91">
        <v>772</v>
      </c>
      <c r="C91">
        <v>125</v>
      </c>
      <c r="D91">
        <v>0.47153088073482102</v>
      </c>
      <c r="E91">
        <v>33.800958813914903</v>
      </c>
      <c r="F91">
        <v>2.2128150305879202</v>
      </c>
      <c r="G91">
        <v>-549.90636992602856</v>
      </c>
      <c r="H91">
        <v>-461.97552573560171</v>
      </c>
      <c r="I91">
        <v>84.132272104890902</v>
      </c>
      <c r="J91">
        <v>44.880937277540902</v>
      </c>
      <c r="K91">
        <v>15.275094550010399</v>
      </c>
      <c r="L91">
        <v>1.2608840604295024E-4</v>
      </c>
      <c r="M91">
        <v>1.6540566242771216E-5</v>
      </c>
      <c r="N91" s="1">
        <v>7.8534614634345505E-7</v>
      </c>
      <c r="O91" s="1">
        <v>2.46883644645878E-8</v>
      </c>
      <c r="P91" s="1">
        <v>-1.2276846764107599E-7</v>
      </c>
      <c r="Q91">
        <v>74.054435573030403</v>
      </c>
      <c r="R91">
        <v>0.14935642422368001</v>
      </c>
      <c r="S91">
        <v>11.995302065720599</v>
      </c>
      <c r="T91">
        <v>0.26879975231278003</v>
      </c>
      <c r="V91">
        <v>0.61966550432165102</v>
      </c>
      <c r="W91">
        <v>7.6920894886829405E-2</v>
      </c>
      <c r="X91">
        <v>0.16573585902188101</v>
      </c>
      <c r="AA91">
        <v>0.51677990058606404</v>
      </c>
      <c r="AB91">
        <v>3.2656179939404599</v>
      </c>
      <c r="AC91">
        <v>4.8839342559615497</v>
      </c>
      <c r="AD91">
        <v>1.18339838287356E-2</v>
      </c>
      <c r="AE91">
        <v>3.9916177921652598</v>
      </c>
    </row>
    <row r="92" spans="1:31" x14ac:dyDescent="0.2">
      <c r="A92">
        <v>91</v>
      </c>
      <c r="B92">
        <v>770</v>
      </c>
      <c r="C92">
        <v>125</v>
      </c>
      <c r="D92">
        <v>0.47038345396155901</v>
      </c>
      <c r="E92">
        <v>13.2721306728544</v>
      </c>
      <c r="F92">
        <v>2.2171652334837799</v>
      </c>
      <c r="G92">
        <v>-215.83444177624258</v>
      </c>
      <c r="H92">
        <v>-181.45732388528856</v>
      </c>
      <c r="I92">
        <v>32.955105105645302</v>
      </c>
      <c r="J92">
        <v>17.6333822950068</v>
      </c>
      <c r="K92">
        <v>5.98608099767117</v>
      </c>
      <c r="L92">
        <v>1.2577432551579807E-4</v>
      </c>
      <c r="M92">
        <v>1.6511135129507608E-5</v>
      </c>
      <c r="N92" s="1">
        <v>3.0741504328856999E-7</v>
      </c>
      <c r="O92" s="1">
        <v>9.63194303888605E-9</v>
      </c>
      <c r="P92" s="1">
        <v>-4.7737864223889102E-8</v>
      </c>
      <c r="Q92">
        <v>73.699768621004196</v>
      </c>
      <c r="R92">
        <v>0.20269712116619601</v>
      </c>
      <c r="S92">
        <v>12.3330996541969</v>
      </c>
      <c r="T92">
        <v>0.24654879223234699</v>
      </c>
      <c r="V92">
        <v>0.57264630430141406</v>
      </c>
      <c r="W92">
        <v>0.19589921649255601</v>
      </c>
      <c r="X92">
        <v>0.208632535686397</v>
      </c>
      <c r="AA92">
        <v>0.54418981518442799</v>
      </c>
      <c r="AB92">
        <v>3.03964070735673</v>
      </c>
      <c r="AC92">
        <v>4.9565312241644497</v>
      </c>
      <c r="AD92">
        <v>3.01383409988439E-2</v>
      </c>
      <c r="AE92">
        <v>3.9702076672154201</v>
      </c>
    </row>
    <row r="93" spans="1:31" x14ac:dyDescent="0.2">
      <c r="A93">
        <v>92</v>
      </c>
      <c r="B93">
        <v>768</v>
      </c>
      <c r="C93">
        <v>125</v>
      </c>
      <c r="D93">
        <v>0.46923161888296799</v>
      </c>
      <c r="E93">
        <v>7.60339385386518</v>
      </c>
      <c r="F93">
        <v>2.2210804289126398</v>
      </c>
      <c r="G93">
        <v>-123.58455385513487</v>
      </c>
      <c r="H93">
        <v>-103.96606489343256</v>
      </c>
      <c r="I93">
        <v>18.843095578641201</v>
      </c>
      <c r="J93">
        <v>10.1085326995162</v>
      </c>
      <c r="K93">
        <v>3.4232861425858001</v>
      </c>
      <c r="L93">
        <v>1.2577720367203918E-4</v>
      </c>
      <c r="M93">
        <v>1.6523405110469758E-5</v>
      </c>
      <c r="N93" s="1">
        <v>1.76376533871606E-7</v>
      </c>
      <c r="O93" s="1">
        <v>5.5057588281536297E-9</v>
      </c>
      <c r="P93" s="1">
        <v>-2.71899562446668E-8</v>
      </c>
      <c r="Q93">
        <v>73.294961371332505</v>
      </c>
      <c r="R93">
        <v>0.21619461129658199</v>
      </c>
      <c r="S93">
        <v>12.749477394680399</v>
      </c>
      <c r="T93">
        <v>0.23694685760617301</v>
      </c>
      <c r="V93">
        <v>0.55585435128629201</v>
      </c>
      <c r="W93">
        <v>0.33881492720681</v>
      </c>
      <c r="X93">
        <v>0.21046857231363</v>
      </c>
      <c r="AA93">
        <v>0.54536349277756602</v>
      </c>
      <c r="AB93">
        <v>2.8426248545787498</v>
      </c>
      <c r="AC93">
        <v>4.9895574155453497</v>
      </c>
      <c r="AD93">
        <v>5.2608086295086301E-2</v>
      </c>
      <c r="AE93">
        <v>3.9671280650807201</v>
      </c>
    </row>
    <row r="94" spans="1:31" x14ac:dyDescent="0.2">
      <c r="A94">
        <v>93</v>
      </c>
      <c r="B94">
        <v>804</v>
      </c>
      <c r="C94">
        <v>100</v>
      </c>
      <c r="D94">
        <v>0.514840551455232</v>
      </c>
      <c r="E94">
        <v>102.584778169386</v>
      </c>
      <c r="F94">
        <v>2.20303972763051</v>
      </c>
      <c r="G94">
        <v>-1682.082179162978</v>
      </c>
      <c r="H94">
        <v>-1404.3673840614395</v>
      </c>
      <c r="I94">
        <v>257.82369688672702</v>
      </c>
      <c r="J94">
        <v>136.35905751940501</v>
      </c>
      <c r="K94">
        <v>46.5651058774693</v>
      </c>
      <c r="L94">
        <v>1.2072513110533878E-4</v>
      </c>
      <c r="M94">
        <v>1.6402540836431649E-5</v>
      </c>
      <c r="N94" s="1">
        <v>2.1188062026403698E-6</v>
      </c>
      <c r="O94" s="1">
        <v>7.1852857856295596E-8</v>
      </c>
      <c r="P94" s="1">
        <v>-3.4400194504217501E-7</v>
      </c>
      <c r="Q94">
        <v>74.662863503796004</v>
      </c>
      <c r="R94">
        <v>7.7009475879118106E-2</v>
      </c>
      <c r="S94">
        <v>12.156979875349201</v>
      </c>
      <c r="T94">
        <v>0.18403835516629799</v>
      </c>
      <c r="V94">
        <v>0.43877842662237698</v>
      </c>
      <c r="W94">
        <v>2.53448907956586E-2</v>
      </c>
      <c r="X94">
        <v>5.84882095284458E-2</v>
      </c>
      <c r="AA94">
        <v>0.51577949976899096</v>
      </c>
      <c r="AB94">
        <v>3.8759475579776299</v>
      </c>
      <c r="AC94">
        <v>4.3468937096500602</v>
      </c>
      <c r="AD94">
        <v>3.8992139685627299E-3</v>
      </c>
      <c r="AE94">
        <v>3.6539772814975899</v>
      </c>
    </row>
    <row r="95" spans="1:31" x14ac:dyDescent="0.2">
      <c r="A95">
        <v>94</v>
      </c>
      <c r="B95">
        <v>802</v>
      </c>
      <c r="C95">
        <v>100</v>
      </c>
      <c r="D95">
        <v>0.51380784076640695</v>
      </c>
      <c r="E95">
        <v>101.803596773157</v>
      </c>
      <c r="F95">
        <v>2.2034553141055699</v>
      </c>
      <c r="G95">
        <v>-1668.5737660844786</v>
      </c>
      <c r="H95">
        <v>-1393.8852897661191</v>
      </c>
      <c r="I95">
        <v>255.488514456921</v>
      </c>
      <c r="J95">
        <v>135.23172324766</v>
      </c>
      <c r="K95">
        <v>46.201797749858699</v>
      </c>
      <c r="L95">
        <v>1.2040877473451045E-4</v>
      </c>
      <c r="M95">
        <v>1.638062740194694E-5</v>
      </c>
      <c r="N95" s="1">
        <v>2.10364848593812E-6</v>
      </c>
      <c r="O95" s="1">
        <v>7.1092044784769805E-8</v>
      </c>
      <c r="P95" s="1">
        <v>-3.4025740828857499E-7</v>
      </c>
      <c r="Q95">
        <v>74.754685845512896</v>
      </c>
      <c r="R95">
        <v>7.7600401659709106E-2</v>
      </c>
      <c r="S95">
        <v>12.0958217085059</v>
      </c>
      <c r="T95">
        <v>0.18582487071200399</v>
      </c>
      <c r="V95">
        <v>0.44180854562883098</v>
      </c>
      <c r="W95">
        <v>2.5539372698131401E-2</v>
      </c>
      <c r="X95">
        <v>5.8937013918769099E-2</v>
      </c>
      <c r="AA95">
        <v>0.50457701246033804</v>
      </c>
      <c r="AB95">
        <v>3.8375196027811298</v>
      </c>
      <c r="AC95">
        <v>4.3666360728845701</v>
      </c>
      <c r="AD95">
        <v>3.9291342612507102E-3</v>
      </c>
      <c r="AE95">
        <v>3.6471204189763502</v>
      </c>
    </row>
    <row r="96" spans="1:31" x14ac:dyDescent="0.2">
      <c r="A96">
        <v>95</v>
      </c>
      <c r="B96">
        <v>800</v>
      </c>
      <c r="C96">
        <v>100</v>
      </c>
      <c r="D96">
        <v>0.51277128080883805</v>
      </c>
      <c r="E96">
        <v>101.022950763738</v>
      </c>
      <c r="F96">
        <v>2.2038753690622399</v>
      </c>
      <c r="G96">
        <v>-1655.087499531309</v>
      </c>
      <c r="H96">
        <v>-1383.4099207004297</v>
      </c>
      <c r="I96">
        <v>253.15899811851</v>
      </c>
      <c r="J96">
        <v>134.10629857784599</v>
      </c>
      <c r="K96">
        <v>45.838776630424597</v>
      </c>
      <c r="L96">
        <v>1.2008973658748578E-4</v>
      </c>
      <c r="M96">
        <v>1.6358735763752209E-5</v>
      </c>
      <c r="N96" s="1">
        <v>2.08844004986676E-6</v>
      </c>
      <c r="O96" s="1">
        <v>7.0334271394817002E-8</v>
      </c>
      <c r="P96" s="1">
        <v>-3.3651622103851099E-7</v>
      </c>
      <c r="Q96">
        <v>74.846860307933497</v>
      </c>
      <c r="R96">
        <v>7.8200051971118401E-2</v>
      </c>
      <c r="S96">
        <v>12.034584621796199</v>
      </c>
      <c r="T96">
        <v>0.187638524991462</v>
      </c>
      <c r="V96">
        <v>0.44488271590518602</v>
      </c>
      <c r="W96">
        <v>2.5736725965177201E-2</v>
      </c>
      <c r="X96">
        <v>5.9392444535030099E-2</v>
      </c>
      <c r="AA96">
        <v>0.49412312988477203</v>
      </c>
      <c r="AB96">
        <v>3.79854777331885</v>
      </c>
      <c r="AC96">
        <v>4.3858601986415904</v>
      </c>
      <c r="AD96">
        <v>3.9594963023346303E-3</v>
      </c>
      <c r="AE96">
        <v>3.6402140087546599</v>
      </c>
    </row>
    <row r="97" spans="1:31" x14ac:dyDescent="0.2">
      <c r="A97">
        <v>96</v>
      </c>
      <c r="B97">
        <v>798</v>
      </c>
      <c r="C97">
        <v>100</v>
      </c>
      <c r="D97">
        <v>0.51173085002101004</v>
      </c>
      <c r="E97">
        <v>100.243803788801</v>
      </c>
      <c r="F97">
        <v>2.2042991399057099</v>
      </c>
      <c r="G97">
        <v>-1641.6394670052773</v>
      </c>
      <c r="H97">
        <v>-1372.9545478857792</v>
      </c>
      <c r="I97">
        <v>250.83780900854001</v>
      </c>
      <c r="J97">
        <v>132.98411664204599</v>
      </c>
      <c r="K97">
        <v>45.476497256669603</v>
      </c>
      <c r="L97">
        <v>1.1976839650200967E-4</v>
      </c>
      <c r="M97">
        <v>1.6336898153367594E-5</v>
      </c>
      <c r="N97" s="1">
        <v>2.07321056741331E-6</v>
      </c>
      <c r="O97" s="1">
        <v>6.9580490471038194E-8</v>
      </c>
      <c r="P97" s="1">
        <v>-3.3278362557456501E-7</v>
      </c>
      <c r="Q97">
        <v>74.939357528252202</v>
      </c>
      <c r="R97">
        <v>7.8807863443053502E-2</v>
      </c>
      <c r="S97">
        <v>11.9732894753999</v>
      </c>
      <c r="T97">
        <v>0.18947829815105499</v>
      </c>
      <c r="V97">
        <v>0.44799743373987</v>
      </c>
      <c r="W97">
        <v>2.5936765183788599E-2</v>
      </c>
      <c r="X97">
        <v>5.9854073501057301E-2</v>
      </c>
      <c r="AA97">
        <v>0.48438406372812598</v>
      </c>
      <c r="AB97">
        <v>3.7591175411881501</v>
      </c>
      <c r="AC97">
        <v>4.4045131407484801</v>
      </c>
      <c r="AD97">
        <v>3.9902715667363003E-3</v>
      </c>
      <c r="AE97">
        <v>3.63327354509744</v>
      </c>
    </row>
    <row r="98" spans="1:31" x14ac:dyDescent="0.2">
      <c r="A98">
        <v>97</v>
      </c>
      <c r="B98">
        <v>796</v>
      </c>
      <c r="C98">
        <v>100</v>
      </c>
      <c r="D98">
        <v>0.51068652668007097</v>
      </c>
      <c r="E98">
        <v>99.4670562107802</v>
      </c>
      <c r="F98">
        <v>2.2047258914719801</v>
      </c>
      <c r="G98">
        <v>-1628.244666018443</v>
      </c>
      <c r="H98">
        <v>-1362.5315719679302</v>
      </c>
      <c r="I98">
        <v>248.527422766228</v>
      </c>
      <c r="J98">
        <v>131.86641949889099</v>
      </c>
      <c r="K98">
        <v>45.1153844546049</v>
      </c>
      <c r="L98">
        <v>1.19445123702944E-4</v>
      </c>
      <c r="M98">
        <v>1.6315145643552542E-5</v>
      </c>
      <c r="N98" s="1">
        <v>2.0579879822295602E-6</v>
      </c>
      <c r="O98" s="1">
        <v>6.8831584928755894E-8</v>
      </c>
      <c r="P98" s="1">
        <v>-3.2906451700368198E-7</v>
      </c>
      <c r="Q98">
        <v>75.032149300951204</v>
      </c>
      <c r="R98">
        <v>7.9423281445660701E-2</v>
      </c>
      <c r="S98">
        <v>11.9119561373411</v>
      </c>
      <c r="T98">
        <v>0.19134318726353</v>
      </c>
      <c r="V98">
        <v>0.451149248786546</v>
      </c>
      <c r="W98">
        <v>2.61393078175578E-2</v>
      </c>
      <c r="X98">
        <v>6.0321479578987897E-2</v>
      </c>
      <c r="AA98">
        <v>0.475325834617077</v>
      </c>
      <c r="AB98">
        <v>3.7193124311127801</v>
      </c>
      <c r="AC98">
        <v>4.4225443019400297</v>
      </c>
      <c r="AD98">
        <v>4.0214319719314899E-3</v>
      </c>
      <c r="AE98">
        <v>3.6263140571735102</v>
      </c>
    </row>
    <row r="99" spans="1:31" x14ac:dyDescent="0.2">
      <c r="A99">
        <v>98</v>
      </c>
      <c r="B99">
        <v>794</v>
      </c>
      <c r="C99">
        <v>100</v>
      </c>
      <c r="D99">
        <v>0.50963828890034402</v>
      </c>
      <c r="E99">
        <v>98.693537979991504</v>
      </c>
      <c r="F99">
        <v>2.20515491148804</v>
      </c>
      <c r="G99">
        <v>-1614.9168888053935</v>
      </c>
      <c r="H99">
        <v>-1352.1524254977483</v>
      </c>
      <c r="I99">
        <v>246.23011133172</v>
      </c>
      <c r="J99">
        <v>130.75434860197001</v>
      </c>
      <c r="K99">
        <v>44.755829835733799</v>
      </c>
      <c r="L99">
        <v>1.1912027334486252E-4</v>
      </c>
      <c r="M99">
        <v>1.629350795184506E-5</v>
      </c>
      <c r="N99" s="1">
        <v>2.0427982961842601E-6</v>
      </c>
      <c r="O99" s="1">
        <v>6.8088362039988396E-8</v>
      </c>
      <c r="P99" s="1">
        <v>-3.2536340794670799E-7</v>
      </c>
      <c r="Q99">
        <v>75.125209086097399</v>
      </c>
      <c r="R99">
        <v>8.0045767551688907E-2</v>
      </c>
      <c r="S99">
        <v>11.8506031833878</v>
      </c>
      <c r="T99">
        <v>0.193232222188775</v>
      </c>
      <c r="V99">
        <v>0.45433480835642498</v>
      </c>
      <c r="W99">
        <v>2.6344176662579499E-2</v>
      </c>
      <c r="X99">
        <v>6.0794253836731801E-2</v>
      </c>
      <c r="AA99">
        <v>0.46691467216550397</v>
      </c>
      <c r="AB99">
        <v>3.67921326666068</v>
      </c>
      <c r="AC99">
        <v>4.4399056186824497</v>
      </c>
      <c r="AD99">
        <v>4.0529502557809204E-3</v>
      </c>
      <c r="AE99">
        <v>3.61934999415414</v>
      </c>
    </row>
    <row r="100" spans="1:31" x14ac:dyDescent="0.2">
      <c r="A100">
        <v>99</v>
      </c>
      <c r="B100">
        <v>792</v>
      </c>
      <c r="C100">
        <v>100</v>
      </c>
      <c r="D100">
        <v>0.50858611463174297</v>
      </c>
      <c r="E100">
        <v>95.8075600681655</v>
      </c>
      <c r="F100">
        <v>2.20629725210468</v>
      </c>
      <c r="G100">
        <v>-1566.5325628705741</v>
      </c>
      <c r="H100">
        <v>-1312.3646130227701</v>
      </c>
      <c r="I100">
        <v>238.62174327353301</v>
      </c>
      <c r="J100">
        <v>126.853909534781</v>
      </c>
      <c r="K100">
        <v>43.424592935865803</v>
      </c>
      <c r="L100">
        <v>1.1882032375359912E-4</v>
      </c>
      <c r="M100">
        <v>1.6251873058480871E-5</v>
      </c>
      <c r="N100" s="1">
        <v>1.97981352855726E-6</v>
      </c>
      <c r="O100" s="1">
        <v>6.5778274635423096E-8</v>
      </c>
      <c r="P100" s="1">
        <v>-3.1486834397342999E-7</v>
      </c>
      <c r="Q100">
        <v>75.119698093177007</v>
      </c>
      <c r="R100">
        <v>8.2456958452751403E-2</v>
      </c>
      <c r="S100">
        <v>11.830280516855501</v>
      </c>
      <c r="T100">
        <v>0.19959688814894999</v>
      </c>
      <c r="V100">
        <v>0.46753108220405898</v>
      </c>
      <c r="W100">
        <v>2.7137733161663E-2</v>
      </c>
      <c r="X100">
        <v>6.2625538065387301E-2</v>
      </c>
      <c r="AA100">
        <v>0.45375616220915799</v>
      </c>
      <c r="AB100">
        <v>3.6229983675500099</v>
      </c>
      <c r="AC100">
        <v>4.5246825790130103</v>
      </c>
      <c r="AD100">
        <v>4.1750358710244797E-3</v>
      </c>
      <c r="AE100">
        <v>3.6050610452913201</v>
      </c>
    </row>
    <row r="101" spans="1:31" x14ac:dyDescent="0.2">
      <c r="A101">
        <v>100</v>
      </c>
      <c r="B101">
        <v>790</v>
      </c>
      <c r="C101">
        <v>100</v>
      </c>
      <c r="D101">
        <v>0.507529981658283</v>
      </c>
      <c r="E101">
        <v>91.135070754776393</v>
      </c>
      <c r="F101">
        <v>2.2080589906449402</v>
      </c>
      <c r="G101">
        <v>-1488.6282912876393</v>
      </c>
      <c r="H101">
        <v>-1247.775755805749</v>
      </c>
      <c r="I101">
        <v>226.54614634048801</v>
      </c>
      <c r="J101">
        <v>120.59705199697</v>
      </c>
      <c r="K101">
        <v>41.273838761054598</v>
      </c>
      <c r="L101">
        <v>1.1851921635407164E-4</v>
      </c>
      <c r="M101">
        <v>1.6194439061784818E-5</v>
      </c>
      <c r="N101" s="1">
        <v>1.8769379003218899E-6</v>
      </c>
      <c r="O101" s="1">
        <v>6.2173783507506201E-8</v>
      </c>
      <c r="P101" s="1">
        <v>-2.9855811008795899E-7</v>
      </c>
      <c r="Q101">
        <v>75.042499090355307</v>
      </c>
      <c r="R101">
        <v>8.6684521497299397E-2</v>
      </c>
      <c r="S101">
        <v>11.837602453829801</v>
      </c>
      <c r="T101">
        <v>0.210477115079059</v>
      </c>
      <c r="V101">
        <v>0.49091927708635402</v>
      </c>
      <c r="W101">
        <v>2.8529083024424601E-2</v>
      </c>
      <c r="X101">
        <v>6.5836345440997701E-2</v>
      </c>
      <c r="AA101">
        <v>0.44084034445182102</v>
      </c>
      <c r="AB101">
        <v>3.5491179883101598</v>
      </c>
      <c r="AC101">
        <v>4.6584352710813297</v>
      </c>
      <c r="AD101">
        <v>4.3890896960646197E-3</v>
      </c>
      <c r="AE101">
        <v>3.58466942014724</v>
      </c>
    </row>
    <row r="102" spans="1:31" x14ac:dyDescent="0.2">
      <c r="A102">
        <v>101</v>
      </c>
      <c r="B102">
        <v>788</v>
      </c>
      <c r="C102">
        <v>100</v>
      </c>
      <c r="D102">
        <v>0.50646986759647905</v>
      </c>
      <c r="E102">
        <v>85.450127065655593</v>
      </c>
      <c r="F102">
        <v>2.2101119339134399</v>
      </c>
      <c r="G102">
        <v>-1394.2210353311098</v>
      </c>
      <c r="H102">
        <v>-1169.2764429021943</v>
      </c>
      <c r="I102">
        <v>211.98189928748599</v>
      </c>
      <c r="J102">
        <v>113.00718657473899</v>
      </c>
      <c r="K102">
        <v>38.663257618065003</v>
      </c>
      <c r="L102">
        <v>1.1819620665972298E-4</v>
      </c>
      <c r="M102">
        <v>1.6133896711672177E-5</v>
      </c>
      <c r="N102" s="1">
        <v>1.7530410768344199E-6</v>
      </c>
      <c r="O102" s="1">
        <v>5.7898928493915001E-8</v>
      </c>
      <c r="P102" s="1">
        <v>-2.7887944361101898E-7</v>
      </c>
      <c r="Q102">
        <v>74.9529295997867</v>
      </c>
      <c r="R102">
        <v>9.2451588678510402E-2</v>
      </c>
      <c r="S102">
        <v>11.844752411712401</v>
      </c>
      <c r="T102">
        <v>0.22510191369336599</v>
      </c>
      <c r="V102">
        <v>0.52302024949770798</v>
      </c>
      <c r="W102">
        <v>3.04271051346949E-2</v>
      </c>
      <c r="X102">
        <v>7.0216396464707398E-2</v>
      </c>
      <c r="AA102">
        <v>0.43495970676499601</v>
      </c>
      <c r="AB102">
        <v>3.4637100845668498</v>
      </c>
      <c r="AC102">
        <v>4.7951826837403999</v>
      </c>
      <c r="AD102">
        <v>4.6810930976439796E-3</v>
      </c>
      <c r="AE102">
        <v>3.5625671668618599</v>
      </c>
    </row>
    <row r="103" spans="1:31" x14ac:dyDescent="0.2">
      <c r="A103">
        <v>102</v>
      </c>
      <c r="B103">
        <v>786</v>
      </c>
      <c r="C103">
        <v>100</v>
      </c>
      <c r="D103">
        <v>0.50540574989378495</v>
      </c>
      <c r="E103">
        <v>74.958482911298304</v>
      </c>
      <c r="F103">
        <v>2.2131703236710401</v>
      </c>
      <c r="G103">
        <v>-1221.2753477653957</v>
      </c>
      <c r="H103">
        <v>-1024.7350015641491</v>
      </c>
      <c r="I103">
        <v>185.564222443701</v>
      </c>
      <c r="J103">
        <v>99.083291928275997</v>
      </c>
      <c r="K103">
        <v>33.869278884492999</v>
      </c>
      <c r="L103">
        <v>1.1792234515219707E-4</v>
      </c>
      <c r="M103">
        <v>1.6075242647500835E-5</v>
      </c>
      <c r="N103" s="1">
        <v>1.53163940943825E-6</v>
      </c>
      <c r="O103" s="1">
        <v>5.0436461343757E-8</v>
      </c>
      <c r="P103" s="1">
        <v>-2.4353678683675601E-7</v>
      </c>
      <c r="Q103">
        <v>74.809673991700393</v>
      </c>
      <c r="R103">
        <v>0.105391674073087</v>
      </c>
      <c r="S103">
        <v>11.850631408008301</v>
      </c>
      <c r="T103">
        <v>0.25696188890499</v>
      </c>
      <c r="V103">
        <v>0.5959073935425</v>
      </c>
      <c r="W103">
        <v>3.4685867416451799E-2</v>
      </c>
      <c r="X103">
        <v>8.0044309422623194E-2</v>
      </c>
      <c r="AA103">
        <v>0.450285015998375</v>
      </c>
      <c r="AB103">
        <v>3.3602544656725901</v>
      </c>
      <c r="AC103">
        <v>4.9106858251143599</v>
      </c>
      <c r="AD103">
        <v>5.3362872948366797E-3</v>
      </c>
      <c r="AE103">
        <v>3.5401418728514402</v>
      </c>
    </row>
    <row r="104" spans="1:31" x14ac:dyDescent="0.2">
      <c r="A104">
        <v>103</v>
      </c>
      <c r="B104">
        <v>784</v>
      </c>
      <c r="C104">
        <v>100</v>
      </c>
      <c r="D104">
        <v>0.50433760582698905</v>
      </c>
      <c r="E104">
        <v>41.552083818895099</v>
      </c>
      <c r="F104">
        <v>2.2176280787622802</v>
      </c>
      <c r="G104">
        <v>-676.15123129624726</v>
      </c>
      <c r="H104">
        <v>-567.64628779219174</v>
      </c>
      <c r="I104">
        <v>102.639117915201</v>
      </c>
      <c r="J104">
        <v>54.936682363440099</v>
      </c>
      <c r="K104">
        <v>18.737174288524599</v>
      </c>
      <c r="L104">
        <v>1.1765860341880427E-4</v>
      </c>
      <c r="M104">
        <v>1.6021390166714785E-5</v>
      </c>
      <c r="N104" s="1">
        <v>8.4543046255647698E-7</v>
      </c>
      <c r="O104" s="1">
        <v>2.7753469273994301E-8</v>
      </c>
      <c r="P104" s="1">
        <v>-1.33999142594633E-7</v>
      </c>
      <c r="Q104">
        <v>74.572183327010094</v>
      </c>
      <c r="R104">
        <v>0.145142866584903</v>
      </c>
      <c r="S104">
        <v>11.9190415361698</v>
      </c>
      <c r="T104">
        <v>0.28333030527567399</v>
      </c>
      <c r="V104">
        <v>0.65836594103414003</v>
      </c>
      <c r="W104">
        <v>6.2572072470096607E-2</v>
      </c>
      <c r="X104">
        <v>0.138126594671826</v>
      </c>
      <c r="AA104">
        <v>0.515607690665979</v>
      </c>
      <c r="AB104">
        <v>3.2012017557877699</v>
      </c>
      <c r="AC104">
        <v>4.9777919503255301</v>
      </c>
      <c r="AD104">
        <v>9.6264726877051902E-3</v>
      </c>
      <c r="AE104">
        <v>3.51700948731632</v>
      </c>
    </row>
    <row r="105" spans="1:31" x14ac:dyDescent="0.2">
      <c r="A105">
        <v>104</v>
      </c>
      <c r="B105">
        <v>782</v>
      </c>
      <c r="C105">
        <v>100</v>
      </c>
      <c r="D105">
        <v>0.50326541250059598</v>
      </c>
      <c r="E105">
        <v>18.514163588664701</v>
      </c>
      <c r="F105">
        <v>2.2214321876095302</v>
      </c>
      <c r="G105">
        <v>-301.17317024981611</v>
      </c>
      <c r="H105">
        <v>-253.02844595124805</v>
      </c>
      <c r="I105">
        <v>45.6283223224831</v>
      </c>
      <c r="J105">
        <v>24.494845450513999</v>
      </c>
      <c r="K105">
        <v>8.3343366013741509</v>
      </c>
      <c r="L105">
        <v>1.173182610819457E-4</v>
      </c>
      <c r="M105">
        <v>1.597774984287131E-5</v>
      </c>
      <c r="N105" s="1">
        <v>3.7523442998747898E-7</v>
      </c>
      <c r="O105" s="1">
        <v>1.22789480139582E-8</v>
      </c>
      <c r="P105" s="1">
        <v>-5.9152979831355198E-8</v>
      </c>
      <c r="Q105">
        <v>74.304687588712099</v>
      </c>
      <c r="R105">
        <v>0.19237271591642</v>
      </c>
      <c r="S105">
        <v>12.1359138830119</v>
      </c>
      <c r="T105">
        <v>0.26193860301468003</v>
      </c>
      <c r="V105">
        <v>0.61115461690217898</v>
      </c>
      <c r="W105">
        <v>0.14043302510251399</v>
      </c>
      <c r="X105">
        <v>0.21994917567515701</v>
      </c>
      <c r="AA105">
        <v>0.55963362491838597</v>
      </c>
      <c r="AB105">
        <v>3.0034655966408899</v>
      </c>
      <c r="AC105">
        <v>5.0534785080920601</v>
      </c>
      <c r="AD105">
        <v>2.1605080784996001E-2</v>
      </c>
      <c r="AE105">
        <v>3.4953675812285598</v>
      </c>
    </row>
    <row r="106" spans="1:31" x14ac:dyDescent="0.2">
      <c r="A106">
        <v>105</v>
      </c>
      <c r="B106">
        <v>780</v>
      </c>
      <c r="C106">
        <v>100</v>
      </c>
      <c r="D106">
        <v>0.50218914684517901</v>
      </c>
      <c r="E106">
        <v>9.6755036024990293</v>
      </c>
      <c r="F106">
        <v>2.2253006413299601</v>
      </c>
      <c r="G106">
        <v>-157.31949037696813</v>
      </c>
      <c r="H106">
        <v>-132.25863577838831</v>
      </c>
      <c r="I106">
        <v>23.796092293196399</v>
      </c>
      <c r="J106">
        <v>12.807642251879701</v>
      </c>
      <c r="K106">
        <v>4.3479534507824402</v>
      </c>
      <c r="L106">
        <v>1.1720360056369602E-4</v>
      </c>
      <c r="M106">
        <v>1.5973537094853677E-5</v>
      </c>
      <c r="N106" s="1">
        <v>1.9600257461870299E-7</v>
      </c>
      <c r="O106" s="1">
        <v>6.39166318137006E-9</v>
      </c>
      <c r="P106" s="1">
        <v>-3.06737148125482E-8</v>
      </c>
      <c r="Q106">
        <v>73.933849645377194</v>
      </c>
      <c r="R106">
        <v>0.234749322890311</v>
      </c>
      <c r="S106">
        <v>12.506623322812301</v>
      </c>
      <c r="T106">
        <v>0.24528259318714399</v>
      </c>
      <c r="V106">
        <v>0.57710266610906602</v>
      </c>
      <c r="W106">
        <v>0.26871986273948301</v>
      </c>
      <c r="X106">
        <v>0.22670432569077101</v>
      </c>
      <c r="AA106">
        <v>0.56915714336365197</v>
      </c>
      <c r="AB106">
        <v>2.8027746187078799</v>
      </c>
      <c r="AC106">
        <v>5.1079906022805499</v>
      </c>
      <c r="AD106">
        <v>4.1341517344519498E-2</v>
      </c>
      <c r="AE106">
        <v>3.4857043794970801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767E4-2A8B-4066-BC99-B08DB63CEA32}">
  <sheetPr codeName="Sheet5"/>
  <dimension ref="A1:P106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764</v>
      </c>
      <c r="C2">
        <v>300</v>
      </c>
      <c r="D2">
        <v>0.28130983946391902</v>
      </c>
      <c r="E2">
        <v>3.6635871081764799</v>
      </c>
      <c r="F2">
        <v>0.57498235851920398</v>
      </c>
      <c r="G2">
        <v>-79.447860139838028</v>
      </c>
      <c r="H2">
        <v>-46.570418237971886</v>
      </c>
      <c r="I2">
        <v>31.701815968162201</v>
      </c>
      <c r="J2">
        <v>13.980811256673601</v>
      </c>
      <c r="K2">
        <v>6.3716513278974301</v>
      </c>
      <c r="L2">
        <v>1.1138557535189076E-3</v>
      </c>
      <c r="M2">
        <v>1.6992708775435367E-4</v>
      </c>
      <c r="N2" s="1">
        <v>4.4568497810369098E-6</v>
      </c>
      <c r="O2" s="1">
        <v>7.8331772339111598E-7</v>
      </c>
      <c r="P2" s="1">
        <v>-3.1145806044768001E-6</v>
      </c>
    </row>
    <row r="3" spans="1:16" x14ac:dyDescent="0.2">
      <c r="A3">
        <v>2</v>
      </c>
      <c r="B3">
        <v>762</v>
      </c>
      <c r="C3">
        <v>300</v>
      </c>
      <c r="D3">
        <v>0.27978602134956498</v>
      </c>
      <c r="E3">
        <v>3.7544192548636999</v>
      </c>
      <c r="F3">
        <v>0.586560177106354</v>
      </c>
      <c r="G3">
        <v>-80.895911078254798</v>
      </c>
      <c r="H3">
        <v>-47.885174264954472</v>
      </c>
      <c r="I3">
        <v>31.8918384520762</v>
      </c>
      <c r="J3">
        <v>14.1117414663546</v>
      </c>
      <c r="K3">
        <v>6.4007401139729296</v>
      </c>
      <c r="L3">
        <v>1.1090982039812368E-3</v>
      </c>
      <c r="M3">
        <v>1.6844785850996143E-4</v>
      </c>
      <c r="N3" s="1">
        <v>4.5244026331361503E-6</v>
      </c>
      <c r="O3" s="1">
        <v>7.7920200849191901E-7</v>
      </c>
      <c r="P3" s="1">
        <v>-3.1157623674270802E-6</v>
      </c>
    </row>
    <row r="4" spans="1:16" x14ac:dyDescent="0.2">
      <c r="A4">
        <v>3</v>
      </c>
      <c r="B4">
        <v>760</v>
      </c>
      <c r="C4">
        <v>300</v>
      </c>
      <c r="D4">
        <v>0.27825630353772701</v>
      </c>
      <c r="E4">
        <v>4.22161288983028</v>
      </c>
      <c r="F4">
        <v>0.63924614642059396</v>
      </c>
      <c r="G4">
        <v>-88.58406905508086</v>
      </c>
      <c r="H4">
        <v>-54.538906748467831</v>
      </c>
      <c r="I4">
        <v>32.954824140047798</v>
      </c>
      <c r="J4">
        <v>14.731348907556301</v>
      </c>
      <c r="K4">
        <v>6.6040490247283499</v>
      </c>
      <c r="L4">
        <v>1.0809848772537177E-3</v>
      </c>
      <c r="M4">
        <v>1.6347198248372973E-4</v>
      </c>
      <c r="N4" s="1">
        <v>4.6168520981707596E-6</v>
      </c>
      <c r="O4" s="1">
        <v>7.7922020380995896E-7</v>
      </c>
      <c r="P4" s="1">
        <v>-3.1335039123166899E-6</v>
      </c>
    </row>
    <row r="5" spans="1:16" x14ac:dyDescent="0.2">
      <c r="A5">
        <v>4</v>
      </c>
      <c r="B5">
        <v>758</v>
      </c>
      <c r="C5">
        <v>300</v>
      </c>
      <c r="D5">
        <v>0.27672065169955901</v>
      </c>
      <c r="E5">
        <v>4.6840573685479896</v>
      </c>
      <c r="F5">
        <v>0.68834068490935696</v>
      </c>
      <c r="G5">
        <v>-96.188675171789271</v>
      </c>
      <c r="H5">
        <v>-61.127868822737497</v>
      </c>
      <c r="I5">
        <v>34.003719049949197</v>
      </c>
      <c r="J5">
        <v>15.344386164282</v>
      </c>
      <c r="K5">
        <v>6.8048532815764098</v>
      </c>
      <c r="L5">
        <v>1.0548043900008555E-3</v>
      </c>
      <c r="M5">
        <v>1.5882521174813199E-4</v>
      </c>
      <c r="N5" s="1">
        <v>4.7098123882827199E-6</v>
      </c>
      <c r="O5" s="1">
        <v>7.7909213993773297E-7</v>
      </c>
      <c r="P5" s="1">
        <v>-3.1507782157606202E-6</v>
      </c>
    </row>
    <row r="6" spans="1:16" x14ac:dyDescent="0.2">
      <c r="A6">
        <v>5</v>
      </c>
      <c r="B6">
        <v>756</v>
      </c>
      <c r="C6">
        <v>300</v>
      </c>
      <c r="D6">
        <v>0.27517903123937498</v>
      </c>
      <c r="E6">
        <v>5.1418334444726996</v>
      </c>
      <c r="F6">
        <v>0.73421246374537597</v>
      </c>
      <c r="G6">
        <v>-103.71114755769786</v>
      </c>
      <c r="H6">
        <v>-67.653166627867364</v>
      </c>
      <c r="I6">
        <v>35.038744186734498</v>
      </c>
      <c r="J6">
        <v>15.950956837236999</v>
      </c>
      <c r="K6">
        <v>7.0031955304096796</v>
      </c>
      <c r="L6">
        <v>1.0303574015811984E-3</v>
      </c>
      <c r="M6">
        <v>1.5447381870092319E-4</v>
      </c>
      <c r="N6" s="1">
        <v>4.8032656182454403E-6</v>
      </c>
      <c r="O6" s="1">
        <v>7.7882065164374897E-7</v>
      </c>
      <c r="P6" s="1">
        <v>-3.1675873943937498E-6</v>
      </c>
    </row>
    <row r="7" spans="1:16" x14ac:dyDescent="0.2">
      <c r="A7">
        <v>6</v>
      </c>
      <c r="B7">
        <v>754</v>
      </c>
      <c r="C7">
        <v>300</v>
      </c>
      <c r="D7">
        <v>0.27363140729202201</v>
      </c>
      <c r="E7">
        <v>5.5950201165304998</v>
      </c>
      <c r="F7">
        <v>0.77718138871273401</v>
      </c>
      <c r="G7">
        <v>-111.15287339913773</v>
      </c>
      <c r="H7">
        <v>-74.115882310676085</v>
      </c>
      <c r="I7">
        <v>36.060115510585298</v>
      </c>
      <c r="J7">
        <v>16.5511621071241</v>
      </c>
      <c r="K7">
        <v>7.1991174747476601</v>
      </c>
      <c r="L7">
        <v>1.0074709357657157E-3</v>
      </c>
      <c r="M7">
        <v>1.5038853907459242E-4</v>
      </c>
      <c r="N7" s="1">
        <v>4.8971936656843896E-6</v>
      </c>
      <c r="O7" s="1">
        <v>7.7840853205782404E-7</v>
      </c>
      <c r="P7" s="1">
        <v>-3.1839335182484301E-6</v>
      </c>
    </row>
    <row r="8" spans="1:16" x14ac:dyDescent="0.2">
      <c r="A8">
        <v>7</v>
      </c>
      <c r="B8">
        <v>752</v>
      </c>
      <c r="C8">
        <v>300</v>
      </c>
      <c r="D8">
        <v>0.27207774472028401</v>
      </c>
      <c r="E8">
        <v>6.04369467761384</v>
      </c>
      <c r="F8">
        <v>0.81752640575840196</v>
      </c>
      <c r="G8">
        <v>-118.51520978976095</v>
      </c>
      <c r="H8">
        <v>-80.517074689087892</v>
      </c>
      <c r="I8">
        <v>37.068044069057997</v>
      </c>
      <c r="J8">
        <v>17.1451007980124</v>
      </c>
      <c r="K8">
        <v>7.3926599007003704</v>
      </c>
      <c r="L8">
        <v>9.859941609430252E-4</v>
      </c>
      <c r="M8">
        <v>1.4654385753560845E-4</v>
      </c>
      <c r="N8" s="1">
        <v>4.9915781731503696E-6</v>
      </c>
      <c r="O8" s="1">
        <v>7.7785853383406395E-7</v>
      </c>
      <c r="P8" s="1">
        <v>-3.1998186139827301E-6</v>
      </c>
    </row>
    <row r="9" spans="1:16" x14ac:dyDescent="0.2">
      <c r="A9">
        <v>8</v>
      </c>
      <c r="B9">
        <v>750</v>
      </c>
      <c r="C9">
        <v>300</v>
      </c>
      <c r="D9">
        <v>0.270518008112205</v>
      </c>
      <c r="E9">
        <v>6.4879327622546299</v>
      </c>
      <c r="F9">
        <v>0.85549185390274896</v>
      </c>
      <c r="G9">
        <v>-125.79948456582967</v>
      </c>
      <c r="H9">
        <v>-86.857779905577132</v>
      </c>
      <c r="I9">
        <v>38.062736126800203</v>
      </c>
      <c r="J9">
        <v>17.732869439674399</v>
      </c>
      <c r="K9">
        <v>7.5838627015052396</v>
      </c>
      <c r="L9">
        <v>9.6579495564351253E-4</v>
      </c>
      <c r="M9">
        <v>1.4291742623645447E-4</v>
      </c>
      <c r="N9" s="1">
        <v>5.0864005504192701E-6</v>
      </c>
      <c r="O9" s="1">
        <v>7.7717337028142004E-7</v>
      </c>
      <c r="P9" s="1">
        <v>-3.2152446680793E-6</v>
      </c>
    </row>
    <row r="10" spans="1:16" x14ac:dyDescent="0.2">
      <c r="A10">
        <v>9</v>
      </c>
      <c r="B10">
        <v>748</v>
      </c>
      <c r="C10">
        <v>300</v>
      </c>
      <c r="D10">
        <v>0.26895216177838999</v>
      </c>
      <c r="E10">
        <v>6.9278083951104001</v>
      </c>
      <c r="F10">
        <v>0.89129267156813796</v>
      </c>
      <c r="G10">
        <v>-133.00699715262323</v>
      </c>
      <c r="H10">
        <v>-93.139012093156126</v>
      </c>
      <c r="I10">
        <v>39.044393295396603</v>
      </c>
      <c r="J10">
        <v>18.314562330507101</v>
      </c>
      <c r="K10">
        <v>7.7727649021523302</v>
      </c>
      <c r="L10">
        <v>9.4675709391730438E-4</v>
      </c>
      <c r="M10">
        <v>1.394895883095884E-4</v>
      </c>
      <c r="N10" s="1">
        <v>5.1816419769106598E-6</v>
      </c>
      <c r="O10" s="1">
        <v>7.7635571644194195E-7</v>
      </c>
      <c r="P10" s="1">
        <v>-3.23021362992992E-6</v>
      </c>
    </row>
    <row r="11" spans="1:16" x14ac:dyDescent="0.2">
      <c r="A11">
        <v>10</v>
      </c>
      <c r="B11">
        <v>746</v>
      </c>
      <c r="C11">
        <v>300</v>
      </c>
      <c r="D11">
        <v>0.26738016974930101</v>
      </c>
      <c r="E11">
        <v>7.3633940325645204</v>
      </c>
      <c r="F11">
        <v>0.92511869011096504</v>
      </c>
      <c r="G11">
        <v>-140.1390192964223</v>
      </c>
      <c r="H11">
        <v>-99.361763944033541</v>
      </c>
      <c r="I11">
        <v>40.013212647970199</v>
      </c>
      <c r="J11">
        <v>18.890271592011601</v>
      </c>
      <c r="K11">
        <v>7.9594046810158998</v>
      </c>
      <c r="L11">
        <v>9.2877792419897201E-4</v>
      </c>
      <c r="M11">
        <v>1.3624298490108583E-4</v>
      </c>
      <c r="N11" s="1">
        <v>5.2772834041312196E-6</v>
      </c>
      <c r="O11" s="1">
        <v>7.7540821010846198E-7</v>
      </c>
      <c r="P11" s="1">
        <v>-3.2447274147658501E-6</v>
      </c>
    </row>
    <row r="12" spans="1:16" x14ac:dyDescent="0.2">
      <c r="A12">
        <v>11</v>
      </c>
      <c r="B12">
        <v>744</v>
      </c>
      <c r="C12">
        <v>300</v>
      </c>
      <c r="D12">
        <v>0.26580199577250502</v>
      </c>
      <c r="E12">
        <v>7.7947606142136303</v>
      </c>
      <c r="F12">
        <v>0.95713819714839099</v>
      </c>
      <c r="G12">
        <v>-147.1967959572751</v>
      </c>
      <c r="H12">
        <v>-105.5270074198136</v>
      </c>
      <c r="I12">
        <v>40.969386854053397</v>
      </c>
      <c r="J12">
        <v>19.460087235304599</v>
      </c>
      <c r="K12">
        <v>8.1438193956072507</v>
      </c>
      <c r="L12">
        <v>9.1176644290417042E-4</v>
      </c>
      <c r="M12">
        <v>1.3316222904308572E-4</v>
      </c>
      <c r="N12" s="1">
        <v>5.3733055586878796E-6</v>
      </c>
      <c r="O12" s="1">
        <v>7.7433345286323304E-7</v>
      </c>
      <c r="P12" s="1">
        <v>-3.25878790676833E-6</v>
      </c>
    </row>
    <row r="13" spans="1:16" x14ac:dyDescent="0.2">
      <c r="A13">
        <v>12</v>
      </c>
      <c r="B13">
        <v>742</v>
      </c>
      <c r="C13">
        <v>300</v>
      </c>
      <c r="D13">
        <v>0.264217603309855</v>
      </c>
      <c r="E13">
        <v>8.2219775957090704</v>
      </c>
      <c r="F13">
        <v>0.98750090870854301</v>
      </c>
      <c r="G13">
        <v>-154.18154589219554</v>
      </c>
      <c r="H13">
        <v>-111.63569419746388</v>
      </c>
      <c r="I13">
        <v>41.9131042713922</v>
      </c>
      <c r="J13">
        <v>20.024097203609699</v>
      </c>
      <c r="K13">
        <v>8.3260455997572702</v>
      </c>
      <c r="L13">
        <v>8.9564168766755059E-4</v>
      </c>
      <c r="M13">
        <v>1.3023363362298966E-4</v>
      </c>
      <c r="N13" s="1">
        <v>5.4696889442920604E-6</v>
      </c>
      <c r="O13" s="1">
        <v>7.7313401091070196E-7</v>
      </c>
      <c r="P13" s="1">
        <v>-3.2723969614057598E-6</v>
      </c>
    </row>
    <row r="14" spans="1:16" x14ac:dyDescent="0.2">
      <c r="A14">
        <v>13</v>
      </c>
      <c r="B14">
        <v>740</v>
      </c>
      <c r="C14">
        <v>300</v>
      </c>
      <c r="D14">
        <v>0.26262695553471999</v>
      </c>
      <c r="E14">
        <v>8.6451129967844</v>
      </c>
      <c r="F14">
        <v>1.01634046362002</v>
      </c>
      <c r="G14">
        <v>-161.09446248789692</v>
      </c>
      <c r="H14">
        <v>-117.68875633175803</v>
      </c>
      <c r="I14">
        <v>42.844549071470396</v>
      </c>
      <c r="J14">
        <v>20.582387434142198</v>
      </c>
      <c r="K14">
        <v>8.5061190676125005</v>
      </c>
      <c r="L14">
        <v>8.8033138882552358E-4</v>
      </c>
      <c r="M14">
        <v>1.2744498308942965E-4</v>
      </c>
      <c r="N14" s="1">
        <v>5.5664138449338898E-6</v>
      </c>
      <c r="O14" s="1">
        <v>7.7181241602615098E-7</v>
      </c>
      <c r="P14" s="1">
        <v>-3.2855564083355599E-6</v>
      </c>
    </row>
    <row r="15" spans="1:16" x14ac:dyDescent="0.2">
      <c r="A15">
        <v>14</v>
      </c>
      <c r="B15">
        <v>738</v>
      </c>
      <c r="C15">
        <v>300</v>
      </c>
      <c r="D15">
        <v>0.26103001532908299</v>
      </c>
      <c r="E15">
        <v>9.0642334400551601</v>
      </c>
      <c r="F15">
        <v>1.04377652598534</v>
      </c>
      <c r="G15">
        <v>-167.93671443960346</v>
      </c>
      <c r="H15">
        <v>-123.68710678729161</v>
      </c>
      <c r="I15">
        <v>43.763901343286101</v>
      </c>
      <c r="J15">
        <v>21.135041908025698</v>
      </c>
      <c r="K15">
        <v>8.68407481333068</v>
      </c>
      <c r="L15">
        <v>8.6577083279435851E-4</v>
      </c>
      <c r="M15">
        <v>1.2478534102339209E-4</v>
      </c>
      <c r="N15" s="1">
        <v>5.6634603276149E-6</v>
      </c>
      <c r="O15" s="1">
        <v>7.7037116638689202E-7</v>
      </c>
      <c r="P15" s="1">
        <v>-3.29826805389238E-6</v>
      </c>
    </row>
    <row r="16" spans="1:16" x14ac:dyDescent="0.2">
      <c r="A16">
        <v>15</v>
      </c>
      <c r="B16">
        <v>736</v>
      </c>
      <c r="C16">
        <v>300</v>
      </c>
      <c r="D16">
        <v>0.25942674528068399</v>
      </c>
      <c r="E16">
        <v>24.9053039623819</v>
      </c>
      <c r="F16">
        <v>1.5352459894293</v>
      </c>
      <c r="G16">
        <v>-426.26755643768985</v>
      </c>
      <c r="H16">
        <v>-343.19824256668068</v>
      </c>
      <c r="I16">
        <v>82.318939797073597</v>
      </c>
      <c r="J16">
        <v>42.665945430407596</v>
      </c>
      <c r="K16">
        <v>16.2223540291677</v>
      </c>
      <c r="L16">
        <v>5.8916791341996611E-4</v>
      </c>
      <c r="M16">
        <v>8.4051312462894519E-5</v>
      </c>
      <c r="N16" s="1">
        <v>7.04293518191092E-6</v>
      </c>
      <c r="O16" s="1">
        <v>9.6185904544582906E-7</v>
      </c>
      <c r="P16" s="1">
        <v>-4.1410841343016601E-6</v>
      </c>
    </row>
    <row r="17" spans="1:16" x14ac:dyDescent="0.2">
      <c r="A17">
        <v>16</v>
      </c>
      <c r="B17">
        <v>734</v>
      </c>
      <c r="C17">
        <v>300</v>
      </c>
      <c r="D17">
        <v>0.25781710768008598</v>
      </c>
      <c r="E17">
        <v>92.533715927178207</v>
      </c>
      <c r="F17">
        <v>1.90528364688126</v>
      </c>
      <c r="G17">
        <v>-1528.6890432600462</v>
      </c>
      <c r="H17">
        <v>-1277.7316964053093</v>
      </c>
      <c r="I17">
        <v>249.181085929289</v>
      </c>
      <c r="J17">
        <v>136.13955376840701</v>
      </c>
      <c r="K17">
        <v>48.566897678802697</v>
      </c>
      <c r="L17">
        <v>3.7969824250785606E-4</v>
      </c>
      <c r="M17">
        <v>5.3417623054586928E-5</v>
      </c>
      <c r="N17" s="1">
        <v>1.28746625278008E-5</v>
      </c>
      <c r="O17" s="1">
        <v>1.8072290102768E-6</v>
      </c>
      <c r="P17" s="1">
        <v>-7.8229495993244197E-6</v>
      </c>
    </row>
    <row r="18" spans="1:16" x14ac:dyDescent="0.2">
      <c r="A18">
        <v>17</v>
      </c>
      <c r="B18">
        <v>732</v>
      </c>
      <c r="C18">
        <v>300</v>
      </c>
      <c r="D18">
        <v>0.256201064517732</v>
      </c>
      <c r="E18">
        <v>102.461972194605</v>
      </c>
      <c r="F18">
        <v>1.92442566412739</v>
      </c>
      <c r="G18">
        <v>-1689.8077164424665</v>
      </c>
      <c r="H18">
        <v>-1415.0988331122276</v>
      </c>
      <c r="I18">
        <v>273.30708303198998</v>
      </c>
      <c r="J18">
        <v>149.96085064825201</v>
      </c>
      <c r="K18">
        <v>53.242883892356097</v>
      </c>
      <c r="L18">
        <v>3.6865974005765017E-4</v>
      </c>
      <c r="M18">
        <v>5.1602911679772635E-5</v>
      </c>
      <c r="N18" s="1">
        <v>1.37829321868306E-5</v>
      </c>
      <c r="O18" s="1">
        <v>1.9093748438364101E-6</v>
      </c>
      <c r="P18" s="1">
        <v>-8.3124504107291801E-6</v>
      </c>
    </row>
    <row r="19" spans="1:16" x14ac:dyDescent="0.2">
      <c r="A19">
        <v>18</v>
      </c>
      <c r="B19">
        <v>764</v>
      </c>
      <c r="C19">
        <v>275</v>
      </c>
      <c r="D19">
        <v>0.30782480836908999</v>
      </c>
      <c r="E19">
        <v>4.0870740759455604</v>
      </c>
      <c r="F19">
        <v>0.54930484383000799</v>
      </c>
      <c r="G19">
        <v>-88.813243614085664</v>
      </c>
      <c r="H19">
        <v>-51.917965480606753</v>
      </c>
      <c r="I19">
        <v>35.575969732671503</v>
      </c>
      <c r="J19">
        <v>15.7320573959254</v>
      </c>
      <c r="K19">
        <v>7.4404479076655896</v>
      </c>
      <c r="L19">
        <v>1.1946659736013364E-3</v>
      </c>
      <c r="M19">
        <v>1.9671341178087348E-4</v>
      </c>
      <c r="N19" s="1">
        <v>5.4411258264707197E-6</v>
      </c>
      <c r="O19" s="1">
        <v>1.1943630031119899E-6</v>
      </c>
      <c r="P19" s="1">
        <v>-4.3405498213033602E-6</v>
      </c>
    </row>
    <row r="20" spans="1:16" x14ac:dyDescent="0.2">
      <c r="A20">
        <v>19</v>
      </c>
      <c r="B20">
        <v>762</v>
      </c>
      <c r="C20">
        <v>275</v>
      </c>
      <c r="D20">
        <v>0.306352219485102</v>
      </c>
      <c r="E20">
        <v>4.1472502143918604</v>
      </c>
      <c r="F20">
        <v>0.55648482892992601</v>
      </c>
      <c r="G20">
        <v>-89.747669320482331</v>
      </c>
      <c r="H20">
        <v>-52.801441937348535</v>
      </c>
      <c r="I20">
        <v>35.693927228322202</v>
      </c>
      <c r="J20">
        <v>15.8272050055097</v>
      </c>
      <c r="K20">
        <v>7.4525845068708803</v>
      </c>
      <c r="L20">
        <v>1.1925281625302904E-3</v>
      </c>
      <c r="M20">
        <v>1.9544204507874081E-4</v>
      </c>
      <c r="N20" s="1">
        <v>5.5348269457490496E-6</v>
      </c>
      <c r="O20" s="1">
        <v>1.1875782922728201E-6</v>
      </c>
      <c r="P20" s="1">
        <v>-4.3417369393612796E-6</v>
      </c>
    </row>
    <row r="21" spans="1:16" x14ac:dyDescent="0.2">
      <c r="A21">
        <v>20</v>
      </c>
      <c r="B21">
        <v>760</v>
      </c>
      <c r="C21">
        <v>275</v>
      </c>
      <c r="D21">
        <v>0.30487392924551299</v>
      </c>
      <c r="E21">
        <v>4.6011778943693802</v>
      </c>
      <c r="F21">
        <v>0.60164952277280903</v>
      </c>
      <c r="G21">
        <v>-97.211266054899596</v>
      </c>
      <c r="H21">
        <v>-59.275106671923353</v>
      </c>
      <c r="I21">
        <v>36.721206623610797</v>
      </c>
      <c r="J21">
        <v>16.4322324015594</v>
      </c>
      <c r="K21">
        <v>7.64760499296007</v>
      </c>
      <c r="L21">
        <v>1.1675257889420408E-3</v>
      </c>
      <c r="M21">
        <v>1.9047060277268575E-4</v>
      </c>
      <c r="N21" s="1">
        <v>5.6562005238899102E-6</v>
      </c>
      <c r="O21" s="1">
        <v>1.1864805967581501E-6</v>
      </c>
      <c r="P21" s="1">
        <v>-4.3637349423105902E-6</v>
      </c>
    </row>
    <row r="22" spans="1:16" x14ac:dyDescent="0.2">
      <c r="A22">
        <v>21</v>
      </c>
      <c r="B22">
        <v>758</v>
      </c>
      <c r="C22">
        <v>275</v>
      </c>
      <c r="D22">
        <v>0.303389904475587</v>
      </c>
      <c r="E22">
        <v>5.0505756496759497</v>
      </c>
      <c r="F22">
        <v>0.64418717656466296</v>
      </c>
      <c r="G22">
        <v>-104.59519665287779</v>
      </c>
      <c r="H22">
        <v>-65.686959181799253</v>
      </c>
      <c r="I22">
        <v>37.735156273436203</v>
      </c>
      <c r="J22">
        <v>17.0310629813257</v>
      </c>
      <c r="K22">
        <v>7.8402300347078997</v>
      </c>
      <c r="L22">
        <v>1.1439932316056186E-3</v>
      </c>
      <c r="M22">
        <v>1.8577721493560307E-4</v>
      </c>
      <c r="N22" s="1">
        <v>5.7784320009161996E-6</v>
      </c>
      <c r="O22" s="1">
        <v>1.1851925448573301E-6</v>
      </c>
      <c r="P22" s="1">
        <v>-4.3851730438496898E-6</v>
      </c>
    </row>
    <row r="23" spans="1:16" x14ac:dyDescent="0.2">
      <c r="A23">
        <v>22</v>
      </c>
      <c r="B23">
        <v>756</v>
      </c>
      <c r="C23">
        <v>275</v>
      </c>
      <c r="D23">
        <v>0.30190011174270298</v>
      </c>
      <c r="E23">
        <v>5.4955183616162104</v>
      </c>
      <c r="F23">
        <v>0.68433077913430695</v>
      </c>
      <c r="G23">
        <v>-111.90077870353544</v>
      </c>
      <c r="H23">
        <v>-72.038025056083356</v>
      </c>
      <c r="I23">
        <v>38.735982196452703</v>
      </c>
      <c r="J23">
        <v>17.6237924047783</v>
      </c>
      <c r="K23">
        <v>8.03050005812708</v>
      </c>
      <c r="L23">
        <v>1.1217990909709403E-3</v>
      </c>
      <c r="M23">
        <v>1.8133726376715271E-4</v>
      </c>
      <c r="N23" s="1">
        <v>5.9014969113861399E-6</v>
      </c>
      <c r="O23" s="1">
        <v>1.1837176315308299E-6</v>
      </c>
      <c r="P23" s="1">
        <v>-4.4060520331487703E-6</v>
      </c>
    </row>
    <row r="24" spans="1:16" x14ac:dyDescent="0.2">
      <c r="A24">
        <v>23</v>
      </c>
      <c r="B24">
        <v>754</v>
      </c>
      <c r="C24">
        <v>275</v>
      </c>
      <c r="D24">
        <v>0.30040451735384299</v>
      </c>
      <c r="E24">
        <v>5.9360793003219996</v>
      </c>
      <c r="F24">
        <v>0.722286557648806</v>
      </c>
      <c r="G24">
        <v>-119.12930141173598</v>
      </c>
      <c r="H24">
        <v>-78.3293078250733</v>
      </c>
      <c r="I24">
        <v>39.723885857589501</v>
      </c>
      <c r="J24">
        <v>18.210514141457701</v>
      </c>
      <c r="K24">
        <v>8.2184546250523898</v>
      </c>
      <c r="L24">
        <v>1.1008270565700993E-3</v>
      </c>
      <c r="M24">
        <v>1.7712896152431858E-4</v>
      </c>
      <c r="N24" s="1">
        <v>6.0253703692195496E-6</v>
      </c>
      <c r="O24" s="1">
        <v>1.18205931235975E-6</v>
      </c>
      <c r="P24" s="1">
        <v>-4.4263726750470897E-6</v>
      </c>
    </row>
    <row r="25" spans="1:16" x14ac:dyDescent="0.2">
      <c r="A25">
        <v>24</v>
      </c>
      <c r="B25">
        <v>752</v>
      </c>
      <c r="C25">
        <v>275</v>
      </c>
      <c r="D25">
        <v>0.29890308735307097</v>
      </c>
      <c r="E25">
        <v>6.3723301662839402</v>
      </c>
      <c r="F25">
        <v>0.75823771223457503</v>
      </c>
      <c r="G25">
        <v>-126.28202633102894</v>
      </c>
      <c r="H25">
        <v>-84.561789527842677</v>
      </c>
      <c r="I25">
        <v>40.699064284932</v>
      </c>
      <c r="J25">
        <v>18.791319526253702</v>
      </c>
      <c r="K25">
        <v>8.4041324553803403</v>
      </c>
      <c r="L25">
        <v>1.0809738015934306E-3</v>
      </c>
      <c r="M25">
        <v>1.7313295559828214E-4</v>
      </c>
      <c r="N25" s="1">
        <v>6.1500270740401199E-6</v>
      </c>
      <c r="O25" s="1">
        <v>1.1802210049515499E-6</v>
      </c>
      <c r="P25" s="1">
        <v>-4.4461357150601899E-6</v>
      </c>
    </row>
    <row r="26" spans="1:16" x14ac:dyDescent="0.2">
      <c r="A26">
        <v>25</v>
      </c>
      <c r="B26">
        <v>750</v>
      </c>
      <c r="C26">
        <v>275</v>
      </c>
      <c r="D26">
        <v>0.29739578751893703</v>
      </c>
      <c r="E26">
        <v>6.8043411338567203</v>
      </c>
      <c r="F26">
        <v>0.79234754245063099</v>
      </c>
      <c r="G26">
        <v>-133.36018812659549</v>
      </c>
      <c r="H26">
        <v>-90.736431308937441</v>
      </c>
      <c r="I26">
        <v>41.661710188845099</v>
      </c>
      <c r="J26">
        <v>19.3662978170508</v>
      </c>
      <c r="K26">
        <v>8.5875714497854592</v>
      </c>
      <c r="L26">
        <v>1.0621472203068397E-3</v>
      </c>
      <c r="M26">
        <v>1.6933199790251721E-4</v>
      </c>
      <c r="N26" s="1">
        <v>6.2754413178760599E-6</v>
      </c>
      <c r="O26" s="1">
        <v>1.1782060902585501E-6</v>
      </c>
      <c r="P26" s="1">
        <v>-4.4653418842102202E-6</v>
      </c>
    </row>
    <row r="27" spans="1:16" x14ac:dyDescent="0.2">
      <c r="A27">
        <v>26</v>
      </c>
      <c r="B27">
        <v>748</v>
      </c>
      <c r="C27">
        <v>275</v>
      </c>
      <c r="D27">
        <v>0.29588258336189799</v>
      </c>
      <c r="E27">
        <v>7.2321808936146201</v>
      </c>
      <c r="F27">
        <v>0.82476207786011702</v>
      </c>
      <c r="G27">
        <v>-140.36499531820479</v>
      </c>
      <c r="H27">
        <v>-96.854173999304749</v>
      </c>
      <c r="I27">
        <v>42.612012078363897</v>
      </c>
      <c r="J27">
        <v>19.935536251068498</v>
      </c>
      <c r="K27">
        <v>8.7688087119364706</v>
      </c>
      <c r="L27">
        <v>1.0442649450410032E-3</v>
      </c>
      <c r="M27">
        <v>1.6571066669966901E-4</v>
      </c>
      <c r="N27" s="1">
        <v>6.40158699243017E-6</v>
      </c>
      <c r="O27" s="1">
        <v>1.17601791385868E-6</v>
      </c>
      <c r="P27" s="1">
        <v>-4.4839919038527603E-6</v>
      </c>
    </row>
    <row r="28" spans="1:16" x14ac:dyDescent="0.2">
      <c r="A28">
        <v>27</v>
      </c>
      <c r="B28">
        <v>746</v>
      </c>
      <c r="C28">
        <v>275</v>
      </c>
      <c r="D28">
        <v>0.29436344012167098</v>
      </c>
      <c r="E28">
        <v>7.6559166919944897</v>
      </c>
      <c r="F28">
        <v>0.85561230201272798</v>
      </c>
      <c r="G28">
        <v>-147.29763097647088</v>
      </c>
      <c r="H28">
        <v>-102.91593865948279</v>
      </c>
      <c r="I28">
        <v>43.550154370161898</v>
      </c>
      <c r="J28">
        <v>20.499120097439999</v>
      </c>
      <c r="K28">
        <v>8.9478805692541297</v>
      </c>
      <c r="L28">
        <v>1.0272530924063698E-3</v>
      </c>
      <c r="M28">
        <v>1.6225513142207053E-4</v>
      </c>
      <c r="N28" s="1">
        <v>6.5284375965550103E-6</v>
      </c>
      <c r="O28" s="1">
        <v>1.17365978713137E-6</v>
      </c>
      <c r="P28" s="1">
        <v>-4.5020864902426203E-6</v>
      </c>
    </row>
    <row r="29" spans="1:16" x14ac:dyDescent="0.2">
      <c r="A29">
        <v>28</v>
      </c>
      <c r="B29">
        <v>744</v>
      </c>
      <c r="C29">
        <v>275</v>
      </c>
      <c r="D29">
        <v>0.29283832276459099</v>
      </c>
      <c r="E29">
        <v>8.0756143702707508</v>
      </c>
      <c r="F29">
        <v>0.88501604141557699</v>
      </c>
      <c r="G29">
        <v>-154.15925340740583</v>
      </c>
      <c r="H29">
        <v>-108.92262711375454</v>
      </c>
      <c r="I29">
        <v>44.476317496181899</v>
      </c>
      <c r="J29">
        <v>21.057132709212901</v>
      </c>
      <c r="K29">
        <v>9.1248225934457192</v>
      </c>
      <c r="L29">
        <v>1.0110451983743997E-3</v>
      </c>
      <c r="M29">
        <v>1.589529529180981E-4</v>
      </c>
      <c r="N29" s="1">
        <v>6.6559662443776601E-6</v>
      </c>
      <c r="O29" s="1">
        <v>1.1711349884140199E-6</v>
      </c>
      <c r="P29" s="1">
        <v>-4.5196263591539503E-6</v>
      </c>
    </row>
    <row r="30" spans="1:16" x14ac:dyDescent="0.2">
      <c r="A30">
        <v>29</v>
      </c>
      <c r="B30">
        <v>742</v>
      </c>
      <c r="C30">
        <v>275</v>
      </c>
      <c r="D30">
        <v>0.291307195980888</v>
      </c>
      <c r="E30">
        <v>8.4913384006628103</v>
      </c>
      <c r="F30">
        <v>0.91307957682738905</v>
      </c>
      <c r="G30">
        <v>-160.95099678716554</v>
      </c>
      <c r="H30">
        <v>-114.87512244447977</v>
      </c>
      <c r="I30">
        <v>45.390678002703098</v>
      </c>
      <c r="J30">
        <v>21.6096555710334</v>
      </c>
      <c r="K30">
        <v>9.2996696193414294</v>
      </c>
      <c r="L30">
        <v>9.9558130990676013E-4</v>
      </c>
      <c r="M30">
        <v>1.5579291306039796E-4</v>
      </c>
      <c r="N30" s="1">
        <v>6.78414567337314E-6</v>
      </c>
      <c r="O30" s="1">
        <v>1.16844676401907E-6</v>
      </c>
      <c r="P30" s="1">
        <v>-4.5366122300872601E-6</v>
      </c>
    </row>
    <row r="31" spans="1:16" x14ac:dyDescent="0.2">
      <c r="A31">
        <v>30</v>
      </c>
      <c r="B31">
        <v>740</v>
      </c>
      <c r="C31">
        <v>275</v>
      </c>
      <c r="D31">
        <v>0.28977002418201098</v>
      </c>
      <c r="E31">
        <v>23.805681237124698</v>
      </c>
      <c r="F31">
        <v>1.4306668983334601</v>
      </c>
      <c r="G31">
        <v>-411.37783202474543</v>
      </c>
      <c r="H31">
        <v>-327.56122612753796</v>
      </c>
      <c r="I31">
        <v>82.731710766971204</v>
      </c>
      <c r="J31">
        <v>42.441929079241604</v>
      </c>
      <c r="K31">
        <v>16.639569465719202</v>
      </c>
      <c r="L31">
        <v>6.8689941888361436E-4</v>
      </c>
      <c r="M31">
        <v>1.0644790143443782E-4</v>
      </c>
      <c r="N31" s="1">
        <v>8.2704111658504603E-6</v>
      </c>
      <c r="O31" s="1">
        <v>1.4199909312170501E-6</v>
      </c>
      <c r="P31" s="1">
        <v>-5.5460955511548399E-6</v>
      </c>
    </row>
    <row r="32" spans="1:16" x14ac:dyDescent="0.2">
      <c r="A32">
        <v>31</v>
      </c>
      <c r="B32">
        <v>738</v>
      </c>
      <c r="C32">
        <v>275</v>
      </c>
      <c r="D32">
        <v>0.28822677149780002</v>
      </c>
      <c r="E32">
        <v>88.646684376105398</v>
      </c>
      <c r="F32">
        <v>1.85538765967952</v>
      </c>
      <c r="G32">
        <v>-1468.0050452391911</v>
      </c>
      <c r="H32">
        <v>-1223.7800476806549</v>
      </c>
      <c r="I32">
        <v>241.53729167128199</v>
      </c>
      <c r="J32">
        <v>130.971355647938</v>
      </c>
      <c r="K32">
        <v>47.777985324865703</v>
      </c>
      <c r="L32">
        <v>4.3729710926705218E-4</v>
      </c>
      <c r="M32">
        <v>6.6766507027972874E-5</v>
      </c>
      <c r="N32" s="1">
        <v>1.4429196133908301E-5</v>
      </c>
      <c r="O32" s="1">
        <v>2.5309206555447301E-6</v>
      </c>
      <c r="P32" s="1">
        <v>-9.9426219773819508E-6</v>
      </c>
    </row>
    <row r="33" spans="1:16" x14ac:dyDescent="0.2">
      <c r="A33">
        <v>32</v>
      </c>
      <c r="B33">
        <v>736</v>
      </c>
      <c r="C33">
        <v>275</v>
      </c>
      <c r="D33">
        <v>0.28667740177377199</v>
      </c>
      <c r="E33">
        <v>101.73781384114</v>
      </c>
      <c r="F33">
        <v>1.88339726380862</v>
      </c>
      <c r="G33">
        <v>-1680.6094758692759</v>
      </c>
      <c r="H33">
        <v>-1404.7763750318711</v>
      </c>
      <c r="I33">
        <v>273.33798109159801</v>
      </c>
      <c r="J33">
        <v>148.93962243989199</v>
      </c>
      <c r="K33">
        <v>54.018244475626602</v>
      </c>
      <c r="L33">
        <v>4.2176728018042441E-4</v>
      </c>
      <c r="M33">
        <v>6.4014428161041385E-5</v>
      </c>
      <c r="N33" s="1">
        <v>1.5808135375260201E-5</v>
      </c>
      <c r="O33" s="1">
        <v>2.7375432133742801E-6</v>
      </c>
      <c r="P33" s="1">
        <v>-1.0819310124581E-5</v>
      </c>
    </row>
    <row r="34" spans="1:16" x14ac:dyDescent="0.2">
      <c r="A34">
        <v>33</v>
      </c>
      <c r="B34">
        <v>764</v>
      </c>
      <c r="C34">
        <v>250</v>
      </c>
      <c r="D34">
        <v>0.33433977727426201</v>
      </c>
      <c r="E34">
        <v>4.4976708860190397</v>
      </c>
      <c r="F34">
        <v>0.52076137964575597</v>
      </c>
      <c r="G34">
        <v>-97.945729969555003</v>
      </c>
      <c r="H34">
        <v>-57.073456870078047</v>
      </c>
      <c r="I34">
        <v>39.410738025306401</v>
      </c>
      <c r="J34">
        <v>17.4728612487635</v>
      </c>
      <c r="K34">
        <v>8.6367212735294405</v>
      </c>
      <c r="L34">
        <v>1.288735419005353E-3</v>
      </c>
      <c r="M34">
        <v>2.318300249721325E-4</v>
      </c>
      <c r="N34" s="1">
        <v>6.3304342267163297E-6</v>
      </c>
      <c r="O34" s="1">
        <v>1.8593659718272899E-6</v>
      </c>
      <c r="P34" s="1">
        <v>-6.0821757009864702E-6</v>
      </c>
    </row>
    <row r="35" spans="1:16" x14ac:dyDescent="0.2">
      <c r="A35">
        <v>34</v>
      </c>
      <c r="B35">
        <v>762</v>
      </c>
      <c r="C35">
        <v>250</v>
      </c>
      <c r="D35">
        <v>0.33291841762063901</v>
      </c>
      <c r="E35">
        <v>4.5615168557732897</v>
      </c>
      <c r="F35">
        <v>0.52754717855164701</v>
      </c>
      <c r="G35">
        <v>-98.934549439401309</v>
      </c>
      <c r="H35">
        <v>-58.012915600510539</v>
      </c>
      <c r="I35">
        <v>39.534570199058599</v>
      </c>
      <c r="J35">
        <v>17.577058937649198</v>
      </c>
      <c r="K35">
        <v>8.6466519796327805</v>
      </c>
      <c r="L35">
        <v>1.2871046561782487E-3</v>
      </c>
      <c r="M35">
        <v>2.3039823141429692E-4</v>
      </c>
      <c r="N35" s="1">
        <v>6.4652591759602402E-6</v>
      </c>
      <c r="O35" s="1">
        <v>1.8490310674283301E-6</v>
      </c>
      <c r="P35" s="1">
        <v>-6.0869494569963402E-6</v>
      </c>
    </row>
    <row r="36" spans="1:16" x14ac:dyDescent="0.2">
      <c r="A36">
        <v>35</v>
      </c>
      <c r="B36">
        <v>760</v>
      </c>
      <c r="C36">
        <v>250</v>
      </c>
      <c r="D36">
        <v>0.33149155495329902</v>
      </c>
      <c r="E36">
        <v>5.0012631233778304</v>
      </c>
      <c r="F36">
        <v>0.56627244610417204</v>
      </c>
      <c r="G36">
        <v>-106.15666303308026</v>
      </c>
      <c r="H36">
        <v>-64.293650929212887</v>
      </c>
      <c r="I36">
        <v>40.522287807508498</v>
      </c>
      <c r="J36">
        <v>18.1665959124716</v>
      </c>
      <c r="K36">
        <v>8.8319026606104494</v>
      </c>
      <c r="L36">
        <v>1.2649997171322682E-3</v>
      </c>
      <c r="M36">
        <v>2.2534515540344321E-4</v>
      </c>
      <c r="N36" s="1">
        <v>6.6275130126376598E-6</v>
      </c>
      <c r="O36" s="1">
        <v>1.84604341097536E-6</v>
      </c>
      <c r="P36" s="1">
        <v>-6.1159412188247403E-6</v>
      </c>
    </row>
    <row r="37" spans="1:16" x14ac:dyDescent="0.2">
      <c r="A37">
        <v>36</v>
      </c>
      <c r="B37">
        <v>758</v>
      </c>
      <c r="C37">
        <v>250</v>
      </c>
      <c r="D37">
        <v>0.330059157251614</v>
      </c>
      <c r="E37">
        <v>5.4367215273735203</v>
      </c>
      <c r="F37">
        <v>0.60308366933589697</v>
      </c>
      <c r="G37">
        <v>-113.30336809302294</v>
      </c>
      <c r="H37">
        <v>-70.515863291158681</v>
      </c>
      <c r="I37">
        <v>41.497461317613499</v>
      </c>
      <c r="J37">
        <v>18.750331658197599</v>
      </c>
      <c r="K37">
        <v>9.0148710764467008</v>
      </c>
      <c r="L37">
        <v>1.2440023926216283E-3</v>
      </c>
      <c r="M37">
        <v>2.2052933155055433E-4</v>
      </c>
      <c r="N37" s="1">
        <v>6.79125096178992E-6</v>
      </c>
      <c r="O37" s="1">
        <v>1.84279614663908E-6</v>
      </c>
      <c r="P37" s="1">
        <v>-6.1442526091455704E-6</v>
      </c>
    </row>
    <row r="38" spans="1:16" x14ac:dyDescent="0.2">
      <c r="A38">
        <v>37</v>
      </c>
      <c r="B38">
        <v>756</v>
      </c>
      <c r="C38">
        <v>250</v>
      </c>
      <c r="D38">
        <v>0.32862119224602798</v>
      </c>
      <c r="E38">
        <v>5.8679609159274202</v>
      </c>
      <c r="F38">
        <v>0.638127355833499</v>
      </c>
      <c r="G38">
        <v>-120.37587816096158</v>
      </c>
      <c r="H38">
        <v>-76.68049559586386</v>
      </c>
      <c r="I38">
        <v>42.460280565622803</v>
      </c>
      <c r="J38">
        <v>19.328353080760898</v>
      </c>
      <c r="K38">
        <v>9.1955953028575195</v>
      </c>
      <c r="L38">
        <v>1.224026673566753E-3</v>
      </c>
      <c r="M38">
        <v>2.1593262090446766E-4</v>
      </c>
      <c r="N38" s="1">
        <v>6.95643959992562E-6</v>
      </c>
      <c r="O38" s="1">
        <v>1.8392934970973799E-6</v>
      </c>
      <c r="P38" s="1">
        <v>-6.1718812819815701E-6</v>
      </c>
    </row>
    <row r="39" spans="1:16" x14ac:dyDescent="0.2">
      <c r="A39">
        <v>38</v>
      </c>
      <c r="B39">
        <v>754</v>
      </c>
      <c r="C39">
        <v>250</v>
      </c>
      <c r="D39">
        <v>0.32717762741566497</v>
      </c>
      <c r="E39">
        <v>6.2950486761642903</v>
      </c>
      <c r="F39">
        <v>0.67153542148113399</v>
      </c>
      <c r="G39">
        <v>-127.37538105144823</v>
      </c>
      <c r="H39">
        <v>-82.788470730255654</v>
      </c>
      <c r="I39">
        <v>43.410931312477899</v>
      </c>
      <c r="J39">
        <v>19.900745113283499</v>
      </c>
      <c r="K39">
        <v>9.3741126302466196</v>
      </c>
      <c r="L39">
        <v>1.2049951109670009E-3</v>
      </c>
      <c r="M39">
        <v>2.1153869411117551E-4</v>
      </c>
      <c r="N39" s="1">
        <v>7.12304461690727E-6</v>
      </c>
      <c r="O39" s="1">
        <v>1.8355396559983501E-6</v>
      </c>
      <c r="P39" s="1">
        <v>-6.1988248774659496E-6</v>
      </c>
    </row>
    <row r="40" spans="1:16" x14ac:dyDescent="0.2">
      <c r="A40">
        <v>39</v>
      </c>
      <c r="B40">
        <v>752</v>
      </c>
      <c r="C40">
        <v>250</v>
      </c>
      <c r="D40">
        <v>0.32572842998585799</v>
      </c>
      <c r="E40">
        <v>6.7180507734991304</v>
      </c>
      <c r="F40">
        <v>0.70342696222444101</v>
      </c>
      <c r="G40">
        <v>-134.30303954339001</v>
      </c>
      <c r="H40">
        <v>-88.840692097876115</v>
      </c>
      <c r="I40">
        <v>44.349595352655498</v>
      </c>
      <c r="J40">
        <v>20.4675907690328</v>
      </c>
      <c r="K40">
        <v>9.5504595846805405</v>
      </c>
      <c r="L40">
        <v>1.1868377769024357E-3</v>
      </c>
      <c r="M40">
        <v>2.0733281172075833E-4</v>
      </c>
      <c r="N40" s="1">
        <v>7.2910308244949198E-6</v>
      </c>
      <c r="O40" s="1">
        <v>1.8315387898564301E-6</v>
      </c>
      <c r="P40" s="1">
        <v>-6.2250810301922501E-6</v>
      </c>
    </row>
    <row r="41" spans="1:16" x14ac:dyDescent="0.2">
      <c r="A41">
        <v>40</v>
      </c>
      <c r="B41">
        <v>750</v>
      </c>
      <c r="C41">
        <v>250</v>
      </c>
      <c r="D41">
        <v>0.324273566925672</v>
      </c>
      <c r="E41">
        <v>7.13703179081699</v>
      </c>
      <c r="F41">
        <v>0.73390977387092804</v>
      </c>
      <c r="G41">
        <v>-141.15999206766915</v>
      </c>
      <c r="H41">
        <v>-94.838044156592645</v>
      </c>
      <c r="I41">
        <v>45.276450621918997</v>
      </c>
      <c r="J41">
        <v>21.028971194121599</v>
      </c>
      <c r="K41">
        <v>9.7246719486694992</v>
      </c>
      <c r="L41">
        <v>1.1694913732952501E-3</v>
      </c>
      <c r="M41">
        <v>2.033016357364639E-4</v>
      </c>
      <c r="N41" s="1">
        <v>7.4603621660865803E-6</v>
      </c>
      <c r="O41" s="1">
        <v>1.82729503986651E-6</v>
      </c>
      <c r="P41" s="1">
        <v>-6.2506473775469098E-6</v>
      </c>
    </row>
    <row r="42" spans="1:16" x14ac:dyDescent="0.2">
      <c r="A42">
        <v>41</v>
      </c>
      <c r="B42">
        <v>748</v>
      </c>
      <c r="C42">
        <v>250</v>
      </c>
      <c r="D42">
        <v>0.32281300494540499</v>
      </c>
      <c r="E42">
        <v>7.5520549596269202</v>
      </c>
      <c r="F42">
        <v>0.76308166025101698</v>
      </c>
      <c r="G42">
        <v>-147.94735326055363</v>
      </c>
      <c r="H42">
        <v>-100.78139284280701</v>
      </c>
      <c r="I42">
        <v>46.191671286057101</v>
      </c>
      <c r="J42">
        <v>21.584965709796901</v>
      </c>
      <c r="K42">
        <v>9.8967847781096694</v>
      </c>
      <c r="L42">
        <v>1.15289846481404E-3</v>
      </c>
      <c r="M42">
        <v>1.9943306739937447E-4</v>
      </c>
      <c r="N42" s="1">
        <v>7.63100172704084E-6</v>
      </c>
      <c r="O42" s="1">
        <v>1.8228125234900301E-6</v>
      </c>
      <c r="P42" s="1">
        <v>-6.2755215675126899E-6</v>
      </c>
    </row>
    <row r="43" spans="1:16" x14ac:dyDescent="0.2">
      <c r="A43">
        <v>42</v>
      </c>
      <c r="B43">
        <v>746</v>
      </c>
      <c r="C43">
        <v>250</v>
      </c>
      <c r="D43">
        <v>0.32134671049404001</v>
      </c>
      <c r="E43">
        <v>7.9631822023425096</v>
      </c>
      <c r="F43">
        <v>0.791031564498206</v>
      </c>
      <c r="G43">
        <v>-154.66621470110528</v>
      </c>
      <c r="H43">
        <v>-106.671586154217</v>
      </c>
      <c r="I43">
        <v>47.095427855634703</v>
      </c>
      <c r="J43">
        <v>22.135651869539</v>
      </c>
      <c r="K43">
        <v>10.0668324245619</v>
      </c>
      <c r="L43">
        <v>1.1370068154604271E-3</v>
      </c>
      <c r="M43">
        <v>1.9571610691470156E-4</v>
      </c>
      <c r="N43" s="1">
        <v>7.8029117473343296E-6</v>
      </c>
      <c r="O43" s="1">
        <v>1.81809533624788E-6</v>
      </c>
      <c r="P43" s="1">
        <v>-6.2997012674201E-6</v>
      </c>
    </row>
    <row r="44" spans="1:16" x14ac:dyDescent="0.2">
      <c r="A44">
        <v>43</v>
      </c>
      <c r="B44">
        <v>744</v>
      </c>
      <c r="C44">
        <v>250</v>
      </c>
      <c r="D44">
        <v>0.31987464975667701</v>
      </c>
      <c r="E44">
        <v>8.3704741604040702</v>
      </c>
      <c r="F44">
        <v>0.817840549291032</v>
      </c>
      <c r="G44">
        <v>-161.31764541146453</v>
      </c>
      <c r="H44">
        <v>-112.50945453224227</v>
      </c>
      <c r="I44">
        <v>47.987887265929601</v>
      </c>
      <c r="J44">
        <v>22.681105497093998</v>
      </c>
      <c r="K44">
        <v>10.234848550442001</v>
      </c>
      <c r="L44">
        <v>1.1217688137818238E-3</v>
      </c>
      <c r="M44">
        <v>1.9214073189475448E-4</v>
      </c>
      <c r="N44" s="1">
        <v>7.9760536338921404E-6</v>
      </c>
      <c r="O44" s="1">
        <v>1.81314755306247E-6</v>
      </c>
      <c r="P44" s="1">
        <v>-6.3231841713892897E-6</v>
      </c>
    </row>
    <row r="45" spans="1:16" x14ac:dyDescent="0.2">
      <c r="A45">
        <v>44</v>
      </c>
      <c r="B45">
        <v>742</v>
      </c>
      <c r="C45">
        <v>250</v>
      </c>
      <c r="D45">
        <v>0.318396788651924</v>
      </c>
      <c r="E45">
        <v>89.005278609127899</v>
      </c>
      <c r="F45">
        <v>1.8137258574739701</v>
      </c>
      <c r="G45">
        <v>-1476.5885320381369</v>
      </c>
      <c r="H45">
        <v>-1228.7227942662857</v>
      </c>
      <c r="I45">
        <v>244.17203355779</v>
      </c>
      <c r="J45">
        <v>131.978337777365</v>
      </c>
      <c r="K45">
        <v>49.073170701270101</v>
      </c>
      <c r="L45">
        <v>4.9037103634249745E-4</v>
      </c>
      <c r="M45">
        <v>8.2417771035748629E-5</v>
      </c>
      <c r="N45" s="1">
        <v>1.58258822570757E-5</v>
      </c>
      <c r="O45" s="1">
        <v>3.6839289896615001E-6</v>
      </c>
      <c r="P45" s="1">
        <v>-1.29272058562289E-5</v>
      </c>
    </row>
    <row r="46" spans="1:16" x14ac:dyDescent="0.2">
      <c r="A46">
        <v>45</v>
      </c>
      <c r="B46">
        <v>740</v>
      </c>
      <c r="C46">
        <v>250</v>
      </c>
      <c r="D46">
        <v>0.31691309282929903</v>
      </c>
      <c r="E46">
        <v>101.69571869885399</v>
      </c>
      <c r="F46">
        <v>1.8450635168084899</v>
      </c>
      <c r="G46">
        <v>-1682.6044678372998</v>
      </c>
      <c r="H46">
        <v>-1404.2887297981435</v>
      </c>
      <c r="I46">
        <v>274.70925375820201</v>
      </c>
      <c r="J46">
        <v>149.23680942497401</v>
      </c>
      <c r="K46">
        <v>55.117733222953298</v>
      </c>
      <c r="L46">
        <v>4.717619344256881E-4</v>
      </c>
      <c r="M46">
        <v>7.8809117503155288E-5</v>
      </c>
      <c r="N46" s="1">
        <v>1.7278823171568899E-5</v>
      </c>
      <c r="O46" s="1">
        <v>3.9498572012147298E-6</v>
      </c>
      <c r="P46" s="1">
        <v>-1.3949806754723699E-5</v>
      </c>
    </row>
    <row r="47" spans="1:16" x14ac:dyDescent="0.2">
      <c r="A47">
        <v>46</v>
      </c>
      <c r="B47">
        <v>764</v>
      </c>
      <c r="C47">
        <v>225</v>
      </c>
      <c r="D47">
        <v>0.36085474617943802</v>
      </c>
      <c r="E47">
        <v>4.9012836246200502</v>
      </c>
      <c r="F47">
        <v>0.48869547576889899</v>
      </c>
      <c r="G47">
        <v>-106.97789381874375</v>
      </c>
      <c r="H47">
        <v>-62.099880757174184</v>
      </c>
      <c r="I47">
        <v>43.273217834481798</v>
      </c>
      <c r="J47">
        <v>19.2193109698465</v>
      </c>
      <c r="K47">
        <v>10.0293206457631</v>
      </c>
      <c r="L47">
        <v>1.3978432493216984E-3</v>
      </c>
      <c r="M47">
        <v>2.7899988343468146E-4</v>
      </c>
      <c r="N47" s="1">
        <v>6.7325881438159896E-6</v>
      </c>
      <c r="O47" s="1">
        <v>2.9827493419022099E-6</v>
      </c>
      <c r="P47" s="1">
        <v>-8.6021074926209495E-6</v>
      </c>
    </row>
    <row r="48" spans="1:16" x14ac:dyDescent="0.2">
      <c r="A48">
        <v>47</v>
      </c>
      <c r="B48">
        <v>762</v>
      </c>
      <c r="C48">
        <v>225</v>
      </c>
      <c r="D48">
        <v>0.35948461575617302</v>
      </c>
      <c r="E48">
        <v>5.0238809828583397</v>
      </c>
      <c r="F48">
        <v>0.49932414641441503</v>
      </c>
      <c r="G48">
        <v>-108.93348298947495</v>
      </c>
      <c r="H48">
        <v>-63.87890135345647</v>
      </c>
      <c r="I48">
        <v>43.527402372538397</v>
      </c>
      <c r="J48">
        <v>19.404266677043999</v>
      </c>
      <c r="K48">
        <v>10.0613619808579</v>
      </c>
      <c r="L48">
        <v>1.3940768336342256E-3</v>
      </c>
      <c r="M48">
        <v>2.7681201150832574E-4</v>
      </c>
      <c r="N48" s="1">
        <v>6.9297072798498702E-6</v>
      </c>
      <c r="O48" s="1">
        <v>2.9684961778415298E-6</v>
      </c>
      <c r="P48" s="1">
        <v>-8.6195723022831802E-6</v>
      </c>
    </row>
    <row r="49" spans="1:16" x14ac:dyDescent="0.2">
      <c r="A49">
        <v>48</v>
      </c>
      <c r="B49">
        <v>760</v>
      </c>
      <c r="C49">
        <v>225</v>
      </c>
      <c r="D49">
        <v>0.35810918066108399</v>
      </c>
      <c r="E49">
        <v>5.4481045509647696</v>
      </c>
      <c r="F49">
        <v>0.53231128903810299</v>
      </c>
      <c r="G49">
        <v>-115.89003607173241</v>
      </c>
      <c r="H49">
        <v>-69.947805099134385</v>
      </c>
      <c r="I49">
        <v>44.470843508896898</v>
      </c>
      <c r="J49">
        <v>19.9773874236759</v>
      </c>
      <c r="K49">
        <v>10.234809336487301</v>
      </c>
      <c r="L49">
        <v>1.3749614388822169E-3</v>
      </c>
      <c r="M49">
        <v>2.7161723250153109E-4</v>
      </c>
      <c r="N49" s="1">
        <v>7.1489673252282597E-6</v>
      </c>
      <c r="O49" s="1">
        <v>2.96246536758169E-6</v>
      </c>
      <c r="P49" s="1">
        <v>-8.6610352693541204E-6</v>
      </c>
    </row>
    <row r="50" spans="1:16" x14ac:dyDescent="0.2">
      <c r="A50">
        <v>49</v>
      </c>
      <c r="B50">
        <v>758</v>
      </c>
      <c r="C50">
        <v>225</v>
      </c>
      <c r="D50">
        <v>0.356728410027642</v>
      </c>
      <c r="E50">
        <v>5.86830907984766</v>
      </c>
      <c r="F50">
        <v>0.56393011040159202</v>
      </c>
      <c r="G50">
        <v>-122.77588500830714</v>
      </c>
      <c r="H50">
        <v>-75.961860015206881</v>
      </c>
      <c r="I50">
        <v>45.402567939405898</v>
      </c>
      <c r="J50">
        <v>20.5451414633803</v>
      </c>
      <c r="K50">
        <v>10.406092832440899</v>
      </c>
      <c r="L50">
        <v>1.3566547822143045E-3</v>
      </c>
      <c r="M50">
        <v>2.6662359165708499E-4</v>
      </c>
      <c r="N50" s="1">
        <v>7.3709198662291502E-6</v>
      </c>
      <c r="O50" s="1">
        <v>2.9560624051918998E-6</v>
      </c>
      <c r="P50" s="1">
        <v>-8.7016882668953795E-6</v>
      </c>
    </row>
    <row r="51" spans="1:16" x14ac:dyDescent="0.2">
      <c r="A51">
        <v>50</v>
      </c>
      <c r="B51">
        <v>756</v>
      </c>
      <c r="C51">
        <v>225</v>
      </c>
      <c r="D51">
        <v>0.35534227274935698</v>
      </c>
      <c r="E51">
        <v>6.2845571506411897</v>
      </c>
      <c r="F51">
        <v>0.59427042295037302</v>
      </c>
      <c r="G51">
        <v>-129.59213473499409</v>
      </c>
      <c r="H51">
        <v>-81.921923155925214</v>
      </c>
      <c r="I51">
        <v>46.322748217540699</v>
      </c>
      <c r="J51">
        <v>21.107606077399701</v>
      </c>
      <c r="K51">
        <v>10.5752480822455</v>
      </c>
      <c r="L51">
        <v>1.3391022770894484E-3</v>
      </c>
      <c r="M51">
        <v>2.61817866730041E-4</v>
      </c>
      <c r="N51" s="1">
        <v>7.5955241833331801E-6</v>
      </c>
      <c r="O51" s="1">
        <v>2.9492920108126098E-6</v>
      </c>
      <c r="P51" s="1">
        <v>-8.7415223926220796E-6</v>
      </c>
    </row>
    <row r="52" spans="1:16" x14ac:dyDescent="0.2">
      <c r="A52">
        <v>51</v>
      </c>
      <c r="B52">
        <v>754</v>
      </c>
      <c r="C52">
        <v>225</v>
      </c>
      <c r="D52">
        <v>0.35395073747748601</v>
      </c>
      <c r="E52">
        <v>6.6969100445125704</v>
      </c>
      <c r="F52">
        <v>0.62341433504266197</v>
      </c>
      <c r="G52">
        <v>-136.33986729248829</v>
      </c>
      <c r="H52">
        <v>-87.828833748104913</v>
      </c>
      <c r="I52">
        <v>47.2315533069632</v>
      </c>
      <c r="J52">
        <v>21.6648567792226</v>
      </c>
      <c r="K52">
        <v>10.7423099984607</v>
      </c>
      <c r="L52">
        <v>1.3222540071892983E-3</v>
      </c>
      <c r="M52">
        <v>2.5718797351840595E-4</v>
      </c>
      <c r="N52" s="1">
        <v>7.8227376302696301E-6</v>
      </c>
      <c r="O52" s="1">
        <v>2.9421588986165601E-6</v>
      </c>
      <c r="P52" s="1">
        <v>-8.7805286663428693E-6</v>
      </c>
    </row>
    <row r="53" spans="1:16" x14ac:dyDescent="0.2">
      <c r="A53">
        <v>52</v>
      </c>
      <c r="B53">
        <v>752</v>
      </c>
      <c r="C53">
        <v>225</v>
      </c>
      <c r="D53">
        <v>0.35255377261864101</v>
      </c>
      <c r="E53">
        <v>7.1054277742395602</v>
      </c>
      <c r="F53">
        <v>0.65143705860529</v>
      </c>
      <c r="G53">
        <v>-143.02014238505578</v>
      </c>
      <c r="H53">
        <v>-93.683413622656701</v>
      </c>
      <c r="I53">
        <v>48.129148670525502</v>
      </c>
      <c r="J53">
        <v>22.216967358006201</v>
      </c>
      <c r="K53">
        <v>10.9073128100082</v>
      </c>
      <c r="L53">
        <v>1.3060642373765126E-3</v>
      </c>
      <c r="M53">
        <v>2.5272284663255219E-4</v>
      </c>
      <c r="N53" s="1">
        <v>8.0525156294765401E-6</v>
      </c>
      <c r="O53" s="1">
        <v>2.9346677801221799E-6</v>
      </c>
      <c r="P53" s="1">
        <v>-8.8186980443091002E-6</v>
      </c>
    </row>
    <row r="54" spans="1:16" x14ac:dyDescent="0.2">
      <c r="A54">
        <v>53</v>
      </c>
      <c r="B54">
        <v>750</v>
      </c>
      <c r="C54">
        <v>225</v>
      </c>
      <c r="D54">
        <v>0.35115134633240402</v>
      </c>
      <c r="E54">
        <v>9.7578720737631794</v>
      </c>
      <c r="F54">
        <v>0.80022398918499704</v>
      </c>
      <c r="G54">
        <v>-186.92612130683634</v>
      </c>
      <c r="H54">
        <v>-131.01127981700489</v>
      </c>
      <c r="I54">
        <v>54.652600148599902</v>
      </c>
      <c r="J54">
        <v>25.8849855449192</v>
      </c>
      <c r="K54">
        <v>12.193925957782399</v>
      </c>
      <c r="L54">
        <v>1.2083743040009224E-3</v>
      </c>
      <c r="M54">
        <v>2.324355735623387E-4</v>
      </c>
      <c r="N54" s="1">
        <v>8.5098306169533707E-6</v>
      </c>
      <c r="O54" s="1">
        <v>3.0151731018868499E-6</v>
      </c>
      <c r="P54" s="1">
        <v>-9.1232509623676802E-6</v>
      </c>
    </row>
    <row r="55" spans="1:16" x14ac:dyDescent="0.2">
      <c r="A55">
        <v>54</v>
      </c>
      <c r="B55">
        <v>748</v>
      </c>
      <c r="C55">
        <v>225</v>
      </c>
      <c r="D55">
        <v>0.34974342652891699</v>
      </c>
      <c r="E55">
        <v>32.198376127108702</v>
      </c>
      <c r="F55">
        <v>1.3948303466655601</v>
      </c>
      <c r="G55">
        <v>-554.74834457839529</v>
      </c>
      <c r="H55">
        <v>-443.38910322088287</v>
      </c>
      <c r="I55">
        <v>109.05640764997899</v>
      </c>
      <c r="J55">
        <v>56.190941833044697</v>
      </c>
      <c r="K55">
        <v>23.084080586632702</v>
      </c>
      <c r="L55">
        <v>8.0419219885575078E-4</v>
      </c>
      <c r="M55">
        <v>1.5309978352830386E-4</v>
      </c>
      <c r="N55" s="1">
        <v>1.07260601264539E-5</v>
      </c>
      <c r="O55" s="1">
        <v>3.7451366874576999E-6</v>
      </c>
      <c r="P55" s="1">
        <v>-1.14097890079754E-5</v>
      </c>
    </row>
    <row r="56" spans="1:16" x14ac:dyDescent="0.2">
      <c r="A56">
        <v>55</v>
      </c>
      <c r="B56">
        <v>746</v>
      </c>
      <c r="C56">
        <v>225</v>
      </c>
      <c r="D56">
        <v>0.34832998086640898</v>
      </c>
      <c r="E56">
        <v>92.208606506970895</v>
      </c>
      <c r="F56">
        <v>1.7728260678584</v>
      </c>
      <c r="G56">
        <v>-1531.4794902965091</v>
      </c>
      <c r="H56">
        <v>-1272.925644720134</v>
      </c>
      <c r="I56">
        <v>253.70112508693799</v>
      </c>
      <c r="J56">
        <v>136.80428191466899</v>
      </c>
      <c r="K56">
        <v>52.012212691772902</v>
      </c>
      <c r="L56">
        <v>5.5023583706622443E-4</v>
      </c>
      <c r="M56">
        <v>1.034651271622172E-4</v>
      </c>
      <c r="N56" s="1">
        <v>1.63690738065699E-5</v>
      </c>
      <c r="O56" s="1">
        <v>5.6721065125893996E-6</v>
      </c>
      <c r="P56" s="1">
        <v>-1.73988040096257E-5</v>
      </c>
    </row>
    <row r="57" spans="1:16" x14ac:dyDescent="0.2">
      <c r="A57">
        <v>56</v>
      </c>
      <c r="B57">
        <v>744</v>
      </c>
      <c r="C57">
        <v>225</v>
      </c>
      <c r="D57">
        <v>0.34691097674876298</v>
      </c>
      <c r="E57">
        <v>102.036254656529</v>
      </c>
      <c r="F57">
        <v>1.8000533955853</v>
      </c>
      <c r="G57">
        <v>-1690.8518810535227</v>
      </c>
      <c r="H57">
        <v>-1409.0266987022617</v>
      </c>
      <c r="I57">
        <v>277.07924648386</v>
      </c>
      <c r="J57">
        <v>150.07368292783701</v>
      </c>
      <c r="K57">
        <v>56.685126622786001</v>
      </c>
      <c r="L57">
        <v>5.332325235588146E-4</v>
      </c>
      <c r="M57">
        <v>9.9662480242544674E-5</v>
      </c>
      <c r="N57" s="1">
        <v>1.7617943149599399E-5</v>
      </c>
      <c r="O57" s="1">
        <v>5.94917246712583E-6</v>
      </c>
      <c r="P57" s="1">
        <v>-1.83753923801087E-5</v>
      </c>
    </row>
    <row r="58" spans="1:16" x14ac:dyDescent="0.2">
      <c r="A58">
        <v>57</v>
      </c>
      <c r="B58">
        <v>764</v>
      </c>
      <c r="C58">
        <v>200</v>
      </c>
      <c r="D58">
        <v>0.38736971508460899</v>
      </c>
      <c r="E58">
        <v>5.3043750625850503</v>
      </c>
      <c r="F58">
        <v>0.45228805448552301</v>
      </c>
      <c r="G58">
        <v>-116.05772495726906</v>
      </c>
      <c r="H58">
        <v>-67.062324542560006</v>
      </c>
      <c r="I58">
        <v>47.243345614275398</v>
      </c>
      <c r="J58">
        <v>20.973127997363399</v>
      </c>
      <c r="K58">
        <v>11.727869020592999</v>
      </c>
      <c r="L58">
        <v>1.5221493354871563E-3</v>
      </c>
      <c r="M58">
        <v>3.4394199512921059E-4</v>
      </c>
      <c r="N58" s="1">
        <v>5.7522617140399501E-6</v>
      </c>
      <c r="O58" s="1">
        <v>4.9727356842263197E-6</v>
      </c>
      <c r="P58" s="1">
        <v>-1.2287636347063701E-5</v>
      </c>
    </row>
    <row r="59" spans="1:16" x14ac:dyDescent="0.2">
      <c r="A59">
        <v>58</v>
      </c>
      <c r="B59">
        <v>762</v>
      </c>
      <c r="C59">
        <v>200</v>
      </c>
      <c r="D59">
        <v>0.38605081389170998</v>
      </c>
      <c r="E59">
        <v>5.5689366951927797</v>
      </c>
      <c r="F59">
        <v>0.47116025252257299</v>
      </c>
      <c r="G59">
        <v>-120.35888185575524</v>
      </c>
      <c r="H59">
        <v>-70.866733529391055</v>
      </c>
      <c r="I59">
        <v>47.8145111281639</v>
      </c>
      <c r="J59">
        <v>21.3465087458578</v>
      </c>
      <c r="K59">
        <v>11.8196232924507</v>
      </c>
      <c r="L59">
        <v>1.5130063050110408E-3</v>
      </c>
      <c r="M59">
        <v>3.400259644021818E-4</v>
      </c>
      <c r="N59" s="1">
        <v>6.0322665824305603E-6</v>
      </c>
      <c r="O59" s="1">
        <v>4.9567085559863802E-6</v>
      </c>
      <c r="P59" s="1">
        <v>-1.23382171037896E-5</v>
      </c>
    </row>
    <row r="60" spans="1:16" x14ac:dyDescent="0.2">
      <c r="A60">
        <v>59</v>
      </c>
      <c r="B60">
        <v>760</v>
      </c>
      <c r="C60">
        <v>200</v>
      </c>
      <c r="D60">
        <v>0.38472680636887402</v>
      </c>
      <c r="E60">
        <v>5.9757859539576899</v>
      </c>
      <c r="F60">
        <v>0.49887894429964302</v>
      </c>
      <c r="G60">
        <v>-127.01712532568918</v>
      </c>
      <c r="H60">
        <v>-76.697652886852055</v>
      </c>
      <c r="I60">
        <v>48.707860662033902</v>
      </c>
      <c r="J60">
        <v>21.902289582119899</v>
      </c>
      <c r="K60">
        <v>11.978428879869499</v>
      </c>
      <c r="L60">
        <v>1.4972798084886274E-3</v>
      </c>
      <c r="M60">
        <v>3.3467044966967711E-4</v>
      </c>
      <c r="N60" s="1">
        <v>6.3242798467388699E-6</v>
      </c>
      <c r="O60" s="1">
        <v>4.9461338244721301E-6</v>
      </c>
      <c r="P60" s="1">
        <v>-1.2402815917640799E-5</v>
      </c>
    </row>
    <row r="61" spans="1:16" x14ac:dyDescent="0.2">
      <c r="A61">
        <v>60</v>
      </c>
      <c r="B61">
        <v>758</v>
      </c>
      <c r="C61">
        <v>200</v>
      </c>
      <c r="D61">
        <v>0.383397662803666</v>
      </c>
      <c r="E61">
        <v>6.37891538388575</v>
      </c>
      <c r="F61">
        <v>0.52565421478896701</v>
      </c>
      <c r="G61">
        <v>-133.60988364053443</v>
      </c>
      <c r="H61">
        <v>-82.477832499530464</v>
      </c>
      <c r="I61">
        <v>49.590375572057198</v>
      </c>
      <c r="J61">
        <v>22.4532027039388</v>
      </c>
      <c r="K61">
        <v>12.135193068786901</v>
      </c>
      <c r="L61">
        <v>1.4821085536107349E-3</v>
      </c>
      <c r="M61">
        <v>3.2948057886704674E-4</v>
      </c>
      <c r="N61" s="1">
        <v>6.6213236071436104E-6</v>
      </c>
      <c r="O61" s="1">
        <v>4.9350041761681497E-6</v>
      </c>
      <c r="P61" s="1">
        <v>-1.24665587882834E-5</v>
      </c>
    </row>
    <row r="62" spans="1:16" x14ac:dyDescent="0.2">
      <c r="A62">
        <v>61</v>
      </c>
      <c r="B62">
        <v>756</v>
      </c>
      <c r="C62">
        <v>200</v>
      </c>
      <c r="D62">
        <v>0.38206335325268598</v>
      </c>
      <c r="E62">
        <v>9.1456953410531305</v>
      </c>
      <c r="F62">
        <v>0.678348436904323</v>
      </c>
      <c r="G62">
        <v>-179.42877495073472</v>
      </c>
      <c r="H62">
        <v>-121.43631272603315</v>
      </c>
      <c r="I62">
        <v>56.352934707974804</v>
      </c>
      <c r="J62">
        <v>26.254728870313699</v>
      </c>
      <c r="K62">
        <v>13.4822973615004</v>
      </c>
      <c r="L62">
        <v>1.3760778690627762E-3</v>
      </c>
      <c r="M62">
        <v>3.0404861695087316E-4</v>
      </c>
      <c r="N62" s="1">
        <v>7.0937191507539302E-6</v>
      </c>
      <c r="O62" s="1">
        <v>5.0596974770476203E-6</v>
      </c>
      <c r="P62" s="1">
        <v>-1.28763958493149E-5</v>
      </c>
    </row>
    <row r="63" spans="1:16" x14ac:dyDescent="0.2">
      <c r="A63">
        <v>62</v>
      </c>
      <c r="B63">
        <v>754</v>
      </c>
      <c r="C63">
        <v>200</v>
      </c>
      <c r="D63">
        <v>0.38072384753930699</v>
      </c>
      <c r="E63">
        <v>14.2932598721943</v>
      </c>
      <c r="F63">
        <v>0.89221744927404001</v>
      </c>
      <c r="G63">
        <v>-264.59038121871492</v>
      </c>
      <c r="H63">
        <v>-193.72894030371427</v>
      </c>
      <c r="I63">
        <v>68.991656881370105</v>
      </c>
      <c r="J63">
        <v>33.319460420774298</v>
      </c>
      <c r="K63">
        <v>16.019928643879499</v>
      </c>
      <c r="L63">
        <v>1.2249463445781193E-3</v>
      </c>
      <c r="M63">
        <v>2.6885402866450698E-4</v>
      </c>
      <c r="N63" s="1">
        <v>7.7567079825341298E-6</v>
      </c>
      <c r="O63" s="1">
        <v>5.3145285214380898E-6</v>
      </c>
      <c r="P63" s="1">
        <v>-1.3625463497626101E-5</v>
      </c>
    </row>
    <row r="64" spans="1:16" x14ac:dyDescent="0.2">
      <c r="A64">
        <v>63</v>
      </c>
      <c r="B64">
        <v>752</v>
      </c>
      <c r="C64">
        <v>200</v>
      </c>
      <c r="D64">
        <v>0.37937911525142798</v>
      </c>
      <c r="E64">
        <v>59.533897851653897</v>
      </c>
      <c r="F64">
        <v>1.56527613365394</v>
      </c>
      <c r="G64">
        <v>-1003.146468592419</v>
      </c>
      <c r="H64">
        <v>-821.14189249549429</v>
      </c>
      <c r="I64">
        <v>177.544055836513</v>
      </c>
      <c r="J64">
        <v>93.699813216547994</v>
      </c>
      <c r="K64">
        <v>38.034118435498897</v>
      </c>
      <c r="L64">
        <v>7.3557778722385854E-4</v>
      </c>
      <c r="M64">
        <v>1.594548323638094E-4</v>
      </c>
      <c r="N64" s="1">
        <v>1.11180932785949E-5</v>
      </c>
      <c r="O64" s="1">
        <v>7.45525959669913E-6</v>
      </c>
      <c r="P64" s="1">
        <v>-1.92553961562244E-5</v>
      </c>
    </row>
    <row r="65" spans="1:16" x14ac:dyDescent="0.2">
      <c r="A65">
        <v>64</v>
      </c>
      <c r="B65">
        <v>750</v>
      </c>
      <c r="C65">
        <v>200</v>
      </c>
      <c r="D65">
        <v>0.37802912573913899</v>
      </c>
      <c r="E65">
        <v>97.210633218017605</v>
      </c>
      <c r="F65">
        <v>1.7282328153409801</v>
      </c>
      <c r="G65">
        <v>-1615.6524343059273</v>
      </c>
      <c r="H65">
        <v>-1341.9619933869303</v>
      </c>
      <c r="I65">
        <v>267.50358012836602</v>
      </c>
      <c r="J65">
        <v>143.91300293961299</v>
      </c>
      <c r="K65">
        <v>56.248575050253002</v>
      </c>
      <c r="L65">
        <v>6.1981536441490929E-4</v>
      </c>
      <c r="M65">
        <v>1.3318206319797357E-4</v>
      </c>
      <c r="N65" s="1">
        <v>1.4157539580839701E-5</v>
      </c>
      <c r="O65" s="1">
        <v>9.1937632413124094E-6</v>
      </c>
      <c r="P65" s="1">
        <v>-2.3922584045049901E-5</v>
      </c>
    </row>
    <row r="66" spans="1:16" x14ac:dyDescent="0.2">
      <c r="A66">
        <v>65</v>
      </c>
      <c r="B66">
        <v>748</v>
      </c>
      <c r="C66">
        <v>200</v>
      </c>
      <c r="D66">
        <v>0.37667384811242399</v>
      </c>
      <c r="E66">
        <v>102.931358925675</v>
      </c>
      <c r="F66">
        <v>1.7462040679611599</v>
      </c>
      <c r="G66">
        <v>-1708.1588745950105</v>
      </c>
      <c r="H66">
        <v>-1421.3538962488528</v>
      </c>
      <c r="I66">
        <v>280.87058371101301</v>
      </c>
      <c r="J66">
        <v>151.61064272410599</v>
      </c>
      <c r="K66">
        <v>58.945778912229699</v>
      </c>
      <c r="L66">
        <v>6.0863856632062223E-4</v>
      </c>
      <c r="M66">
        <v>1.3000179516070115E-4</v>
      </c>
      <c r="N66" s="1">
        <v>1.5078171206089099E-5</v>
      </c>
      <c r="O66" s="1">
        <v>9.4048360359916398E-6</v>
      </c>
      <c r="P66" s="1">
        <v>-2.4655313057176601E-5</v>
      </c>
    </row>
    <row r="67" spans="1:16" x14ac:dyDescent="0.2">
      <c r="A67">
        <v>66</v>
      </c>
      <c r="B67">
        <v>766</v>
      </c>
      <c r="C67">
        <v>175</v>
      </c>
      <c r="D67">
        <v>0.41514747630275201</v>
      </c>
      <c r="E67">
        <v>5.71367656079659</v>
      </c>
      <c r="F67">
        <v>0.40922356621307199</v>
      </c>
      <c r="G67">
        <v>-125.4469344750561</v>
      </c>
      <c r="H67">
        <v>-71.976766771697342</v>
      </c>
      <c r="I67">
        <v>51.458824443003202</v>
      </c>
      <c r="J67">
        <v>22.660135226635301</v>
      </c>
      <c r="K67">
        <v>13.962237350283999</v>
      </c>
      <c r="L67">
        <v>1.6520271447197138E-3</v>
      </c>
      <c r="M67">
        <v>4.3648824607725814E-4</v>
      </c>
      <c r="N67" s="1">
        <v>1.2450986334396101E-6</v>
      </c>
      <c r="O67" s="1">
        <v>8.72683381704394E-6</v>
      </c>
      <c r="P67" s="1">
        <v>-1.7615054645254799E-5</v>
      </c>
    </row>
    <row r="68" spans="1:16" x14ac:dyDescent="0.2">
      <c r="A68">
        <v>67</v>
      </c>
      <c r="B68">
        <v>764</v>
      </c>
      <c r="C68">
        <v>175</v>
      </c>
      <c r="D68">
        <v>0.41388468398978101</v>
      </c>
      <c r="E68">
        <v>6.0396506270477603</v>
      </c>
      <c r="F68">
        <v>0.42896265190035598</v>
      </c>
      <c r="G68">
        <v>-130.76095704551534</v>
      </c>
      <c r="H68">
        <v>-76.626721937420058</v>
      </c>
      <c r="I68">
        <v>52.198346270856902</v>
      </c>
      <c r="J68">
        <v>23.135027510977</v>
      </c>
      <c r="K68">
        <v>14.0796654447453</v>
      </c>
      <c r="L68">
        <v>1.6431625340518226E-3</v>
      </c>
      <c r="M68">
        <v>4.3167172496727166E-4</v>
      </c>
      <c r="N68" s="1">
        <v>1.5865466423487899E-6</v>
      </c>
      <c r="O68" s="1">
        <v>8.7123213818675692E-6</v>
      </c>
      <c r="P68" s="1">
        <v>-1.7723580176383901E-5</v>
      </c>
    </row>
    <row r="69" spans="1:16" x14ac:dyDescent="0.2">
      <c r="A69">
        <v>68</v>
      </c>
      <c r="B69">
        <v>762</v>
      </c>
      <c r="C69">
        <v>175</v>
      </c>
      <c r="D69">
        <v>0.41261701202724399</v>
      </c>
      <c r="E69">
        <v>10.540200661517099</v>
      </c>
      <c r="F69">
        <v>0.64604889844435798</v>
      </c>
      <c r="G69">
        <v>-205.34623559121405</v>
      </c>
      <c r="H69">
        <v>-139.94290693732552</v>
      </c>
      <c r="I69">
        <v>63.185774442035097</v>
      </c>
      <c r="J69">
        <v>29.2668024597812</v>
      </c>
      <c r="K69">
        <v>16.3148651547851</v>
      </c>
      <c r="L69">
        <v>1.4828652424295327E-3</v>
      </c>
      <c r="M69">
        <v>3.8700686834894349E-4</v>
      </c>
      <c r="N69" s="1">
        <v>1.9883247693809798E-6</v>
      </c>
      <c r="O69" s="1">
        <v>9.0568451785380697E-6</v>
      </c>
      <c r="P69" s="1">
        <v>-1.8569363620175898E-5</v>
      </c>
    </row>
    <row r="70" spans="1:16" x14ac:dyDescent="0.2">
      <c r="A70">
        <v>69</v>
      </c>
      <c r="B70">
        <v>760</v>
      </c>
      <c r="C70">
        <v>175</v>
      </c>
      <c r="D70">
        <v>0.41134443207665999</v>
      </c>
      <c r="E70">
        <v>15.6891561890862</v>
      </c>
      <c r="F70">
        <v>0.83148161531769604</v>
      </c>
      <c r="G70">
        <v>-290.48743849342219</v>
      </c>
      <c r="H70">
        <v>-212.26384506054123</v>
      </c>
      <c r="I70">
        <v>75.717159959547999</v>
      </c>
      <c r="J70">
        <v>36.268276598800497</v>
      </c>
      <c r="K70">
        <v>18.868915319422499</v>
      </c>
      <c r="L70">
        <v>1.3453769367714223E-3</v>
      </c>
      <c r="M70">
        <v>3.4879101055830471E-4</v>
      </c>
      <c r="N70" s="1">
        <v>2.43365521243374E-6</v>
      </c>
      <c r="O70" s="1">
        <v>9.44620570840754E-6</v>
      </c>
      <c r="P70" s="1">
        <v>-1.9520663592127401E-5</v>
      </c>
    </row>
    <row r="71" spans="1:16" x14ac:dyDescent="0.2">
      <c r="A71">
        <v>70</v>
      </c>
      <c r="B71">
        <v>758</v>
      </c>
      <c r="C71">
        <v>175</v>
      </c>
      <c r="D71">
        <v>0.41006691557969399</v>
      </c>
      <c r="E71">
        <v>38.435667492241201</v>
      </c>
      <c r="F71">
        <v>1.2782536003007801</v>
      </c>
      <c r="G71">
        <v>-663.13899683758234</v>
      </c>
      <c r="H71">
        <v>-529.02633006971553</v>
      </c>
      <c r="I71">
        <v>130.06536764496499</v>
      </c>
      <c r="J71">
        <v>66.474264029533899</v>
      </c>
      <c r="K71">
        <v>30.068890463673998</v>
      </c>
      <c r="L71">
        <v>1.0011592203522028E-3</v>
      </c>
      <c r="M71">
        <v>2.5718507297288977E-4</v>
      </c>
      <c r="N71" s="1">
        <v>3.2250549984426398E-6</v>
      </c>
      <c r="O71" s="1">
        <v>1.1093148399098899E-5</v>
      </c>
      <c r="P71" s="1">
        <v>-2.31055976092779E-5</v>
      </c>
    </row>
    <row r="72" spans="1:16" x14ac:dyDescent="0.2">
      <c r="A72">
        <v>71</v>
      </c>
      <c r="B72">
        <v>756</v>
      </c>
      <c r="C72">
        <v>175</v>
      </c>
      <c r="D72">
        <v>0.40878443375601398</v>
      </c>
      <c r="E72">
        <v>91.482875378343607</v>
      </c>
      <c r="F72">
        <v>1.6331859046217001</v>
      </c>
      <c r="G72">
        <v>-1525.8453290602486</v>
      </c>
      <c r="H72">
        <v>-1262.2896130232443</v>
      </c>
      <c r="I72">
        <v>256.09622879487301</v>
      </c>
      <c r="J72">
        <v>136.517991274227</v>
      </c>
      <c r="K72">
        <v>56.014979751820697</v>
      </c>
      <c r="L72">
        <v>7.3039519552997557E-4</v>
      </c>
      <c r="M72">
        <v>1.8563222153739628E-4</v>
      </c>
      <c r="N72" s="1">
        <v>4.7738475278471101E-6</v>
      </c>
      <c r="O72" s="1">
        <v>1.48957862891013E-5</v>
      </c>
      <c r="P72" s="1">
        <v>-3.12723934037372E-5</v>
      </c>
    </row>
    <row r="73" spans="1:16" x14ac:dyDescent="0.2">
      <c r="A73">
        <v>72</v>
      </c>
      <c r="B73">
        <v>754</v>
      </c>
      <c r="C73">
        <v>175</v>
      </c>
      <c r="D73">
        <v>0.40749695760112897</v>
      </c>
      <c r="E73">
        <v>101.52018032153499</v>
      </c>
      <c r="F73">
        <v>1.6687590186647501</v>
      </c>
      <c r="G73">
        <v>-1688.5846088100332</v>
      </c>
      <c r="H73">
        <v>-1401.3755208693053</v>
      </c>
      <c r="I73">
        <v>279.62331033638401</v>
      </c>
      <c r="J73">
        <v>149.83863091488899</v>
      </c>
      <c r="K73">
        <v>60.835734330751599</v>
      </c>
      <c r="L73">
        <v>7.0566502957656783E-4</v>
      </c>
      <c r="M73">
        <v>1.781935087571167E-4</v>
      </c>
      <c r="N73" s="1">
        <v>5.6264764611195099E-6</v>
      </c>
      <c r="O73" s="1">
        <v>1.5540118214939699E-5</v>
      </c>
      <c r="P73" s="1">
        <v>-3.2886173009358199E-5</v>
      </c>
    </row>
    <row r="74" spans="1:16" x14ac:dyDescent="0.2">
      <c r="A74">
        <v>73</v>
      </c>
      <c r="B74">
        <v>776</v>
      </c>
      <c r="C74">
        <v>150</v>
      </c>
      <c r="D74">
        <v>0.447600915026452</v>
      </c>
      <c r="E74">
        <v>6.1403409963291997</v>
      </c>
      <c r="F74">
        <v>0.35500396313718702</v>
      </c>
      <c r="G74">
        <v>-135.77399979815348</v>
      </c>
      <c r="H74">
        <v>-76.796759249205678</v>
      </c>
      <c r="I74">
        <v>56.217656606897002</v>
      </c>
      <c r="J74">
        <v>24.003440429982199</v>
      </c>
      <c r="K74">
        <v>17.296542106366001</v>
      </c>
      <c r="L74">
        <v>1.7449668098908988E-3</v>
      </c>
      <c r="M74">
        <v>5.7201298255247113E-4</v>
      </c>
      <c r="N74" s="1">
        <v>-1.06894565512619E-5</v>
      </c>
      <c r="O74" s="1">
        <v>1.6394744837258402E-5</v>
      </c>
      <c r="P74" s="1">
        <v>-2.47686336921434E-5</v>
      </c>
    </row>
    <row r="75" spans="1:16" x14ac:dyDescent="0.2">
      <c r="A75">
        <v>74</v>
      </c>
      <c r="B75">
        <v>774</v>
      </c>
      <c r="C75">
        <v>150</v>
      </c>
      <c r="D75">
        <v>0.44641216635630598</v>
      </c>
      <c r="E75">
        <v>6.3958877152956797</v>
      </c>
      <c r="F75">
        <v>0.368141561397543</v>
      </c>
      <c r="G75">
        <v>-139.91114032515807</v>
      </c>
      <c r="H75">
        <v>-80.410430830811393</v>
      </c>
      <c r="I75">
        <v>56.824936532439999</v>
      </c>
      <c r="J75">
        <v>24.408180265437199</v>
      </c>
      <c r="K75">
        <v>17.373446483508999</v>
      </c>
      <c r="L75">
        <v>1.7430343800696568E-3</v>
      </c>
      <c r="M75">
        <v>5.6807084202688143E-4</v>
      </c>
      <c r="N75" s="1">
        <v>-1.04274481308994E-5</v>
      </c>
      <c r="O75" s="1">
        <v>1.63795748484393E-5</v>
      </c>
      <c r="P75" s="1">
        <v>-2.49400267001259E-5</v>
      </c>
    </row>
    <row r="76" spans="1:16" x14ac:dyDescent="0.2">
      <c r="A76">
        <v>75</v>
      </c>
      <c r="B76">
        <v>772</v>
      </c>
      <c r="C76">
        <v>150</v>
      </c>
      <c r="D76">
        <v>0.44521886810505501</v>
      </c>
      <c r="E76">
        <v>7.2643380735436098</v>
      </c>
      <c r="F76">
        <v>0.40859742224919199</v>
      </c>
      <c r="G76">
        <v>-154.23024606431437</v>
      </c>
      <c r="H76">
        <v>-92.575395305536276</v>
      </c>
      <c r="I76">
        <v>58.994789048795397</v>
      </c>
      <c r="J76">
        <v>25.660546367919501</v>
      </c>
      <c r="K76">
        <v>17.778717333936701</v>
      </c>
      <c r="L76">
        <v>1.7196339897128337E-3</v>
      </c>
      <c r="M76">
        <v>5.5708025289730526E-4</v>
      </c>
      <c r="N76" s="1">
        <v>-1.02198870289899E-5</v>
      </c>
      <c r="O76" s="1">
        <v>1.6462383322207102E-5</v>
      </c>
      <c r="P76" s="1">
        <v>-2.5264271472037399E-5</v>
      </c>
    </row>
    <row r="77" spans="1:16" x14ac:dyDescent="0.2">
      <c r="A77">
        <v>76</v>
      </c>
      <c r="B77">
        <v>770</v>
      </c>
      <c r="C77">
        <v>150</v>
      </c>
      <c r="D77">
        <v>0.44402099410439499</v>
      </c>
      <c r="E77">
        <v>10.4111930824228</v>
      </c>
      <c r="F77">
        <v>0.53813400382264598</v>
      </c>
      <c r="G77">
        <v>-206.34594602345092</v>
      </c>
      <c r="H77">
        <v>-136.83722590760169</v>
      </c>
      <c r="I77">
        <v>66.636982110624103</v>
      </c>
      <c r="J77">
        <v>29.9325917126544</v>
      </c>
      <c r="K77">
        <v>19.3468411370898</v>
      </c>
      <c r="L77">
        <v>1.6246381033478922E-3</v>
      </c>
      <c r="M77">
        <v>5.2298894179342368E-4</v>
      </c>
      <c r="N77" s="1">
        <v>-1.0186604962268299E-5</v>
      </c>
      <c r="O77" s="1">
        <v>1.68417168114022E-5</v>
      </c>
      <c r="P77" s="1">
        <v>-2.6052101493450401E-5</v>
      </c>
    </row>
    <row r="78" spans="1:16" x14ac:dyDescent="0.2">
      <c r="A78">
        <v>77</v>
      </c>
      <c r="B78">
        <v>768</v>
      </c>
      <c r="C78">
        <v>150</v>
      </c>
      <c r="D78">
        <v>0.442818517984921</v>
      </c>
      <c r="E78">
        <v>15.2297916723056</v>
      </c>
      <c r="F78">
        <v>0.69980220106442503</v>
      </c>
      <c r="G78">
        <v>-286.0604439807621</v>
      </c>
      <c r="H78">
        <v>-204.56561507205248</v>
      </c>
      <c r="I78">
        <v>78.277498797803503</v>
      </c>
      <c r="J78">
        <v>36.420147972983798</v>
      </c>
      <c r="K78">
        <v>21.7629948135924</v>
      </c>
      <c r="L78">
        <v>1.5026149970861109E-3</v>
      </c>
      <c r="M78">
        <v>4.8055629657774087E-4</v>
      </c>
      <c r="N78" s="1">
        <v>-1.0259732321915201E-5</v>
      </c>
      <c r="O78" s="1">
        <v>1.74310742238265E-5</v>
      </c>
      <c r="P78" s="1">
        <v>-2.71797619276092E-5</v>
      </c>
    </row>
    <row r="79" spans="1:16" x14ac:dyDescent="0.2">
      <c r="A79">
        <v>78</v>
      </c>
      <c r="B79">
        <v>766</v>
      </c>
      <c r="C79">
        <v>150</v>
      </c>
      <c r="D79">
        <v>0.44161141317423203</v>
      </c>
      <c r="E79">
        <v>21.365353902780502</v>
      </c>
      <c r="F79">
        <v>0.86023148754115297</v>
      </c>
      <c r="G79">
        <v>-387.25872736932354</v>
      </c>
      <c r="H79">
        <v>-290.58483620114595</v>
      </c>
      <c r="I79">
        <v>93.035514803838694</v>
      </c>
      <c r="J79">
        <v>44.640624848746498</v>
      </c>
      <c r="K79">
        <v>24.836749424100098</v>
      </c>
      <c r="L79">
        <v>1.3799816111314807E-3</v>
      </c>
      <c r="M79">
        <v>4.3838363718121532E-4</v>
      </c>
      <c r="N79" s="1">
        <v>-1.03913699457623E-5</v>
      </c>
      <c r="O79" s="1">
        <v>1.8170556858822899E-5</v>
      </c>
      <c r="P79" s="1">
        <v>-2.85612859275217E-5</v>
      </c>
    </row>
    <row r="80" spans="1:16" x14ac:dyDescent="0.2">
      <c r="A80">
        <v>79</v>
      </c>
      <c r="B80">
        <v>764</v>
      </c>
      <c r="C80">
        <v>150</v>
      </c>
      <c r="D80">
        <v>0.44039965289495597</v>
      </c>
      <c r="E80">
        <v>65.545707041185594</v>
      </c>
      <c r="F80">
        <v>1.39910131839978</v>
      </c>
      <c r="G80">
        <v>-1107.8884983006249</v>
      </c>
      <c r="H80">
        <v>-902.96540604606651</v>
      </c>
      <c r="I80">
        <v>197.58780530668199</v>
      </c>
      <c r="J80">
        <v>102.448053404493</v>
      </c>
      <c r="K80">
        <v>46.848434905452898</v>
      </c>
      <c r="L80">
        <v>9.4782860535554873E-4</v>
      </c>
      <c r="M80">
        <v>2.9795108652571148E-4</v>
      </c>
      <c r="N80" s="1">
        <v>-1.30185420047239E-5</v>
      </c>
      <c r="O80" s="1">
        <v>2.32922315809951E-5</v>
      </c>
      <c r="P80" s="1">
        <v>-3.6908372585302501E-5</v>
      </c>
    </row>
    <row r="81" spans="1:16" x14ac:dyDescent="0.2">
      <c r="A81">
        <v>80</v>
      </c>
      <c r="B81">
        <v>762</v>
      </c>
      <c r="C81">
        <v>150</v>
      </c>
      <c r="D81">
        <v>0.439183210162781</v>
      </c>
      <c r="E81">
        <v>95.181132167550004</v>
      </c>
      <c r="F81">
        <v>1.54791630906841</v>
      </c>
      <c r="G81">
        <v>-1589.5090652428341</v>
      </c>
      <c r="H81">
        <v>-1312.8004561642485</v>
      </c>
      <c r="I81">
        <v>267.31822817298001</v>
      </c>
      <c r="J81">
        <v>141.187419480485</v>
      </c>
      <c r="K81">
        <v>61.4898438694226</v>
      </c>
      <c r="L81">
        <v>8.3186407825731781E-4</v>
      </c>
      <c r="M81">
        <v>2.5942249690881031E-4</v>
      </c>
      <c r="N81" s="1">
        <v>-1.44446374657507E-5</v>
      </c>
      <c r="O81" s="1">
        <v>2.6640416867866201E-5</v>
      </c>
      <c r="P81" s="1">
        <v>-4.2558573831822501E-5</v>
      </c>
    </row>
    <row r="82" spans="1:16" x14ac:dyDescent="0.2">
      <c r="A82">
        <v>81</v>
      </c>
      <c r="B82">
        <v>760</v>
      </c>
      <c r="C82">
        <v>150</v>
      </c>
      <c r="D82">
        <v>0.43796205778444602</v>
      </c>
      <c r="E82">
        <v>102.088574616984</v>
      </c>
      <c r="F82">
        <v>1.57521934512819</v>
      </c>
      <c r="G82">
        <v>-1701.307863824763</v>
      </c>
      <c r="H82">
        <v>-1408.6287139002986</v>
      </c>
      <c r="I82">
        <v>283.29398358788501</v>
      </c>
      <c r="J82">
        <v>150.29310269147501</v>
      </c>
      <c r="K82">
        <v>64.809116859008498</v>
      </c>
      <c r="L82">
        <v>8.1367789516583291E-4</v>
      </c>
      <c r="M82">
        <v>2.5215119456057646E-4</v>
      </c>
      <c r="N82" s="1">
        <v>-1.4286182323051999E-5</v>
      </c>
      <c r="O82" s="1">
        <v>2.73310822957104E-5</v>
      </c>
      <c r="P82" s="1">
        <v>-4.4021158331677702E-5</v>
      </c>
    </row>
    <row r="83" spans="1:16" x14ac:dyDescent="0.2">
      <c r="A83">
        <v>82</v>
      </c>
      <c r="B83">
        <v>788</v>
      </c>
      <c r="C83">
        <v>125</v>
      </c>
      <c r="D83">
        <v>0.48055458700466802</v>
      </c>
      <c r="E83">
        <v>6.6040977758884196</v>
      </c>
      <c r="F83">
        <v>0.29456293014801499</v>
      </c>
      <c r="G83">
        <v>-147.27029486083245</v>
      </c>
      <c r="H83">
        <v>-81.851613939522338</v>
      </c>
      <c r="I83">
        <v>61.652415013518798</v>
      </c>
      <c r="J83">
        <v>24.930765903107702</v>
      </c>
      <c r="K83">
        <v>22.4199894147233</v>
      </c>
      <c r="L83">
        <v>1.7755161207574585E-3</v>
      </c>
      <c r="M83">
        <v>7.6194404098586799E-4</v>
      </c>
      <c r="N83" s="1">
        <v>-3.0106953161669001E-5</v>
      </c>
      <c r="O83" s="1">
        <v>3.28351496099056E-5</v>
      </c>
      <c r="P83" s="1">
        <v>-3.4420990962088001E-5</v>
      </c>
    </row>
    <row r="84" spans="1:16" x14ac:dyDescent="0.2">
      <c r="A84">
        <v>83</v>
      </c>
      <c r="B84">
        <v>786</v>
      </c>
      <c r="C84">
        <v>125</v>
      </c>
      <c r="D84">
        <v>0.47944153330501299</v>
      </c>
      <c r="E84">
        <v>7.2726571165111098</v>
      </c>
      <c r="F84">
        <v>0.32027266578639102</v>
      </c>
      <c r="G84">
        <v>-158.26287475067093</v>
      </c>
      <c r="H84">
        <v>-91.229734871785084</v>
      </c>
      <c r="I84">
        <v>63.2931497037981</v>
      </c>
      <c r="J84">
        <v>25.893067043473899</v>
      </c>
      <c r="K84">
        <v>22.707704694854201</v>
      </c>
      <c r="L84">
        <v>1.7654625426957176E-3</v>
      </c>
      <c r="M84">
        <v>7.5330734629367488E-4</v>
      </c>
      <c r="N84" s="1">
        <v>-3.0229514341663202E-5</v>
      </c>
      <c r="O84" s="1">
        <v>3.29325794903577E-5</v>
      </c>
      <c r="P84" s="1">
        <v>-3.4768785177056399E-5</v>
      </c>
    </row>
    <row r="85" spans="1:16" x14ac:dyDescent="0.2">
      <c r="A85">
        <v>84</v>
      </c>
      <c r="B85">
        <v>784</v>
      </c>
      <c r="C85">
        <v>125</v>
      </c>
      <c r="D85">
        <v>0.47832426807926898</v>
      </c>
      <c r="E85">
        <v>8.0955185370993199</v>
      </c>
      <c r="F85">
        <v>0.35076542984832298</v>
      </c>
      <c r="G85">
        <v>-171.80958711813702</v>
      </c>
      <c r="H85">
        <v>-102.75999905351293</v>
      </c>
      <c r="I85">
        <v>65.320354544858105</v>
      </c>
      <c r="J85">
        <v>27.065779192379299</v>
      </c>
      <c r="K85">
        <v>23.079579252151301</v>
      </c>
      <c r="L85">
        <v>1.7515356863070564E-3</v>
      </c>
      <c r="M85">
        <v>7.4305197698924081E-4</v>
      </c>
      <c r="N85" s="1">
        <v>-3.0382141256198698E-5</v>
      </c>
      <c r="O85" s="1">
        <v>3.3069870794918999E-5</v>
      </c>
      <c r="P85" s="1">
        <v>-3.5164409048856999E-5</v>
      </c>
    </row>
    <row r="86" spans="1:16" x14ac:dyDescent="0.2">
      <c r="A86">
        <v>85</v>
      </c>
      <c r="B86">
        <v>782</v>
      </c>
      <c r="C86">
        <v>125</v>
      </c>
      <c r="D86">
        <v>0.47720276737904699</v>
      </c>
      <c r="E86">
        <v>8.9183414767296902</v>
      </c>
      <c r="F86">
        <v>0.38031052661103398</v>
      </c>
      <c r="G86">
        <v>-185.34186126027063</v>
      </c>
      <c r="H86">
        <v>-114.28913505438268</v>
      </c>
      <c r="I86">
        <v>67.342629965685504</v>
      </c>
      <c r="J86">
        <v>28.239949982530302</v>
      </c>
      <c r="K86">
        <v>23.4501567868801</v>
      </c>
      <c r="L86">
        <v>1.7381536558501328E-3</v>
      </c>
      <c r="M86">
        <v>7.3309879777253483E-4</v>
      </c>
      <c r="N86" s="1">
        <v>-3.0525323719235903E-5</v>
      </c>
      <c r="O86" s="1">
        <v>3.3205254890021197E-5</v>
      </c>
      <c r="P86" s="1">
        <v>-3.5564173561223499E-5</v>
      </c>
    </row>
    <row r="87" spans="1:16" x14ac:dyDescent="0.2">
      <c r="A87">
        <v>86</v>
      </c>
      <c r="B87">
        <v>780</v>
      </c>
      <c r="C87">
        <v>125</v>
      </c>
      <c r="D87">
        <v>0.47607700707401701</v>
      </c>
      <c r="E87">
        <v>10.654469824705799</v>
      </c>
      <c r="F87">
        <v>0.43847582739975099</v>
      </c>
      <c r="G87">
        <v>-214.02334400110149</v>
      </c>
      <c r="H87">
        <v>-138.68252524183504</v>
      </c>
      <c r="I87">
        <v>71.542246587770805</v>
      </c>
      <c r="J87">
        <v>30.6082358592258</v>
      </c>
      <c r="K87">
        <v>24.298876149887001</v>
      </c>
      <c r="L87">
        <v>1.701677523924355E-3</v>
      </c>
      <c r="M87">
        <v>7.1346598073387382E-4</v>
      </c>
      <c r="N87" s="1">
        <v>-3.0846595274990802E-5</v>
      </c>
      <c r="O87" s="1">
        <v>3.3540264412947098E-5</v>
      </c>
      <c r="P87" s="1">
        <v>-3.6185588080019503E-5</v>
      </c>
    </row>
    <row r="88" spans="1:16" x14ac:dyDescent="0.2">
      <c r="A88">
        <v>87</v>
      </c>
      <c r="B88">
        <v>778</v>
      </c>
      <c r="C88">
        <v>125</v>
      </c>
      <c r="D88">
        <v>0.47494696285021398</v>
      </c>
      <c r="E88">
        <v>15.2304624180888</v>
      </c>
      <c r="F88">
        <v>0.57186684241428298</v>
      </c>
      <c r="G88">
        <v>-289.74999765055827</v>
      </c>
      <c r="H88">
        <v>-203.02257510630469</v>
      </c>
      <c r="I88">
        <v>82.511003592809104</v>
      </c>
      <c r="J88">
        <v>36.685722621307001</v>
      </c>
      <c r="K88">
        <v>26.6328824972428</v>
      </c>
      <c r="L88">
        <v>1.6041260383931175E-3</v>
      </c>
      <c r="M88">
        <v>6.6837786083363035E-4</v>
      </c>
      <c r="N88" s="1">
        <v>-3.1735943599216599E-5</v>
      </c>
      <c r="O88" s="1">
        <v>3.4492589346836498E-5</v>
      </c>
      <c r="P88" s="1">
        <v>-3.7487489003074601E-5</v>
      </c>
    </row>
    <row r="89" spans="1:16" x14ac:dyDescent="0.2">
      <c r="A89">
        <v>88</v>
      </c>
      <c r="B89">
        <v>776</v>
      </c>
      <c r="C89">
        <v>125</v>
      </c>
      <c r="D89">
        <v>0.47381261020826598</v>
      </c>
      <c r="E89">
        <v>20.619564846281399</v>
      </c>
      <c r="F89">
        <v>0.70181061110329601</v>
      </c>
      <c r="G89">
        <v>-378.71884089117214</v>
      </c>
      <c r="H89">
        <v>-278.64913838742666</v>
      </c>
      <c r="I89">
        <v>95.385655820316998</v>
      </c>
      <c r="J89">
        <v>43.8192567135128</v>
      </c>
      <c r="K89">
        <v>29.3805259140582</v>
      </c>
      <c r="L89">
        <v>1.5079935846060786E-3</v>
      </c>
      <c r="M89">
        <v>6.243469727155661E-4</v>
      </c>
      <c r="N89" s="1">
        <v>-3.2761631185139698E-5</v>
      </c>
      <c r="O89" s="1">
        <v>3.5599995540544901E-5</v>
      </c>
      <c r="P89" s="1">
        <v>-3.8979002328503297E-5</v>
      </c>
    </row>
    <row r="90" spans="1:16" x14ac:dyDescent="0.2">
      <c r="A90">
        <v>89</v>
      </c>
      <c r="B90">
        <v>774</v>
      </c>
      <c r="C90">
        <v>125</v>
      </c>
      <c r="D90">
        <v>0.47267392446163797</v>
      </c>
      <c r="E90">
        <v>34.0378179127149</v>
      </c>
      <c r="F90">
        <v>0.93949140301233403</v>
      </c>
      <c r="G90">
        <v>-598.89637825678051</v>
      </c>
      <c r="H90">
        <v>-465.79190596636806</v>
      </c>
      <c r="I90">
        <v>127.11545857479</v>
      </c>
      <c r="J90">
        <v>61.297187477960399</v>
      </c>
      <c r="K90">
        <v>36.230047240004403</v>
      </c>
      <c r="L90">
        <v>1.3218967581258081E-3</v>
      </c>
      <c r="M90">
        <v>5.4338188001349025E-4</v>
      </c>
      <c r="N90" s="1">
        <v>-3.52208561555753E-5</v>
      </c>
      <c r="O90" s="1">
        <v>3.8258894438230097E-5</v>
      </c>
      <c r="P90" s="1">
        <v>-4.2204780448718399E-5</v>
      </c>
    </row>
    <row r="91" spans="1:16" x14ac:dyDescent="0.2">
      <c r="A91">
        <v>90</v>
      </c>
      <c r="B91">
        <v>772</v>
      </c>
      <c r="C91">
        <v>125</v>
      </c>
      <c r="D91">
        <v>0.47153088073482102</v>
      </c>
      <c r="E91">
        <v>75.961937949093198</v>
      </c>
      <c r="F91">
        <v>1.3200195565209301</v>
      </c>
      <c r="G91">
        <v>-1281.570964542439</v>
      </c>
      <c r="H91">
        <v>-1045.8597449026176</v>
      </c>
      <c r="I91">
        <v>225.533818438476</v>
      </c>
      <c r="J91">
        <v>115.376638847764</v>
      </c>
      <c r="K91">
        <v>57.546070112248799</v>
      </c>
      <c r="L91">
        <v>1.0183596414629209E-3</v>
      </c>
      <c r="M91">
        <v>4.1480137294399043E-4</v>
      </c>
      <c r="N91" s="1">
        <v>-4.2788557835701199E-5</v>
      </c>
      <c r="O91" s="1">
        <v>4.6428897650609799E-5</v>
      </c>
      <c r="P91" s="1">
        <v>-5.1605163045965202E-5</v>
      </c>
    </row>
    <row r="92" spans="1:16" x14ac:dyDescent="0.2">
      <c r="A92">
        <v>91</v>
      </c>
      <c r="B92">
        <v>770</v>
      </c>
      <c r="C92">
        <v>125</v>
      </c>
      <c r="D92">
        <v>0.47038345396155901</v>
      </c>
      <c r="E92">
        <v>96.492782693730405</v>
      </c>
      <c r="F92">
        <v>1.4218867030205</v>
      </c>
      <c r="G92">
        <v>-1615.0602583757691</v>
      </c>
      <c r="H92">
        <v>-1329.8693044309873</v>
      </c>
      <c r="I92">
        <v>273.39967905054198</v>
      </c>
      <c r="J92">
        <v>141.881653541525</v>
      </c>
      <c r="K92">
        <v>67.862497404857194</v>
      </c>
      <c r="L92">
        <v>9.4093805473933014E-4</v>
      </c>
      <c r="M92">
        <v>3.8058026462625748E-4</v>
      </c>
      <c r="N92" s="1">
        <v>-4.6344824407380499E-5</v>
      </c>
      <c r="O92" s="1">
        <v>5.0307989641703802E-5</v>
      </c>
      <c r="P92" s="1">
        <v>-5.6344282968211303E-5</v>
      </c>
    </row>
    <row r="93" spans="1:16" x14ac:dyDescent="0.2">
      <c r="A93">
        <v>92</v>
      </c>
      <c r="B93">
        <v>768</v>
      </c>
      <c r="C93">
        <v>125</v>
      </c>
      <c r="D93">
        <v>0.46923161888296799</v>
      </c>
      <c r="E93">
        <v>102.16138614148301</v>
      </c>
      <c r="F93">
        <v>1.4469200376093301</v>
      </c>
      <c r="G93">
        <v>-1706.6965487316852</v>
      </c>
      <c r="H93">
        <v>-1408.5519327273148</v>
      </c>
      <c r="I93">
        <v>286.36667741311902</v>
      </c>
      <c r="J93">
        <v>149.275617577388</v>
      </c>
      <c r="K93">
        <v>70.606103645007906</v>
      </c>
      <c r="L93">
        <v>9.2576464066196676E-4</v>
      </c>
      <c r="M93">
        <v>3.7215251614184806E-4</v>
      </c>
      <c r="N93" s="1">
        <v>-4.71730640671558E-5</v>
      </c>
      <c r="O93" s="1">
        <v>5.1270681818340701E-5</v>
      </c>
      <c r="P93" s="1">
        <v>-5.7865726185608698E-5</v>
      </c>
    </row>
    <row r="94" spans="1:16" x14ac:dyDescent="0.2">
      <c r="A94">
        <v>93</v>
      </c>
      <c r="B94">
        <v>804</v>
      </c>
      <c r="C94">
        <v>100</v>
      </c>
      <c r="D94">
        <v>0.514840551455232</v>
      </c>
      <c r="E94">
        <v>7.1671870446658001</v>
      </c>
      <c r="F94">
        <v>0.230669902426441</v>
      </c>
      <c r="G94">
        <v>-161.34018771376108</v>
      </c>
      <c r="H94">
        <v>-87.888605251574475</v>
      </c>
      <c r="I94">
        <v>68.194457766019298</v>
      </c>
      <c r="J94">
        <v>25.312020539096999</v>
      </c>
      <c r="K94">
        <v>31.071184273602199</v>
      </c>
      <c r="L94">
        <v>1.7011664402893476E-3</v>
      </c>
      <c r="M94">
        <v>1.0275299532499919E-3</v>
      </c>
      <c r="N94" s="1">
        <v>-5.3840721560704002E-5</v>
      </c>
      <c r="O94" s="1">
        <v>7.2434006927213094E-5</v>
      </c>
      <c r="P94" s="1">
        <v>-4.8488983397361597E-5</v>
      </c>
    </row>
    <row r="95" spans="1:16" x14ac:dyDescent="0.2">
      <c r="A95">
        <v>94</v>
      </c>
      <c r="B95">
        <v>802</v>
      </c>
      <c r="C95">
        <v>100</v>
      </c>
      <c r="D95">
        <v>0.51380784076640695</v>
      </c>
      <c r="E95">
        <v>7.9484066193119398</v>
      </c>
      <c r="F95">
        <v>0.25304516537392102</v>
      </c>
      <c r="G95">
        <v>-174.19761427791479</v>
      </c>
      <c r="H95">
        <v>-98.835876837941001</v>
      </c>
      <c r="I95">
        <v>70.097972831589203</v>
      </c>
      <c r="J95">
        <v>26.398922567110901</v>
      </c>
      <c r="K95">
        <v>31.4110194817066</v>
      </c>
      <c r="L95">
        <v>1.6948910960019482E-3</v>
      </c>
      <c r="M95">
        <v>1.0183887488526781E-3</v>
      </c>
      <c r="N95" s="1">
        <v>-5.4464063367583803E-5</v>
      </c>
      <c r="O95" s="1">
        <v>7.2667908240752098E-5</v>
      </c>
      <c r="P95" s="1">
        <v>-4.8914175350708203E-5</v>
      </c>
    </row>
    <row r="96" spans="1:16" x14ac:dyDescent="0.2">
      <c r="A96">
        <v>95</v>
      </c>
      <c r="B96">
        <v>800</v>
      </c>
      <c r="C96">
        <v>100</v>
      </c>
      <c r="D96">
        <v>0.51277128080883805</v>
      </c>
      <c r="E96">
        <v>8.72909085813418</v>
      </c>
      <c r="F96">
        <v>0.27493869948696298</v>
      </c>
      <c r="G96">
        <v>-187.03375821850776</v>
      </c>
      <c r="H96">
        <v>-109.77539568026208</v>
      </c>
      <c r="I96">
        <v>71.995975281897699</v>
      </c>
      <c r="J96">
        <v>27.486344197216798</v>
      </c>
      <c r="K96">
        <v>31.7492258253301</v>
      </c>
      <c r="L96">
        <v>1.6888756828171022E-3</v>
      </c>
      <c r="M96">
        <v>1.0094420751188657E-3</v>
      </c>
      <c r="N96" s="1">
        <v>-5.5091097810477902E-5</v>
      </c>
      <c r="O96" s="1">
        <v>7.2899707241044301E-5</v>
      </c>
      <c r="P96" s="1">
        <v>-4.9343753138947303E-5</v>
      </c>
    </row>
    <row r="97" spans="1:16" x14ac:dyDescent="0.2">
      <c r="A97">
        <v>96</v>
      </c>
      <c r="B97">
        <v>798</v>
      </c>
      <c r="C97">
        <v>100</v>
      </c>
      <c r="D97">
        <v>0.51173085002101004</v>
      </c>
      <c r="E97">
        <v>9.50827613320536</v>
      </c>
      <c r="F97">
        <v>0.29634446946188597</v>
      </c>
      <c r="G97">
        <v>-199.83253189936636</v>
      </c>
      <c r="H97">
        <v>-120.69373176701512</v>
      </c>
      <c r="I97">
        <v>73.885953115948496</v>
      </c>
      <c r="J97">
        <v>28.573025000931899</v>
      </c>
      <c r="K97">
        <v>32.085215392987898</v>
      </c>
      <c r="L97">
        <v>1.6831297611740667E-3</v>
      </c>
      <c r="M97">
        <v>1.0006933228921423E-3</v>
      </c>
      <c r="N97" s="1">
        <v>-5.5721301839073E-5</v>
      </c>
      <c r="O97" s="1">
        <v>7.3128882310510496E-5</v>
      </c>
      <c r="P97" s="1">
        <v>-4.9777473561494097E-5</v>
      </c>
    </row>
    <row r="98" spans="1:16" x14ac:dyDescent="0.2">
      <c r="A98">
        <v>97</v>
      </c>
      <c r="B98">
        <v>796</v>
      </c>
      <c r="C98">
        <v>100</v>
      </c>
      <c r="D98">
        <v>0.51068652668007097</v>
      </c>
      <c r="E98">
        <v>10.2850621018955</v>
      </c>
      <c r="F98">
        <v>0.31725960710830597</v>
      </c>
      <c r="G98">
        <v>-212.57893738840323</v>
      </c>
      <c r="H98">
        <v>-131.57833901423442</v>
      </c>
      <c r="I98">
        <v>75.765568005784502</v>
      </c>
      <c r="J98">
        <v>29.6577911082966</v>
      </c>
      <c r="K98">
        <v>32.418441779083302</v>
      </c>
      <c r="L98">
        <v>1.6776607574814776E-3</v>
      </c>
      <c r="M98">
        <v>9.9214447208833796E-4</v>
      </c>
      <c r="N98" s="1">
        <v>-5.6354159108734498E-5</v>
      </c>
      <c r="O98" s="1">
        <v>7.3354950723865603E-5</v>
      </c>
      <c r="P98" s="1">
        <v>-5.0215115368328002E-5</v>
      </c>
    </row>
    <row r="99" spans="1:16" x14ac:dyDescent="0.2">
      <c r="A99">
        <v>98</v>
      </c>
      <c r="B99">
        <v>794</v>
      </c>
      <c r="C99">
        <v>100</v>
      </c>
      <c r="D99">
        <v>0.50963828890034402</v>
      </c>
      <c r="E99">
        <v>11.058618833432201</v>
      </c>
      <c r="F99">
        <v>0.337684206880354</v>
      </c>
      <c r="G99">
        <v>-225.25918176480025</v>
      </c>
      <c r="H99">
        <v>-142.41765394309681</v>
      </c>
      <c r="I99">
        <v>77.632672507299603</v>
      </c>
      <c r="J99">
        <v>30.7395648618898</v>
      </c>
      <c r="K99">
        <v>32.748404006203501</v>
      </c>
      <c r="L99">
        <v>1.6724740454700259E-3</v>
      </c>
      <c r="M99">
        <v>9.837961742044936E-4</v>
      </c>
      <c r="N99" s="1">
        <v>-5.6989162963795303E-5</v>
      </c>
      <c r="O99" s="1">
        <v>7.3577471660134103E-5</v>
      </c>
      <c r="P99" s="1">
        <v>-5.0656481897866701E-5</v>
      </c>
    </row>
    <row r="100" spans="1:16" x14ac:dyDescent="0.2">
      <c r="A100">
        <v>99</v>
      </c>
      <c r="B100">
        <v>792</v>
      </c>
      <c r="C100">
        <v>100</v>
      </c>
      <c r="D100">
        <v>0.50858611463174297</v>
      </c>
      <c r="E100">
        <v>13.9446489629686</v>
      </c>
      <c r="F100">
        <v>0.40737990825417902</v>
      </c>
      <c r="G100">
        <v>-272.99723906922748</v>
      </c>
      <c r="H100">
        <v>-182.98834780506542</v>
      </c>
      <c r="I100">
        <v>84.507475489469797</v>
      </c>
      <c r="J100">
        <v>34.5331539026309</v>
      </c>
      <c r="K100">
        <v>34.2300851868915</v>
      </c>
      <c r="L100">
        <v>1.6299609255309275E-3</v>
      </c>
      <c r="M100">
        <v>9.5347649451435316E-4</v>
      </c>
      <c r="N100" s="1">
        <v>-5.8285596446084202E-5</v>
      </c>
      <c r="O100" s="1">
        <v>7.4635749188145704E-5</v>
      </c>
      <c r="P100" s="1">
        <v>-5.1682846476300299E-5</v>
      </c>
    </row>
    <row r="101" spans="1:16" x14ac:dyDescent="0.2">
      <c r="A101">
        <v>100</v>
      </c>
      <c r="B101">
        <v>790</v>
      </c>
      <c r="C101">
        <v>100</v>
      </c>
      <c r="D101">
        <v>0.507529981658283</v>
      </c>
      <c r="E101">
        <v>18.617197343804801</v>
      </c>
      <c r="F101">
        <v>0.50758471480018097</v>
      </c>
      <c r="G101">
        <v>-350.25718216872662</v>
      </c>
      <c r="H101">
        <v>-248.62536275586771</v>
      </c>
      <c r="I101">
        <v>95.599090153190701</v>
      </c>
      <c r="J101">
        <v>40.6174138625803</v>
      </c>
      <c r="K101">
        <v>36.678010194089097</v>
      </c>
      <c r="L101">
        <v>1.5636248691812589E-3</v>
      </c>
      <c r="M101">
        <v>9.0944831371407586E-4</v>
      </c>
      <c r="N101" s="1">
        <v>-6.01423018952205E-5</v>
      </c>
      <c r="O101" s="1">
        <v>7.6381406103184703E-5</v>
      </c>
      <c r="P101" s="1">
        <v>-5.3201175594233098E-5</v>
      </c>
    </row>
    <row r="102" spans="1:16" x14ac:dyDescent="0.2">
      <c r="A102">
        <v>101</v>
      </c>
      <c r="B102">
        <v>788</v>
      </c>
      <c r="C102">
        <v>100</v>
      </c>
      <c r="D102">
        <v>0.50646986759647905</v>
      </c>
      <c r="E102">
        <v>24.302194273812699</v>
      </c>
      <c r="F102">
        <v>0.61277528033373097</v>
      </c>
      <c r="G102">
        <v>-444.02209028441854</v>
      </c>
      <c r="H102">
        <v>-328.30957222212817</v>
      </c>
      <c r="I102">
        <v>109.048672452405</v>
      </c>
      <c r="J102">
        <v>47.990391401944002</v>
      </c>
      <c r="K102">
        <v>39.6592275402773</v>
      </c>
      <c r="L102">
        <v>1.492482790736665E-3</v>
      </c>
      <c r="M102">
        <v>8.6301862422833375E-4</v>
      </c>
      <c r="N102" s="1">
        <v>-6.2303385965287701E-5</v>
      </c>
      <c r="O102" s="1">
        <v>7.8477549396656601E-5</v>
      </c>
      <c r="P102" s="1">
        <v>-5.4984245003106203E-5</v>
      </c>
    </row>
    <row r="103" spans="1:16" x14ac:dyDescent="0.2">
      <c r="A103">
        <v>102</v>
      </c>
      <c r="B103">
        <v>786</v>
      </c>
      <c r="C103">
        <v>100</v>
      </c>
      <c r="D103">
        <v>0.50540574989378495</v>
      </c>
      <c r="E103">
        <v>34.79386496459</v>
      </c>
      <c r="F103">
        <v>0.77007872415701895</v>
      </c>
      <c r="G103">
        <v>-616.32761593917985</v>
      </c>
      <c r="H103">
        <v>-474.70786006231344</v>
      </c>
      <c r="I103">
        <v>133.715205685862</v>
      </c>
      <c r="J103">
        <v>61.457595798151701</v>
      </c>
      <c r="K103">
        <v>45.182218224088402</v>
      </c>
      <c r="L103">
        <v>1.3797941428113493E-3</v>
      </c>
      <c r="M103">
        <v>7.9288257623640719E-4</v>
      </c>
      <c r="N103" s="1">
        <v>-6.5837346476508494E-5</v>
      </c>
      <c r="O103" s="1">
        <v>8.2245593402847906E-5</v>
      </c>
      <c r="P103" s="1">
        <v>-5.7968240937610999E-5</v>
      </c>
    </row>
    <row r="104" spans="1:16" x14ac:dyDescent="0.2">
      <c r="A104">
        <v>103</v>
      </c>
      <c r="B104">
        <v>784</v>
      </c>
      <c r="C104">
        <v>100</v>
      </c>
      <c r="D104">
        <v>0.50433760582698905</v>
      </c>
      <c r="E104">
        <v>68.208176299464</v>
      </c>
      <c r="F104">
        <v>1.0867542047830601</v>
      </c>
      <c r="G104">
        <v>-1160.9466020648249</v>
      </c>
      <c r="H104">
        <v>-937.17899591347611</v>
      </c>
      <c r="I104">
        <v>211.67572497089901</v>
      </c>
      <c r="J104">
        <v>103.88034555339701</v>
      </c>
      <c r="K104">
        <v>62.763204411138702</v>
      </c>
      <c r="L104">
        <v>1.1429862298415279E-3</v>
      </c>
      <c r="M104">
        <v>6.5173001829053152E-4</v>
      </c>
      <c r="N104" s="1">
        <v>-7.5894173139921795E-5</v>
      </c>
      <c r="O104" s="1">
        <v>9.40059980283942E-5</v>
      </c>
      <c r="P104" s="1">
        <v>-6.6656527180384301E-5</v>
      </c>
    </row>
    <row r="105" spans="1:16" x14ac:dyDescent="0.2">
      <c r="A105">
        <v>104</v>
      </c>
      <c r="B105">
        <v>782</v>
      </c>
      <c r="C105">
        <v>100</v>
      </c>
      <c r="D105">
        <v>0.50326541250059598</v>
      </c>
      <c r="E105">
        <v>91.251179245308094</v>
      </c>
      <c r="F105">
        <v>1.2205252964053701</v>
      </c>
      <c r="G105">
        <v>-1535.3829299186723</v>
      </c>
      <c r="H105">
        <v>-1255.6391963893832</v>
      </c>
      <c r="I105">
        <v>265.12778846258601</v>
      </c>
      <c r="J105">
        <v>133.11445031295099</v>
      </c>
      <c r="K105">
        <v>74.763857426024799</v>
      </c>
      <c r="L105">
        <v>1.046348215253443E-3</v>
      </c>
      <c r="M105">
        <v>5.9264760488814442E-4</v>
      </c>
      <c r="N105" s="1">
        <v>-8.2993006671418595E-5</v>
      </c>
      <c r="O105">
        <v>1.0195531053234099E-4</v>
      </c>
      <c r="P105" s="1">
        <v>-7.2733438977216796E-5</v>
      </c>
    </row>
    <row r="106" spans="1:16" x14ac:dyDescent="0.2">
      <c r="A106">
        <v>105</v>
      </c>
      <c r="B106">
        <v>780</v>
      </c>
      <c r="C106">
        <v>100</v>
      </c>
      <c r="D106">
        <v>0.50218914684517901</v>
      </c>
      <c r="E106">
        <v>100.08970463755701</v>
      </c>
      <c r="F106">
        <v>1.2630015377483701</v>
      </c>
      <c r="G106">
        <v>-1678.6147187983127</v>
      </c>
      <c r="H106">
        <v>-1378.0536725102615</v>
      </c>
      <c r="I106">
        <v>285.39816368668698</v>
      </c>
      <c r="J106">
        <v>144.382099883141</v>
      </c>
      <c r="K106">
        <v>79.247492299964406</v>
      </c>
      <c r="L106">
        <v>1.0197593502136357E-3</v>
      </c>
      <c r="M106">
        <v>5.7421020418344697E-4</v>
      </c>
      <c r="N106" s="1">
        <v>-8.6042731288720999E-5</v>
      </c>
      <c r="O106">
        <v>1.0485608738671399E-4</v>
      </c>
      <c r="P106" s="1">
        <v>-7.5263232050765905E-5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55CB8-28A9-48F5-9839-9ABFBC8D066D}">
  <sheetPr codeName="Sheet6"/>
  <dimension ref="A1:AN1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16</v>
      </c>
      <c r="B2">
        <v>734</v>
      </c>
      <c r="C2">
        <v>300</v>
      </c>
      <c r="D2">
        <v>0.25781710768008598</v>
      </c>
      <c r="E2">
        <v>3.6258195074787697E-2</v>
      </c>
      <c r="F2">
        <v>4.6622745339809697</v>
      </c>
      <c r="G2">
        <v>-0.34266020307002532</v>
      </c>
      <c r="H2">
        <v>-0.27874665199733234</v>
      </c>
      <c r="I2">
        <v>6.3459813406834001E-2</v>
      </c>
      <c r="J2">
        <v>3.3188675069677098E-2</v>
      </c>
      <c r="K2">
        <v>7.7769326560501702E-3</v>
      </c>
      <c r="L2">
        <v>3.167897490691952E-5</v>
      </c>
      <c r="M2">
        <v>5.5247917650421866E-7</v>
      </c>
      <c r="N2" s="1">
        <v>4.04771903349917E-11</v>
      </c>
      <c r="O2" s="1">
        <v>1.7008648977734999E-14</v>
      </c>
      <c r="P2" s="1">
        <v>5.6563553473817001E-14</v>
      </c>
      <c r="R2">
        <v>47.3006571245079</v>
      </c>
      <c r="S2">
        <v>2.2693165409628802</v>
      </c>
      <c r="T2">
        <v>9.7111454718461498</v>
      </c>
      <c r="V2">
        <v>37.712334171256103</v>
      </c>
      <c r="W2">
        <v>0.69917154138236304</v>
      </c>
      <c r="X2">
        <v>2.3073751500445301</v>
      </c>
      <c r="AJ2">
        <v>8.4803439914763398E-2</v>
      </c>
      <c r="AK2">
        <v>9.0081264564109004E-2</v>
      </c>
      <c r="AL2">
        <v>0.77754605091685303</v>
      </c>
      <c r="AM2">
        <v>1.46001122381692E-2</v>
      </c>
      <c r="AN2">
        <v>3.2969132366104402E-2</v>
      </c>
    </row>
    <row r="3" spans="1:40" x14ac:dyDescent="0.2">
      <c r="A3">
        <v>17</v>
      </c>
      <c r="B3">
        <v>732</v>
      </c>
      <c r="C3">
        <v>300</v>
      </c>
      <c r="D3">
        <v>0.256201064517732</v>
      </c>
      <c r="E3">
        <v>5.3451081927345601E-2</v>
      </c>
      <c r="F3">
        <v>4.6672560096194902</v>
      </c>
      <c r="G3">
        <v>-0.50618203936851069</v>
      </c>
      <c r="H3">
        <v>-0.41200045070645314</v>
      </c>
      <c r="I3">
        <v>9.3699038613199601E-2</v>
      </c>
      <c r="J3">
        <v>4.8824590049634797E-2</v>
      </c>
      <c r="K3">
        <v>1.1452356977457299E-2</v>
      </c>
      <c r="L3">
        <v>3.148933704369731E-5</v>
      </c>
      <c r="M3">
        <v>5.519132720598247E-7</v>
      </c>
      <c r="N3" s="1">
        <v>6.8227251363097705E-11</v>
      </c>
      <c r="O3" s="1">
        <v>2.5022103713553E-14</v>
      </c>
      <c r="P3" s="1">
        <v>7.2097074171817502E-14</v>
      </c>
      <c r="R3">
        <v>47.195016417943897</v>
      </c>
      <c r="S3">
        <v>2.3950200141574398</v>
      </c>
      <c r="T3">
        <v>9.7969817062790394</v>
      </c>
      <c r="V3">
        <v>36.966287920495098</v>
      </c>
      <c r="W3">
        <v>1.3358085592257001</v>
      </c>
      <c r="X3">
        <v>2.3108853818987698</v>
      </c>
      <c r="AJ3">
        <v>8.4876102758921698E-2</v>
      </c>
      <c r="AK3">
        <v>9.0817193734955795E-2</v>
      </c>
      <c r="AL3">
        <v>0.76165853808112205</v>
      </c>
      <c r="AM3">
        <v>2.78758706182431E-2</v>
      </c>
      <c r="AN3">
        <v>3.47722948067569E-2</v>
      </c>
    </row>
    <row r="4" spans="1:40" x14ac:dyDescent="0.2">
      <c r="A4">
        <v>31</v>
      </c>
      <c r="B4">
        <v>738</v>
      </c>
      <c r="C4">
        <v>275</v>
      </c>
      <c r="D4">
        <v>0.28822677149780002</v>
      </c>
      <c r="E4">
        <v>2.3371201601378001E-2</v>
      </c>
      <c r="F4">
        <v>4.6577549989333402</v>
      </c>
      <c r="G4">
        <v>-0.22137645501904057</v>
      </c>
      <c r="H4">
        <v>-0.17991771513736698</v>
      </c>
      <c r="I4">
        <v>4.1001572349971302E-2</v>
      </c>
      <c r="J4">
        <v>2.1424529741835101E-2</v>
      </c>
      <c r="K4">
        <v>5.01769663855874E-3</v>
      </c>
      <c r="L4">
        <v>3.168063284579797E-5</v>
      </c>
      <c r="M4">
        <v>5.5280913412404323E-7</v>
      </c>
      <c r="N4" s="1">
        <v>2.44714273613561E-11</v>
      </c>
      <c r="O4" s="1">
        <v>1.09591092722567E-14</v>
      </c>
      <c r="P4" s="1">
        <v>4.0193532306083798E-14</v>
      </c>
      <c r="R4">
        <v>47.316391721957899</v>
      </c>
      <c r="S4">
        <v>2.22913751732011</v>
      </c>
      <c r="T4">
        <v>9.8094717436721108</v>
      </c>
      <c r="V4">
        <v>37.595190932378301</v>
      </c>
      <c r="W4">
        <v>0.62879491345981298</v>
      </c>
      <c r="X4">
        <v>2.4210131712116398</v>
      </c>
      <c r="AJ4">
        <v>8.89248621979013E-2</v>
      </c>
      <c r="AK4">
        <v>9.0936958699164294E-2</v>
      </c>
      <c r="AL4">
        <v>0.77465047573926904</v>
      </c>
      <c r="AM4">
        <v>1.31223694930862E-2</v>
      </c>
      <c r="AN4">
        <v>3.2365333870578203E-2</v>
      </c>
    </row>
    <row r="5" spans="1:40" x14ac:dyDescent="0.2">
      <c r="A5">
        <v>32</v>
      </c>
      <c r="B5">
        <v>736</v>
      </c>
      <c r="C5">
        <v>275</v>
      </c>
      <c r="D5">
        <v>0.28667740177377199</v>
      </c>
      <c r="E5">
        <v>4.7925828313262302E-2</v>
      </c>
      <c r="F5">
        <v>4.6630973679309298</v>
      </c>
      <c r="G5">
        <v>-0.45498508238752211</v>
      </c>
      <c r="H5">
        <v>-0.36998509167618815</v>
      </c>
      <c r="I5">
        <v>8.4229292683281803E-2</v>
      </c>
      <c r="J5">
        <v>4.3835849805921499E-2</v>
      </c>
      <c r="K5">
        <v>1.02776812345498E-2</v>
      </c>
      <c r="L5">
        <v>3.1483690629235288E-5</v>
      </c>
      <c r="M5">
        <v>5.5223243608398725E-7</v>
      </c>
      <c r="N5" s="1">
        <v>5.8878273537259404E-11</v>
      </c>
      <c r="O5" s="1">
        <v>2.2426506837056501E-14</v>
      </c>
      <c r="P5" s="1">
        <v>7.0953444026741894E-14</v>
      </c>
      <c r="R5">
        <v>47.210147017570698</v>
      </c>
      <c r="S5">
        <v>2.3552066243038801</v>
      </c>
      <c r="T5">
        <v>9.90041573251556</v>
      </c>
      <c r="V5">
        <v>36.784964142547501</v>
      </c>
      <c r="W5">
        <v>1.3201102712744099</v>
      </c>
      <c r="X5">
        <v>2.4291562117878902</v>
      </c>
      <c r="AJ5">
        <v>8.9161104681355796E-2</v>
      </c>
      <c r="AK5">
        <v>9.17153831469113E-2</v>
      </c>
      <c r="AL5">
        <v>0.75742176768053804</v>
      </c>
      <c r="AM5">
        <v>2.7530075381730801E-2</v>
      </c>
      <c r="AN5">
        <v>3.41716691094631E-2</v>
      </c>
    </row>
    <row r="6" spans="1:40" x14ac:dyDescent="0.2">
      <c r="A6">
        <v>44</v>
      </c>
      <c r="B6">
        <v>742</v>
      </c>
      <c r="C6">
        <v>250</v>
      </c>
      <c r="D6">
        <v>0.318396788651924</v>
      </c>
      <c r="E6">
        <v>1.44458844938142E-2</v>
      </c>
      <c r="F6">
        <v>4.65424099931053</v>
      </c>
      <c r="G6">
        <v>-0.13719557821037148</v>
      </c>
      <c r="H6">
        <v>-0.11139609685491764</v>
      </c>
      <c r="I6">
        <v>2.541445240157E-2</v>
      </c>
      <c r="J6">
        <v>1.32570001146123E-2</v>
      </c>
      <c r="K6">
        <v>3.10381101794132E-3</v>
      </c>
      <c r="L6">
        <v>3.1652689461557481E-5</v>
      </c>
      <c r="M6">
        <v>5.5307312591210368E-7</v>
      </c>
      <c r="N6" s="1">
        <v>1.4729224599333501E-11</v>
      </c>
      <c r="O6" s="1">
        <v>6.7700489774888E-15</v>
      </c>
      <c r="P6" s="1">
        <v>2.6301136347637101E-14</v>
      </c>
      <c r="R6">
        <v>47.321967777129203</v>
      </c>
      <c r="S6">
        <v>2.1950118023351699</v>
      </c>
      <c r="T6">
        <v>9.9253949407399293</v>
      </c>
      <c r="V6">
        <v>37.3395325656873</v>
      </c>
      <c r="W6">
        <v>0.67986292438676099</v>
      </c>
      <c r="X6">
        <v>2.5382299897214899</v>
      </c>
      <c r="AJ6">
        <v>9.3166702097043599E-2</v>
      </c>
      <c r="AK6">
        <v>9.1948850584026201E-2</v>
      </c>
      <c r="AL6">
        <v>0.76885789269987903</v>
      </c>
      <c r="AM6">
        <v>1.41784352194577E-2</v>
      </c>
      <c r="AN6">
        <v>3.1848119399592902E-2</v>
      </c>
    </row>
    <row r="7" spans="1:40" x14ac:dyDescent="0.2">
      <c r="A7">
        <v>45</v>
      </c>
      <c r="B7">
        <v>740</v>
      </c>
      <c r="C7">
        <v>250</v>
      </c>
      <c r="D7">
        <v>0.31691309282929903</v>
      </c>
      <c r="E7">
        <v>4.2537115379049299E-2</v>
      </c>
      <c r="F7">
        <v>4.6598058489647096</v>
      </c>
      <c r="G7">
        <v>-0.40489779179401786</v>
      </c>
      <c r="H7">
        <v>-0.3289383903911115</v>
      </c>
      <c r="I7">
        <v>7.4973499879491007E-2</v>
      </c>
      <c r="J7">
        <v>3.8947280956761102E-2</v>
      </c>
      <c r="K7">
        <v>9.1285166716763393E-3</v>
      </c>
      <c r="L7">
        <v>3.1452822844462709E-5</v>
      </c>
      <c r="M7">
        <v>5.5247995517815605E-7</v>
      </c>
      <c r="N7" s="1">
        <v>5.0691751910742098E-11</v>
      </c>
      <c r="O7" s="1">
        <v>1.9889100188066701E-14</v>
      </c>
      <c r="P7" s="1">
        <v>6.8057548823295506E-14</v>
      </c>
      <c r="R7">
        <v>47.209949598370002</v>
      </c>
      <c r="S7">
        <v>2.3194237728209002</v>
      </c>
      <c r="T7">
        <v>10.030442524961201</v>
      </c>
      <c r="V7">
        <v>36.497638723008798</v>
      </c>
      <c r="W7">
        <v>1.3946640002617701</v>
      </c>
      <c r="X7">
        <v>2.5478813805771998</v>
      </c>
      <c r="AJ7">
        <v>9.3455149941559998E-2</v>
      </c>
      <c r="AK7">
        <v>9.2856622648320203E-2</v>
      </c>
      <c r="AL7">
        <v>0.75099362419428095</v>
      </c>
      <c r="AM7">
        <v>2.90650328429383E-2</v>
      </c>
      <c r="AN7">
        <v>3.3629570372899799E-2</v>
      </c>
    </row>
    <row r="8" spans="1:40" x14ac:dyDescent="0.2">
      <c r="A8">
        <v>55</v>
      </c>
      <c r="B8">
        <v>746</v>
      </c>
      <c r="C8">
        <v>225</v>
      </c>
      <c r="D8">
        <v>0.34832998086640898</v>
      </c>
      <c r="E8">
        <v>1.22919347991369E-2</v>
      </c>
      <c r="F8">
        <v>4.6513428407485797</v>
      </c>
      <c r="G8">
        <v>-0.11709405302948885</v>
      </c>
      <c r="H8">
        <v>-9.4984651318768931E-2</v>
      </c>
      <c r="I8">
        <v>2.16939623320609E-2</v>
      </c>
      <c r="J8">
        <v>1.12896633040976E-2</v>
      </c>
      <c r="K8">
        <v>2.6426636822923602E-3</v>
      </c>
      <c r="L8">
        <v>3.1599989080105206E-5</v>
      </c>
      <c r="M8">
        <v>5.5325602852107742E-7</v>
      </c>
      <c r="N8" s="1">
        <v>1.2533180615066601E-11</v>
      </c>
      <c r="O8" s="1">
        <v>5.7558835379702602E-15</v>
      </c>
      <c r="P8" s="1">
        <v>2.3189865320953199E-14</v>
      </c>
      <c r="R8">
        <v>47.314868020953497</v>
      </c>
      <c r="S8">
        <v>2.1759184360164299</v>
      </c>
      <c r="T8">
        <v>10.055651299446</v>
      </c>
      <c r="V8">
        <v>36.965823497288497</v>
      </c>
      <c r="W8">
        <v>0.82710534692673199</v>
      </c>
      <c r="X8">
        <v>2.66063339936861</v>
      </c>
      <c r="AJ8">
        <v>9.7581675799683507E-2</v>
      </c>
      <c r="AK8">
        <v>9.3081247410058701E-2</v>
      </c>
      <c r="AL8">
        <v>0.76055577361248905</v>
      </c>
      <c r="AM8">
        <v>1.7235395580056299E-2</v>
      </c>
      <c r="AN8">
        <v>3.1545907597711802E-2</v>
      </c>
    </row>
    <row r="9" spans="1:40" x14ac:dyDescent="0.2">
      <c r="A9">
        <v>56</v>
      </c>
      <c r="B9">
        <v>744</v>
      </c>
      <c r="C9">
        <v>225</v>
      </c>
      <c r="D9">
        <v>0.34691097674876298</v>
      </c>
      <c r="E9">
        <v>3.8249763498545503E-2</v>
      </c>
      <c r="F9">
        <v>4.6568108047579102</v>
      </c>
      <c r="G9">
        <v>-0.36513461118206753</v>
      </c>
      <c r="H9">
        <v>-0.2963508589580417</v>
      </c>
      <c r="I9">
        <v>6.7624000613504306E-2</v>
      </c>
      <c r="J9">
        <v>3.5055342599038398E-2</v>
      </c>
      <c r="K9">
        <v>8.2137250367709299E-3</v>
      </c>
      <c r="L9">
        <v>3.1408516659998436E-5</v>
      </c>
      <c r="M9">
        <v>5.5266371643472209E-7</v>
      </c>
      <c r="N9" s="1">
        <v>4.4275879165811101E-11</v>
      </c>
      <c r="O9" s="1">
        <v>1.7865157649220501E-14</v>
      </c>
      <c r="P9" s="1">
        <v>6.57595978423024E-14</v>
      </c>
      <c r="R9">
        <v>47.197320084047803</v>
      </c>
      <c r="S9">
        <v>2.2969778373801701</v>
      </c>
      <c r="T9">
        <v>10.1731551345394</v>
      </c>
      <c r="V9">
        <v>36.144418293503797</v>
      </c>
      <c r="W9">
        <v>1.5192600971810599</v>
      </c>
      <c r="X9">
        <v>2.6688685533475902</v>
      </c>
      <c r="AJ9">
        <v>9.7818364581305106E-2</v>
      </c>
      <c r="AK9">
        <v>9.4106069921760196E-2</v>
      </c>
      <c r="AL9">
        <v>0.74315927293056105</v>
      </c>
      <c r="AM9">
        <v>3.1637527681637301E-2</v>
      </c>
      <c r="AN9">
        <v>3.3278764884735697E-2</v>
      </c>
    </row>
    <row r="10" spans="1:40" x14ac:dyDescent="0.2">
      <c r="A10">
        <v>64</v>
      </c>
      <c r="B10">
        <v>750</v>
      </c>
      <c r="C10">
        <v>200</v>
      </c>
      <c r="D10">
        <v>0.37802912573913899</v>
      </c>
      <c r="E10">
        <v>1.73689306188432E-2</v>
      </c>
      <c r="F10">
        <v>4.6495577721296701</v>
      </c>
      <c r="G10">
        <v>-0.16605877293952126</v>
      </c>
      <c r="H10">
        <v>-0.13457507966869872</v>
      </c>
      <c r="I10">
        <v>3.0771336823361702E-2</v>
      </c>
      <c r="J10">
        <v>1.5958940089334801E-2</v>
      </c>
      <c r="K10">
        <v>3.73560916329631E-3</v>
      </c>
      <c r="L10">
        <v>3.1503414070161344E-5</v>
      </c>
      <c r="M10">
        <v>5.5327995538347372E-7</v>
      </c>
      <c r="N10" s="1">
        <v>1.8207621450344801E-11</v>
      </c>
      <c r="O10" s="1">
        <v>8.1210450124747693E-15</v>
      </c>
      <c r="P10" s="1">
        <v>3.3400807580012999E-14</v>
      </c>
      <c r="R10">
        <v>47.278145738918397</v>
      </c>
      <c r="S10">
        <v>2.1830478144351302</v>
      </c>
      <c r="T10">
        <v>10.223179010898701</v>
      </c>
      <c r="V10">
        <v>36.391698754621302</v>
      </c>
      <c r="W10">
        <v>1.1342661347109799</v>
      </c>
      <c r="X10">
        <v>2.78966254641532</v>
      </c>
      <c r="AJ10">
        <v>0.102214334382827</v>
      </c>
      <c r="AK10">
        <v>9.4539838262511097E-2</v>
      </c>
      <c r="AL10">
        <v>0.74801431714661104</v>
      </c>
      <c r="AM10">
        <v>2.3613061192189599E-2</v>
      </c>
      <c r="AN10">
        <v>3.1618449015860001E-2</v>
      </c>
    </row>
    <row r="11" spans="1:40" x14ac:dyDescent="0.2">
      <c r="A11">
        <v>65</v>
      </c>
      <c r="B11">
        <v>748</v>
      </c>
      <c r="C11">
        <v>200</v>
      </c>
      <c r="D11">
        <v>0.37667384811242399</v>
      </c>
      <c r="E11">
        <v>3.6103514407584698E-2</v>
      </c>
      <c r="F11">
        <v>4.6544860003700901</v>
      </c>
      <c r="G11">
        <v>-0.34576985426089862</v>
      </c>
      <c r="H11">
        <v>-0.28036453554413526</v>
      </c>
      <c r="I11">
        <v>6.4050647521679799E-2</v>
      </c>
      <c r="J11">
        <v>3.3116052929661799E-2</v>
      </c>
      <c r="K11">
        <v>7.7567135027829101E-3</v>
      </c>
      <c r="L11">
        <v>3.1341385535124296E-5</v>
      </c>
      <c r="M11">
        <v>5.5272998009319589E-7</v>
      </c>
      <c r="N11" s="1">
        <v>4.0579055276701997E-11</v>
      </c>
      <c r="O11" s="1">
        <v>1.6834105254343901E-14</v>
      </c>
      <c r="P11" s="1">
        <v>6.6620975601528496E-14</v>
      </c>
      <c r="R11">
        <v>47.159019761607198</v>
      </c>
      <c r="S11">
        <v>2.2982564980037599</v>
      </c>
      <c r="T11">
        <v>10.344435668004801</v>
      </c>
      <c r="V11">
        <v>35.662668839377702</v>
      </c>
      <c r="W11">
        <v>1.7428636930966801</v>
      </c>
      <c r="X11">
        <v>2.79275553990963</v>
      </c>
      <c r="AJ11">
        <v>0.102267512463556</v>
      </c>
      <c r="AK11">
        <v>9.5604939235168607E-2</v>
      </c>
      <c r="AL11">
        <v>0.73259855820966302</v>
      </c>
      <c r="AM11">
        <v>3.6261468414259403E-2</v>
      </c>
      <c r="AN11">
        <v>3.3267521677352502E-2</v>
      </c>
    </row>
    <row r="12" spans="1:40" x14ac:dyDescent="0.2">
      <c r="A12">
        <v>72</v>
      </c>
      <c r="B12">
        <v>754</v>
      </c>
      <c r="C12">
        <v>175</v>
      </c>
      <c r="D12">
        <v>0.40749695760112897</v>
      </c>
      <c r="E12">
        <v>2.48175160333544E-2</v>
      </c>
      <c r="F12">
        <v>4.6490896294100104</v>
      </c>
      <c r="G12">
        <v>-0.23827644300785</v>
      </c>
      <c r="H12">
        <v>-0.1929114128332215</v>
      </c>
      <c r="I12">
        <v>4.4165925302661203E-2</v>
      </c>
      <c r="J12">
        <v>2.2805926979054699E-2</v>
      </c>
      <c r="K12">
        <v>5.3381453169582998E-3</v>
      </c>
      <c r="L12">
        <v>3.1364485548579093E-5</v>
      </c>
      <c r="M12">
        <v>5.5308493595841178E-7</v>
      </c>
      <c r="N12" s="1">
        <v>2.63931358497665E-11</v>
      </c>
      <c r="O12" s="1">
        <v>1.15712186908746E-14</v>
      </c>
      <c r="P12" s="1">
        <v>4.95369578386783E-14</v>
      </c>
      <c r="R12">
        <v>47.190605431347798</v>
      </c>
      <c r="S12">
        <v>2.2293099917650001</v>
      </c>
      <c r="T12">
        <v>10.4535066720667</v>
      </c>
      <c r="V12">
        <v>35.583680195624297</v>
      </c>
      <c r="W12">
        <v>1.6202099246194901</v>
      </c>
      <c r="X12">
        <v>2.9226877845764601</v>
      </c>
      <c r="AJ12">
        <v>0.10696200087227301</v>
      </c>
      <c r="AK12">
        <v>9.6555685409336997E-2</v>
      </c>
      <c r="AL12">
        <v>0.73054236264309103</v>
      </c>
      <c r="AM12">
        <v>3.3689578370920001E-2</v>
      </c>
      <c r="AN12">
        <v>3.2250372704377903E-2</v>
      </c>
    </row>
    <row r="13" spans="1:40" x14ac:dyDescent="0.2">
      <c r="A13">
        <v>81</v>
      </c>
      <c r="B13">
        <v>760</v>
      </c>
      <c r="C13">
        <v>150</v>
      </c>
      <c r="D13">
        <v>0.43796205778444602</v>
      </c>
      <c r="E13">
        <v>2.03033666683478E-2</v>
      </c>
      <c r="F13">
        <v>4.6458568359018901</v>
      </c>
      <c r="G13">
        <v>-0.19563806262351127</v>
      </c>
      <c r="H13">
        <v>-0.15814642733943521</v>
      </c>
      <c r="I13">
        <v>3.6288666005977799E-2</v>
      </c>
      <c r="J13">
        <v>1.8683064505063102E-2</v>
      </c>
      <c r="K13">
        <v>4.3702092822682399E-3</v>
      </c>
      <c r="L13">
        <v>3.1315627748849485E-5</v>
      </c>
      <c r="M13">
        <v>5.5309951166088874E-7</v>
      </c>
      <c r="N13" s="1">
        <v>2.0644490054349501E-11</v>
      </c>
      <c r="O13" s="1">
        <v>9.4493091748312002E-15</v>
      </c>
      <c r="P13" s="1">
        <v>4.3649956250197501E-14</v>
      </c>
      <c r="R13">
        <v>47.148203583467897</v>
      </c>
      <c r="S13">
        <v>2.2261133683613799</v>
      </c>
      <c r="T13">
        <v>10.646259635576399</v>
      </c>
      <c r="V13">
        <v>35.121685724896999</v>
      </c>
      <c r="W13">
        <v>1.79865825105531</v>
      </c>
      <c r="X13">
        <v>3.0590794366418099</v>
      </c>
      <c r="AJ13">
        <v>0.111847137152967</v>
      </c>
      <c r="AK13">
        <v>9.8242618034179996E-2</v>
      </c>
      <c r="AL13">
        <v>0.72037215689958101</v>
      </c>
      <c r="AM13">
        <v>3.7364568019003098E-2</v>
      </c>
      <c r="AN13">
        <v>3.2173519894267602E-2</v>
      </c>
    </row>
    <row r="14" spans="1:40" x14ac:dyDescent="0.2">
      <c r="A14">
        <v>92</v>
      </c>
      <c r="B14">
        <v>768</v>
      </c>
      <c r="C14">
        <v>125</v>
      </c>
      <c r="D14">
        <v>0.46923161888296799</v>
      </c>
      <c r="E14">
        <v>1.2421872830311599E-2</v>
      </c>
      <c r="F14">
        <v>4.6416787644631397</v>
      </c>
      <c r="G14">
        <v>-0.12016028063551239</v>
      </c>
      <c r="H14">
        <v>-9.692600978246467E-2</v>
      </c>
      <c r="I14">
        <v>2.2315968739420499E-2</v>
      </c>
      <c r="J14">
        <v>1.1452398816331699E-2</v>
      </c>
      <c r="K14">
        <v>2.6761595234495502E-3</v>
      </c>
      <c r="L14">
        <v>3.1287239386001555E-5</v>
      </c>
      <c r="M14">
        <v>5.5307088246679169E-7</v>
      </c>
      <c r="N14" s="1">
        <v>1.1870352195754801E-11</v>
      </c>
      <c r="O14" s="1">
        <v>5.77025197834767E-15</v>
      </c>
      <c r="P14" s="1">
        <v>2.8982588236377798E-14</v>
      </c>
      <c r="R14">
        <v>47.103219503011097</v>
      </c>
      <c r="S14">
        <v>2.2174477408309001</v>
      </c>
      <c r="T14">
        <v>10.8566780848356</v>
      </c>
      <c r="V14">
        <v>34.696402379932302</v>
      </c>
      <c r="W14">
        <v>1.92053687900411</v>
      </c>
      <c r="X14">
        <v>3.2057154123857501</v>
      </c>
      <c r="AJ14">
        <v>0.117092944914074</v>
      </c>
      <c r="AK14">
        <v>0.10008557313113101</v>
      </c>
      <c r="AL14">
        <v>0.71094770684817998</v>
      </c>
      <c r="AM14">
        <v>3.9857091926339697E-2</v>
      </c>
      <c r="AN14">
        <v>3.2016683180274098E-2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E09B3-6D9F-4203-99A5-83325C6AA352}">
  <sheetPr codeName="Sheet7"/>
  <dimension ref="A1:AN23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16</v>
      </c>
      <c r="B2">
        <v>734</v>
      </c>
      <c r="C2">
        <v>300</v>
      </c>
      <c r="D2">
        <v>0.25781710768008598</v>
      </c>
      <c r="E2">
        <v>0.45775397394143802</v>
      </c>
      <c r="F2">
        <v>4.9426392921455804</v>
      </c>
      <c r="G2">
        <v>-3.0475319659950251</v>
      </c>
      <c r="H2">
        <v>-2.2386516978520064</v>
      </c>
      <c r="I2">
        <v>0.803137832639644</v>
      </c>
      <c r="J2">
        <v>0.40543169382099198</v>
      </c>
      <c r="K2">
        <v>9.2613267302119606E-2</v>
      </c>
      <c r="L2">
        <v>3.5621577465715365E-5</v>
      </c>
      <c r="M2">
        <v>4.14352056430375E-7</v>
      </c>
      <c r="N2" s="1">
        <v>1.8072584882081999E-9</v>
      </c>
      <c r="O2" s="1">
        <v>2.23614656559946E-13</v>
      </c>
      <c r="P2">
        <v>0</v>
      </c>
      <c r="R2">
        <v>8.9297472659087909</v>
      </c>
      <c r="S2">
        <v>1.83647084700962</v>
      </c>
      <c r="T2">
        <v>50.035765536114901</v>
      </c>
      <c r="V2">
        <v>38.345750742890701</v>
      </c>
      <c r="X2">
        <v>0.85226560807590601</v>
      </c>
      <c r="AJ2">
        <v>0</v>
      </c>
      <c r="AK2">
        <v>-7.0734844505057001E-3</v>
      </c>
      <c r="AL2">
        <v>0.707121664614481</v>
      </c>
      <c r="AM2">
        <v>4.7722128040063198E-2</v>
      </c>
      <c r="AN2">
        <v>0.25222969179596</v>
      </c>
    </row>
    <row r="3" spans="1:40" x14ac:dyDescent="0.2">
      <c r="A3">
        <v>17</v>
      </c>
      <c r="B3">
        <v>732</v>
      </c>
      <c r="C3">
        <v>300</v>
      </c>
      <c r="D3">
        <v>0.256201064517732</v>
      </c>
      <c r="E3">
        <v>0.51727145739202396</v>
      </c>
      <c r="F3">
        <v>4.9436203400229504</v>
      </c>
      <c r="G3">
        <v>-3.4406646231305014</v>
      </c>
      <c r="H3">
        <v>-2.5294752860553782</v>
      </c>
      <c r="I3">
        <v>0.90652075518591602</v>
      </c>
      <c r="J3">
        <v>0.45817447752672003</v>
      </c>
      <c r="K3">
        <v>0.104634138913188</v>
      </c>
      <c r="L3">
        <v>3.5804911534209724E-5</v>
      </c>
      <c r="M3">
        <v>4.1680994026392491E-7</v>
      </c>
      <c r="N3" s="1">
        <v>2.0551065652087401E-9</v>
      </c>
      <c r="O3" s="1">
        <v>2.5439352496411398E-13</v>
      </c>
      <c r="P3">
        <v>0</v>
      </c>
      <c r="R3">
        <v>8.6793383652874692</v>
      </c>
      <c r="S3">
        <v>1.9550693457758599</v>
      </c>
      <c r="T3">
        <v>50.373246854181502</v>
      </c>
      <c r="V3">
        <v>38.151923510486597</v>
      </c>
      <c r="X3">
        <v>0.84042192426842299</v>
      </c>
      <c r="AJ3">
        <v>0</v>
      </c>
      <c r="AK3">
        <v>-3.78401591784928E-3</v>
      </c>
      <c r="AL3">
        <v>0.71166232027682597</v>
      </c>
      <c r="AM3">
        <v>4.7043827054802E-2</v>
      </c>
      <c r="AN3">
        <v>0.24507786858621999</v>
      </c>
    </row>
    <row r="4" spans="1:40" x14ac:dyDescent="0.2">
      <c r="A4">
        <v>31</v>
      </c>
      <c r="B4">
        <v>738</v>
      </c>
      <c r="C4">
        <v>275</v>
      </c>
      <c r="D4">
        <v>0.28822677149780002</v>
      </c>
      <c r="E4">
        <v>0.44963690633255299</v>
      </c>
      <c r="F4">
        <v>4.9390974414151199</v>
      </c>
      <c r="G4">
        <v>-3.0032570817726931</v>
      </c>
      <c r="H4">
        <v>-2.2035628825518336</v>
      </c>
      <c r="I4">
        <v>0.79087593257267297</v>
      </c>
      <c r="J4">
        <v>0.39844779978810901</v>
      </c>
      <c r="K4">
        <v>9.1036249368614597E-2</v>
      </c>
      <c r="L4">
        <v>3.5632593164324476E-5</v>
      </c>
      <c r="M4">
        <v>4.1457906461808893E-7</v>
      </c>
      <c r="N4" s="1">
        <v>1.77178648809673E-9</v>
      </c>
      <c r="O4" s="1">
        <v>2.1892634544596501E-13</v>
      </c>
      <c r="P4">
        <v>0</v>
      </c>
      <c r="R4">
        <v>9.0485837924986701</v>
      </c>
      <c r="S4">
        <v>1.8049674979288</v>
      </c>
      <c r="T4">
        <v>49.8710466547696</v>
      </c>
      <c r="V4">
        <v>38.371989277554</v>
      </c>
      <c r="X4">
        <v>0.90341277724875302</v>
      </c>
      <c r="AJ4">
        <v>0</v>
      </c>
      <c r="AK4">
        <v>-1.0631215396654899E-2</v>
      </c>
      <c r="AL4">
        <v>0.70456024363259695</v>
      </c>
      <c r="AM4">
        <v>5.0569321060050999E-2</v>
      </c>
      <c r="AN4">
        <v>0.25550165070400599</v>
      </c>
    </row>
    <row r="5" spans="1:40" x14ac:dyDescent="0.2">
      <c r="A5">
        <v>32</v>
      </c>
      <c r="B5">
        <v>736</v>
      </c>
      <c r="C5">
        <v>275</v>
      </c>
      <c r="D5">
        <v>0.28667740177377199</v>
      </c>
      <c r="E5">
        <v>0.52501187118612802</v>
      </c>
      <c r="F5">
        <v>4.9401837397579396</v>
      </c>
      <c r="G5">
        <v>-3.50321547771054</v>
      </c>
      <c r="H5">
        <v>-2.5723939145502066</v>
      </c>
      <c r="I5">
        <v>0.92238176996515098</v>
      </c>
      <c r="J5">
        <v>0.46527063580101402</v>
      </c>
      <c r="K5">
        <v>0.106273753941761</v>
      </c>
      <c r="L5">
        <v>3.5833119825142078E-5</v>
      </c>
      <c r="M5">
        <v>4.1722684493043798E-7</v>
      </c>
      <c r="N5" s="1">
        <v>2.0828186787837599E-9</v>
      </c>
      <c r="O5" s="1">
        <v>2.5748103026344502E-13</v>
      </c>
      <c r="P5">
        <v>0</v>
      </c>
      <c r="R5">
        <v>8.7841016532704295</v>
      </c>
      <c r="S5">
        <v>1.9256464826859601</v>
      </c>
      <c r="T5">
        <v>50.232931246953598</v>
      </c>
      <c r="V5">
        <v>38.166331791483003</v>
      </c>
      <c r="X5">
        <v>0.890988825606847</v>
      </c>
      <c r="AJ5">
        <v>0</v>
      </c>
      <c r="AK5">
        <v>-7.2632514374311999E-3</v>
      </c>
      <c r="AL5">
        <v>0.70944953862990701</v>
      </c>
      <c r="AM5">
        <v>4.9858187935943897E-2</v>
      </c>
      <c r="AN5">
        <v>0.24795552487157899</v>
      </c>
    </row>
    <row r="6" spans="1:40" x14ac:dyDescent="0.2">
      <c r="A6">
        <v>44</v>
      </c>
      <c r="B6">
        <v>742</v>
      </c>
      <c r="C6">
        <v>250</v>
      </c>
      <c r="D6">
        <v>0.318396788651924</v>
      </c>
      <c r="E6">
        <v>0.47137789260735502</v>
      </c>
      <c r="F6">
        <v>4.93568587713425</v>
      </c>
      <c r="G6">
        <v>-3.1583570299436574</v>
      </c>
      <c r="H6">
        <v>-2.314608883862785</v>
      </c>
      <c r="I6">
        <v>0.831156130700755</v>
      </c>
      <c r="J6">
        <v>0.41793302056901499</v>
      </c>
      <c r="K6">
        <v>9.5504030106763102E-2</v>
      </c>
      <c r="L6">
        <v>3.5673994977630569E-5</v>
      </c>
      <c r="M6">
        <v>4.1514817291253644E-7</v>
      </c>
      <c r="N6" s="1">
        <v>1.8554543731069701E-9</v>
      </c>
      <c r="O6" s="1">
        <v>2.2895843356821998E-13</v>
      </c>
      <c r="P6">
        <v>0</v>
      </c>
      <c r="R6">
        <v>9.1392371663686305</v>
      </c>
      <c r="S6">
        <v>1.7816431863370401</v>
      </c>
      <c r="T6">
        <v>49.750773954238703</v>
      </c>
      <c r="V6">
        <v>38.374403707103198</v>
      </c>
      <c r="X6">
        <v>0.95394198595233504</v>
      </c>
      <c r="AJ6">
        <v>0</v>
      </c>
      <c r="AK6">
        <v>-1.3970911048170101E-2</v>
      </c>
      <c r="AL6">
        <v>0.70261903176000395</v>
      </c>
      <c r="AM6">
        <v>5.3379349318605399E-2</v>
      </c>
      <c r="AN6">
        <v>0.25797252996955899</v>
      </c>
    </row>
    <row r="7" spans="1:40" x14ac:dyDescent="0.2">
      <c r="A7">
        <v>45</v>
      </c>
      <c r="B7">
        <v>740</v>
      </c>
      <c r="C7">
        <v>250</v>
      </c>
      <c r="D7">
        <v>0.31691309282929903</v>
      </c>
      <c r="E7">
        <v>0.53819734993499702</v>
      </c>
      <c r="F7">
        <v>4.9368805596592997</v>
      </c>
      <c r="G7">
        <v>-3.6021203617310356</v>
      </c>
      <c r="H7">
        <v>-2.6417972702521286</v>
      </c>
      <c r="I7">
        <v>0.94785874893046995</v>
      </c>
      <c r="J7">
        <v>0.477202781334852</v>
      </c>
      <c r="K7">
        <v>0.10901567162324401</v>
      </c>
      <c r="L7">
        <v>3.5885913483094091E-5</v>
      </c>
      <c r="M7">
        <v>4.1791883322998694E-7</v>
      </c>
      <c r="N7" s="1">
        <v>2.1334753379509101E-9</v>
      </c>
      <c r="O7" s="1">
        <v>2.6340033516943398E-13</v>
      </c>
      <c r="P7">
        <v>0</v>
      </c>
      <c r="R7">
        <v>8.8670180049544403</v>
      </c>
      <c r="S7">
        <v>1.9009932067731401</v>
      </c>
      <c r="T7">
        <v>50.128784579479003</v>
      </c>
      <c r="V7">
        <v>38.162370744532502</v>
      </c>
      <c r="X7">
        <v>0.94083346426076497</v>
      </c>
      <c r="AJ7">
        <v>0</v>
      </c>
      <c r="AK7">
        <v>-1.0594360589092499E-2</v>
      </c>
      <c r="AL7">
        <v>0.70774910816867997</v>
      </c>
      <c r="AM7">
        <v>5.2630337610606898E-2</v>
      </c>
      <c r="AN7">
        <v>0.25021491480980401</v>
      </c>
    </row>
    <row r="8" spans="1:40" x14ac:dyDescent="0.2">
      <c r="A8">
        <v>55</v>
      </c>
      <c r="B8">
        <v>746</v>
      </c>
      <c r="C8">
        <v>225</v>
      </c>
      <c r="D8">
        <v>0.34832998086640898</v>
      </c>
      <c r="E8">
        <v>0.50603149212744303</v>
      </c>
      <c r="F8">
        <v>4.9322465437691001</v>
      </c>
      <c r="G8">
        <v>-3.401240244512576</v>
      </c>
      <c r="H8">
        <v>-2.4896697773604934</v>
      </c>
      <c r="I8">
        <v>0.89444190467750795</v>
      </c>
      <c r="J8">
        <v>0.44890889958206498</v>
      </c>
      <c r="K8">
        <v>0.102596552633142</v>
      </c>
      <c r="L8">
        <v>3.5741980103527995E-5</v>
      </c>
      <c r="M8">
        <v>4.1602588993085032E-7</v>
      </c>
      <c r="N8" s="1">
        <v>1.9912154582976302E-9</v>
      </c>
      <c r="O8" s="1">
        <v>2.4538156723578501E-13</v>
      </c>
      <c r="P8">
        <v>0</v>
      </c>
      <c r="R8">
        <v>9.2016698275274003</v>
      </c>
      <c r="S8">
        <v>1.77310463369422</v>
      </c>
      <c r="T8">
        <v>49.668014263306297</v>
      </c>
      <c r="V8">
        <v>38.351946639116697</v>
      </c>
      <c r="X8">
        <v>1.00526463635523</v>
      </c>
      <c r="AJ8">
        <v>0</v>
      </c>
      <c r="AK8">
        <v>-1.7024729035678799E-2</v>
      </c>
      <c r="AL8">
        <v>0.70116652939778201</v>
      </c>
      <c r="AM8">
        <v>5.6228439160058999E-2</v>
      </c>
      <c r="AN8">
        <v>0.25962976047783598</v>
      </c>
    </row>
    <row r="9" spans="1:40" x14ac:dyDescent="0.2">
      <c r="A9">
        <v>56</v>
      </c>
      <c r="B9">
        <v>744</v>
      </c>
      <c r="C9">
        <v>225</v>
      </c>
      <c r="D9">
        <v>0.34691097674876298</v>
      </c>
      <c r="E9">
        <v>0.55236162886484297</v>
      </c>
      <c r="F9">
        <v>4.9334919910270596</v>
      </c>
      <c r="G9">
        <v>-3.7084003880914533</v>
      </c>
      <c r="H9">
        <v>-2.7164942308404103</v>
      </c>
      <c r="I9">
        <v>0.97518178956008705</v>
      </c>
      <c r="J9">
        <v>0.49003144223116601</v>
      </c>
      <c r="K9">
        <v>0.111961594316858</v>
      </c>
      <c r="L9">
        <v>3.5953940494385299E-5</v>
      </c>
      <c r="M9">
        <v>4.1879248554798486E-7</v>
      </c>
      <c r="N9" s="1">
        <v>2.18888442202472E-9</v>
      </c>
      <c r="O9" s="1">
        <v>2.69883792088497E-13</v>
      </c>
      <c r="P9">
        <v>0</v>
      </c>
      <c r="R9">
        <v>8.9320773103978102</v>
      </c>
      <c r="S9">
        <v>1.88837200993459</v>
      </c>
      <c r="T9">
        <v>50.045577905090198</v>
      </c>
      <c r="V9">
        <v>38.142145112518101</v>
      </c>
      <c r="X9">
        <v>0.99182766205915895</v>
      </c>
      <c r="AJ9">
        <v>0</v>
      </c>
      <c r="AK9">
        <v>-1.3720828349913001E-2</v>
      </c>
      <c r="AL9">
        <v>0.70630451409914496</v>
      </c>
      <c r="AM9">
        <v>5.5461771024097703E-2</v>
      </c>
      <c r="AN9">
        <v>0.25195454322666999</v>
      </c>
    </row>
    <row r="10" spans="1:40" x14ac:dyDescent="0.2">
      <c r="A10">
        <v>63</v>
      </c>
      <c r="B10">
        <v>752</v>
      </c>
      <c r="C10">
        <v>200</v>
      </c>
      <c r="D10">
        <v>0.37937911525142798</v>
      </c>
      <c r="E10">
        <v>0.22279619554073801</v>
      </c>
      <c r="F10">
        <v>4.9499768395236403</v>
      </c>
      <c r="G10">
        <v>-1.4764391265550945</v>
      </c>
      <c r="H10">
        <v>-1.0732962895122355</v>
      </c>
      <c r="I10">
        <v>0.393252535768286</v>
      </c>
      <c r="J10">
        <v>0.19745906433992899</v>
      </c>
      <c r="K10">
        <v>4.5009543026908197E-2</v>
      </c>
      <c r="L10">
        <v>3.779552164799589E-5</v>
      </c>
      <c r="M10">
        <v>4.3725152312575225E-7</v>
      </c>
      <c r="N10" s="1">
        <v>9.2387353919907905E-10</v>
      </c>
      <c r="O10" s="1">
        <v>1.14545294076197E-13</v>
      </c>
      <c r="P10">
        <v>0</v>
      </c>
      <c r="R10">
        <v>7.5565254296381399</v>
      </c>
      <c r="S10">
        <v>1.84023428808306</v>
      </c>
      <c r="T10">
        <v>52.660125230146001</v>
      </c>
      <c r="V10">
        <v>37.130950904738</v>
      </c>
      <c r="X10">
        <v>0.81216414739471299</v>
      </c>
      <c r="AJ10">
        <v>0</v>
      </c>
      <c r="AK10">
        <v>-4.7524074849511896E-3</v>
      </c>
      <c r="AL10">
        <v>0.74541487716031996</v>
      </c>
      <c r="AM10">
        <v>4.5550298382728997E-2</v>
      </c>
      <c r="AN10">
        <v>0.213787231941901</v>
      </c>
    </row>
    <row r="11" spans="1:40" x14ac:dyDescent="0.2">
      <c r="A11">
        <v>64</v>
      </c>
      <c r="B11">
        <v>750</v>
      </c>
      <c r="C11">
        <v>200</v>
      </c>
      <c r="D11">
        <v>0.37802912573913899</v>
      </c>
      <c r="E11">
        <v>0.54484455718376901</v>
      </c>
      <c r="F11">
        <v>4.9288253867391703</v>
      </c>
      <c r="G11">
        <v>-3.6736084292911704</v>
      </c>
      <c r="H11">
        <v>-2.6858791330193856</v>
      </c>
      <c r="I11">
        <v>0.96538073231860799</v>
      </c>
      <c r="J11">
        <v>0.483637289619477</v>
      </c>
      <c r="K11">
        <v>0.11054247501842</v>
      </c>
      <c r="L11">
        <v>3.5856869650649179E-5</v>
      </c>
      <c r="M11">
        <v>4.174382478925489E-7</v>
      </c>
      <c r="N11" s="1">
        <v>2.14610111714646E-9</v>
      </c>
      <c r="O11" s="1">
        <v>2.6412214389900501E-13</v>
      </c>
      <c r="P11">
        <v>0</v>
      </c>
      <c r="R11">
        <v>9.2139383060770008</v>
      </c>
      <c r="S11">
        <v>1.7894269342090401</v>
      </c>
      <c r="T11">
        <v>49.652898269514402</v>
      </c>
      <c r="V11">
        <v>38.287053794277703</v>
      </c>
      <c r="X11">
        <v>1.0566826959217099</v>
      </c>
      <c r="AJ11">
        <v>0</v>
      </c>
      <c r="AK11">
        <v>-1.95302144182075E-2</v>
      </c>
      <c r="AL11">
        <v>0.70060727604675899</v>
      </c>
      <c r="AM11">
        <v>5.9075292265737198E-2</v>
      </c>
      <c r="AN11">
        <v>0.25984764610570998</v>
      </c>
    </row>
    <row r="12" spans="1:40" x14ac:dyDescent="0.2">
      <c r="A12">
        <v>65</v>
      </c>
      <c r="B12">
        <v>748</v>
      </c>
      <c r="C12">
        <v>200</v>
      </c>
      <c r="D12">
        <v>0.37667384811242399</v>
      </c>
      <c r="E12">
        <v>0.56765737303182096</v>
      </c>
      <c r="F12">
        <v>4.9300236544170897</v>
      </c>
      <c r="G12">
        <v>-3.8231800350696972</v>
      </c>
      <c r="H12">
        <v>-2.797299055828725</v>
      </c>
      <c r="I12">
        <v>1.0046329914713501</v>
      </c>
      <c r="J12">
        <v>0.50390450832536804</v>
      </c>
      <c r="K12">
        <v>0.11514293091133999</v>
      </c>
      <c r="L12">
        <v>3.6051900049451518E-5</v>
      </c>
      <c r="M12">
        <v>4.2001228375608203E-7</v>
      </c>
      <c r="N12" s="1">
        <v>2.2506586637811402E-9</v>
      </c>
      <c r="O12" s="1">
        <v>2.7713369591877998E-13</v>
      </c>
      <c r="P12">
        <v>0</v>
      </c>
      <c r="R12">
        <v>8.9620424321744192</v>
      </c>
      <c r="S12">
        <v>1.8972500009340401</v>
      </c>
      <c r="T12">
        <v>50.005233224448901</v>
      </c>
      <c r="V12">
        <v>38.091904318827297</v>
      </c>
      <c r="X12">
        <v>1.0435700236152601</v>
      </c>
      <c r="AJ12">
        <v>0</v>
      </c>
      <c r="AK12">
        <v>-1.6410208868966599E-2</v>
      </c>
      <c r="AL12">
        <v>0.70540210131525505</v>
      </c>
      <c r="AM12">
        <v>5.8327603249528903E-2</v>
      </c>
      <c r="AN12">
        <v>0.25268050430418199</v>
      </c>
    </row>
    <row r="13" spans="1:40" x14ac:dyDescent="0.2">
      <c r="A13">
        <v>71</v>
      </c>
      <c r="B13">
        <v>756</v>
      </c>
      <c r="C13">
        <v>175</v>
      </c>
      <c r="D13">
        <v>0.40878443375601398</v>
      </c>
      <c r="E13">
        <v>0.52567069828207802</v>
      </c>
      <c r="F13">
        <v>4.92702011306499</v>
      </c>
      <c r="G13">
        <v>-3.5504392776388851</v>
      </c>
      <c r="H13">
        <v>-2.5891110357098079</v>
      </c>
      <c r="I13">
        <v>0.93409924882580397</v>
      </c>
      <c r="J13">
        <v>0.466872694177074</v>
      </c>
      <c r="K13">
        <v>0.10669140499105199</v>
      </c>
      <c r="L13">
        <v>3.6227911362073574E-5</v>
      </c>
      <c r="M13">
        <v>4.2129338808856364E-7</v>
      </c>
      <c r="N13" s="1">
        <v>2.0848102561782402E-9</v>
      </c>
      <c r="O13" s="1">
        <v>2.56315840746354E-13</v>
      </c>
      <c r="P13">
        <v>0</v>
      </c>
      <c r="R13">
        <v>9.0941899019255494</v>
      </c>
      <c r="S13">
        <v>1.7608799346411701</v>
      </c>
      <c r="T13">
        <v>49.942937680503398</v>
      </c>
      <c r="V13">
        <v>38.098338919255802</v>
      </c>
      <c r="X13">
        <v>1.1036535636740099</v>
      </c>
      <c r="AJ13">
        <v>0</v>
      </c>
      <c r="AK13">
        <v>-2.27851278629152E-2</v>
      </c>
      <c r="AL13">
        <v>0.704640203465971</v>
      </c>
      <c r="AM13">
        <v>6.1696048273573799E-2</v>
      </c>
      <c r="AN13">
        <v>0.25644887612336897</v>
      </c>
    </row>
    <row r="14" spans="1:40" x14ac:dyDescent="0.2">
      <c r="A14">
        <v>72</v>
      </c>
      <c r="B14">
        <v>754</v>
      </c>
      <c r="C14">
        <v>175</v>
      </c>
      <c r="D14">
        <v>0.40749695760112897</v>
      </c>
      <c r="E14">
        <v>0.57476156820951796</v>
      </c>
      <c r="F14">
        <v>4.9253835858751298</v>
      </c>
      <c r="G14">
        <v>-3.8875827716617004</v>
      </c>
      <c r="H14">
        <v>-2.8390229796351258</v>
      </c>
      <c r="I14">
        <v>1.0208438806664699</v>
      </c>
      <c r="J14">
        <v>0.51054614600005499</v>
      </c>
      <c r="K14">
        <v>0.11669376774182599</v>
      </c>
      <c r="L14">
        <v>3.6029133257238974E-5</v>
      </c>
      <c r="M14">
        <v>4.1950155539043131E-7</v>
      </c>
      <c r="N14" s="1">
        <v>2.2699086194852998E-9</v>
      </c>
      <c r="O14" s="1">
        <v>2.7900793290988402E-13</v>
      </c>
      <c r="P14">
        <v>0</v>
      </c>
      <c r="R14">
        <v>9.1615753948467091</v>
      </c>
      <c r="S14">
        <v>1.8408604435118601</v>
      </c>
      <c r="T14">
        <v>49.721158265434497</v>
      </c>
      <c r="V14">
        <v>38.168467840683398</v>
      </c>
      <c r="X14">
        <v>1.10793805552337</v>
      </c>
      <c r="AJ14">
        <v>0</v>
      </c>
      <c r="AK14">
        <v>-2.1245833118779901E-2</v>
      </c>
      <c r="AL14">
        <v>0.70113356711861696</v>
      </c>
      <c r="AM14">
        <v>6.1902223088108901E-2</v>
      </c>
      <c r="AN14">
        <v>0.25821004291205302</v>
      </c>
    </row>
    <row r="15" spans="1:40" x14ac:dyDescent="0.2">
      <c r="A15">
        <v>79</v>
      </c>
      <c r="B15">
        <v>764</v>
      </c>
      <c r="C15">
        <v>150</v>
      </c>
      <c r="D15">
        <v>0.44039965289495597</v>
      </c>
      <c r="E15">
        <v>0.28137520917992098</v>
      </c>
      <c r="F15">
        <v>4.9468955040979798</v>
      </c>
      <c r="G15">
        <v>-1.8702339710936933</v>
      </c>
      <c r="H15">
        <v>-1.352258734650764</v>
      </c>
      <c r="I15">
        <v>0.49942171956122899</v>
      </c>
      <c r="J15">
        <v>0.249638935077486</v>
      </c>
      <c r="K15">
        <v>5.68791495488093E-2</v>
      </c>
      <c r="L15">
        <v>3.8657594998761625E-5</v>
      </c>
      <c r="M15">
        <v>4.4603145169260254E-7</v>
      </c>
      <c r="N15" s="1">
        <v>1.18555171036933E-9</v>
      </c>
      <c r="O15" s="1">
        <v>1.4679829630239499E-13</v>
      </c>
      <c r="P15">
        <v>0</v>
      </c>
      <c r="R15">
        <v>7.1557330660761203</v>
      </c>
      <c r="S15">
        <v>1.86752908799241</v>
      </c>
      <c r="T15">
        <v>53.437679516464698</v>
      </c>
      <c r="V15">
        <v>36.660043759060599</v>
      </c>
      <c r="X15">
        <v>0.87901457040602804</v>
      </c>
      <c r="AJ15">
        <v>0</v>
      </c>
      <c r="AK15">
        <v>-7.8944443578713303E-3</v>
      </c>
      <c r="AL15">
        <v>0.75621528494847701</v>
      </c>
      <c r="AM15">
        <v>4.9286182159630397E-2</v>
      </c>
      <c r="AN15">
        <v>0.20239297724976299</v>
      </c>
    </row>
    <row r="16" spans="1:40" x14ac:dyDescent="0.2">
      <c r="A16">
        <v>80</v>
      </c>
      <c r="B16">
        <v>762</v>
      </c>
      <c r="C16">
        <v>150</v>
      </c>
      <c r="D16">
        <v>0.439183210162781</v>
      </c>
      <c r="E16">
        <v>0.55764111057305699</v>
      </c>
      <c r="F16">
        <v>4.92184655387695</v>
      </c>
      <c r="G16">
        <v>-3.7844388294676543</v>
      </c>
      <c r="H16">
        <v>-2.7549454999661225</v>
      </c>
      <c r="I16">
        <v>0.99453540984546396</v>
      </c>
      <c r="J16">
        <v>0.49567229090062498</v>
      </c>
      <c r="K16">
        <v>0.113299166170428</v>
      </c>
      <c r="L16">
        <v>3.6236229066801846E-5</v>
      </c>
      <c r="M16">
        <v>4.211516031784461E-7</v>
      </c>
      <c r="N16" s="1">
        <v>2.2051130289564799E-9</v>
      </c>
      <c r="O16" s="1">
        <v>2.70618972107876E-13</v>
      </c>
      <c r="P16">
        <v>0</v>
      </c>
      <c r="R16">
        <v>9.2319173832981392</v>
      </c>
      <c r="S16">
        <v>1.76596041110805</v>
      </c>
      <c r="T16">
        <v>49.706806640758401</v>
      </c>
      <c r="V16">
        <v>38.1255816505493</v>
      </c>
      <c r="X16">
        <v>1.1697339142859799</v>
      </c>
      <c r="AJ16">
        <v>0</v>
      </c>
      <c r="AK16">
        <v>-2.6349352944889302E-2</v>
      </c>
      <c r="AL16">
        <v>0.70084292899891099</v>
      </c>
      <c r="AM16">
        <v>6.5346624375106299E-2</v>
      </c>
      <c r="AN16">
        <v>0.26015979957087099</v>
      </c>
    </row>
    <row r="17" spans="1:40" x14ac:dyDescent="0.2">
      <c r="A17">
        <v>81</v>
      </c>
      <c r="B17">
        <v>760</v>
      </c>
      <c r="C17">
        <v>150</v>
      </c>
      <c r="D17">
        <v>0.43796205778444602</v>
      </c>
      <c r="E17">
        <v>0.58862066889942899</v>
      </c>
      <c r="F17">
        <v>4.92065592058362</v>
      </c>
      <c r="G17">
        <v>-3.9987683315046891</v>
      </c>
      <c r="H17">
        <v>-2.9148075940437401</v>
      </c>
      <c r="I17">
        <v>1.04918040696989</v>
      </c>
      <c r="J17">
        <v>0.52326850908396105</v>
      </c>
      <c r="K17">
        <v>0.11962239961489</v>
      </c>
      <c r="L17">
        <v>3.6093075146632638E-5</v>
      </c>
      <c r="M17">
        <v>4.1997910177071036E-7</v>
      </c>
      <c r="N17" s="1">
        <v>2.3212989913835602E-9</v>
      </c>
      <c r="O17" s="1">
        <v>2.8483801969270099E-13</v>
      </c>
      <c r="P17">
        <v>0</v>
      </c>
      <c r="R17">
        <v>9.2581447502575696</v>
      </c>
      <c r="S17">
        <v>1.84454137804351</v>
      </c>
      <c r="T17">
        <v>49.564970998638003</v>
      </c>
      <c r="V17">
        <v>38.160436857586497</v>
      </c>
      <c r="X17">
        <v>1.17190601547429</v>
      </c>
      <c r="AJ17">
        <v>0</v>
      </c>
      <c r="AK17">
        <v>-2.4723679037386599E-2</v>
      </c>
      <c r="AL17">
        <v>0.69851162158987201</v>
      </c>
      <c r="AM17">
        <v>6.5436913562566798E-2</v>
      </c>
      <c r="AN17">
        <v>0.26077514388494699</v>
      </c>
    </row>
    <row r="18" spans="1:40" x14ac:dyDescent="0.2">
      <c r="A18">
        <v>90</v>
      </c>
      <c r="B18">
        <v>772</v>
      </c>
      <c r="C18">
        <v>125</v>
      </c>
      <c r="D18">
        <v>0.47153088073482102</v>
      </c>
      <c r="E18">
        <v>0.389337432989599</v>
      </c>
      <c r="F18">
        <v>4.93820000133758</v>
      </c>
      <c r="G18">
        <v>-2.606458798548613</v>
      </c>
      <c r="H18">
        <v>-1.8805108217993178</v>
      </c>
      <c r="I18">
        <v>0.69458735755565604</v>
      </c>
      <c r="J18">
        <v>0.34589037188163702</v>
      </c>
      <c r="K18">
        <v>7.8841973367652404E-2</v>
      </c>
      <c r="L18">
        <v>3.8778870188109538E-5</v>
      </c>
      <c r="M18">
        <v>4.4724951961240798E-7</v>
      </c>
      <c r="N18" s="1">
        <v>1.6382389542720901E-9</v>
      </c>
      <c r="O18" s="1">
        <v>2.0214269295072E-13</v>
      </c>
      <c r="P18">
        <v>0</v>
      </c>
      <c r="R18">
        <v>7.3242627463960597</v>
      </c>
      <c r="S18">
        <v>1.8761769993000399</v>
      </c>
      <c r="T18">
        <v>53.179505242836001</v>
      </c>
      <c r="V18">
        <v>36.597884982342201</v>
      </c>
      <c r="X18">
        <v>1.02217002912556</v>
      </c>
      <c r="AJ18">
        <v>0</v>
      </c>
      <c r="AK18">
        <v>-1.5708974654622801E-2</v>
      </c>
      <c r="AL18">
        <v>0.75158106561787197</v>
      </c>
      <c r="AM18">
        <v>5.7238194299594099E-2</v>
      </c>
      <c r="AN18">
        <v>0.20688971473715601</v>
      </c>
    </row>
    <row r="19" spans="1:40" x14ac:dyDescent="0.2">
      <c r="A19">
        <v>91</v>
      </c>
      <c r="B19">
        <v>770</v>
      </c>
      <c r="C19">
        <v>125</v>
      </c>
      <c r="D19">
        <v>0.47038345396155901</v>
      </c>
      <c r="E19">
        <v>0.57032178024070301</v>
      </c>
      <c r="F19">
        <v>4.9182106543583402</v>
      </c>
      <c r="G19">
        <v>-3.8840759783788874</v>
      </c>
      <c r="H19">
        <v>-2.8186696392949253</v>
      </c>
      <c r="I19">
        <v>1.0213357034788499</v>
      </c>
      <c r="J19">
        <v>0.50739331117130304</v>
      </c>
      <c r="K19">
        <v>0.115961234750143</v>
      </c>
      <c r="L19">
        <v>3.658649580642124E-5</v>
      </c>
      <c r="M19">
        <v>4.2439969361424591E-7</v>
      </c>
      <c r="N19" s="1">
        <v>2.2673038667904502E-9</v>
      </c>
      <c r="O19" s="1">
        <v>2.77872384410316E-13</v>
      </c>
      <c r="P19">
        <v>0</v>
      </c>
      <c r="R19">
        <v>9.1307002397393706</v>
      </c>
      <c r="S19">
        <v>1.7912110164783701</v>
      </c>
      <c r="T19">
        <v>49.904284924312798</v>
      </c>
      <c r="V19">
        <v>37.9451395831816</v>
      </c>
      <c r="X19">
        <v>1.22866423628773</v>
      </c>
      <c r="AJ19">
        <v>0</v>
      </c>
      <c r="AK19">
        <v>-2.9069631467156701E-2</v>
      </c>
      <c r="AL19">
        <v>0.70328294815298598</v>
      </c>
      <c r="AM19">
        <v>6.8605148920997797E-2</v>
      </c>
      <c r="AN19">
        <v>0.25718153439317198</v>
      </c>
    </row>
    <row r="20" spans="1:40" x14ac:dyDescent="0.2">
      <c r="A20">
        <v>92</v>
      </c>
      <c r="B20">
        <v>768</v>
      </c>
      <c r="C20">
        <v>125</v>
      </c>
      <c r="D20">
        <v>0.46923161888296799</v>
      </c>
      <c r="E20">
        <v>0.60127109334314299</v>
      </c>
      <c r="F20">
        <v>4.9146823393142096</v>
      </c>
      <c r="G20">
        <v>-4.1075703393211693</v>
      </c>
      <c r="H20">
        <v>-2.9865270662930663</v>
      </c>
      <c r="I20">
        <v>1.07673560296605</v>
      </c>
      <c r="J20">
        <v>0.53502967480464303</v>
      </c>
      <c r="K20">
        <v>0.12234180193771001</v>
      </c>
      <c r="L20">
        <v>3.611621979400137E-5</v>
      </c>
      <c r="M20">
        <v>4.1963933643282943E-7</v>
      </c>
      <c r="N20" s="1">
        <v>2.36272817550404E-9</v>
      </c>
      <c r="O20" s="1">
        <v>2.8931807305536101E-13</v>
      </c>
      <c r="P20">
        <v>0</v>
      </c>
      <c r="R20">
        <v>9.4257099867022696</v>
      </c>
      <c r="S20">
        <v>1.8419402038816499</v>
      </c>
      <c r="T20">
        <v>49.285327325784401</v>
      </c>
      <c r="V20">
        <v>38.199688577434799</v>
      </c>
      <c r="X20">
        <v>1.2473339061967601</v>
      </c>
      <c r="AJ20">
        <v>0</v>
      </c>
      <c r="AK20">
        <v>-2.8971935628090001E-2</v>
      </c>
      <c r="AL20">
        <v>0.694069917268335</v>
      </c>
      <c r="AM20">
        <v>6.9598446797364905E-2</v>
      </c>
      <c r="AN20">
        <v>0.26530357156238998</v>
      </c>
    </row>
    <row r="21" spans="1:40" x14ac:dyDescent="0.2">
      <c r="A21">
        <v>103</v>
      </c>
      <c r="B21">
        <v>784</v>
      </c>
      <c r="C21">
        <v>100</v>
      </c>
      <c r="D21">
        <v>0.50433760582698905</v>
      </c>
      <c r="E21">
        <v>0.282699781744437</v>
      </c>
      <c r="F21">
        <v>4.9432626239510897</v>
      </c>
      <c r="G21">
        <v>-1.8870102572839849</v>
      </c>
      <c r="H21">
        <v>-1.3517910662549848</v>
      </c>
      <c r="I21">
        <v>0.50628500310173497</v>
      </c>
      <c r="J21">
        <v>0.25117792440742498</v>
      </c>
      <c r="K21">
        <v>5.7188906042479101E-2</v>
      </c>
      <c r="L21">
        <v>3.9804717250646944E-5</v>
      </c>
      <c r="M21">
        <v>4.558787262701553E-7</v>
      </c>
      <c r="N21" s="1">
        <v>1.21387597694703E-9</v>
      </c>
      <c r="O21" s="1">
        <v>1.5021330832172101E-13</v>
      </c>
      <c r="P21">
        <v>0</v>
      </c>
      <c r="R21">
        <v>6.6112942515106701</v>
      </c>
      <c r="S21">
        <v>1.94143823924109</v>
      </c>
      <c r="T21">
        <v>54.424612375533897</v>
      </c>
      <c r="V21">
        <v>36.100998388973501</v>
      </c>
      <c r="X21">
        <v>0.92165674474070902</v>
      </c>
      <c r="AJ21">
        <v>0</v>
      </c>
      <c r="AK21">
        <v>-8.6454899398287904E-3</v>
      </c>
      <c r="AL21">
        <v>0.77002338240326695</v>
      </c>
      <c r="AM21">
        <v>5.1666497062776401E-2</v>
      </c>
      <c r="AN21">
        <v>0.18695561047378401</v>
      </c>
    </row>
    <row r="22" spans="1:40" x14ac:dyDescent="0.2">
      <c r="A22">
        <v>104</v>
      </c>
      <c r="B22">
        <v>782</v>
      </c>
      <c r="C22">
        <v>100</v>
      </c>
      <c r="D22">
        <v>0.50326541250059598</v>
      </c>
      <c r="E22">
        <v>0.52953433455649401</v>
      </c>
      <c r="F22">
        <v>4.9211673790381898</v>
      </c>
      <c r="G22">
        <v>-3.5975560862553535</v>
      </c>
      <c r="H22">
        <v>-2.5928661801971793</v>
      </c>
      <c r="I22">
        <v>0.95217732650161002</v>
      </c>
      <c r="J22">
        <v>0.47145211543194199</v>
      </c>
      <c r="K22">
        <v>0.10760339849688</v>
      </c>
      <c r="L22">
        <v>3.808953833119535E-5</v>
      </c>
      <c r="M22">
        <v>4.3945425997539732E-7</v>
      </c>
      <c r="N22" s="1">
        <v>2.17708855629661E-9</v>
      </c>
      <c r="O22" s="1">
        <v>2.6697980607941998E-13</v>
      </c>
      <c r="P22">
        <v>0</v>
      </c>
      <c r="R22">
        <v>8.1909022748525704</v>
      </c>
      <c r="S22">
        <v>1.8646495067945501</v>
      </c>
      <c r="T22">
        <v>51.641243959228802</v>
      </c>
      <c r="V22">
        <v>37.0570987929027</v>
      </c>
      <c r="X22">
        <v>1.2461054662212601</v>
      </c>
      <c r="AJ22">
        <v>0</v>
      </c>
      <c r="AK22">
        <v>-2.8433139412759299E-2</v>
      </c>
      <c r="AL22">
        <v>0.72803191029303904</v>
      </c>
      <c r="AM22">
        <v>6.9604892140204599E-2</v>
      </c>
      <c r="AN22">
        <v>0.23079633697951499</v>
      </c>
    </row>
    <row r="23" spans="1:40" x14ac:dyDescent="0.2">
      <c r="A23">
        <v>105</v>
      </c>
      <c r="B23">
        <v>780</v>
      </c>
      <c r="C23">
        <v>100</v>
      </c>
      <c r="D23">
        <v>0.50218914684517901</v>
      </c>
      <c r="E23">
        <v>0.59974660170960203</v>
      </c>
      <c r="F23">
        <v>4.9099747661143098</v>
      </c>
      <c r="G23">
        <v>-4.1163033542386165</v>
      </c>
      <c r="H23">
        <v>-2.978417241260261</v>
      </c>
      <c r="I23">
        <v>1.0804596809365701</v>
      </c>
      <c r="J23">
        <v>0.53426858061064897</v>
      </c>
      <c r="K23">
        <v>0.12214861181134599</v>
      </c>
      <c r="L23">
        <v>3.6513222973519566E-5</v>
      </c>
      <c r="M23">
        <v>4.2264032986928054E-7</v>
      </c>
      <c r="N23" s="1">
        <v>2.3674972771185902E-9</v>
      </c>
      <c r="O23" s="1">
        <v>2.8939902462858298E-13</v>
      </c>
      <c r="P23">
        <v>0</v>
      </c>
      <c r="R23">
        <v>9.3801548300135593</v>
      </c>
      <c r="S23">
        <v>1.8315619568617101</v>
      </c>
      <c r="T23">
        <v>49.424430501443602</v>
      </c>
      <c r="V23">
        <v>38.044307588187898</v>
      </c>
      <c r="X23">
        <v>1.3195451234931499</v>
      </c>
      <c r="AJ23">
        <v>0</v>
      </c>
      <c r="AK23">
        <v>-3.3215192707409802E-2</v>
      </c>
      <c r="AL23">
        <v>0.69571731591889696</v>
      </c>
      <c r="AM23">
        <v>7.3594715150912704E-2</v>
      </c>
      <c r="AN23">
        <v>0.26390316163759903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C17E9-E8BD-455B-8888-E0FFCD8AE896}">
  <sheetPr codeName="Sheet8"/>
  <dimension ref="A1:AL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124</v>
      </c>
      <c r="AL1" t="s">
        <v>125</v>
      </c>
    </row>
    <row r="2" spans="1:38" x14ac:dyDescent="0.2">
      <c r="A2">
        <v>16</v>
      </c>
      <c r="B2">
        <v>734</v>
      </c>
      <c r="C2">
        <v>300</v>
      </c>
      <c r="D2">
        <v>0.25781710768008598</v>
      </c>
      <c r="E2">
        <v>3.6437625065049302</v>
      </c>
      <c r="F2">
        <v>2.2588307363625502</v>
      </c>
      <c r="G2">
        <v>-60.400526863636529</v>
      </c>
      <c r="H2">
        <v>-51.096200519990219</v>
      </c>
      <c r="I2">
        <v>9.2382726938850297</v>
      </c>
      <c r="J2">
        <v>5.6489661329689804</v>
      </c>
      <c r="K2">
        <v>1.6131188795370099</v>
      </c>
      <c r="L2">
        <v>1.2464226796440966E-5</v>
      </c>
      <c r="M2">
        <v>1.5426791614689638E-6</v>
      </c>
      <c r="N2">
        <v>0</v>
      </c>
      <c r="O2" s="1">
        <v>4.0926458370459101E-12</v>
      </c>
      <c r="P2">
        <v>0</v>
      </c>
      <c r="Q2">
        <v>55.017941986220698</v>
      </c>
      <c r="S2">
        <v>23.340955074290701</v>
      </c>
      <c r="AB2">
        <v>14.116014854517999</v>
      </c>
      <c r="AC2">
        <v>0.109725336790008</v>
      </c>
      <c r="AE2">
        <v>7.4153627481803301</v>
      </c>
      <c r="AJ2">
        <v>5.0881159663568997E-3</v>
      </c>
      <c r="AK2">
        <v>0.89904198472365504</v>
      </c>
      <c r="AL2">
        <v>9.5869899309988002E-2</v>
      </c>
    </row>
    <row r="3" spans="1:38" x14ac:dyDescent="0.2">
      <c r="A3">
        <v>17</v>
      </c>
      <c r="B3">
        <v>732</v>
      </c>
      <c r="C3">
        <v>300</v>
      </c>
      <c r="D3">
        <v>0.256201064517732</v>
      </c>
      <c r="E3">
        <v>4.7497995256839598</v>
      </c>
      <c r="F3">
        <v>2.2588694775831</v>
      </c>
      <c r="G3">
        <v>-78.71309115966703</v>
      </c>
      <c r="H3">
        <v>-66.622066650061129</v>
      </c>
      <c r="I3">
        <v>12.029074774517101</v>
      </c>
      <c r="J3">
        <v>7.3604752124172199</v>
      </c>
      <c r="K3">
        <v>2.1027330586475599</v>
      </c>
      <c r="L3">
        <v>1.2464537518086041E-5</v>
      </c>
      <c r="M3">
        <v>1.5427176190335369E-6</v>
      </c>
      <c r="N3">
        <v>0</v>
      </c>
      <c r="O3" s="1">
        <v>5.3349795487753297E-12</v>
      </c>
      <c r="P3">
        <v>0</v>
      </c>
      <c r="Q3">
        <v>55.013359307762599</v>
      </c>
      <c r="S3">
        <v>23.339010906840102</v>
      </c>
      <c r="AB3">
        <v>14.1160843909179</v>
      </c>
      <c r="AC3">
        <v>0.107823404115152</v>
      </c>
      <c r="AE3">
        <v>7.4237219903640304</v>
      </c>
      <c r="AJ3">
        <v>5.0003372111568503E-3</v>
      </c>
      <c r="AK3">
        <v>0.90013043877835996</v>
      </c>
      <c r="AL3">
        <v>9.48692240104827E-2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3BFC-3DEB-457C-A49C-990B9CA2AFFB}">
  <sheetPr codeName="Sheet9"/>
  <dimension ref="A1:AP1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16</v>
      </c>
      <c r="B2">
        <v>734</v>
      </c>
      <c r="C2">
        <v>300</v>
      </c>
      <c r="D2">
        <v>0.25781710768008598</v>
      </c>
      <c r="E2">
        <v>0.22125514232523799</v>
      </c>
      <c r="F2">
        <v>3.59156481462258</v>
      </c>
      <c r="G2">
        <v>-2.8062418905023736</v>
      </c>
      <c r="H2">
        <v>-2.385896174167502</v>
      </c>
      <c r="I2">
        <v>0.41736158103050403</v>
      </c>
      <c r="J2">
        <v>0.24660330450868301</v>
      </c>
      <c r="K2">
        <v>6.1604106773857102E-2</v>
      </c>
      <c r="L2">
        <v>4.4362447091695778E-5</v>
      </c>
      <c r="M2">
        <v>9.1541440229059498E-7</v>
      </c>
      <c r="N2" s="1">
        <v>3.4645809706343099E-10</v>
      </c>
      <c r="O2" s="1">
        <v>5.9762875186800605E-14</v>
      </c>
      <c r="P2" s="1">
        <v>-4.1911905148274502E-13</v>
      </c>
      <c r="Q2">
        <v>49.667775093508602</v>
      </c>
      <c r="R2">
        <v>1.56608038505015E-2</v>
      </c>
      <c r="S2">
        <v>2.1122397760705098</v>
      </c>
      <c r="T2">
        <v>0.55173866973868402</v>
      </c>
      <c r="V2">
        <v>32.578787947654099</v>
      </c>
      <c r="X2">
        <v>14.8700842655561</v>
      </c>
      <c r="AA2">
        <v>0.18651483444157199</v>
      </c>
      <c r="AB2">
        <v>1.7198609179763399E-2</v>
      </c>
      <c r="AJ2">
        <v>-1.11484804290622</v>
      </c>
      <c r="AK2">
        <v>0.99087627324702598</v>
      </c>
      <c r="AL2">
        <v>1.0660338337263799</v>
      </c>
      <c r="AM2">
        <v>4.0388166826987398E-2</v>
      </c>
      <c r="AN2">
        <v>-3.9466561732965699E-2</v>
      </c>
      <c r="AO2">
        <v>5.5711602016086603E-2</v>
      </c>
      <c r="AP2">
        <v>1.3047288227054899E-3</v>
      </c>
    </row>
    <row r="3" spans="1:42" x14ac:dyDescent="0.2">
      <c r="A3">
        <v>17</v>
      </c>
      <c r="B3">
        <v>732</v>
      </c>
      <c r="C3">
        <v>300</v>
      </c>
      <c r="D3">
        <v>0.256201064517732</v>
      </c>
      <c r="E3">
        <v>0.30672773317466301</v>
      </c>
      <c r="F3">
        <v>3.5959575261705501</v>
      </c>
      <c r="G3">
        <v>-3.8833063413330415</v>
      </c>
      <c r="H3">
        <v>-3.3026282415339625</v>
      </c>
      <c r="I3">
        <v>0.57770292971106696</v>
      </c>
      <c r="J3">
        <v>0.341549840169449</v>
      </c>
      <c r="K3">
        <v>8.5297929951165904E-2</v>
      </c>
      <c r="L3">
        <v>4.4298426260078424E-5</v>
      </c>
      <c r="M3">
        <v>9.1549012949065119E-7</v>
      </c>
      <c r="N3" s="1">
        <v>5.0964890850153099E-10</v>
      </c>
      <c r="O3" s="1">
        <v>8.2875910763571502E-14</v>
      </c>
      <c r="P3" s="1">
        <v>-8.0355371036377201E-13</v>
      </c>
      <c r="Q3">
        <v>49.491749614172598</v>
      </c>
      <c r="R3">
        <v>1.6133783775641002E-2</v>
      </c>
      <c r="S3">
        <v>2.3142343031261201</v>
      </c>
      <c r="T3">
        <v>0.57675100667400903</v>
      </c>
      <c r="V3">
        <v>32.739695917592201</v>
      </c>
      <c r="X3">
        <v>14.676912352862299</v>
      </c>
      <c r="AA3">
        <v>0.16793048903694299</v>
      </c>
      <c r="AB3">
        <v>1.65925327601429E-2</v>
      </c>
      <c r="AJ3">
        <v>-1.1269831531797201</v>
      </c>
      <c r="AK3">
        <v>0.99169375811215399</v>
      </c>
      <c r="AL3">
        <v>1.07227739395017</v>
      </c>
      <c r="AM3">
        <v>4.4755105125279297E-2</v>
      </c>
      <c r="AN3">
        <v>-4.38047990803535E-2</v>
      </c>
      <c r="AO3">
        <v>6.0801795131296403E-2</v>
      </c>
      <c r="AP3">
        <v>1.25989994116662E-3</v>
      </c>
    </row>
    <row r="4" spans="1:42" x14ac:dyDescent="0.2">
      <c r="A4">
        <v>31</v>
      </c>
      <c r="B4">
        <v>738</v>
      </c>
      <c r="C4">
        <v>275</v>
      </c>
      <c r="D4">
        <v>0.28822677149780002</v>
      </c>
      <c r="E4">
        <v>0.16891111075762399</v>
      </c>
      <c r="F4">
        <v>3.58122851017926</v>
      </c>
      <c r="G4">
        <v>-2.1556905975922871</v>
      </c>
      <c r="H4">
        <v>-1.8323452288454389</v>
      </c>
      <c r="I4">
        <v>0.319779823712455</v>
      </c>
      <c r="J4">
        <v>0.188935173518049</v>
      </c>
      <c r="K4">
        <v>4.7165689169935E-2</v>
      </c>
      <c r="L4">
        <v>4.4433660521139391E-5</v>
      </c>
      <c r="M4">
        <v>9.1362265532615665E-7</v>
      </c>
      <c r="N4" s="1">
        <v>2.4392389298552802E-10</v>
      </c>
      <c r="O4" s="1">
        <v>4.6424824755209603E-14</v>
      </c>
      <c r="P4" s="1">
        <v>-2.4140040533090398E-13</v>
      </c>
      <c r="Q4">
        <v>49.894008424143401</v>
      </c>
      <c r="R4">
        <v>1.57410238223985E-2</v>
      </c>
      <c r="S4">
        <v>1.99437556599338</v>
      </c>
      <c r="T4">
        <v>0.53335220599764799</v>
      </c>
      <c r="V4">
        <v>32.0392593482241</v>
      </c>
      <c r="X4">
        <v>15.3374740855444</v>
      </c>
      <c r="AA4">
        <v>0.16861501355619599</v>
      </c>
      <c r="AB4">
        <v>1.7174332718370301E-2</v>
      </c>
      <c r="AJ4">
        <v>-1.09175650991743</v>
      </c>
      <c r="AK4">
        <v>0.99165298932554502</v>
      </c>
      <c r="AL4">
        <v>1.04531316312982</v>
      </c>
      <c r="AM4">
        <v>3.78335312254061E-2</v>
      </c>
      <c r="AN4">
        <v>-3.6909914734815599E-2</v>
      </c>
      <c r="AO4">
        <v>5.2567664590667397E-2</v>
      </c>
      <c r="AP4">
        <v>1.29907638081137E-3</v>
      </c>
    </row>
    <row r="5" spans="1:42" x14ac:dyDescent="0.2">
      <c r="A5">
        <v>32</v>
      </c>
      <c r="B5">
        <v>736</v>
      </c>
      <c r="C5">
        <v>275</v>
      </c>
      <c r="D5">
        <v>0.28667740177377199</v>
      </c>
      <c r="E5">
        <v>0.28429501062271501</v>
      </c>
      <c r="F5">
        <v>3.58577165470115</v>
      </c>
      <c r="G5">
        <v>-3.6213733496383211</v>
      </c>
      <c r="H5">
        <v>-3.0790755980281377</v>
      </c>
      <c r="I5">
        <v>0.537380718040115</v>
      </c>
      <c r="J5">
        <v>0.317716864072144</v>
      </c>
      <c r="K5">
        <v>7.9284192636747505E-2</v>
      </c>
      <c r="L5">
        <v>4.4385906726711674E-5</v>
      </c>
      <c r="M5">
        <v>9.1377228978162379E-7</v>
      </c>
      <c r="N5" s="1">
        <v>4.35745639053425E-10</v>
      </c>
      <c r="O5" s="1">
        <v>7.8253110933036194E-14</v>
      </c>
      <c r="P5" s="1">
        <v>-6.2807841936540196E-13</v>
      </c>
      <c r="Q5">
        <v>49.717787348214003</v>
      </c>
      <c r="R5">
        <v>1.6225458631069101E-2</v>
      </c>
      <c r="S5">
        <v>2.1929253557260902</v>
      </c>
      <c r="T5">
        <v>0.55855274795765997</v>
      </c>
      <c r="V5">
        <v>32.212327874212797</v>
      </c>
      <c r="X5">
        <v>15.141304815033401</v>
      </c>
      <c r="AA5">
        <v>0.14422161240366499</v>
      </c>
      <c r="AB5">
        <v>1.6654787821143099E-2</v>
      </c>
      <c r="AJ5">
        <v>-1.1044438591178101</v>
      </c>
      <c r="AK5">
        <v>0.99270495303908302</v>
      </c>
      <c r="AL5">
        <v>1.0519624900162701</v>
      </c>
      <c r="AM5">
        <v>4.2102222021677599E-2</v>
      </c>
      <c r="AN5">
        <v>-4.1149272545252302E-2</v>
      </c>
      <c r="AO5">
        <v>5.7562486840377902E-2</v>
      </c>
      <c r="AP5">
        <v>1.2609797456534101E-3</v>
      </c>
    </row>
    <row r="6" spans="1:42" x14ac:dyDescent="0.2">
      <c r="A6">
        <v>44</v>
      </c>
      <c r="B6">
        <v>742</v>
      </c>
      <c r="C6">
        <v>250</v>
      </c>
      <c r="D6">
        <v>0.318396788651924</v>
      </c>
      <c r="E6">
        <v>0.15238039121319299</v>
      </c>
      <c r="F6">
        <v>3.5709659063647998</v>
      </c>
      <c r="G6">
        <v>-1.9566565757336254</v>
      </c>
      <c r="H6">
        <v>-1.6627242755342713</v>
      </c>
      <c r="I6">
        <v>0.28954568310038298</v>
      </c>
      <c r="J6">
        <v>0.170980088654517</v>
      </c>
      <c r="K6">
        <v>4.2672037540765498E-2</v>
      </c>
      <c r="L6">
        <v>4.4458421800444636E-5</v>
      </c>
      <c r="M6">
        <v>9.118416762585876E-7</v>
      </c>
      <c r="N6" s="1">
        <v>2.0373038332101199E-10</v>
      </c>
      <c r="O6" s="1">
        <v>4.2502763348455598E-14</v>
      </c>
      <c r="P6" s="1">
        <v>-1.19292573469026E-13</v>
      </c>
      <c r="Q6">
        <v>50.108771740099598</v>
      </c>
      <c r="R6">
        <v>1.58217614010926E-2</v>
      </c>
      <c r="S6">
        <v>1.88595817285488</v>
      </c>
      <c r="T6">
        <v>0.516970649369907</v>
      </c>
      <c r="V6">
        <v>31.499016710884501</v>
      </c>
      <c r="X6">
        <v>15.7787134454474</v>
      </c>
      <c r="AA6">
        <v>0.17784348592903601</v>
      </c>
      <c r="AB6">
        <v>1.6904034013478599E-2</v>
      </c>
      <c r="AJ6">
        <v>-1.0680029779350599</v>
      </c>
      <c r="AK6">
        <v>0.99131227258294097</v>
      </c>
      <c r="AL6">
        <v>1.02478798369753</v>
      </c>
      <c r="AM6">
        <v>3.5493680958270803E-2</v>
      </c>
      <c r="AN6">
        <v>-3.4567946117081E-2</v>
      </c>
      <c r="AO6">
        <v>4.9701963139516699E-2</v>
      </c>
      <c r="AP6">
        <v>1.2750236738909701E-3</v>
      </c>
    </row>
    <row r="7" spans="1:42" x14ac:dyDescent="0.2">
      <c r="A7">
        <v>45</v>
      </c>
      <c r="B7">
        <v>740</v>
      </c>
      <c r="C7">
        <v>250</v>
      </c>
      <c r="D7">
        <v>0.31691309282929903</v>
      </c>
      <c r="E7">
        <v>0.26856565974697999</v>
      </c>
      <c r="F7">
        <v>3.5754650124070899</v>
      </c>
      <c r="G7">
        <v>-3.4419173132888563</v>
      </c>
      <c r="H7">
        <v>-2.9256970934785129</v>
      </c>
      <c r="I7">
        <v>0.50952003139746505</v>
      </c>
      <c r="J7">
        <v>0.301086238183782</v>
      </c>
      <c r="K7">
        <v>7.51134912004566E-2</v>
      </c>
      <c r="L7">
        <v>4.4426203357826622E-5</v>
      </c>
      <c r="M7">
        <v>9.1209926474518814E-7</v>
      </c>
      <c r="N7" s="1">
        <v>3.78598848491336E-10</v>
      </c>
      <c r="O7" s="1">
        <v>7.5113652884719704E-14</v>
      </c>
      <c r="P7" s="1">
        <v>-4.1354966442127101E-13</v>
      </c>
      <c r="Q7">
        <v>49.938532321481098</v>
      </c>
      <c r="R7">
        <v>1.6293630482767399E-2</v>
      </c>
      <c r="S7">
        <v>2.0735990769620898</v>
      </c>
      <c r="T7">
        <v>0.54127120780708105</v>
      </c>
      <c r="V7">
        <v>31.675999811054599</v>
      </c>
      <c r="X7">
        <v>15.5840476400956</v>
      </c>
      <c r="AA7">
        <v>0.15386992408910499</v>
      </c>
      <c r="AB7">
        <v>1.6386388027547098E-2</v>
      </c>
      <c r="AJ7">
        <v>-1.0804946738409</v>
      </c>
      <c r="AK7">
        <v>0.992343163453965</v>
      </c>
      <c r="AL7">
        <v>1.03154248386561</v>
      </c>
      <c r="AM7">
        <v>3.9511127905443498E-2</v>
      </c>
      <c r="AN7">
        <v>-3.85568620139757E-2</v>
      </c>
      <c r="AO7">
        <v>5.4417586343111397E-2</v>
      </c>
      <c r="AP7">
        <v>1.2371742867404601E-3</v>
      </c>
    </row>
    <row r="8" spans="1:42" x14ac:dyDescent="0.2">
      <c r="A8">
        <v>55</v>
      </c>
      <c r="B8">
        <v>746</v>
      </c>
      <c r="C8">
        <v>225</v>
      </c>
      <c r="D8">
        <v>0.34832998086640898</v>
      </c>
      <c r="E8">
        <v>0.16324678582545199</v>
      </c>
      <c r="F8">
        <v>3.5612443309918</v>
      </c>
      <c r="G8">
        <v>-2.1085836883928466</v>
      </c>
      <c r="H8">
        <v>-1.7913041047535117</v>
      </c>
      <c r="I8">
        <v>0.31131784687174002</v>
      </c>
      <c r="J8">
        <v>0.18371034016816001</v>
      </c>
      <c r="K8">
        <v>4.5839816270058599E-2</v>
      </c>
      <c r="L8">
        <v>4.44533136161838E-5</v>
      </c>
      <c r="M8">
        <v>9.0997472219967157E-7</v>
      </c>
      <c r="N8" s="1">
        <v>2.0597868777928E-10</v>
      </c>
      <c r="O8" s="1">
        <v>4.6163671270331302E-14</v>
      </c>
      <c r="P8" s="1">
        <v>-3.8099913608729099E-14</v>
      </c>
      <c r="Q8">
        <v>50.300634098459703</v>
      </c>
      <c r="R8">
        <v>1.59979058653138E-2</v>
      </c>
      <c r="S8">
        <v>1.80336343007847</v>
      </c>
      <c r="T8">
        <v>0.50476640751012103</v>
      </c>
      <c r="V8">
        <v>30.978348756557502</v>
      </c>
      <c r="X8">
        <v>16.1951293799602</v>
      </c>
      <c r="AA8">
        <v>0.18516506589583101</v>
      </c>
      <c r="AB8">
        <v>1.65949556727631E-2</v>
      </c>
      <c r="AJ8">
        <v>-1.0458747087406399</v>
      </c>
      <c r="AK8">
        <v>0.99105460574517401</v>
      </c>
      <c r="AL8">
        <v>1.0051303720279099</v>
      </c>
      <c r="AM8">
        <v>3.37045048442218E-2</v>
      </c>
      <c r="AN8">
        <v>-3.27709882995975E-2</v>
      </c>
      <c r="AO8">
        <v>4.7507879583461102E-2</v>
      </c>
      <c r="AP8">
        <v>1.2483348394680799E-3</v>
      </c>
    </row>
    <row r="9" spans="1:42" x14ac:dyDescent="0.2">
      <c r="A9">
        <v>56</v>
      </c>
      <c r="B9">
        <v>744</v>
      </c>
      <c r="C9">
        <v>225</v>
      </c>
      <c r="D9">
        <v>0.34691097674876298</v>
      </c>
      <c r="E9">
        <v>0.25732497132392401</v>
      </c>
      <c r="F9">
        <v>3.5655771999417398</v>
      </c>
      <c r="G9">
        <v>-3.3174736258052704</v>
      </c>
      <c r="H9">
        <v>-2.8190971828500642</v>
      </c>
      <c r="I9">
        <v>0.48997339915961802</v>
      </c>
      <c r="J9">
        <v>0.28934106402183102</v>
      </c>
      <c r="K9">
        <v>7.2169232888332505E-2</v>
      </c>
      <c r="L9">
        <v>4.4434833720417196E-5</v>
      </c>
      <c r="M9">
        <v>9.1032042155746728E-7</v>
      </c>
      <c r="N9" s="1">
        <v>3.3919413913733601E-10</v>
      </c>
      <c r="O9" s="1">
        <v>7.3037701136219606E-14</v>
      </c>
      <c r="P9" s="1">
        <v>-2.4317310236184898E-13</v>
      </c>
      <c r="Q9">
        <v>50.140074193871001</v>
      </c>
      <c r="R9">
        <v>1.6450207441023601E-2</v>
      </c>
      <c r="S9">
        <v>1.9772776353194099</v>
      </c>
      <c r="T9">
        <v>0.52749311883265104</v>
      </c>
      <c r="V9">
        <v>31.152761942385901</v>
      </c>
      <c r="X9">
        <v>16.0075397179302</v>
      </c>
      <c r="AA9">
        <v>0.16230814455332501</v>
      </c>
      <c r="AB9">
        <v>1.6095039666283902E-2</v>
      </c>
      <c r="AJ9">
        <v>-1.0578231899349899</v>
      </c>
      <c r="AK9">
        <v>0.99203481757533496</v>
      </c>
      <c r="AL9">
        <v>1.0117452276860499</v>
      </c>
      <c r="AM9">
        <v>3.74162995826572E-2</v>
      </c>
      <c r="AN9">
        <v>-3.6455482451453101E-2</v>
      </c>
      <c r="AO9">
        <v>5.1870453390162601E-2</v>
      </c>
      <c r="AP9">
        <v>1.21187415223096E-3</v>
      </c>
    </row>
    <row r="10" spans="1:42" x14ac:dyDescent="0.2">
      <c r="A10">
        <v>64</v>
      </c>
      <c r="B10">
        <v>750</v>
      </c>
      <c r="C10">
        <v>200</v>
      </c>
      <c r="D10">
        <v>0.37802912573913899</v>
      </c>
      <c r="E10">
        <v>0.19465636761760699</v>
      </c>
      <c r="F10">
        <v>3.55234864920812</v>
      </c>
      <c r="G10">
        <v>-2.5282947466855461</v>
      </c>
      <c r="H10">
        <v>-2.147137478818141</v>
      </c>
      <c r="I10">
        <v>0.37253312600049299</v>
      </c>
      <c r="J10">
        <v>0.21964877728625901</v>
      </c>
      <c r="K10">
        <v>5.47965267038188E-2</v>
      </c>
      <c r="L10">
        <v>4.4423222068773863E-5</v>
      </c>
      <c r="M10">
        <v>9.0807332694780589E-7</v>
      </c>
      <c r="N10" s="1">
        <v>2.3690439624416899E-10</v>
      </c>
      <c r="O10" s="1">
        <v>5.5790480285656199E-14</v>
      </c>
      <c r="P10" s="1">
        <v>3.4635566527188203E-14</v>
      </c>
      <c r="Q10">
        <v>50.458501505973103</v>
      </c>
      <c r="R10">
        <v>1.6324998723085401E-2</v>
      </c>
      <c r="S10">
        <v>1.75775655443698</v>
      </c>
      <c r="T10">
        <v>0.49864198111261399</v>
      </c>
      <c r="V10">
        <v>30.490253687258299</v>
      </c>
      <c r="X10">
        <v>16.5730968167695</v>
      </c>
      <c r="AA10">
        <v>0.18921590376213901</v>
      </c>
      <c r="AB10">
        <v>1.6208551964070301E-2</v>
      </c>
      <c r="AJ10">
        <v>-1.0261873105636199</v>
      </c>
      <c r="AK10">
        <v>0.99093801613926502</v>
      </c>
      <c r="AL10">
        <v>0.98681815452811505</v>
      </c>
      <c r="AM10">
        <v>3.2693263561107001E-2</v>
      </c>
      <c r="AN10">
        <v>-3.1743043927584799E-2</v>
      </c>
      <c r="AO10">
        <v>4.6264702971449002E-2</v>
      </c>
      <c r="AP10">
        <v>1.2162172912683301E-3</v>
      </c>
    </row>
    <row r="11" spans="1:42" x14ac:dyDescent="0.2">
      <c r="A11">
        <v>65</v>
      </c>
      <c r="B11">
        <v>748</v>
      </c>
      <c r="C11">
        <v>200</v>
      </c>
      <c r="D11">
        <v>0.37667384811242399</v>
      </c>
      <c r="E11">
        <v>0.252682916558094</v>
      </c>
      <c r="F11">
        <v>3.5563692365409598</v>
      </c>
      <c r="G11">
        <v>-3.2761406769787991</v>
      </c>
      <c r="H11">
        <v>-2.7830716578949146</v>
      </c>
      <c r="I11">
        <v>0.48285660195258701</v>
      </c>
      <c r="J11">
        <v>0.28490661014832402</v>
      </c>
      <c r="K11">
        <v>7.1050810461925296E-2</v>
      </c>
      <c r="L11">
        <v>4.4415592812177108E-5</v>
      </c>
      <c r="M11">
        <v>9.0846929246852162E-7</v>
      </c>
      <c r="N11" s="1">
        <v>3.18006781806789E-10</v>
      </c>
      <c r="O11" s="1">
        <v>7.27425712090376E-14</v>
      </c>
      <c r="P11" s="1">
        <v>-1.19750019563945E-13</v>
      </c>
      <c r="Q11">
        <v>50.311848183242802</v>
      </c>
      <c r="R11">
        <v>1.6751774428514599E-2</v>
      </c>
      <c r="S11">
        <v>1.91522742372386</v>
      </c>
      <c r="T11">
        <v>0.51901387400877597</v>
      </c>
      <c r="V11">
        <v>30.653858330197799</v>
      </c>
      <c r="X11">
        <v>16.399723438777301</v>
      </c>
      <c r="AA11">
        <v>0.16782693700908899</v>
      </c>
      <c r="AB11">
        <v>1.5750038611752101E-2</v>
      </c>
      <c r="AJ11">
        <v>-1.0371985246534601</v>
      </c>
      <c r="AK11">
        <v>0.99185214410516098</v>
      </c>
      <c r="AL11">
        <v>0.99298610276736599</v>
      </c>
      <c r="AM11">
        <v>3.6049189347182597E-2</v>
      </c>
      <c r="AN11">
        <v>-3.5073270755269302E-2</v>
      </c>
      <c r="AO11">
        <v>5.0201506911524703E-2</v>
      </c>
      <c r="AP11">
        <v>1.1828522774993801E-3</v>
      </c>
    </row>
    <row r="12" spans="1:42" x14ac:dyDescent="0.2">
      <c r="A12">
        <v>71</v>
      </c>
      <c r="B12">
        <v>756</v>
      </c>
      <c r="C12">
        <v>175</v>
      </c>
      <c r="D12">
        <v>0.40878443375601398</v>
      </c>
      <c r="E12">
        <v>0.12354649008207499</v>
      </c>
      <c r="F12">
        <v>3.5428408999445402</v>
      </c>
      <c r="G12">
        <v>-1.6136290956010255</v>
      </c>
      <c r="H12">
        <v>-1.3691681957023381</v>
      </c>
      <c r="I12">
        <v>0.23753670494941101</v>
      </c>
      <c r="J12">
        <v>0.13976780201912001</v>
      </c>
      <c r="K12">
        <v>3.48721530464461E-2</v>
      </c>
      <c r="L12">
        <v>4.4387539505712586E-5</v>
      </c>
      <c r="M12">
        <v>9.0626412532374361E-7</v>
      </c>
      <c r="N12" s="1">
        <v>1.4514834046966401E-10</v>
      </c>
      <c r="O12" s="1">
        <v>3.5567017098634E-14</v>
      </c>
      <c r="P12" s="1">
        <v>1.21839749802259E-13</v>
      </c>
      <c r="Q12">
        <v>50.663427433025198</v>
      </c>
      <c r="R12">
        <v>1.56944518399517E-2</v>
      </c>
      <c r="S12">
        <v>1.6255240934461599</v>
      </c>
      <c r="T12">
        <v>0.48809692579891101</v>
      </c>
      <c r="V12">
        <v>30.025592420054402</v>
      </c>
      <c r="X12">
        <v>16.958017731778</v>
      </c>
      <c r="AA12">
        <v>0.20754782884741901</v>
      </c>
      <c r="AB12">
        <v>1.6099115209873699E-2</v>
      </c>
      <c r="AJ12">
        <v>-1.00481983256273</v>
      </c>
      <c r="AK12">
        <v>0.99020934114965897</v>
      </c>
      <c r="AL12">
        <v>0.96947815681990501</v>
      </c>
      <c r="AM12">
        <v>2.97462887492436E-2</v>
      </c>
      <c r="AN12">
        <v>-2.8834934241507501E-2</v>
      </c>
      <c r="AO12">
        <v>4.3015835053056103E-2</v>
      </c>
      <c r="AP12">
        <v>1.2051450323802501E-3</v>
      </c>
    </row>
    <row r="13" spans="1:42" x14ac:dyDescent="0.2">
      <c r="A13">
        <v>72</v>
      </c>
      <c r="B13">
        <v>754</v>
      </c>
      <c r="C13">
        <v>175</v>
      </c>
      <c r="D13">
        <v>0.40749695760112897</v>
      </c>
      <c r="E13">
        <v>0.223962557456339</v>
      </c>
      <c r="F13">
        <v>3.5445125036550702</v>
      </c>
      <c r="G13">
        <v>-2.9238930426785452</v>
      </c>
      <c r="H13">
        <v>-2.4821195869260304</v>
      </c>
      <c r="I13">
        <v>0.430096340118304</v>
      </c>
      <c r="J13">
        <v>0.25333968996241601</v>
      </c>
      <c r="K13">
        <v>6.3185715165453904E-2</v>
      </c>
      <c r="L13">
        <v>4.4375088839258237E-5</v>
      </c>
      <c r="M13">
        <v>9.0619270476634375E-7</v>
      </c>
      <c r="N13" s="1">
        <v>2.6844934526841403E-10</v>
      </c>
      <c r="O13" s="1">
        <v>6.5100067476701995E-14</v>
      </c>
      <c r="P13" s="1">
        <v>9.2880891679495705E-14</v>
      </c>
      <c r="Q13">
        <v>50.572752802725397</v>
      </c>
      <c r="R13">
        <v>1.6877996343595901E-2</v>
      </c>
      <c r="S13">
        <v>1.75954659560781</v>
      </c>
      <c r="T13">
        <v>0.50023636249028103</v>
      </c>
      <c r="V13">
        <v>30.044954998898199</v>
      </c>
      <c r="X13">
        <v>16.902076205487099</v>
      </c>
      <c r="AA13">
        <v>0.18783185641129699</v>
      </c>
      <c r="AB13">
        <v>1.57231820361893E-2</v>
      </c>
      <c r="AJ13">
        <v>-1.0096491473109801</v>
      </c>
      <c r="AK13">
        <v>0.99105204733561403</v>
      </c>
      <c r="AL13">
        <v>0.97021338285521996</v>
      </c>
      <c r="AM13">
        <v>3.2671338212855901E-2</v>
      </c>
      <c r="AN13">
        <v>-3.1691145787010398E-2</v>
      </c>
      <c r="AO13">
        <v>4.6226387699987798E-2</v>
      </c>
      <c r="AP13">
        <v>1.1771369943175999E-3</v>
      </c>
    </row>
    <row r="14" spans="1:42" x14ac:dyDescent="0.2">
      <c r="A14">
        <v>80</v>
      </c>
      <c r="B14">
        <v>762</v>
      </c>
      <c r="C14">
        <v>150</v>
      </c>
      <c r="D14">
        <v>0.439183210162781</v>
      </c>
      <c r="E14">
        <v>0.14395384589194299</v>
      </c>
      <c r="F14">
        <v>3.5326801378337001</v>
      </c>
      <c r="G14">
        <v>-1.8921436671652707</v>
      </c>
      <c r="H14">
        <v>-1.6042666077416461</v>
      </c>
      <c r="I14">
        <v>0.27810178179358003</v>
      </c>
      <c r="J14">
        <v>0.163338155635223</v>
      </c>
      <c r="K14">
        <v>4.0749187663567603E-2</v>
      </c>
      <c r="L14">
        <v>4.4313148634921632E-5</v>
      </c>
      <c r="M14">
        <v>9.0386686001611946E-7</v>
      </c>
      <c r="N14" s="1">
        <v>1.68224502409825E-10</v>
      </c>
      <c r="O14" s="1">
        <v>4.1876179886273098E-14</v>
      </c>
      <c r="P14" s="1">
        <v>2.1816245407684699E-13</v>
      </c>
      <c r="Q14">
        <v>50.843343605269901</v>
      </c>
      <c r="R14">
        <v>1.63134711516328E-2</v>
      </c>
      <c r="S14">
        <v>1.5687029591780901</v>
      </c>
      <c r="T14">
        <v>0.48304191169219401</v>
      </c>
      <c r="V14">
        <v>29.472124277569499</v>
      </c>
      <c r="X14">
        <v>17.382570548043802</v>
      </c>
      <c r="AA14">
        <v>0.21803776237216099</v>
      </c>
      <c r="AB14">
        <v>1.58654647226226E-2</v>
      </c>
      <c r="AJ14">
        <v>-0.98242162775961706</v>
      </c>
      <c r="AK14">
        <v>0.98982143573655801</v>
      </c>
      <c r="AL14">
        <v>0.94894722628324002</v>
      </c>
      <c r="AM14">
        <v>2.84738301389433E-2</v>
      </c>
      <c r="AN14">
        <v>-2.7529178350783501E-2</v>
      </c>
      <c r="AO14">
        <v>4.1523979721223202E-2</v>
      </c>
      <c r="AP14">
        <v>1.1843342304368901E-3</v>
      </c>
    </row>
    <row r="15" spans="1:42" x14ac:dyDescent="0.2">
      <c r="A15">
        <v>81</v>
      </c>
      <c r="B15">
        <v>760</v>
      </c>
      <c r="C15">
        <v>150</v>
      </c>
      <c r="D15">
        <v>0.43796205778444602</v>
      </c>
      <c r="E15">
        <v>0.21633676283159101</v>
      </c>
      <c r="F15">
        <v>3.5344714241075801</v>
      </c>
      <c r="G15">
        <v>-2.8419424627775469</v>
      </c>
      <c r="H15">
        <v>-2.4106662367933245</v>
      </c>
      <c r="I15">
        <v>0.41743815126963302</v>
      </c>
      <c r="J15">
        <v>0.24542128133594701</v>
      </c>
      <c r="K15">
        <v>6.1207670645184002E-2</v>
      </c>
      <c r="L15">
        <v>4.4307190037571916E-5</v>
      </c>
      <c r="M15">
        <v>9.0391274099062122E-7</v>
      </c>
      <c r="N15" s="1">
        <v>2.5617948020029299E-10</v>
      </c>
      <c r="O15" s="1">
        <v>6.3531426967692104E-14</v>
      </c>
      <c r="P15" s="1">
        <v>2.13676996974162E-13</v>
      </c>
      <c r="Q15">
        <v>50.755937072292099</v>
      </c>
      <c r="R15">
        <v>1.7377952335897999E-2</v>
      </c>
      <c r="S15">
        <v>1.69136893632029</v>
      </c>
      <c r="T15">
        <v>0.49478752114018398</v>
      </c>
      <c r="V15">
        <v>29.506208982914099</v>
      </c>
      <c r="X15">
        <v>17.3203559947287</v>
      </c>
      <c r="AA15">
        <v>0.198454365277525</v>
      </c>
      <c r="AB15">
        <v>1.5509174991075601E-2</v>
      </c>
      <c r="AJ15">
        <v>-0.98750592265045201</v>
      </c>
      <c r="AK15">
        <v>0.99065414359797399</v>
      </c>
      <c r="AL15">
        <v>0.95021949256361704</v>
      </c>
      <c r="AM15">
        <v>3.1136600318168599E-2</v>
      </c>
      <c r="AN15">
        <v>-3.0130123274536701E-2</v>
      </c>
      <c r="AO15">
        <v>4.4467858716369199E-2</v>
      </c>
      <c r="AP15">
        <v>1.15795072886006E-3</v>
      </c>
    </row>
    <row r="16" spans="1:42" x14ac:dyDescent="0.2">
      <c r="A16">
        <v>91</v>
      </c>
      <c r="B16">
        <v>770</v>
      </c>
      <c r="C16">
        <v>125</v>
      </c>
      <c r="D16">
        <v>0.47038345396155901</v>
      </c>
      <c r="E16">
        <v>0.142736283614707</v>
      </c>
      <c r="F16">
        <v>3.5237869187545399</v>
      </c>
      <c r="G16">
        <v>-1.8867815566703188</v>
      </c>
      <c r="H16">
        <v>-1.5974961760500968</v>
      </c>
      <c r="I16">
        <v>0.27731906304963</v>
      </c>
      <c r="J16">
        <v>0.16238338304747901</v>
      </c>
      <c r="K16">
        <v>4.0506502494525601E-2</v>
      </c>
      <c r="L16">
        <v>4.4239989275903107E-5</v>
      </c>
      <c r="M16">
        <v>9.0171543527276066E-7</v>
      </c>
      <c r="N16" s="1">
        <v>1.68506598754088E-10</v>
      </c>
      <c r="O16" s="1">
        <v>4.1688023152674303E-14</v>
      </c>
      <c r="P16" s="1">
        <v>3.0440529606483998E-13</v>
      </c>
      <c r="Q16">
        <v>50.990117612088397</v>
      </c>
      <c r="R16">
        <v>1.6394607178497601E-2</v>
      </c>
      <c r="S16">
        <v>1.51463124309583</v>
      </c>
      <c r="T16">
        <v>0.48714009939298097</v>
      </c>
      <c r="V16">
        <v>29.017845579012</v>
      </c>
      <c r="X16">
        <v>17.726871438244</v>
      </c>
      <c r="AA16">
        <v>0.231333312459582</v>
      </c>
      <c r="AB16">
        <v>1.56661085285448E-2</v>
      </c>
      <c r="AJ16">
        <v>-0.963922998362431</v>
      </c>
      <c r="AK16">
        <v>0.98931187815650701</v>
      </c>
      <c r="AL16">
        <v>0.93222589586490701</v>
      </c>
      <c r="AM16">
        <v>2.71364956656182E-2</v>
      </c>
      <c r="AN16">
        <v>-2.6189273693223901E-2</v>
      </c>
      <c r="AO16">
        <v>4.0271171280649297E-2</v>
      </c>
      <c r="AP16">
        <v>1.16683108797201E-3</v>
      </c>
    </row>
    <row r="17" spans="1:42" x14ac:dyDescent="0.2">
      <c r="A17">
        <v>92</v>
      </c>
      <c r="B17">
        <v>768</v>
      </c>
      <c r="C17">
        <v>125</v>
      </c>
      <c r="D17">
        <v>0.46923161888296799</v>
      </c>
      <c r="E17">
        <v>0.20317374056925999</v>
      </c>
      <c r="F17">
        <v>3.5235225231749498</v>
      </c>
      <c r="G17">
        <v>-2.687246520059928</v>
      </c>
      <c r="H17">
        <v>-2.2766348421567226</v>
      </c>
      <c r="I17">
        <v>0.39438282466811098</v>
      </c>
      <c r="J17">
        <v>0.23121250876890601</v>
      </c>
      <c r="K17">
        <v>5.7662109219663901E-2</v>
      </c>
      <c r="L17">
        <v>4.4214911646242289E-5</v>
      </c>
      <c r="M17">
        <v>9.0128976838246354E-7</v>
      </c>
      <c r="N17" s="1">
        <v>2.4257275280355898E-10</v>
      </c>
      <c r="O17" s="1">
        <v>6.00929892752434E-14</v>
      </c>
      <c r="P17" s="1">
        <v>3.4175401822771302E-13</v>
      </c>
      <c r="Q17">
        <v>50.953893612385102</v>
      </c>
      <c r="R17">
        <v>1.80636996470636E-2</v>
      </c>
      <c r="S17">
        <v>1.61289782268718</v>
      </c>
      <c r="T17">
        <v>0.49139278950538801</v>
      </c>
      <c r="V17">
        <v>28.926551842466299</v>
      </c>
      <c r="X17">
        <v>17.767639312077801</v>
      </c>
      <c r="AA17">
        <v>0.214148639827205</v>
      </c>
      <c r="AB17">
        <v>1.54122814037107E-2</v>
      </c>
      <c r="AJ17">
        <v>-0.96358231626499102</v>
      </c>
      <c r="AK17">
        <v>0.99004281585615805</v>
      </c>
      <c r="AL17">
        <v>0.92885082290220999</v>
      </c>
      <c r="AM17">
        <v>2.9343225590562499E-2</v>
      </c>
      <c r="AN17">
        <v>-2.8300065994925801E-2</v>
      </c>
      <c r="AO17">
        <v>4.2498138384704301E-2</v>
      </c>
      <c r="AP17">
        <v>1.14737952628209E-3</v>
      </c>
    </row>
    <row r="18" spans="1:42" x14ac:dyDescent="0.2">
      <c r="A18">
        <v>104</v>
      </c>
      <c r="B18">
        <v>782</v>
      </c>
      <c r="C18">
        <v>100</v>
      </c>
      <c r="D18">
        <v>0.50326541250059598</v>
      </c>
      <c r="E18">
        <v>7.1218712327401998E-2</v>
      </c>
      <c r="F18">
        <v>3.5194925427677899</v>
      </c>
      <c r="G18">
        <v>-0.9441769175439404</v>
      </c>
      <c r="H18">
        <v>-0.7971398003399065</v>
      </c>
      <c r="I18">
        <v>0.13935186201396299</v>
      </c>
      <c r="J18">
        <v>8.1138840357959305E-2</v>
      </c>
      <c r="K18">
        <v>2.0235505960582E-2</v>
      </c>
      <c r="L18">
        <v>4.42317249428943E-5</v>
      </c>
      <c r="M18">
        <v>9.0086724777998882E-7</v>
      </c>
      <c r="N18" s="1">
        <v>8.4949091599857202E-11</v>
      </c>
      <c r="O18" s="1">
        <v>2.05263124802873E-14</v>
      </c>
      <c r="P18" s="1">
        <v>2.13684338795204E-13</v>
      </c>
      <c r="Q18">
        <v>51.040007912575902</v>
      </c>
      <c r="R18">
        <v>1.4267064994442099E-2</v>
      </c>
      <c r="S18">
        <v>1.4481613858542799</v>
      </c>
      <c r="T18">
        <v>0.51296320800643103</v>
      </c>
      <c r="V18">
        <v>28.915745009345802</v>
      </c>
      <c r="X18">
        <v>17.803879206526801</v>
      </c>
      <c r="AA18">
        <v>0.24944730655153699</v>
      </c>
      <c r="AB18">
        <v>1.5528906144611001E-2</v>
      </c>
      <c r="AJ18">
        <v>-0.958360376808431</v>
      </c>
      <c r="AK18">
        <v>0.98858071628636301</v>
      </c>
      <c r="AL18">
        <v>0.92860747196661697</v>
      </c>
      <c r="AM18">
        <v>2.5193025070868201E-2</v>
      </c>
      <c r="AN18">
        <v>-2.4369025134633199E-2</v>
      </c>
      <c r="AO18">
        <v>3.91919978019169E-2</v>
      </c>
      <c r="AP18">
        <v>1.1561908172985601E-3</v>
      </c>
    </row>
    <row r="19" spans="1:42" x14ac:dyDescent="0.2">
      <c r="A19">
        <v>105</v>
      </c>
      <c r="B19">
        <v>780</v>
      </c>
      <c r="C19">
        <v>100</v>
      </c>
      <c r="D19">
        <v>0.50218914684517901</v>
      </c>
      <c r="E19">
        <v>0.16600360386997801</v>
      </c>
      <c r="F19">
        <v>3.5128462833189502</v>
      </c>
      <c r="G19">
        <v>-2.2102031628228986</v>
      </c>
      <c r="H19">
        <v>-1.8681274057795008</v>
      </c>
      <c r="I19">
        <v>0.324811999281581</v>
      </c>
      <c r="J19">
        <v>0.18949408764438799</v>
      </c>
      <c r="K19">
        <v>4.7256153694586703E-2</v>
      </c>
      <c r="L19">
        <v>4.4125362900474931E-5</v>
      </c>
      <c r="M19">
        <v>8.9872423881816565E-7</v>
      </c>
      <c r="N19" s="1">
        <v>2.0357152709076199E-10</v>
      </c>
      <c r="O19" s="1">
        <v>4.88627297404887E-14</v>
      </c>
      <c r="P19" s="1">
        <v>4.4661631814259398E-13</v>
      </c>
      <c r="Q19">
        <v>51.149823105222701</v>
      </c>
      <c r="R19">
        <v>1.7867671617845401E-2</v>
      </c>
      <c r="S19">
        <v>1.49713113627828</v>
      </c>
      <c r="T19">
        <v>0.495239715186577</v>
      </c>
      <c r="V19">
        <v>28.418313013335201</v>
      </c>
      <c r="X19">
        <v>18.163032043732599</v>
      </c>
      <c r="AA19">
        <v>0.243083492760722</v>
      </c>
      <c r="AB19">
        <v>1.55098218659937E-2</v>
      </c>
      <c r="AJ19">
        <v>-0.94116961080319805</v>
      </c>
      <c r="AK19">
        <v>0.988872750540148</v>
      </c>
      <c r="AL19">
        <v>0.91027803632440196</v>
      </c>
      <c r="AM19">
        <v>2.6593137204956201E-2</v>
      </c>
      <c r="AN19">
        <v>-2.5563845474712101E-2</v>
      </c>
      <c r="AO19">
        <v>3.9837741837452603E-2</v>
      </c>
      <c r="AP19">
        <v>1.1517903709499101E-3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47373-FB1A-49CA-BB76-05332E99B1BF}">
  <sheetPr codeName="Sheet10"/>
  <dimension ref="A1:AL55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15</v>
      </c>
      <c r="B2">
        <v>736</v>
      </c>
      <c r="C2">
        <v>300</v>
      </c>
      <c r="D2">
        <v>0.25942674528068399</v>
      </c>
      <c r="E2">
        <v>7.7362560598138597</v>
      </c>
      <c r="F2">
        <v>2.5272442483712898</v>
      </c>
      <c r="G2">
        <v>-121.64904123327794</v>
      </c>
      <c r="H2">
        <v>-105.67695643402521</v>
      </c>
      <c r="I2">
        <v>15.8272653215604</v>
      </c>
      <c r="J2">
        <v>9.2400542269773407</v>
      </c>
      <c r="K2">
        <v>3.0611430077641102</v>
      </c>
      <c r="L2">
        <v>2.9027735881656577E-5</v>
      </c>
      <c r="M2">
        <v>1.7928572089933596E-6</v>
      </c>
      <c r="N2" s="1">
        <v>-1.0350367107265801E-7</v>
      </c>
      <c r="O2" s="1">
        <v>2.8880184647738501E-11</v>
      </c>
      <c r="P2" s="1">
        <v>3.5985843162079602E-10</v>
      </c>
      <c r="Q2">
        <v>66.019001989700001</v>
      </c>
      <c r="S2">
        <v>18.9685494836373</v>
      </c>
      <c r="AA2">
        <v>0.24461596968905699</v>
      </c>
      <c r="AB2">
        <v>4.5132475443059601</v>
      </c>
      <c r="AC2">
        <v>10.2545850126675</v>
      </c>
      <c r="AJ2">
        <v>0.396066073707668</v>
      </c>
      <c r="AK2">
        <v>1.18624415453428E-2</v>
      </c>
      <c r="AL2">
        <v>0.59207148474698801</v>
      </c>
    </row>
    <row r="3" spans="1:38" x14ac:dyDescent="0.2">
      <c r="A3">
        <v>16</v>
      </c>
      <c r="B3">
        <v>734</v>
      </c>
      <c r="C3">
        <v>300</v>
      </c>
      <c r="D3">
        <v>0.25781710768008598</v>
      </c>
      <c r="E3">
        <v>33.031331575372299</v>
      </c>
      <c r="F3">
        <v>2.52724299375455</v>
      </c>
      <c r="G3">
        <v>-519.08257932429103</v>
      </c>
      <c r="H3">
        <v>-451.13157793852184</v>
      </c>
      <c r="I3">
        <v>67.468600889409899</v>
      </c>
      <c r="J3">
        <v>39.455035100345597</v>
      </c>
      <c r="K3">
        <v>13.070105113359</v>
      </c>
      <c r="L3">
        <v>2.9025802881631724E-5</v>
      </c>
      <c r="M3">
        <v>1.7923049234723339E-6</v>
      </c>
      <c r="N3" s="1">
        <v>-4.6402645656641698E-7</v>
      </c>
      <c r="O3" s="1">
        <v>1.23200543027183E-10</v>
      </c>
      <c r="P3" s="1">
        <v>1.5984128629661001E-9</v>
      </c>
      <c r="Q3">
        <v>65.9949872661944</v>
      </c>
      <c r="S3">
        <v>18.958349463001898</v>
      </c>
      <c r="AA3">
        <v>0.24180435565271699</v>
      </c>
      <c r="AB3">
        <v>4.4329913404028396</v>
      </c>
      <c r="AC3">
        <v>10.371867574748</v>
      </c>
      <c r="AJ3">
        <v>0.38918177804009402</v>
      </c>
      <c r="AK3">
        <v>1.17308781805398E-2</v>
      </c>
      <c r="AL3">
        <v>0.59908734377936501</v>
      </c>
    </row>
    <row r="4" spans="1:38" x14ac:dyDescent="0.2">
      <c r="A4">
        <v>17</v>
      </c>
      <c r="B4">
        <v>732</v>
      </c>
      <c r="C4">
        <v>300</v>
      </c>
      <c r="D4">
        <v>0.256201064517732</v>
      </c>
      <c r="E4">
        <v>36.528319260990401</v>
      </c>
      <c r="F4">
        <v>2.5272552590380801</v>
      </c>
      <c r="G4">
        <v>-573.69014557467347</v>
      </c>
      <c r="H4">
        <v>-498.81478024558226</v>
      </c>
      <c r="I4">
        <v>74.4917329046323</v>
      </c>
      <c r="J4">
        <v>43.637209930210197</v>
      </c>
      <c r="K4">
        <v>14.453751408907401</v>
      </c>
      <c r="L4">
        <v>2.902821888523848E-5</v>
      </c>
      <c r="M4">
        <v>1.791791908096328E-6</v>
      </c>
      <c r="N4" s="1">
        <v>-5.3892497746022795E-7</v>
      </c>
      <c r="O4" s="1">
        <v>1.3611156017260499E-10</v>
      </c>
      <c r="P4" s="1">
        <v>1.8397137664656501E-9</v>
      </c>
      <c r="Q4">
        <v>65.971707372361394</v>
      </c>
      <c r="S4">
        <v>18.9484720283508</v>
      </c>
      <c r="AA4">
        <v>0.23908741589808599</v>
      </c>
      <c r="AB4">
        <v>4.3552183661221502</v>
      </c>
      <c r="AC4">
        <v>10.485514817267401</v>
      </c>
      <c r="AJ4">
        <v>0.382505130450424</v>
      </c>
      <c r="AK4">
        <v>1.1603655807311699E-2</v>
      </c>
      <c r="AL4">
        <v>0.60589121374226296</v>
      </c>
    </row>
    <row r="5" spans="1:38" x14ac:dyDescent="0.2">
      <c r="A5">
        <v>30</v>
      </c>
      <c r="B5">
        <v>740</v>
      </c>
      <c r="C5">
        <v>275</v>
      </c>
      <c r="D5">
        <v>0.28977002418201098</v>
      </c>
      <c r="E5">
        <v>6.5544281053871796</v>
      </c>
      <c r="F5">
        <v>2.5262570318264101</v>
      </c>
      <c r="G5">
        <v>-103.27150369997368</v>
      </c>
      <c r="H5">
        <v>-89.638152122829581</v>
      </c>
      <c r="I5">
        <v>13.4563999182195</v>
      </c>
      <c r="J5">
        <v>7.8274482166568102</v>
      </c>
      <c r="K5">
        <v>2.5945214690401102</v>
      </c>
      <c r="L5">
        <v>2.9021359857561893E-5</v>
      </c>
      <c r="M5">
        <v>1.7958068865271012E-6</v>
      </c>
      <c r="N5" s="1">
        <v>-7.8075739985415496E-8</v>
      </c>
      <c r="O5" s="1">
        <v>2.4512712022428201E-11</v>
      </c>
      <c r="P5" s="1">
        <v>2.7774355051007302E-10</v>
      </c>
      <c r="Q5">
        <v>66.071758924910597</v>
      </c>
      <c r="S5">
        <v>18.995934580229601</v>
      </c>
      <c r="AA5">
        <v>0.25489884518079098</v>
      </c>
      <c r="AB5">
        <v>4.7026071367310598</v>
      </c>
      <c r="AC5">
        <v>9.9748005129478301</v>
      </c>
      <c r="AJ5">
        <v>0.41228688486739501</v>
      </c>
      <c r="AK5">
        <v>1.2349218630215601E-2</v>
      </c>
      <c r="AL5">
        <v>0.57536389650238895</v>
      </c>
    </row>
    <row r="6" spans="1:38" x14ac:dyDescent="0.2">
      <c r="A6">
        <v>31</v>
      </c>
      <c r="B6">
        <v>738</v>
      </c>
      <c r="C6">
        <v>275</v>
      </c>
      <c r="D6">
        <v>0.28822677149780002</v>
      </c>
      <c r="E6">
        <v>32.037277710066903</v>
      </c>
      <c r="F6">
        <v>2.5264443499520501</v>
      </c>
      <c r="G6">
        <v>-504.86411974144903</v>
      </c>
      <c r="H6">
        <v>-438.39744913195312</v>
      </c>
      <c r="I6">
        <v>65.733739415018405</v>
      </c>
      <c r="J6">
        <v>38.312300520675102</v>
      </c>
      <c r="K6">
        <v>12.6807771208872</v>
      </c>
      <c r="L6">
        <v>2.9182337278414879E-5</v>
      </c>
      <c r="M6">
        <v>1.7975807665306965E-6</v>
      </c>
      <c r="N6" s="1">
        <v>-4.2052870639776401E-7</v>
      </c>
      <c r="O6" s="1">
        <v>1.1944023196543099E-10</v>
      </c>
      <c r="P6" s="1">
        <v>1.4689610874659601E-9</v>
      </c>
      <c r="Q6">
        <v>66.1173062205023</v>
      </c>
      <c r="S6">
        <v>18.997495070184801</v>
      </c>
      <c r="AA6">
        <v>0.245558426617072</v>
      </c>
      <c r="AB6">
        <v>4.8081978701038599</v>
      </c>
      <c r="AC6">
        <v>9.83144241259183</v>
      </c>
      <c r="AJ6">
        <v>0.42131854037060901</v>
      </c>
      <c r="AK6">
        <v>1.1890329001225299E-2</v>
      </c>
      <c r="AL6">
        <v>0.566791130628165</v>
      </c>
    </row>
    <row r="7" spans="1:38" x14ac:dyDescent="0.2">
      <c r="A7">
        <v>32</v>
      </c>
      <c r="B7">
        <v>736</v>
      </c>
      <c r="C7">
        <v>275</v>
      </c>
      <c r="D7">
        <v>0.28667740177377199</v>
      </c>
      <c r="E7">
        <v>36.993755389605198</v>
      </c>
      <c r="F7">
        <v>2.5265017276460902</v>
      </c>
      <c r="G7">
        <v>-582.81148117258954</v>
      </c>
      <c r="H7">
        <v>-506.30250471030803</v>
      </c>
      <c r="I7">
        <v>75.815266771323905</v>
      </c>
      <c r="J7">
        <v>44.269735509193303</v>
      </c>
      <c r="K7">
        <v>14.6422838285852</v>
      </c>
      <c r="L7">
        <v>2.9255298593447152E-5</v>
      </c>
      <c r="M7">
        <v>1.7980510655118055E-6</v>
      </c>
      <c r="N7" s="1">
        <v>-5.2077464769528402E-7</v>
      </c>
      <c r="O7" s="1">
        <v>1.3764890547085699E-10</v>
      </c>
      <c r="P7" s="1">
        <v>1.79612529909639E-9</v>
      </c>
      <c r="Q7">
        <v>66.124075472147197</v>
      </c>
      <c r="S7">
        <v>18.9920380736692</v>
      </c>
      <c r="AA7">
        <v>0.23947683628679201</v>
      </c>
      <c r="AB7">
        <v>4.80897655861824</v>
      </c>
      <c r="AC7">
        <v>9.8354330592783992</v>
      </c>
      <c r="AJ7">
        <v>0.42138516473704501</v>
      </c>
      <c r="AK7">
        <v>1.15958044826981E-2</v>
      </c>
      <c r="AL7">
        <v>0.56701903078025495</v>
      </c>
    </row>
    <row r="8" spans="1:38" x14ac:dyDescent="0.2">
      <c r="A8">
        <v>44</v>
      </c>
      <c r="B8">
        <v>742</v>
      </c>
      <c r="C8">
        <v>250</v>
      </c>
      <c r="D8">
        <v>0.318396788651924</v>
      </c>
      <c r="E8">
        <v>32.440538648687898</v>
      </c>
      <c r="F8">
        <v>2.5254401228850001</v>
      </c>
      <c r="G8">
        <v>-512.077909387354</v>
      </c>
      <c r="H8">
        <v>-444.30133388480641</v>
      </c>
      <c r="I8">
        <v>66.765084472784807</v>
      </c>
      <c r="J8">
        <v>38.768866504533101</v>
      </c>
      <c r="K8">
        <v>12.8454990299388</v>
      </c>
      <c r="L8">
        <v>2.9109167424336011E-5</v>
      </c>
      <c r="M8">
        <v>1.7995728731077367E-6</v>
      </c>
      <c r="N8" s="1">
        <v>-3.7141973618663902E-7</v>
      </c>
      <c r="O8" s="1">
        <v>1.2126987635617401E-10</v>
      </c>
      <c r="P8" s="1">
        <v>1.3328231055107001E-9</v>
      </c>
      <c r="Q8">
        <v>66.140223534163098</v>
      </c>
      <c r="S8">
        <v>19.021250177184999</v>
      </c>
      <c r="AA8">
        <v>0.25980919128206198</v>
      </c>
      <c r="AB8">
        <v>4.9215449761953503</v>
      </c>
      <c r="AC8">
        <v>9.6571721211743302</v>
      </c>
      <c r="AJ8">
        <v>0.43100264799001498</v>
      </c>
      <c r="AK8">
        <v>1.2573140870718501E-2</v>
      </c>
      <c r="AL8">
        <v>0.55642421113926499</v>
      </c>
    </row>
    <row r="9" spans="1:38" x14ac:dyDescent="0.2">
      <c r="A9">
        <v>45</v>
      </c>
      <c r="B9">
        <v>740</v>
      </c>
      <c r="C9">
        <v>250</v>
      </c>
      <c r="D9">
        <v>0.31691309282929903</v>
      </c>
      <c r="E9">
        <v>37.4555756742188</v>
      </c>
      <c r="F9">
        <v>2.5254683661990001</v>
      </c>
      <c r="G9">
        <v>-591.03525581313863</v>
      </c>
      <c r="H9">
        <v>-513.0320702599704</v>
      </c>
      <c r="I9">
        <v>76.990757097338204</v>
      </c>
      <c r="J9">
        <v>44.7829518122604</v>
      </c>
      <c r="K9">
        <v>14.831140304715801</v>
      </c>
      <c r="L9">
        <v>2.9158267864955996E-5</v>
      </c>
      <c r="M9">
        <v>1.7998050836471707E-6</v>
      </c>
      <c r="N9" s="1">
        <v>-4.5808886036332799E-7</v>
      </c>
      <c r="O9" s="1">
        <v>1.39808165982041E-10</v>
      </c>
      <c r="P9" s="1">
        <v>1.6221380476919601E-9</v>
      </c>
      <c r="Q9">
        <v>66.140904723796297</v>
      </c>
      <c r="S9">
        <v>19.014430252642502</v>
      </c>
      <c r="AA9">
        <v>0.25402373741564799</v>
      </c>
      <c r="AB9">
        <v>4.90518365193011</v>
      </c>
      <c r="AC9">
        <v>9.6854576342153091</v>
      </c>
      <c r="AJ9">
        <v>0.429605498096919</v>
      </c>
      <c r="AK9">
        <v>1.2294182351685499E-2</v>
      </c>
      <c r="AL9">
        <v>0.55810031955139505</v>
      </c>
    </row>
    <row r="10" spans="1:38" x14ac:dyDescent="0.2">
      <c r="A10">
        <v>53</v>
      </c>
      <c r="B10">
        <v>750</v>
      </c>
      <c r="C10">
        <v>225</v>
      </c>
      <c r="D10">
        <v>0.35115134633240402</v>
      </c>
      <c r="E10">
        <v>1.4121949684569</v>
      </c>
      <c r="F10">
        <v>2.56759219916129</v>
      </c>
      <c r="G10">
        <v>-22.844238631139017</v>
      </c>
      <c r="H10">
        <v>-19.812168802239494</v>
      </c>
      <c r="I10">
        <v>2.9634656002536399</v>
      </c>
      <c r="J10">
        <v>1.7289387431256</v>
      </c>
      <c r="K10">
        <v>0.55000750076986304</v>
      </c>
      <c r="L10">
        <v>3.1815867382020815E-5</v>
      </c>
      <c r="M10">
        <v>1.8216341884011198E-6</v>
      </c>
      <c r="N10" s="1">
        <v>-2.50534902026257E-8</v>
      </c>
      <c r="O10" s="1">
        <v>4.8569808926641296E-12</v>
      </c>
      <c r="P10" s="1">
        <v>8.4557776116810697E-11</v>
      </c>
      <c r="Q10">
        <v>65.653134261940593</v>
      </c>
      <c r="S10">
        <v>21.028785263244401</v>
      </c>
      <c r="AA10">
        <v>2.0297018155323698</v>
      </c>
      <c r="AB10">
        <v>9.0991068752015796</v>
      </c>
      <c r="AC10">
        <v>2.1892717840809501</v>
      </c>
      <c r="AJ10">
        <v>0.78029573159279098</v>
      </c>
      <c r="AK10">
        <v>9.6184146503445006E-2</v>
      </c>
      <c r="AL10">
        <v>0.12352012190376301</v>
      </c>
    </row>
    <row r="11" spans="1:38" x14ac:dyDescent="0.2">
      <c r="A11">
        <v>54</v>
      </c>
      <c r="B11">
        <v>748</v>
      </c>
      <c r="C11">
        <v>225</v>
      </c>
      <c r="D11">
        <v>0.34974342652891699</v>
      </c>
      <c r="E11">
        <v>6.66979599954887</v>
      </c>
      <c r="F11">
        <v>2.5652695288113398</v>
      </c>
      <c r="G11">
        <v>-107.77935910098837</v>
      </c>
      <c r="H11">
        <v>-93.502978187255309</v>
      </c>
      <c r="I11">
        <v>13.9806893343123</v>
      </c>
      <c r="J11">
        <v>8.1678735434556007</v>
      </c>
      <c r="K11">
        <v>2.6000371207151098</v>
      </c>
      <c r="L11">
        <v>3.187504431079035E-5</v>
      </c>
      <c r="M11">
        <v>1.8236739451458924E-6</v>
      </c>
      <c r="N11" s="1">
        <v>-1.2452797036218E-7</v>
      </c>
      <c r="O11" s="1">
        <v>2.2982450795619998E-11</v>
      </c>
      <c r="P11" s="1">
        <v>4.1696898008447501E-10</v>
      </c>
      <c r="Q11">
        <v>65.774559817239293</v>
      </c>
      <c r="S11">
        <v>20.889737555829601</v>
      </c>
      <c r="AA11">
        <v>1.8866530398452599</v>
      </c>
      <c r="AB11">
        <v>9.0051655721835804</v>
      </c>
      <c r="AC11">
        <v>2.4438840149021099</v>
      </c>
      <c r="AJ11">
        <v>0.77260244344187801</v>
      </c>
      <c r="AK11">
        <v>8.9447293664996597E-2</v>
      </c>
      <c r="AL11">
        <v>0.13795026289312401</v>
      </c>
    </row>
    <row r="12" spans="1:38" x14ac:dyDescent="0.2">
      <c r="A12">
        <v>55</v>
      </c>
      <c r="B12">
        <v>746</v>
      </c>
      <c r="C12">
        <v>225</v>
      </c>
      <c r="D12">
        <v>0.34832998086640898</v>
      </c>
      <c r="E12">
        <v>18.092083591479799</v>
      </c>
      <c r="F12">
        <v>2.5660570414325701</v>
      </c>
      <c r="G12">
        <v>-292.32894592538889</v>
      </c>
      <c r="H12">
        <v>-253.72467621622098</v>
      </c>
      <c r="I12">
        <v>37.878888985103202</v>
      </c>
      <c r="J12">
        <v>22.177803943972201</v>
      </c>
      <c r="K12">
        <v>7.0505383548993299</v>
      </c>
      <c r="L12">
        <v>3.1974715096657727E-5</v>
      </c>
      <c r="M12">
        <v>1.8234701638535342E-6</v>
      </c>
      <c r="N12" s="1">
        <v>-3.6035286522658601E-7</v>
      </c>
      <c r="O12" s="1">
        <v>6.2085765603318804E-11</v>
      </c>
      <c r="P12" s="1">
        <v>1.1956707142117E-9</v>
      </c>
      <c r="Q12">
        <v>65.735839920441606</v>
      </c>
      <c r="S12">
        <v>20.9275738938512</v>
      </c>
      <c r="AA12">
        <v>1.92690316470902</v>
      </c>
      <c r="AB12">
        <v>9.0180732374308796</v>
      </c>
      <c r="AC12">
        <v>2.3916097835671799</v>
      </c>
      <c r="AJ12">
        <v>0.77365959825004105</v>
      </c>
      <c r="AK12">
        <v>9.1349640017367104E-2</v>
      </c>
      <c r="AL12">
        <v>0.13499076173259</v>
      </c>
    </row>
    <row r="13" spans="1:38" x14ac:dyDescent="0.2">
      <c r="A13">
        <v>56</v>
      </c>
      <c r="B13">
        <v>744</v>
      </c>
      <c r="C13">
        <v>225</v>
      </c>
      <c r="D13">
        <v>0.34691097674876298</v>
      </c>
      <c r="E13">
        <v>20.086957305424299</v>
      </c>
      <c r="F13">
        <v>2.5664060565987299</v>
      </c>
      <c r="G13">
        <v>-324.50461148870346</v>
      </c>
      <c r="H13">
        <v>-281.77644471493551</v>
      </c>
      <c r="I13">
        <v>42.007734133380403</v>
      </c>
      <c r="J13">
        <v>24.649736252594</v>
      </c>
      <c r="K13">
        <v>7.8268819751951302</v>
      </c>
      <c r="L13">
        <v>3.2093408135779776E-5</v>
      </c>
      <c r="M13">
        <v>1.8240061982749732E-6</v>
      </c>
      <c r="N13" s="1">
        <v>-4.2703005817505601E-7</v>
      </c>
      <c r="O13" s="1">
        <v>6.8688279647060295E-11</v>
      </c>
      <c r="P13" s="1">
        <v>1.4045114478773801E-9</v>
      </c>
      <c r="Q13">
        <v>65.733128100356197</v>
      </c>
      <c r="S13">
        <v>20.935544409964699</v>
      </c>
      <c r="AA13">
        <v>1.9341116882581999</v>
      </c>
      <c r="AB13">
        <v>9.0329258360018905</v>
      </c>
      <c r="AC13">
        <v>2.3642899654188798</v>
      </c>
      <c r="AJ13">
        <v>0.774876525783883</v>
      </c>
      <c r="AK13">
        <v>9.1684601100424507E-2</v>
      </c>
      <c r="AL13">
        <v>0.133438873115691</v>
      </c>
    </row>
    <row r="14" spans="1:38" x14ac:dyDescent="0.2">
      <c r="A14">
        <v>61</v>
      </c>
      <c r="B14">
        <v>756</v>
      </c>
      <c r="C14">
        <v>200</v>
      </c>
      <c r="D14">
        <v>0.38206335325268598</v>
      </c>
      <c r="E14">
        <v>1.47532454147053</v>
      </c>
      <c r="F14">
        <v>2.56650187790071</v>
      </c>
      <c r="G14">
        <v>-23.905975140170757</v>
      </c>
      <c r="H14">
        <v>-20.708223446539943</v>
      </c>
      <c r="I14">
        <v>3.1071774703695398</v>
      </c>
      <c r="J14">
        <v>1.8023423682473501</v>
      </c>
      <c r="K14">
        <v>0.57483867601035299</v>
      </c>
      <c r="L14">
        <v>3.1564124133155271E-5</v>
      </c>
      <c r="M14">
        <v>1.8225137164068571E-6</v>
      </c>
      <c r="N14" s="1">
        <v>-2.1417135226299499E-8</v>
      </c>
      <c r="O14" s="1">
        <v>5.1105374545473704E-12</v>
      </c>
      <c r="P14" s="1">
        <v>7.4653528139169406E-11</v>
      </c>
      <c r="Q14">
        <v>65.660908194567995</v>
      </c>
      <c r="S14">
        <v>21.0474343384303</v>
      </c>
      <c r="AA14">
        <v>2.0432735526098198</v>
      </c>
      <c r="AB14">
        <v>9.16532164238515</v>
      </c>
      <c r="AC14">
        <v>2.0830622720066199</v>
      </c>
      <c r="AJ14">
        <v>0.78571549701139298</v>
      </c>
      <c r="AK14">
        <v>9.6795443178593996E-2</v>
      </c>
      <c r="AL14">
        <v>0.11748905981001199</v>
      </c>
    </row>
    <row r="15" spans="1:38" x14ac:dyDescent="0.2">
      <c r="A15">
        <v>62</v>
      </c>
      <c r="B15">
        <v>754</v>
      </c>
      <c r="C15">
        <v>200</v>
      </c>
      <c r="D15">
        <v>0.38072384753930699</v>
      </c>
      <c r="E15">
        <v>4.4674730968395497</v>
      </c>
      <c r="F15">
        <v>2.5620930764499801</v>
      </c>
      <c r="G15">
        <v>-72.268623163634857</v>
      </c>
      <c r="H15">
        <v>-62.614679173597963</v>
      </c>
      <c r="I15">
        <v>9.3987674536697607</v>
      </c>
      <c r="J15">
        <v>5.4560786160991102</v>
      </c>
      <c r="K15">
        <v>1.7436810309130699</v>
      </c>
      <c r="L15">
        <v>3.1593606409274196E-5</v>
      </c>
      <c r="M15">
        <v>1.826141195491057E-6</v>
      </c>
      <c r="N15" s="1">
        <v>-6.7609220551916899E-8</v>
      </c>
      <c r="O15" s="1">
        <v>1.5569062110292801E-11</v>
      </c>
      <c r="P15" s="1">
        <v>2.3382143987817101E-10</v>
      </c>
      <c r="Q15">
        <v>65.893002208218903</v>
      </c>
      <c r="S15">
        <v>20.788991646949299</v>
      </c>
      <c r="AA15">
        <v>1.77589972073953</v>
      </c>
      <c r="AB15">
        <v>9.0049895918628202</v>
      </c>
      <c r="AC15">
        <v>2.5371168322293398</v>
      </c>
      <c r="AJ15">
        <v>0.772589856262062</v>
      </c>
      <c r="AK15">
        <v>8.4196689477545703E-2</v>
      </c>
      <c r="AL15">
        <v>0.143213454260391</v>
      </c>
    </row>
    <row r="16" spans="1:38" x14ac:dyDescent="0.2">
      <c r="A16">
        <v>63</v>
      </c>
      <c r="B16">
        <v>752</v>
      </c>
      <c r="C16">
        <v>200</v>
      </c>
      <c r="D16">
        <v>0.37937911525142798</v>
      </c>
      <c r="E16">
        <v>20.177482257356999</v>
      </c>
      <c r="F16">
        <v>2.52365393457892</v>
      </c>
      <c r="G16">
        <v>-319.77762284081047</v>
      </c>
      <c r="H16">
        <v>-276.88235693684373</v>
      </c>
      <c r="I16">
        <v>41.842916552667099</v>
      </c>
      <c r="J16">
        <v>24.0961150419107</v>
      </c>
      <c r="K16">
        <v>7.99534436195336</v>
      </c>
      <c r="L16">
        <v>2.9023506905784027E-5</v>
      </c>
      <c r="M16">
        <v>1.8042368973621095E-6</v>
      </c>
      <c r="N16" s="1">
        <v>-1.67015900200449E-7</v>
      </c>
      <c r="O16" s="1">
        <v>7.5758934990469203E-11</v>
      </c>
      <c r="P16" s="1">
        <v>6.4605818834142495E-10</v>
      </c>
      <c r="Q16">
        <v>66.204076405055503</v>
      </c>
      <c r="S16">
        <v>19.084454575645299</v>
      </c>
      <c r="AA16">
        <v>0.29705427267505002</v>
      </c>
      <c r="AB16">
        <v>5.2295362230209097</v>
      </c>
      <c r="AC16">
        <v>9.1848785236030803</v>
      </c>
      <c r="AJ16">
        <v>0.45726055457232001</v>
      </c>
      <c r="AK16">
        <v>1.43531477989796E-2</v>
      </c>
      <c r="AL16">
        <v>0.52838629762869904</v>
      </c>
    </row>
    <row r="17" spans="1:38" x14ac:dyDescent="0.2">
      <c r="A17">
        <v>64</v>
      </c>
      <c r="B17">
        <v>750</v>
      </c>
      <c r="C17">
        <v>200</v>
      </c>
      <c r="D17">
        <v>0.37802912573913899</v>
      </c>
      <c r="E17">
        <v>36.690484714540901</v>
      </c>
      <c r="F17">
        <v>2.52349097606018</v>
      </c>
      <c r="G17">
        <v>-581.0678055698238</v>
      </c>
      <c r="H17">
        <v>-503.34738106299449</v>
      </c>
      <c r="I17">
        <v>75.961906374264998</v>
      </c>
      <c r="J17">
        <v>43.805776490574999</v>
      </c>
      <c r="K17">
        <v>14.5395743684505</v>
      </c>
      <c r="L17">
        <v>2.8989779398772758E-5</v>
      </c>
      <c r="M17">
        <v>1.8033987055807785E-6</v>
      </c>
      <c r="N17" s="1">
        <v>-3.17695102460589E-7</v>
      </c>
      <c r="O17" s="1">
        <v>1.3774308566458901E-10</v>
      </c>
      <c r="P17" s="1">
        <v>1.21455326026719E-9</v>
      </c>
      <c r="Q17">
        <v>66.176035265459902</v>
      </c>
      <c r="S17">
        <v>19.069980259333501</v>
      </c>
      <c r="AA17">
        <v>0.291655830090364</v>
      </c>
      <c r="AB17">
        <v>5.1291017449371399</v>
      </c>
      <c r="AC17">
        <v>9.3332269001789108</v>
      </c>
      <c r="AJ17">
        <v>0.448706914982059</v>
      </c>
      <c r="AK17">
        <v>1.4099473670423499E-2</v>
      </c>
      <c r="AL17">
        <v>0.53719361134751697</v>
      </c>
    </row>
    <row r="18" spans="1:38" x14ac:dyDescent="0.2">
      <c r="A18">
        <v>65</v>
      </c>
      <c r="B18">
        <v>748</v>
      </c>
      <c r="C18">
        <v>200</v>
      </c>
      <c r="D18">
        <v>0.37667384811242399</v>
      </c>
      <c r="E18">
        <v>39.046382042176702</v>
      </c>
      <c r="F18">
        <v>2.5234650837208998</v>
      </c>
      <c r="G18">
        <v>-618.10673095270386</v>
      </c>
      <c r="H18">
        <v>-535.66718999171951</v>
      </c>
      <c r="I18">
        <v>80.7320579356455</v>
      </c>
      <c r="J18">
        <v>46.626864164599901</v>
      </c>
      <c r="K18">
        <v>15.473319719804399</v>
      </c>
      <c r="L18">
        <v>2.900830302711179E-5</v>
      </c>
      <c r="M18">
        <v>1.8033409785823281E-6</v>
      </c>
      <c r="N18" s="1">
        <v>-3.5935772303215401E-7</v>
      </c>
      <c r="O18" s="1">
        <v>1.46462493521241E-10</v>
      </c>
      <c r="P18" s="1">
        <v>1.35340217659624E-9</v>
      </c>
      <c r="Q18">
        <v>66.169884062000506</v>
      </c>
      <c r="S18">
        <v>19.060964112804299</v>
      </c>
      <c r="AA18">
        <v>0.28565271612068499</v>
      </c>
      <c r="AB18">
        <v>5.09175711753669</v>
      </c>
      <c r="AC18">
        <v>9.3917419915377405</v>
      </c>
      <c r="AJ18">
        <v>0.44552422760990401</v>
      </c>
      <c r="AK18">
        <v>1.3811879954122801E-2</v>
      </c>
      <c r="AL18">
        <v>0.54066389243597301</v>
      </c>
    </row>
    <row r="19" spans="1:38" x14ac:dyDescent="0.2">
      <c r="A19">
        <v>67</v>
      </c>
      <c r="B19">
        <v>764</v>
      </c>
      <c r="C19">
        <v>175</v>
      </c>
      <c r="D19">
        <v>0.41388468398978101</v>
      </c>
      <c r="E19">
        <v>0.115147846491711</v>
      </c>
      <c r="F19">
        <v>2.5668943217778701</v>
      </c>
      <c r="G19">
        <v>-1.8702894917276771</v>
      </c>
      <c r="H19">
        <v>-1.6176127032932621</v>
      </c>
      <c r="I19">
        <v>0.24362607957808899</v>
      </c>
      <c r="J19">
        <v>0.14039456286526</v>
      </c>
      <c r="K19">
        <v>4.4858818500933997E-2</v>
      </c>
      <c r="L19">
        <v>3.1285027155959592E-5</v>
      </c>
      <c r="M19">
        <v>1.8212312623594498E-6</v>
      </c>
      <c r="N19" s="1">
        <v>-1.2941946746751499E-9</v>
      </c>
      <c r="O19" s="1">
        <v>4.00658260294532E-13</v>
      </c>
      <c r="P19" s="1">
        <v>4.7365374367415599E-12</v>
      </c>
      <c r="Q19">
        <v>65.558823449112694</v>
      </c>
      <c r="S19">
        <v>21.169885020168</v>
      </c>
      <c r="AA19">
        <v>2.1681166986022999</v>
      </c>
      <c r="AB19">
        <v>9.2588516425534007</v>
      </c>
      <c r="AC19">
        <v>1.8443231895635199</v>
      </c>
      <c r="AJ19">
        <v>0.79336318210104795</v>
      </c>
      <c r="AK19">
        <v>0.102661678706136</v>
      </c>
      <c r="AL19">
        <v>0.103975139192814</v>
      </c>
    </row>
    <row r="20" spans="1:38" x14ac:dyDescent="0.2">
      <c r="A20">
        <v>68</v>
      </c>
      <c r="B20">
        <v>762</v>
      </c>
      <c r="C20">
        <v>175</v>
      </c>
      <c r="D20">
        <v>0.41261701202724399</v>
      </c>
      <c r="E20">
        <v>2.6650911796956902</v>
      </c>
      <c r="F20">
        <v>2.5636915040954902</v>
      </c>
      <c r="G20">
        <v>-43.236131977567567</v>
      </c>
      <c r="H20">
        <v>-37.404723675303444</v>
      </c>
      <c r="I20">
        <v>5.6333944860784602</v>
      </c>
      <c r="J20">
        <v>3.2495159250063099</v>
      </c>
      <c r="K20">
        <v>1.03955221423412</v>
      </c>
      <c r="L20">
        <v>3.135407021503598E-5</v>
      </c>
      <c r="M20">
        <v>1.8250319265731883E-6</v>
      </c>
      <c r="N20" s="1">
        <v>-3.1528917828976998E-8</v>
      </c>
      <c r="O20" s="1">
        <v>9.3132007228118294E-12</v>
      </c>
      <c r="P20" s="1">
        <v>1.14126781012392E-10</v>
      </c>
      <c r="Q20">
        <v>65.765168177960007</v>
      </c>
      <c r="S20">
        <v>20.964704875804198</v>
      </c>
      <c r="AA20">
        <v>1.95069325706214</v>
      </c>
      <c r="AB20">
        <v>9.1807733833391705</v>
      </c>
      <c r="AC20">
        <v>2.1386603058342999</v>
      </c>
      <c r="AJ20">
        <v>0.78698134455427304</v>
      </c>
      <c r="AK20">
        <v>9.2402759925723499E-2</v>
      </c>
      <c r="AL20">
        <v>0.120615895520003</v>
      </c>
    </row>
    <row r="21" spans="1:38" x14ac:dyDescent="0.2">
      <c r="A21">
        <v>69</v>
      </c>
      <c r="B21">
        <v>760</v>
      </c>
      <c r="C21">
        <v>175</v>
      </c>
      <c r="D21">
        <v>0.41134443207665999</v>
      </c>
      <c r="E21">
        <v>5.6550687418152901</v>
      </c>
      <c r="F21">
        <v>2.5595532245391901</v>
      </c>
      <c r="G21">
        <v>-91.592883877347035</v>
      </c>
      <c r="H21">
        <v>-79.256930482405394</v>
      </c>
      <c r="I21">
        <v>11.9401378260094</v>
      </c>
      <c r="J21">
        <v>6.8921428865278198</v>
      </c>
      <c r="K21">
        <v>2.2093968148809999</v>
      </c>
      <c r="L21">
        <v>3.1362264652531683E-5</v>
      </c>
      <c r="M21">
        <v>1.8280367239318631E-6</v>
      </c>
      <c r="N21" s="1">
        <v>-6.9613240819523395E-8</v>
      </c>
      <c r="O21" s="1">
        <v>1.9875768580889899E-11</v>
      </c>
      <c r="P21" s="1">
        <v>2.4981573900932799E-10</v>
      </c>
      <c r="Q21">
        <v>65.969778857320406</v>
      </c>
      <c r="S21">
        <v>20.727581711241399</v>
      </c>
      <c r="AA21">
        <v>1.7073211135292701</v>
      </c>
      <c r="AB21">
        <v>9.0150881074915699</v>
      </c>
      <c r="AC21">
        <v>2.5802302104171999</v>
      </c>
      <c r="AJ21">
        <v>0.77341861351019203</v>
      </c>
      <c r="AK21">
        <v>8.0941387651158103E-2</v>
      </c>
      <c r="AL21">
        <v>0.145639998838649</v>
      </c>
    </row>
    <row r="22" spans="1:38" x14ac:dyDescent="0.2">
      <c r="A22">
        <v>70</v>
      </c>
      <c r="B22">
        <v>758</v>
      </c>
      <c r="C22">
        <v>175</v>
      </c>
      <c r="D22">
        <v>0.41006691557969399</v>
      </c>
      <c r="E22">
        <v>9.5792388390472993</v>
      </c>
      <c r="F22">
        <v>2.5587029453725401</v>
      </c>
      <c r="G22">
        <v>-155.02861125738804</v>
      </c>
      <c r="H22">
        <v>-134.19966475974545</v>
      </c>
      <c r="I22">
        <v>20.1997250619624</v>
      </c>
      <c r="J22">
        <v>11.6740711036656</v>
      </c>
      <c r="K22">
        <v>3.74378700597953</v>
      </c>
      <c r="L22">
        <v>3.1350426487200322E-5</v>
      </c>
      <c r="M22">
        <v>1.8273767829997091E-6</v>
      </c>
      <c r="N22" s="1">
        <v>-1.2363234937863101E-7</v>
      </c>
      <c r="O22" s="1">
        <v>3.3665003066080502E-11</v>
      </c>
      <c r="P22" s="1">
        <v>4.3952857296667398E-10</v>
      </c>
      <c r="Q22">
        <v>65.962934722784894</v>
      </c>
      <c r="S22">
        <v>20.692371202069101</v>
      </c>
      <c r="AA22">
        <v>1.6798690681638699</v>
      </c>
      <c r="AB22">
        <v>8.9075273931732895</v>
      </c>
      <c r="AC22">
        <v>2.75729761380871</v>
      </c>
      <c r="AJ22">
        <v>0.76459969280575002</v>
      </c>
      <c r="AK22">
        <v>7.9682541265556406E-2</v>
      </c>
      <c r="AL22">
        <v>0.15571776592869199</v>
      </c>
    </row>
    <row r="23" spans="1:38" x14ac:dyDescent="0.2">
      <c r="A23">
        <v>71</v>
      </c>
      <c r="B23">
        <v>756</v>
      </c>
      <c r="C23">
        <v>175</v>
      </c>
      <c r="D23">
        <v>0.40878443375601398</v>
      </c>
      <c r="E23">
        <v>17.147556149110901</v>
      </c>
      <c r="F23">
        <v>2.5620710557216202</v>
      </c>
      <c r="G23">
        <v>-277.64067589898457</v>
      </c>
      <c r="H23">
        <v>-240.47554119926687</v>
      </c>
      <c r="I23">
        <v>36.112456590115798</v>
      </c>
      <c r="J23">
        <v>20.9132603196073</v>
      </c>
      <c r="K23">
        <v>6.6928495643463899</v>
      </c>
      <c r="L23">
        <v>3.1369123640661407E-5</v>
      </c>
      <c r="M23">
        <v>1.8234279647675256E-6</v>
      </c>
      <c r="N23" s="1">
        <v>-2.3610008634631299E-7</v>
      </c>
      <c r="O23" s="1">
        <v>5.9806530919859801E-11</v>
      </c>
      <c r="P23" s="1">
        <v>8.2971836239625604E-10</v>
      </c>
      <c r="Q23">
        <v>65.732126410322195</v>
      </c>
      <c r="S23">
        <v>20.8972655170246</v>
      </c>
      <c r="AA23">
        <v>1.90276494031354</v>
      </c>
      <c r="AB23">
        <v>8.9303405290313709</v>
      </c>
      <c r="AC23">
        <v>2.5375026033082402</v>
      </c>
      <c r="AJ23">
        <v>0.76646736290514506</v>
      </c>
      <c r="AK23">
        <v>9.0244673537940703E-2</v>
      </c>
      <c r="AL23">
        <v>0.14328796355691301</v>
      </c>
    </row>
    <row r="24" spans="1:38" x14ac:dyDescent="0.2">
      <c r="A24">
        <v>72</v>
      </c>
      <c r="B24">
        <v>754</v>
      </c>
      <c r="C24">
        <v>175</v>
      </c>
      <c r="D24">
        <v>0.40749695760112897</v>
      </c>
      <c r="E24">
        <v>18.781975614973302</v>
      </c>
      <c r="F24">
        <v>2.5629345620903599</v>
      </c>
      <c r="G24">
        <v>-304.08190708152711</v>
      </c>
      <c r="H24">
        <v>-263.50017595253951</v>
      </c>
      <c r="I24">
        <v>39.509060146023103</v>
      </c>
      <c r="J24">
        <v>22.923344880442301</v>
      </c>
      <c r="K24">
        <v>7.3283086867635596</v>
      </c>
      <c r="L24">
        <v>3.1441415262568736E-5</v>
      </c>
      <c r="M24">
        <v>1.8230552580063994E-6</v>
      </c>
      <c r="N24" s="1">
        <v>-2.7569164361609601E-7</v>
      </c>
      <c r="O24" s="1">
        <v>6.5284228133710403E-11</v>
      </c>
      <c r="P24" s="1">
        <v>9.5808556830400394E-10</v>
      </c>
      <c r="Q24">
        <v>65.688373722587002</v>
      </c>
      <c r="S24">
        <v>20.939920992536202</v>
      </c>
      <c r="AA24">
        <v>1.9481652359132</v>
      </c>
      <c r="AB24">
        <v>8.9446668849827606</v>
      </c>
      <c r="AC24">
        <v>2.4788731639807602</v>
      </c>
      <c r="AJ24">
        <v>0.76764156830732699</v>
      </c>
      <c r="AK24">
        <v>9.2391260519000901E-2</v>
      </c>
      <c r="AL24">
        <v>0.139967171173671</v>
      </c>
    </row>
    <row r="25" spans="1:38" x14ac:dyDescent="0.2">
      <c r="A25">
        <v>74</v>
      </c>
      <c r="B25">
        <v>774</v>
      </c>
      <c r="C25">
        <v>150</v>
      </c>
      <c r="D25">
        <v>0.44641216635630598</v>
      </c>
      <c r="E25">
        <v>0.23996744067562401</v>
      </c>
      <c r="F25">
        <v>2.5649123226032899</v>
      </c>
      <c r="G25">
        <v>-3.9053292697192687</v>
      </c>
      <c r="H25">
        <v>-3.3706423019350695</v>
      </c>
      <c r="I25">
        <v>0.51061162945537797</v>
      </c>
      <c r="J25">
        <v>0.29198581086180603</v>
      </c>
      <c r="K25">
        <v>9.3557755780153101E-2</v>
      </c>
      <c r="L25">
        <v>3.1010695194731117E-5</v>
      </c>
      <c r="M25">
        <v>1.821655075079327E-6</v>
      </c>
      <c r="N25" s="1">
        <v>-1.9487107687728601E-9</v>
      </c>
      <c r="O25" s="1">
        <v>8.4158670975281199E-13</v>
      </c>
      <c r="P25" s="1">
        <v>7.6918825331684005E-12</v>
      </c>
      <c r="Q25">
        <v>65.576516956289097</v>
      </c>
      <c r="S25">
        <v>21.1627180207743</v>
      </c>
      <c r="AA25">
        <v>2.1580753127044301</v>
      </c>
      <c r="AB25">
        <v>9.2794914539240292</v>
      </c>
      <c r="AC25">
        <v>1.82319825630804</v>
      </c>
      <c r="AJ25">
        <v>0.79505052064859105</v>
      </c>
      <c r="AK25">
        <v>0.102175774216253</v>
      </c>
      <c r="AL25">
        <v>0.10277370513515501</v>
      </c>
    </row>
    <row r="26" spans="1:38" x14ac:dyDescent="0.2">
      <c r="A26">
        <v>75</v>
      </c>
      <c r="B26">
        <v>772</v>
      </c>
      <c r="C26">
        <v>150</v>
      </c>
      <c r="D26">
        <v>0.44521886810505501</v>
      </c>
      <c r="E26">
        <v>1.05560981270307</v>
      </c>
      <c r="F26">
        <v>2.5640625341207399</v>
      </c>
      <c r="G26">
        <v>-17.171270186681863</v>
      </c>
      <c r="H26">
        <v>-14.826029421361838</v>
      </c>
      <c r="I26">
        <v>2.2439274413433701</v>
      </c>
      <c r="J26">
        <v>1.2848250387092</v>
      </c>
      <c r="K26">
        <v>0.41169425419847</v>
      </c>
      <c r="L26">
        <v>3.1079062247987118E-5</v>
      </c>
      <c r="M26">
        <v>1.8235252148688235E-6</v>
      </c>
      <c r="N26" s="1">
        <v>-9.1143401898256096E-9</v>
      </c>
      <c r="O26" s="1">
        <v>3.7040972655469097E-12</v>
      </c>
      <c r="P26" s="1">
        <v>3.5411127412745097E-11</v>
      </c>
      <c r="Q26">
        <v>65.656782714266797</v>
      </c>
      <c r="S26">
        <v>21.094071326825802</v>
      </c>
      <c r="AA26">
        <v>2.0827121699900402</v>
      </c>
      <c r="AB26">
        <v>9.2783931590341098</v>
      </c>
      <c r="AC26">
        <v>1.88804062988319</v>
      </c>
      <c r="AJ26">
        <v>0.79496203468954696</v>
      </c>
      <c r="AK26">
        <v>9.8608343280593799E-2</v>
      </c>
      <c r="AL26">
        <v>0.10642962202985801</v>
      </c>
    </row>
    <row r="27" spans="1:38" x14ac:dyDescent="0.2">
      <c r="A27">
        <v>76</v>
      </c>
      <c r="B27">
        <v>770</v>
      </c>
      <c r="C27">
        <v>150</v>
      </c>
      <c r="D27">
        <v>0.44402099410439499</v>
      </c>
      <c r="E27">
        <v>2.9501810864446698</v>
      </c>
      <c r="F27">
        <v>2.5618791678345501</v>
      </c>
      <c r="G27">
        <v>-47.946551281663417</v>
      </c>
      <c r="H27">
        <v>-41.411092479457686</v>
      </c>
      <c r="I27">
        <v>6.2651189207743103</v>
      </c>
      <c r="J27">
        <v>3.59097206350806</v>
      </c>
      <c r="K27">
        <v>1.15156917761204</v>
      </c>
      <c r="L27">
        <v>3.1136297040723617E-5</v>
      </c>
      <c r="M27">
        <v>1.826296321869833E-6</v>
      </c>
      <c r="N27" s="1">
        <v>-2.6896305002548698E-8</v>
      </c>
      <c r="O27" s="1">
        <v>1.03809029904797E-11</v>
      </c>
      <c r="P27" s="1">
        <v>1.0306892391152501E-10</v>
      </c>
      <c r="Q27">
        <v>65.8024321082016</v>
      </c>
      <c r="S27">
        <v>20.950714687135999</v>
      </c>
      <c r="AA27">
        <v>1.9304561794714901</v>
      </c>
      <c r="AB27">
        <v>9.2271369554279801</v>
      </c>
      <c r="AC27">
        <v>2.0892600697628398</v>
      </c>
      <c r="AJ27">
        <v>0.79077407152798995</v>
      </c>
      <c r="AK27">
        <v>9.1423152391930204E-2</v>
      </c>
      <c r="AL27">
        <v>0.117802776080079</v>
      </c>
    </row>
    <row r="28" spans="1:38" x14ac:dyDescent="0.2">
      <c r="A28">
        <v>77</v>
      </c>
      <c r="B28">
        <v>768</v>
      </c>
      <c r="C28">
        <v>150</v>
      </c>
      <c r="D28">
        <v>0.442818517984921</v>
      </c>
      <c r="E28">
        <v>5.7220922550568201</v>
      </c>
      <c r="F28">
        <v>2.5584072998866501</v>
      </c>
      <c r="G28">
        <v>-92.865582475008182</v>
      </c>
      <c r="H28">
        <v>-80.227532213537174</v>
      </c>
      <c r="I28">
        <v>12.138548971301899</v>
      </c>
      <c r="J28">
        <v>6.9623827481112697</v>
      </c>
      <c r="K28">
        <v>2.2365837743311299</v>
      </c>
      <c r="L28">
        <v>3.1149705534200788E-5</v>
      </c>
      <c r="M28">
        <v>1.8290260039842844E-6</v>
      </c>
      <c r="N28" s="1">
        <v>-5.4464541952392101E-8</v>
      </c>
      <c r="O28" s="1">
        <v>2.02323672847161E-11</v>
      </c>
      <c r="P28" s="1">
        <v>2.06444261698285E-10</v>
      </c>
      <c r="Q28">
        <v>65.980702666155196</v>
      </c>
      <c r="S28">
        <v>20.748283136796498</v>
      </c>
      <c r="AA28">
        <v>1.7218510801243001</v>
      </c>
      <c r="AB28">
        <v>9.09370270823025</v>
      </c>
      <c r="AC28">
        <v>2.45546040869361</v>
      </c>
      <c r="AJ28">
        <v>0.77985836628247196</v>
      </c>
      <c r="AK28">
        <v>8.1598347032833696E-2</v>
      </c>
      <c r="AL28">
        <v>0.13854328668469301</v>
      </c>
    </row>
    <row r="29" spans="1:38" x14ac:dyDescent="0.2">
      <c r="A29">
        <v>78</v>
      </c>
      <c r="B29">
        <v>766</v>
      </c>
      <c r="C29">
        <v>150</v>
      </c>
      <c r="D29">
        <v>0.44161141317423203</v>
      </c>
      <c r="E29">
        <v>9.3497902423661507</v>
      </c>
      <c r="F29">
        <v>2.5532122799205301</v>
      </c>
      <c r="G29">
        <v>-151.40615455947443</v>
      </c>
      <c r="H29">
        <v>-130.82466701134715</v>
      </c>
      <c r="I29">
        <v>19.806079534357199</v>
      </c>
      <c r="J29">
        <v>11.3627889163101</v>
      </c>
      <c r="K29">
        <v>3.6619713589412801</v>
      </c>
      <c r="L29">
        <v>3.1059611019980159E-5</v>
      </c>
      <c r="M29">
        <v>1.8305404203276821E-6</v>
      </c>
      <c r="N29" s="1">
        <v>-9.0896499921420802E-8</v>
      </c>
      <c r="O29" s="1">
        <v>3.3310314354365602E-11</v>
      </c>
      <c r="P29" s="1">
        <v>3.42446069421604E-10</v>
      </c>
      <c r="Q29">
        <v>66.163781998843604</v>
      </c>
      <c r="S29">
        <v>20.482590406781402</v>
      </c>
      <c r="AA29">
        <v>1.4599327979578001</v>
      </c>
      <c r="AB29">
        <v>8.8051371506585596</v>
      </c>
      <c r="AC29">
        <v>3.08855764575855</v>
      </c>
      <c r="AJ29">
        <v>0.756199075405521</v>
      </c>
      <c r="AK29">
        <v>6.9285710140325002E-2</v>
      </c>
      <c r="AL29">
        <v>0.17451521445415299</v>
      </c>
    </row>
    <row r="30" spans="1:38" x14ac:dyDescent="0.2">
      <c r="A30">
        <v>79</v>
      </c>
      <c r="B30">
        <v>764</v>
      </c>
      <c r="C30">
        <v>150</v>
      </c>
      <c r="D30">
        <v>0.44039965289495597</v>
      </c>
      <c r="E30">
        <v>13.355134972085001</v>
      </c>
      <c r="F30">
        <v>2.557352813764</v>
      </c>
      <c r="G30">
        <v>-216.41278659707342</v>
      </c>
      <c r="H30">
        <v>-187.10668006558618</v>
      </c>
      <c r="I30">
        <v>28.2563819423296</v>
      </c>
      <c r="J30">
        <v>16.242120993978901</v>
      </c>
      <c r="K30">
        <v>5.2222497029764403</v>
      </c>
      <c r="L30">
        <v>3.10663386034576E-5</v>
      </c>
      <c r="M30">
        <v>1.8260621328777508E-6</v>
      </c>
      <c r="N30" s="1">
        <v>-1.3893814882963299E-7</v>
      </c>
      <c r="O30" s="1">
        <v>4.7190013172502502E-11</v>
      </c>
      <c r="P30" s="1">
        <v>5.1583718159303902E-10</v>
      </c>
      <c r="Q30">
        <v>65.896079170857305</v>
      </c>
      <c r="S30">
        <v>20.727745812448202</v>
      </c>
      <c r="AA30">
        <v>1.72465331300205</v>
      </c>
      <c r="AB30">
        <v>8.85128252047598</v>
      </c>
      <c r="AC30">
        <v>2.8002391832163802</v>
      </c>
      <c r="AJ30">
        <v>0.75998344265699602</v>
      </c>
      <c r="AK30">
        <v>8.1829618218714706E-2</v>
      </c>
      <c r="AL30">
        <v>0.158186939124288</v>
      </c>
    </row>
    <row r="31" spans="1:38" x14ac:dyDescent="0.2">
      <c r="A31">
        <v>80</v>
      </c>
      <c r="B31">
        <v>762</v>
      </c>
      <c r="C31">
        <v>150</v>
      </c>
      <c r="D31">
        <v>0.439183210162781</v>
      </c>
      <c r="E31">
        <v>17.036120403035898</v>
      </c>
      <c r="F31">
        <v>2.5602554628921599</v>
      </c>
      <c r="G31">
        <v>-276.16386730767391</v>
      </c>
      <c r="H31">
        <v>-238.89849942798236</v>
      </c>
      <c r="I31">
        <v>35.999968970382596</v>
      </c>
      <c r="J31">
        <v>20.731812057806302</v>
      </c>
      <c r="K31">
        <v>6.6540705214593103</v>
      </c>
      <c r="L31">
        <v>3.1083966372243404E-5</v>
      </c>
      <c r="M31">
        <v>1.8228275185572077E-6</v>
      </c>
      <c r="N31" s="1">
        <v>-1.8912472062418701E-7</v>
      </c>
      <c r="O31" s="1">
        <v>5.9814855021083906E-11</v>
      </c>
      <c r="P31" s="1">
        <v>6.9270652945903001E-10</v>
      </c>
      <c r="Q31">
        <v>65.703374470989601</v>
      </c>
      <c r="S31">
        <v>20.901268766848901</v>
      </c>
      <c r="AA31">
        <v>1.9127765343876799</v>
      </c>
      <c r="AB31">
        <v>8.8767634137186899</v>
      </c>
      <c r="AC31">
        <v>2.6058168140550002</v>
      </c>
      <c r="AJ31">
        <v>0.76207167409931698</v>
      </c>
      <c r="AK31">
        <v>9.0743640788859603E-2</v>
      </c>
      <c r="AL31">
        <v>0.14718468511182201</v>
      </c>
    </row>
    <row r="32" spans="1:38" x14ac:dyDescent="0.2">
      <c r="A32">
        <v>81</v>
      </c>
      <c r="B32">
        <v>760</v>
      </c>
      <c r="C32">
        <v>150</v>
      </c>
      <c r="D32">
        <v>0.43796205778444602</v>
      </c>
      <c r="E32">
        <v>18.0887471636558</v>
      </c>
      <c r="F32">
        <v>2.56113863741952</v>
      </c>
      <c r="G32">
        <v>-293.20823795826391</v>
      </c>
      <c r="H32">
        <v>-253.76152346176087</v>
      </c>
      <c r="I32">
        <v>38.181013886176203</v>
      </c>
      <c r="J32">
        <v>22.025720114954101</v>
      </c>
      <c r="K32">
        <v>7.0627754778168299</v>
      </c>
      <c r="L32">
        <v>3.1142258435634019E-5</v>
      </c>
      <c r="M32">
        <v>1.8224069715791767E-6</v>
      </c>
      <c r="N32" s="1">
        <v>-2.1405424614744801E-7</v>
      </c>
      <c r="O32" s="1">
        <v>6.3320135506963903E-11</v>
      </c>
      <c r="P32" s="1">
        <v>7.7389235213655296E-10</v>
      </c>
      <c r="Q32">
        <v>65.658961654779802</v>
      </c>
      <c r="S32">
        <v>20.944962311384799</v>
      </c>
      <c r="AA32">
        <v>1.9591872795163801</v>
      </c>
      <c r="AB32">
        <v>8.8923401416643308</v>
      </c>
      <c r="AC32">
        <v>2.5445486126545802</v>
      </c>
      <c r="AJ32">
        <v>0.76334908637000198</v>
      </c>
      <c r="AK32">
        <v>9.2938116394240697E-2</v>
      </c>
      <c r="AL32">
        <v>0.143712797235756</v>
      </c>
    </row>
    <row r="33" spans="1:38" x14ac:dyDescent="0.2">
      <c r="A33">
        <v>83</v>
      </c>
      <c r="B33">
        <v>786</v>
      </c>
      <c r="C33">
        <v>125</v>
      </c>
      <c r="D33">
        <v>0.47944153330501299</v>
      </c>
      <c r="E33">
        <v>0.63298188203670802</v>
      </c>
      <c r="F33">
        <v>2.56228248126305</v>
      </c>
      <c r="G33">
        <v>-10.323130198612306</v>
      </c>
      <c r="H33">
        <v>-8.8869826253995434</v>
      </c>
      <c r="I33">
        <v>1.3559435143395699</v>
      </c>
      <c r="J33">
        <v>0.769044880252445</v>
      </c>
      <c r="K33">
        <v>0.247038289753549</v>
      </c>
      <c r="L33">
        <v>3.0785230503167854E-5</v>
      </c>
      <c r="M33">
        <v>1.8226977072336608E-6</v>
      </c>
      <c r="N33" s="1">
        <v>-3.46639723357684E-9</v>
      </c>
      <c r="O33" s="1">
        <v>2.2369793266338599E-12</v>
      </c>
      <c r="P33" s="1">
        <v>1.5376654476238E-11</v>
      </c>
      <c r="Q33">
        <v>65.628939260600802</v>
      </c>
      <c r="S33">
        <v>21.123521592317498</v>
      </c>
      <c r="AA33">
        <v>2.11350582983586</v>
      </c>
      <c r="AB33">
        <v>9.2935532152280107</v>
      </c>
      <c r="AC33">
        <v>1.8404801020177699</v>
      </c>
      <c r="AJ33">
        <v>0.796200538938591</v>
      </c>
      <c r="AK33">
        <v>0.100058714174258</v>
      </c>
      <c r="AL33">
        <v>0.10374074688715</v>
      </c>
    </row>
    <row r="34" spans="1:38" x14ac:dyDescent="0.2">
      <c r="A34">
        <v>84</v>
      </c>
      <c r="B34">
        <v>784</v>
      </c>
      <c r="C34">
        <v>125</v>
      </c>
      <c r="D34">
        <v>0.47832426807926898</v>
      </c>
      <c r="E34">
        <v>1.41196024417702</v>
      </c>
      <c r="F34">
        <v>2.56151830302831</v>
      </c>
      <c r="G34">
        <v>-23.01672190411962</v>
      </c>
      <c r="H34">
        <v>-19.822385625821909</v>
      </c>
      <c r="I34">
        <v>3.02164903589623</v>
      </c>
      <c r="J34">
        <v>1.7157315642700599</v>
      </c>
      <c r="K34">
        <v>0.55122004887013898</v>
      </c>
      <c r="L34">
        <v>3.0836929345328037E-5</v>
      </c>
      <c r="M34">
        <v>1.8243680182231598E-6</v>
      </c>
      <c r="N34" s="1">
        <v>-8.2378804938785399E-9</v>
      </c>
      <c r="O34" s="1">
        <v>4.99357621634147E-12</v>
      </c>
      <c r="P34" s="1">
        <v>3.5779326849331201E-11</v>
      </c>
      <c r="Q34">
        <v>65.701542199645203</v>
      </c>
      <c r="S34">
        <v>21.0611819082465</v>
      </c>
      <c r="AA34">
        <v>2.0451340488897598</v>
      </c>
      <c r="AB34">
        <v>9.2919133855705294</v>
      </c>
      <c r="AC34">
        <v>1.90022845764791</v>
      </c>
      <c r="AJ34">
        <v>0.79606769106015796</v>
      </c>
      <c r="AK34">
        <v>9.6822750297450993E-2</v>
      </c>
      <c r="AL34">
        <v>0.10710955864239</v>
      </c>
    </row>
    <row r="35" spans="1:38" x14ac:dyDescent="0.2">
      <c r="A35">
        <v>85</v>
      </c>
      <c r="B35">
        <v>782</v>
      </c>
      <c r="C35">
        <v>125</v>
      </c>
      <c r="D35">
        <v>0.47720276737904699</v>
      </c>
      <c r="E35">
        <v>2.1909921259773002</v>
      </c>
      <c r="F35">
        <v>2.5607773018703202</v>
      </c>
      <c r="G35">
        <v>-35.699462084975472</v>
      </c>
      <c r="H35">
        <v>-30.75701642941959</v>
      </c>
      <c r="I35">
        <v>4.6841166237557497</v>
      </c>
      <c r="J35">
        <v>2.6627945235302102</v>
      </c>
      <c r="K35">
        <v>0.85559651140966297</v>
      </c>
      <c r="L35">
        <v>3.0887475489481242E-5</v>
      </c>
      <c r="M35">
        <v>1.8259338414673523E-6</v>
      </c>
      <c r="N35" s="1">
        <v>-1.36059578561593E-8</v>
      </c>
      <c r="O35" s="1">
        <v>7.7536266578041296E-12</v>
      </c>
      <c r="P35" s="1">
        <v>5.7925699071790798E-11</v>
      </c>
      <c r="Q35">
        <v>65.769837273888498</v>
      </c>
      <c r="S35">
        <v>21.001492200746199</v>
      </c>
      <c r="AA35">
        <v>1.9799537071070601</v>
      </c>
      <c r="AB35">
        <v>9.2876209682828001</v>
      </c>
      <c r="AC35">
        <v>1.96109584997529</v>
      </c>
      <c r="AJ35">
        <v>0.79571799648655495</v>
      </c>
      <c r="AK35">
        <v>9.3739044782990499E-2</v>
      </c>
      <c r="AL35">
        <v>0.110542958730453</v>
      </c>
    </row>
    <row r="36" spans="1:38" x14ac:dyDescent="0.2">
      <c r="A36">
        <v>86</v>
      </c>
      <c r="B36">
        <v>780</v>
      </c>
      <c r="C36">
        <v>125</v>
      </c>
      <c r="D36">
        <v>0.47607700707401701</v>
      </c>
      <c r="E36">
        <v>3.4037713173216901</v>
      </c>
      <c r="F36">
        <v>2.5595391158807099</v>
      </c>
      <c r="G36">
        <v>-55.425417870544386</v>
      </c>
      <c r="H36">
        <v>-47.769436339211488</v>
      </c>
      <c r="I36">
        <v>7.26960217569472</v>
      </c>
      <c r="J36">
        <v>4.13700672633074</v>
      </c>
      <c r="K36">
        <v>1.32983758529139</v>
      </c>
      <c r="L36">
        <v>3.0932517586462772E-5</v>
      </c>
      <c r="M36">
        <v>1.8277561417712685E-6</v>
      </c>
      <c r="N36" s="1">
        <v>-2.2416556374218401E-8</v>
      </c>
      <c r="O36" s="1">
        <v>1.2062546077244199E-11</v>
      </c>
      <c r="P36" s="1">
        <v>9.3713021229884799E-11</v>
      </c>
      <c r="Q36">
        <v>65.859653897857498</v>
      </c>
      <c r="S36">
        <v>20.915179021676099</v>
      </c>
      <c r="AA36">
        <v>1.8877869692667</v>
      </c>
      <c r="AB36">
        <v>9.2614912786113592</v>
      </c>
      <c r="AC36">
        <v>2.0758888325883</v>
      </c>
      <c r="AJ36">
        <v>0.79358374109544305</v>
      </c>
      <c r="AK36">
        <v>8.93872576649275E-2</v>
      </c>
      <c r="AL36">
        <v>0.117029001239629</v>
      </c>
    </row>
    <row r="37" spans="1:38" x14ac:dyDescent="0.2">
      <c r="A37">
        <v>87</v>
      </c>
      <c r="B37">
        <v>778</v>
      </c>
      <c r="C37">
        <v>125</v>
      </c>
      <c r="D37">
        <v>0.47494696285021398</v>
      </c>
      <c r="E37">
        <v>6.0205156305167904</v>
      </c>
      <c r="F37">
        <v>2.5565265558762298</v>
      </c>
      <c r="G37">
        <v>-97.912304605345284</v>
      </c>
      <c r="H37">
        <v>-84.410655213955138</v>
      </c>
      <c r="I37">
        <v>12.844645760728801</v>
      </c>
      <c r="J37">
        <v>7.3145980453670001</v>
      </c>
      <c r="K37">
        <v>2.35495915998936</v>
      </c>
      <c r="L37">
        <v>3.0940809700769282E-5</v>
      </c>
      <c r="M37">
        <v>1.8301415569079984E-6</v>
      </c>
      <c r="N37" s="1">
        <v>-4.14843977916369E-8</v>
      </c>
      <c r="O37" s="1">
        <v>2.1427704954316101E-11</v>
      </c>
      <c r="P37" s="1">
        <v>1.71008586940039E-10</v>
      </c>
      <c r="Q37">
        <v>66.014916700788206</v>
      </c>
      <c r="S37">
        <v>20.738706371548101</v>
      </c>
      <c r="AA37">
        <v>1.7059667734903401</v>
      </c>
      <c r="AB37">
        <v>9.1448401147634097</v>
      </c>
      <c r="AC37">
        <v>2.3955700394098498</v>
      </c>
      <c r="AJ37">
        <v>0.78404503769134304</v>
      </c>
      <c r="AK37">
        <v>8.0825100311364098E-2</v>
      </c>
      <c r="AL37">
        <v>0.13512986199729199</v>
      </c>
    </row>
    <row r="38" spans="1:38" x14ac:dyDescent="0.2">
      <c r="A38">
        <v>88</v>
      </c>
      <c r="B38">
        <v>776</v>
      </c>
      <c r="C38">
        <v>125</v>
      </c>
      <c r="D38">
        <v>0.47381261020826598</v>
      </c>
      <c r="E38">
        <v>9.1710855934296092</v>
      </c>
      <c r="F38">
        <v>2.5525412421492599</v>
      </c>
      <c r="G38">
        <v>-148.89217106702981</v>
      </c>
      <c r="H38">
        <v>-128.39043526349536</v>
      </c>
      <c r="I38">
        <v>19.5412818029208</v>
      </c>
      <c r="J38">
        <v>11.132672900574001</v>
      </c>
      <c r="K38">
        <v>3.5929235704365898</v>
      </c>
      <c r="L38">
        <v>3.0885972143162431E-5</v>
      </c>
      <c r="M38">
        <v>1.8316220020533313E-6</v>
      </c>
      <c r="N38" s="1">
        <v>-6.5156416966553695E-8</v>
      </c>
      <c r="O38" s="1">
        <v>3.2827789346621797E-11</v>
      </c>
      <c r="P38" s="1">
        <v>2.6597715113600598E-10</v>
      </c>
      <c r="Q38">
        <v>66.165102530122795</v>
      </c>
      <c r="S38">
        <v>20.529818330887601</v>
      </c>
      <c r="AA38">
        <v>1.49858819099956</v>
      </c>
      <c r="AB38">
        <v>8.9318940269037306</v>
      </c>
      <c r="AC38">
        <v>2.8745969210861801</v>
      </c>
      <c r="AJ38">
        <v>0.76660142891421001</v>
      </c>
      <c r="AK38">
        <v>7.1075374884956702E-2</v>
      </c>
      <c r="AL38">
        <v>0.16232319620083299</v>
      </c>
    </row>
    <row r="39" spans="1:38" x14ac:dyDescent="0.2">
      <c r="A39">
        <v>89</v>
      </c>
      <c r="B39">
        <v>774</v>
      </c>
      <c r="C39">
        <v>125</v>
      </c>
      <c r="D39">
        <v>0.47267392446163797</v>
      </c>
      <c r="E39">
        <v>12.0667194495987</v>
      </c>
      <c r="F39">
        <v>2.5492757889248798</v>
      </c>
      <c r="G39">
        <v>-195.55535519826637</v>
      </c>
      <c r="H39">
        <v>-168.67409558447707</v>
      </c>
      <c r="I39">
        <v>25.670877728872899</v>
      </c>
      <c r="J39">
        <v>14.630606884812799</v>
      </c>
      <c r="K39">
        <v>4.7333911466235303</v>
      </c>
      <c r="L39">
        <v>3.0760662563074897E-5</v>
      </c>
      <c r="M39">
        <v>1.8305755799666104E-6</v>
      </c>
      <c r="N39" s="1">
        <v>-8.7498878695154794E-8</v>
      </c>
      <c r="O39" s="1">
        <v>4.3382769050262E-11</v>
      </c>
      <c r="P39" s="1">
        <v>3.5478704260190899E-10</v>
      </c>
      <c r="Q39">
        <v>66.210605295636796</v>
      </c>
      <c r="S39">
        <v>20.386520307840001</v>
      </c>
      <c r="AA39">
        <v>1.3697484064608101</v>
      </c>
      <c r="AB39">
        <v>8.6576201026575603</v>
      </c>
      <c r="AC39">
        <v>3.3755058874047399</v>
      </c>
      <c r="AJ39">
        <v>0.74407721183310005</v>
      </c>
      <c r="AK39">
        <v>6.5053560785883202E-2</v>
      </c>
      <c r="AL39">
        <v>0.190869227381015</v>
      </c>
    </row>
    <row r="40" spans="1:38" x14ac:dyDescent="0.2">
      <c r="A40">
        <v>90</v>
      </c>
      <c r="B40">
        <v>772</v>
      </c>
      <c r="C40">
        <v>125</v>
      </c>
      <c r="D40">
        <v>0.47153088073482102</v>
      </c>
      <c r="E40">
        <v>14.0657082831219</v>
      </c>
      <c r="F40">
        <v>2.55522075542514</v>
      </c>
      <c r="G40">
        <v>-228.23412276717423</v>
      </c>
      <c r="H40">
        <v>-196.99380012181194</v>
      </c>
      <c r="I40">
        <v>29.890755054644998</v>
      </c>
      <c r="J40">
        <v>17.0707943439151</v>
      </c>
      <c r="K40">
        <v>5.5046939694967998</v>
      </c>
      <c r="L40">
        <v>3.0775086453113483E-5</v>
      </c>
      <c r="M40">
        <v>1.8250564823922108E-6</v>
      </c>
      <c r="N40" s="1">
        <v>-1.1041512805174501E-7</v>
      </c>
      <c r="O40" s="1">
        <v>5.0029579297267803E-11</v>
      </c>
      <c r="P40" s="1">
        <v>4.3859381119652502E-10</v>
      </c>
      <c r="Q40">
        <v>65.861608177882701</v>
      </c>
      <c r="S40">
        <v>20.7274876545038</v>
      </c>
      <c r="AA40">
        <v>1.73248366501657</v>
      </c>
      <c r="AB40">
        <v>8.7737889662790192</v>
      </c>
      <c r="AC40">
        <v>2.9046315363177402</v>
      </c>
      <c r="AJ40">
        <v>0.753619882249564</v>
      </c>
      <c r="AK40">
        <v>8.2232804571236606E-2</v>
      </c>
      <c r="AL40">
        <v>0.16414731317919801</v>
      </c>
    </row>
    <row r="41" spans="1:38" x14ac:dyDescent="0.2">
      <c r="A41">
        <v>91</v>
      </c>
      <c r="B41">
        <v>770</v>
      </c>
      <c r="C41">
        <v>125</v>
      </c>
      <c r="D41">
        <v>0.47038345396155901</v>
      </c>
      <c r="E41">
        <v>16.238431141001701</v>
      </c>
      <c r="F41">
        <v>2.5580880205611098</v>
      </c>
      <c r="G41">
        <v>-263.59013769018361</v>
      </c>
      <c r="H41">
        <v>-227.63611295924716</v>
      </c>
      <c r="I41">
        <v>34.466783042646099</v>
      </c>
      <c r="J41">
        <v>19.717989255440902</v>
      </c>
      <c r="K41">
        <v>6.3478781849890504</v>
      </c>
      <c r="L41">
        <v>3.0785327387791455E-5</v>
      </c>
      <c r="M41">
        <v>1.8219948900719393E-6</v>
      </c>
      <c r="N41" s="1">
        <v>-1.3624127987815801E-7</v>
      </c>
      <c r="O41" s="1">
        <v>5.74199073004979E-11</v>
      </c>
      <c r="P41" s="1">
        <v>5.3213030075987799E-10</v>
      </c>
      <c r="Q41">
        <v>65.677298080204395</v>
      </c>
      <c r="S41">
        <v>20.896508152961101</v>
      </c>
      <c r="AA41">
        <v>1.9149335484880801</v>
      </c>
      <c r="AB41">
        <v>8.8061730067850696</v>
      </c>
      <c r="AC41">
        <v>2.7050872115612701</v>
      </c>
      <c r="AJ41">
        <v>0.75627675131836303</v>
      </c>
      <c r="AK41">
        <v>9.0877848076166598E-2</v>
      </c>
      <c r="AL41">
        <v>0.152845400605469</v>
      </c>
    </row>
    <row r="42" spans="1:38" x14ac:dyDescent="0.2">
      <c r="A42">
        <v>92</v>
      </c>
      <c r="B42">
        <v>768</v>
      </c>
      <c r="C42">
        <v>125</v>
      </c>
      <c r="D42">
        <v>0.46923161888296799</v>
      </c>
      <c r="E42">
        <v>17.048715277092199</v>
      </c>
      <c r="F42">
        <v>2.55906639027903</v>
      </c>
      <c r="G42">
        <v>-276.73163740395489</v>
      </c>
      <c r="H42">
        <v>-239.09798985010235</v>
      </c>
      <c r="I42">
        <v>36.146230181868603</v>
      </c>
      <c r="J42">
        <v>20.7111565465948</v>
      </c>
      <c r="K42">
        <v>6.66208400917386</v>
      </c>
      <c r="L42">
        <v>3.082821972100861E-5</v>
      </c>
      <c r="M42">
        <v>1.8214273614589954E-6</v>
      </c>
      <c r="N42" s="1">
        <v>-1.5256448947044299E-7</v>
      </c>
      <c r="O42" s="1">
        <v>6.0120072601618901E-11</v>
      </c>
      <c r="P42" s="1">
        <v>5.8647324431770299E-10</v>
      </c>
      <c r="Q42">
        <v>65.626922833578305</v>
      </c>
      <c r="S42">
        <v>20.946023859742599</v>
      </c>
      <c r="AA42">
        <v>1.9675388887095899</v>
      </c>
      <c r="AB42">
        <v>8.8237263335004599</v>
      </c>
      <c r="AC42">
        <v>2.6357880844689299</v>
      </c>
      <c r="AJ42">
        <v>0.75771725791522804</v>
      </c>
      <c r="AK42">
        <v>9.3366109881686296E-2</v>
      </c>
      <c r="AL42">
        <v>0.14891663220308499</v>
      </c>
    </row>
    <row r="43" spans="1:38" x14ac:dyDescent="0.2">
      <c r="A43">
        <v>93</v>
      </c>
      <c r="B43">
        <v>804</v>
      </c>
      <c r="C43">
        <v>100</v>
      </c>
      <c r="D43">
        <v>0.514840551455232</v>
      </c>
      <c r="E43">
        <v>4.1561533249925703E-2</v>
      </c>
      <c r="F43">
        <v>2.5601054642122199</v>
      </c>
      <c r="G43">
        <v>-0.67991396595357656</v>
      </c>
      <c r="H43">
        <v>-0.5830862475282218</v>
      </c>
      <c r="I43">
        <v>8.9892511187257801E-2</v>
      </c>
      <c r="J43">
        <v>5.0450499782402999E-2</v>
      </c>
      <c r="K43">
        <v>1.62343051217676E-2</v>
      </c>
      <c r="L43">
        <v>3.0553705539162186E-5</v>
      </c>
      <c r="M43">
        <v>1.821849875987024E-6</v>
      </c>
      <c r="N43" s="1">
        <v>-1.208168826326E-10</v>
      </c>
      <c r="O43" s="1">
        <v>1.47755361449456E-13</v>
      </c>
      <c r="P43" s="1">
        <v>6.9328578334553198E-13</v>
      </c>
      <c r="Q43">
        <v>65.606578098463203</v>
      </c>
      <c r="S43">
        <v>21.147349700705199</v>
      </c>
      <c r="AA43">
        <v>2.1383819347242001</v>
      </c>
      <c r="AB43">
        <v>9.3061910483660295</v>
      </c>
      <c r="AC43">
        <v>1.8014992177411999</v>
      </c>
      <c r="AJ43">
        <v>0.79723285959221202</v>
      </c>
      <c r="AK43">
        <v>0.101230013291514</v>
      </c>
      <c r="AL43">
        <v>0.101537127116272</v>
      </c>
    </row>
    <row r="44" spans="1:38" x14ac:dyDescent="0.2">
      <c r="A44">
        <v>94</v>
      </c>
      <c r="B44">
        <v>802</v>
      </c>
      <c r="C44">
        <v>100</v>
      </c>
      <c r="D44">
        <v>0.51380784076640695</v>
      </c>
      <c r="E44">
        <v>0.78725638447816904</v>
      </c>
      <c r="F44">
        <v>2.55939743014414</v>
      </c>
      <c r="G44">
        <v>-12.873211594631838</v>
      </c>
      <c r="H44">
        <v>-11.044266521207112</v>
      </c>
      <c r="I44">
        <v>1.70110689059641</v>
      </c>
      <c r="J44">
        <v>0.95565062101074005</v>
      </c>
      <c r="K44">
        <v>0.30759442640912199</v>
      </c>
      <c r="L44">
        <v>3.0592247143795867E-5</v>
      </c>
      <c r="M44">
        <v>1.8234405166449243E-6</v>
      </c>
      <c r="N44" s="1">
        <v>-2.46348444763484E-9</v>
      </c>
      <c r="O44" s="1">
        <v>2.8014617224851002E-12</v>
      </c>
      <c r="P44" s="1">
        <v>1.36493437571768E-11</v>
      </c>
      <c r="Q44">
        <v>65.676323885068399</v>
      </c>
      <c r="S44">
        <v>21.088230562223998</v>
      </c>
      <c r="AA44">
        <v>2.0733338143272899</v>
      </c>
      <c r="AB44">
        <v>9.3066272866550399</v>
      </c>
      <c r="AC44">
        <v>1.8554844517251701</v>
      </c>
      <c r="AJ44">
        <v>0.79726961706195798</v>
      </c>
      <c r="AK44">
        <v>9.81505897559736E-2</v>
      </c>
      <c r="AL44">
        <v>0.104579793182067</v>
      </c>
    </row>
    <row r="45" spans="1:38" x14ac:dyDescent="0.2">
      <c r="A45">
        <v>95</v>
      </c>
      <c r="B45">
        <v>800</v>
      </c>
      <c r="C45">
        <v>100</v>
      </c>
      <c r="D45">
        <v>0.51277128080883805</v>
      </c>
      <c r="E45">
        <v>1.53249246389319</v>
      </c>
      <c r="F45">
        <v>2.5587122010626602</v>
      </c>
      <c r="G45">
        <v>-25.048212490875052</v>
      </c>
      <c r="H45">
        <v>-21.498016084217468</v>
      </c>
      <c r="I45">
        <v>3.30820146918657</v>
      </c>
      <c r="J45">
        <v>1.86033715634414</v>
      </c>
      <c r="K45">
        <v>0.59893115890749005</v>
      </c>
      <c r="L45">
        <v>3.0629369636290429E-5</v>
      </c>
      <c r="M45">
        <v>1.8249354758978254E-6</v>
      </c>
      <c r="N45" s="1">
        <v>-5.1509091991322703E-9</v>
      </c>
      <c r="O45" s="1">
        <v>5.4581961486149504E-12</v>
      </c>
      <c r="P45" s="1">
        <v>2.7619767105557499E-11</v>
      </c>
      <c r="Q45">
        <v>65.742128379664194</v>
      </c>
      <c r="S45">
        <v>21.031588115360201</v>
      </c>
      <c r="AA45">
        <v>2.0112486364835598</v>
      </c>
      <c r="AB45">
        <v>9.3047735360919201</v>
      </c>
      <c r="AC45">
        <v>1.91026133239998</v>
      </c>
      <c r="AJ45">
        <v>0.79711920010625004</v>
      </c>
      <c r="AK45">
        <v>9.5212510287115998E-2</v>
      </c>
      <c r="AL45">
        <v>0.10766828960663299</v>
      </c>
    </row>
    <row r="46" spans="1:38" x14ac:dyDescent="0.2">
      <c r="A46">
        <v>96</v>
      </c>
      <c r="B46">
        <v>798</v>
      </c>
      <c r="C46">
        <v>100</v>
      </c>
      <c r="D46">
        <v>0.51173085002101004</v>
      </c>
      <c r="E46">
        <v>2.2763577368633499</v>
      </c>
      <c r="F46">
        <v>2.5580491213032102</v>
      </c>
      <c r="G46">
        <v>-37.189983145514759</v>
      </c>
      <c r="H46">
        <v>-31.931536607198208</v>
      </c>
      <c r="I46">
        <v>4.9091598173146096</v>
      </c>
      <c r="J46">
        <v>2.7634132283824502</v>
      </c>
      <c r="K46">
        <v>0.88988038498011601</v>
      </c>
      <c r="L46">
        <v>3.0665207413834526E-5</v>
      </c>
      <c r="M46">
        <v>1.8263386377495338E-6</v>
      </c>
      <c r="N46" s="1">
        <v>-8.2024293573582893E-9</v>
      </c>
      <c r="O46" s="1">
        <v>8.1140827248571696E-12</v>
      </c>
      <c r="P46" s="1">
        <v>4.2652860332694601E-11</v>
      </c>
      <c r="Q46">
        <v>65.804133272154502</v>
      </c>
      <c r="S46">
        <v>20.977335129928498</v>
      </c>
      <c r="AA46">
        <v>1.95202137399482</v>
      </c>
      <c r="AB46">
        <v>9.3007168597583192</v>
      </c>
      <c r="AC46">
        <v>1.9657933641638099</v>
      </c>
      <c r="AJ46">
        <v>0.79678871414936303</v>
      </c>
      <c r="AK46">
        <v>9.2410668019149295E-2</v>
      </c>
      <c r="AL46">
        <v>0.11080061783148699</v>
      </c>
    </row>
    <row r="47" spans="1:38" x14ac:dyDescent="0.2">
      <c r="A47">
        <v>97</v>
      </c>
      <c r="B47">
        <v>796</v>
      </c>
      <c r="C47">
        <v>100</v>
      </c>
      <c r="D47">
        <v>0.51068652668007097</v>
      </c>
      <c r="E47">
        <v>3.0179999435237899</v>
      </c>
      <c r="F47">
        <v>2.55740745075297</v>
      </c>
      <c r="G47">
        <v>-49.28459692895035</v>
      </c>
      <c r="H47">
        <v>-42.332872005500384</v>
      </c>
      <c r="I47">
        <v>6.5021044039189597</v>
      </c>
      <c r="J47">
        <v>3.6638572973533998</v>
      </c>
      <c r="K47">
        <v>1.18010133372967</v>
      </c>
      <c r="L47">
        <v>3.069990171462476E-5</v>
      </c>
      <c r="M47">
        <v>1.8276540731504871E-6</v>
      </c>
      <c r="N47" s="1">
        <v>-1.16385400761156E-8</v>
      </c>
      <c r="O47" s="1">
        <v>1.07654573232819E-11</v>
      </c>
      <c r="P47" s="1">
        <v>5.8800573763338303E-11</v>
      </c>
      <c r="Q47">
        <v>65.862488933708505</v>
      </c>
      <c r="S47">
        <v>20.925377895595499</v>
      </c>
      <c r="AA47">
        <v>1.8955396278199499</v>
      </c>
      <c r="AB47">
        <v>9.2945466779206605</v>
      </c>
      <c r="AC47">
        <v>2.0220468649553198</v>
      </c>
      <c r="AJ47">
        <v>0.79628544650107602</v>
      </c>
      <c r="AK47">
        <v>8.97396195395814E-2</v>
      </c>
      <c r="AL47">
        <v>0.113974933959341</v>
      </c>
    </row>
    <row r="48" spans="1:38" x14ac:dyDescent="0.2">
      <c r="A48">
        <v>98</v>
      </c>
      <c r="B48">
        <v>794</v>
      </c>
      <c r="C48">
        <v>100</v>
      </c>
      <c r="D48">
        <v>0.50963828890034402</v>
      </c>
      <c r="E48">
        <v>3.7566333945417001</v>
      </c>
      <c r="F48">
        <v>2.5567863861751299</v>
      </c>
      <c r="G48">
        <v>-61.319242312759165</v>
      </c>
      <c r="H48">
        <v>-52.691002933950962</v>
      </c>
      <c r="I48">
        <v>8.0853107611940107</v>
      </c>
      <c r="J48">
        <v>4.5607315381747702</v>
      </c>
      <c r="K48">
        <v>1.4692793323894</v>
      </c>
      <c r="L48">
        <v>3.0733599241481223E-5</v>
      </c>
      <c r="M48">
        <v>1.8288859709802948E-6</v>
      </c>
      <c r="N48" s="1">
        <v>-1.54810724675857E-8</v>
      </c>
      <c r="O48" s="1">
        <v>1.3408895054881699E-11</v>
      </c>
      <c r="P48" s="1">
        <v>7.6119067655788495E-11</v>
      </c>
      <c r="Q48">
        <v>65.917351473401297</v>
      </c>
      <c r="S48">
        <v>20.875618246085399</v>
      </c>
      <c r="AA48">
        <v>1.84168598385766</v>
      </c>
      <c r="AB48">
        <v>9.2863535156277308</v>
      </c>
      <c r="AC48">
        <v>2.0789907810278199</v>
      </c>
      <c r="AJ48">
        <v>0.79561676554920302</v>
      </c>
      <c r="AK48">
        <v>8.7193695965439605E-2</v>
      </c>
      <c r="AL48">
        <v>0.117189538485357</v>
      </c>
    </row>
    <row r="49" spans="1:38" x14ac:dyDescent="0.2">
      <c r="A49">
        <v>99</v>
      </c>
      <c r="B49">
        <v>792</v>
      </c>
      <c r="C49">
        <v>100</v>
      </c>
      <c r="D49">
        <v>0.50858611463174297</v>
      </c>
      <c r="E49">
        <v>5.5174418280606803</v>
      </c>
      <c r="F49">
        <v>2.5550017565772101</v>
      </c>
      <c r="G49">
        <v>-89.984767594179814</v>
      </c>
      <c r="H49">
        <v>-77.349048904606477</v>
      </c>
      <c r="I49">
        <v>11.8628537666744</v>
      </c>
      <c r="J49">
        <v>6.6969164274351698</v>
      </c>
      <c r="K49">
        <v>2.15946694120949</v>
      </c>
      <c r="L49">
        <v>3.0749417933040504E-5</v>
      </c>
      <c r="M49">
        <v>1.8306161130912847E-6</v>
      </c>
      <c r="N49" s="1">
        <v>-2.4053768323675202E-8</v>
      </c>
      <c r="O49" s="1">
        <v>1.9743162022676698E-11</v>
      </c>
      <c r="P49" s="1">
        <v>1.1562964029248801E-10</v>
      </c>
      <c r="Q49">
        <v>66.019218302621596</v>
      </c>
      <c r="S49">
        <v>20.765001667243201</v>
      </c>
      <c r="AA49">
        <v>1.72665694169991</v>
      </c>
      <c r="AB49">
        <v>9.2233625400929693</v>
      </c>
      <c r="AC49">
        <v>2.2657605483421599</v>
      </c>
      <c r="AJ49">
        <v>0.79046885485319895</v>
      </c>
      <c r="AK49">
        <v>8.1773452215756201E-2</v>
      </c>
      <c r="AL49">
        <v>0.127757692931044</v>
      </c>
    </row>
    <row r="50" spans="1:38" x14ac:dyDescent="0.2">
      <c r="A50">
        <v>100</v>
      </c>
      <c r="B50">
        <v>790</v>
      </c>
      <c r="C50">
        <v>100</v>
      </c>
      <c r="D50">
        <v>0.507529981658283</v>
      </c>
      <c r="E50">
        <v>8.2121735427333</v>
      </c>
      <c r="F50">
        <v>2.5520159107737599</v>
      </c>
      <c r="G50">
        <v>-133.75579141114721</v>
      </c>
      <c r="H50">
        <v>-115.00558963220114</v>
      </c>
      <c r="I50">
        <v>17.6364593697465</v>
      </c>
      <c r="J50">
        <v>9.9614937598915407</v>
      </c>
      <c r="K50">
        <v>3.21791627868157</v>
      </c>
      <c r="L50">
        <v>3.072351180280431E-5</v>
      </c>
      <c r="M50">
        <v>1.8321900456020018E-6</v>
      </c>
      <c r="N50" s="1">
        <v>-3.7331168533436699E-8</v>
      </c>
      <c r="O50" s="1">
        <v>2.9512741301433801E-11</v>
      </c>
      <c r="P50" s="1">
        <v>1.7646967545605201E-10</v>
      </c>
      <c r="Q50">
        <v>66.146928294209104</v>
      </c>
      <c r="S50">
        <v>20.601033566044698</v>
      </c>
      <c r="AA50">
        <v>1.56158219868256</v>
      </c>
      <c r="AB50">
        <v>9.0780937142101106</v>
      </c>
      <c r="AC50">
        <v>2.6123622268534299</v>
      </c>
      <c r="AJ50">
        <v>0.77858277646433005</v>
      </c>
      <c r="AK50">
        <v>7.4009210336441894E-2</v>
      </c>
      <c r="AL50">
        <v>0.147408013199227</v>
      </c>
    </row>
    <row r="51" spans="1:38" x14ac:dyDescent="0.2">
      <c r="A51">
        <v>101</v>
      </c>
      <c r="B51">
        <v>788</v>
      </c>
      <c r="C51">
        <v>100</v>
      </c>
      <c r="D51">
        <v>0.50646986759647905</v>
      </c>
      <c r="E51">
        <v>11.5606908836962</v>
      </c>
      <c r="F51">
        <v>2.5479797531338502</v>
      </c>
      <c r="G51">
        <v>-187.94549519376338</v>
      </c>
      <c r="H51">
        <v>-161.63667054735993</v>
      </c>
      <c r="I51">
        <v>24.792748100083301</v>
      </c>
      <c r="J51">
        <v>14.0072734597123</v>
      </c>
      <c r="K51">
        <v>4.5371988805944596</v>
      </c>
      <c r="L51">
        <v>3.0629603518937023E-5</v>
      </c>
      <c r="M51">
        <v>1.8327434107114964E-6</v>
      </c>
      <c r="N51" s="1">
        <v>-5.37645879705142E-8</v>
      </c>
      <c r="O51" s="1">
        <v>4.1788015584761798E-11</v>
      </c>
      <c r="P51" s="1">
        <v>2.51703362416532E-10</v>
      </c>
      <c r="Q51">
        <v>66.267275321424904</v>
      </c>
      <c r="S51">
        <v>20.402275584719099</v>
      </c>
      <c r="AA51">
        <v>1.3695234954184401</v>
      </c>
      <c r="AB51">
        <v>8.8252107232652293</v>
      </c>
      <c r="AC51">
        <v>3.1357148751722299</v>
      </c>
      <c r="AJ51">
        <v>0.75784886692527098</v>
      </c>
      <c r="AK51">
        <v>6.4988692466251996E-2</v>
      </c>
      <c r="AL51">
        <v>0.177162440608476</v>
      </c>
    </row>
    <row r="52" spans="1:38" x14ac:dyDescent="0.2">
      <c r="A52">
        <v>102</v>
      </c>
      <c r="B52">
        <v>786</v>
      </c>
      <c r="C52">
        <v>100</v>
      </c>
      <c r="D52">
        <v>0.50540574989378495</v>
      </c>
      <c r="E52">
        <v>15.6934273880482</v>
      </c>
      <c r="F52">
        <v>2.5423383171068998</v>
      </c>
      <c r="G52">
        <v>-254.41162829905358</v>
      </c>
      <c r="H52">
        <v>-218.83821290172725</v>
      </c>
      <c r="I52">
        <v>33.586758624676698</v>
      </c>
      <c r="J52">
        <v>18.972956420971801</v>
      </c>
      <c r="K52">
        <v>6.1728320272916504</v>
      </c>
      <c r="L52">
        <v>3.0391229073312918E-5</v>
      </c>
      <c r="M52">
        <v>1.8307503137251601E-6</v>
      </c>
      <c r="N52" s="1">
        <v>-7.1747035458793604E-8</v>
      </c>
      <c r="O52" s="1">
        <v>5.7188817080012399E-11</v>
      </c>
      <c r="P52" s="1">
        <v>3.3743578006802102E-10</v>
      </c>
      <c r="Q52">
        <v>66.3427637218211</v>
      </c>
      <c r="S52">
        <v>20.1601520550552</v>
      </c>
      <c r="AA52">
        <v>1.1521549180592101</v>
      </c>
      <c r="AB52">
        <v>8.3586742648017793</v>
      </c>
      <c r="AC52">
        <v>3.98625504026257</v>
      </c>
      <c r="AJ52">
        <v>0.71945779547660005</v>
      </c>
      <c r="AK52">
        <v>5.4801139587582003E-2</v>
      </c>
      <c r="AL52">
        <v>0.225741064935817</v>
      </c>
    </row>
    <row r="53" spans="1:38" x14ac:dyDescent="0.2">
      <c r="A53">
        <v>103</v>
      </c>
      <c r="B53">
        <v>784</v>
      </c>
      <c r="C53">
        <v>100</v>
      </c>
      <c r="D53">
        <v>0.50433760582698905</v>
      </c>
      <c r="E53">
        <v>12.669273336824499</v>
      </c>
      <c r="F53">
        <v>2.5498016322691899</v>
      </c>
      <c r="G53">
        <v>-205.78557596561674</v>
      </c>
      <c r="H53">
        <v>-177.14033050521167</v>
      </c>
      <c r="I53">
        <v>27.096670728283598</v>
      </c>
      <c r="J53">
        <v>15.3398032468947</v>
      </c>
      <c r="K53">
        <v>4.9687290087541003</v>
      </c>
      <c r="L53">
        <v>3.0472016876448036E-5</v>
      </c>
      <c r="M53">
        <v>1.8262431125467586E-6</v>
      </c>
      <c r="N53" s="1">
        <v>-6.4664074129572793E-8</v>
      </c>
      <c r="O53" s="1">
        <v>4.5599706541115599E-11</v>
      </c>
      <c r="P53" s="1">
        <v>2.9278329130399101E-10</v>
      </c>
      <c r="Q53">
        <v>65.990179886867594</v>
      </c>
      <c r="S53">
        <v>20.556489608848899</v>
      </c>
      <c r="AA53">
        <v>1.5614080758675799</v>
      </c>
      <c r="AB53">
        <v>8.6120105180652793</v>
      </c>
      <c r="AC53">
        <v>3.2799119103505099</v>
      </c>
      <c r="AJ53">
        <v>0.74032224688689696</v>
      </c>
      <c r="AK53">
        <v>7.4172592745232094E-2</v>
      </c>
      <c r="AL53">
        <v>0.18550516036786899</v>
      </c>
    </row>
    <row r="54" spans="1:38" x14ac:dyDescent="0.2">
      <c r="A54">
        <v>104</v>
      </c>
      <c r="B54">
        <v>782</v>
      </c>
      <c r="C54">
        <v>100</v>
      </c>
      <c r="D54">
        <v>0.50326541250059598</v>
      </c>
      <c r="E54">
        <v>14.197530686042199</v>
      </c>
      <c r="F54">
        <v>2.5542715985932798</v>
      </c>
      <c r="G54">
        <v>-230.80206105274291</v>
      </c>
      <c r="H54">
        <v>-198.79774951200804</v>
      </c>
      <c r="I54">
        <v>30.331527783476101</v>
      </c>
      <c r="J54">
        <v>17.201057090703301</v>
      </c>
      <c r="K54">
        <v>5.5583480996544097</v>
      </c>
      <c r="L54">
        <v>3.0471606232263134E-5</v>
      </c>
      <c r="M54">
        <v>1.8218958596124857E-6</v>
      </c>
      <c r="N54" s="1">
        <v>-7.8302019418768098E-8</v>
      </c>
      <c r="O54" s="1">
        <v>5.0693326719965703E-11</v>
      </c>
      <c r="P54" s="1">
        <v>3.45587049923444E-10</v>
      </c>
      <c r="Q54">
        <v>65.7218564944109</v>
      </c>
      <c r="S54">
        <v>20.814906617514801</v>
      </c>
      <c r="AA54">
        <v>1.83721434940939</v>
      </c>
      <c r="AB54">
        <v>8.6915400096218001</v>
      </c>
      <c r="AC54">
        <v>2.9344825290429801</v>
      </c>
      <c r="AJ54">
        <v>0.74685890916201902</v>
      </c>
      <c r="AK54">
        <v>8.7239356090387604E-2</v>
      </c>
      <c r="AL54">
        <v>0.16590173474759301</v>
      </c>
    </row>
    <row r="55" spans="1:38" x14ac:dyDescent="0.2">
      <c r="A55">
        <v>105</v>
      </c>
      <c r="B55">
        <v>780</v>
      </c>
      <c r="C55">
        <v>100</v>
      </c>
      <c r="D55">
        <v>0.50218914684517901</v>
      </c>
      <c r="E55">
        <v>15.2075926513093</v>
      </c>
      <c r="F55">
        <v>2.5560922904653598</v>
      </c>
      <c r="G55">
        <v>-247.26089912911121</v>
      </c>
      <c r="H55">
        <v>-213.08290519544821</v>
      </c>
      <c r="I55">
        <v>32.453111079773002</v>
      </c>
      <c r="J55">
        <v>18.4313129451183</v>
      </c>
      <c r="K55">
        <v>5.9495475605619301</v>
      </c>
      <c r="L55">
        <v>3.0488169391342695E-5</v>
      </c>
      <c r="M55">
        <v>1.8202464811435417E-6</v>
      </c>
      <c r="N55" s="1">
        <v>-8.9818912038807705E-8</v>
      </c>
      <c r="O55" s="1">
        <v>5.40977830103428E-11</v>
      </c>
      <c r="P55" s="1">
        <v>3.8775687339585701E-10</v>
      </c>
      <c r="Q55">
        <v>65.614396128882603</v>
      </c>
      <c r="S55">
        <v>20.9168570162742</v>
      </c>
      <c r="AA55">
        <v>1.9463988794932201</v>
      </c>
      <c r="AB55">
        <v>8.7193465716402194</v>
      </c>
      <c r="AC55">
        <v>2.8030014037097302</v>
      </c>
      <c r="AJ55">
        <v>0.74914293350360595</v>
      </c>
      <c r="AK55">
        <v>9.2410939046631099E-2</v>
      </c>
      <c r="AL55">
        <v>0.158446127449761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2A346-B6F6-47AF-B67A-BB0CB66D9242}">
  <sheetPr codeName="Sheet11"/>
  <dimension ref="A1:AL29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15</v>
      </c>
      <c r="B2">
        <v>736</v>
      </c>
      <c r="C2">
        <v>300</v>
      </c>
      <c r="D2">
        <v>0.25942674528068399</v>
      </c>
      <c r="E2">
        <v>2.0598438498458198</v>
      </c>
      <c r="F2">
        <v>2.5754822465830198</v>
      </c>
      <c r="G2">
        <v>-33.217847096314877</v>
      </c>
      <c r="H2">
        <v>-28.89462393699565</v>
      </c>
      <c r="I2">
        <v>4.2840243366389696</v>
      </c>
      <c r="J2">
        <v>2.5443529123933</v>
      </c>
      <c r="K2">
        <v>0.79978957439084797</v>
      </c>
      <c r="L2">
        <v>3.2716438700803918E-5</v>
      </c>
      <c r="M2">
        <v>1.8147218177508104E-6</v>
      </c>
      <c r="N2" s="1">
        <v>-6.0607897798336195E-8</v>
      </c>
      <c r="O2" s="1">
        <v>6.8410747668807699E-12</v>
      </c>
      <c r="P2" s="1">
        <v>1.9204366724942501E-10</v>
      </c>
      <c r="Q2">
        <v>65.352229411510194</v>
      </c>
      <c r="S2">
        <v>21.264283643347799</v>
      </c>
      <c r="AA2">
        <v>2.29420242364335</v>
      </c>
      <c r="AB2">
        <v>9.0459461702102093</v>
      </c>
      <c r="AC2">
        <v>2.0433383512883299</v>
      </c>
      <c r="AJ2">
        <v>0.775937292817095</v>
      </c>
      <c r="AK2">
        <v>0.10874646561069</v>
      </c>
      <c r="AL2">
        <v>0.115316241572213</v>
      </c>
    </row>
    <row r="3" spans="1:38" x14ac:dyDescent="0.2">
      <c r="A3">
        <v>16</v>
      </c>
      <c r="B3">
        <v>734</v>
      </c>
      <c r="C3">
        <v>300</v>
      </c>
      <c r="D3">
        <v>0.25781710768008598</v>
      </c>
      <c r="E3">
        <v>14.7849777403095</v>
      </c>
      <c r="F3">
        <v>2.5768191465897901</v>
      </c>
      <c r="G3">
        <v>-238.4208214901353</v>
      </c>
      <c r="H3">
        <v>-207.49201279721439</v>
      </c>
      <c r="I3">
        <v>30.709237643767999</v>
      </c>
      <c r="J3">
        <v>18.289100791458999</v>
      </c>
      <c r="K3">
        <v>5.7376854560694301</v>
      </c>
      <c r="L3">
        <v>3.2837877562512022E-5</v>
      </c>
      <c r="M3">
        <v>1.8132598113980577E-6</v>
      </c>
      <c r="N3" s="1">
        <v>-4.6340502774571002E-7</v>
      </c>
      <c r="O3" s="1">
        <v>4.87610080655325E-11</v>
      </c>
      <c r="P3" s="1">
        <v>1.4587019068079001E-9</v>
      </c>
      <c r="Q3">
        <v>65.2511981575513</v>
      </c>
      <c r="S3">
        <v>21.347191384025201</v>
      </c>
      <c r="AA3">
        <v>2.3861764205350902</v>
      </c>
      <c r="AB3">
        <v>9.0381568587695504</v>
      </c>
      <c r="AC3">
        <v>1.97727717911878</v>
      </c>
      <c r="AJ3">
        <v>0.77529760333458397</v>
      </c>
      <c r="AK3">
        <v>0.113110235676147</v>
      </c>
      <c r="AL3">
        <v>0.111592160989267</v>
      </c>
    </row>
    <row r="4" spans="1:38" x14ac:dyDescent="0.2">
      <c r="A4">
        <v>17</v>
      </c>
      <c r="B4">
        <v>732</v>
      </c>
      <c r="C4">
        <v>300</v>
      </c>
      <c r="D4">
        <v>0.256201064517732</v>
      </c>
      <c r="E4">
        <v>16.142495919301702</v>
      </c>
      <c r="F4">
        <v>2.5781365290367901</v>
      </c>
      <c r="G4">
        <v>-260.30128641840355</v>
      </c>
      <c r="H4">
        <v>-226.64430925125018</v>
      </c>
      <c r="I4">
        <v>33.484531828237898</v>
      </c>
      <c r="J4">
        <v>19.998967146413499</v>
      </c>
      <c r="K4">
        <v>6.2613037507880298</v>
      </c>
      <c r="L4">
        <v>3.296704287772423E-5</v>
      </c>
      <c r="M4">
        <v>1.8117847150014964E-6</v>
      </c>
      <c r="N4" s="1">
        <v>-5.3878885430692E-7</v>
      </c>
      <c r="O4" s="1">
        <v>5.2851504243584902E-11</v>
      </c>
      <c r="P4" s="1">
        <v>1.68529461376471E-9</v>
      </c>
      <c r="Q4">
        <v>65.149410024116307</v>
      </c>
      <c r="S4">
        <v>21.429862908747999</v>
      </c>
      <c r="AA4">
        <v>2.4781321443242699</v>
      </c>
      <c r="AB4">
        <v>9.0280616111637393</v>
      </c>
      <c r="AC4">
        <v>1.91453331164757</v>
      </c>
      <c r="AJ4">
        <v>0.77446892393636002</v>
      </c>
      <c r="AK4">
        <v>0.117474805124629</v>
      </c>
      <c r="AL4">
        <v>0.10805627093900901</v>
      </c>
    </row>
    <row r="5" spans="1:38" x14ac:dyDescent="0.2">
      <c r="A5">
        <v>30</v>
      </c>
      <c r="B5">
        <v>740</v>
      </c>
      <c r="C5">
        <v>275</v>
      </c>
      <c r="D5">
        <v>0.28977002418201098</v>
      </c>
      <c r="E5">
        <v>2.8858836354750301</v>
      </c>
      <c r="F5">
        <v>2.5720180367894501</v>
      </c>
      <c r="G5">
        <v>-46.57123564510421</v>
      </c>
      <c r="H5">
        <v>-40.474025977224485</v>
      </c>
      <c r="I5">
        <v>6.0180720208061196</v>
      </c>
      <c r="J5">
        <v>3.5530716549433801</v>
      </c>
      <c r="K5">
        <v>1.12203087000018</v>
      </c>
      <c r="L5">
        <v>3.2404280974918615E-5</v>
      </c>
      <c r="M5">
        <v>1.817972805171137E-6</v>
      </c>
      <c r="N5" s="1">
        <v>-7.3002162401945403E-8</v>
      </c>
      <c r="O5" s="1">
        <v>9.7183417495827106E-12</v>
      </c>
      <c r="P5" s="1">
        <v>2.3516581538707001E-10</v>
      </c>
      <c r="Q5">
        <v>65.507859025242496</v>
      </c>
      <c r="S5">
        <v>21.130969272411999</v>
      </c>
      <c r="AA5">
        <v>2.14790265981997</v>
      </c>
      <c r="AB5">
        <v>9.0432574644272492</v>
      </c>
      <c r="AC5">
        <v>2.1700115780981699</v>
      </c>
      <c r="AJ5">
        <v>0.775719453564923</v>
      </c>
      <c r="AK5">
        <v>0.101813454569625</v>
      </c>
      <c r="AL5">
        <v>0.122467091865451</v>
      </c>
    </row>
    <row r="6" spans="1:38" x14ac:dyDescent="0.2">
      <c r="A6">
        <v>31</v>
      </c>
      <c r="B6">
        <v>738</v>
      </c>
      <c r="C6">
        <v>275</v>
      </c>
      <c r="D6">
        <v>0.28822677149780002</v>
      </c>
      <c r="E6">
        <v>17.781006536458499</v>
      </c>
      <c r="F6">
        <v>2.5698943447888301</v>
      </c>
      <c r="G6">
        <v>-286.76726027829562</v>
      </c>
      <c r="H6">
        <v>-249.3076192044972</v>
      </c>
      <c r="I6">
        <v>37.046571798247903</v>
      </c>
      <c r="J6">
        <v>21.926149979010301</v>
      </c>
      <c r="K6">
        <v>6.91896403154254</v>
      </c>
      <c r="L6">
        <v>3.2641394511774528E-5</v>
      </c>
      <c r="M6">
        <v>1.8231375437376523E-6</v>
      </c>
      <c r="N6" s="1">
        <v>-4.8208735089546001E-7</v>
      </c>
      <c r="O6" s="1">
        <v>5.9877792929025102E-11</v>
      </c>
      <c r="P6" s="1">
        <v>1.5406058118428001E-9</v>
      </c>
      <c r="Q6">
        <v>65.724238752171502</v>
      </c>
      <c r="S6">
        <v>20.963266308658099</v>
      </c>
      <c r="AA6">
        <v>1.95905674640354</v>
      </c>
      <c r="AB6">
        <v>9.0857929617177309</v>
      </c>
      <c r="AC6">
        <v>2.2676452310489301</v>
      </c>
      <c r="AJ6">
        <v>0.77920667468004901</v>
      </c>
      <c r="AK6">
        <v>9.28426726843362E-2</v>
      </c>
      <c r="AL6">
        <v>0.127950652635613</v>
      </c>
    </row>
    <row r="7" spans="1:38" x14ac:dyDescent="0.2">
      <c r="A7">
        <v>32</v>
      </c>
      <c r="B7">
        <v>736</v>
      </c>
      <c r="C7">
        <v>275</v>
      </c>
      <c r="D7">
        <v>0.28667740177377199</v>
      </c>
      <c r="E7">
        <v>20.943401618121001</v>
      </c>
      <c r="F7">
        <v>2.5696678406539699</v>
      </c>
      <c r="G7">
        <v>-337.67425662431106</v>
      </c>
      <c r="H7">
        <v>-293.68818871196675</v>
      </c>
      <c r="I7">
        <v>43.587244624034398</v>
      </c>
      <c r="J7">
        <v>25.864990813238901</v>
      </c>
      <c r="K7">
        <v>8.1502368853987708</v>
      </c>
      <c r="L7">
        <v>3.281858551283352E-5</v>
      </c>
      <c r="M7">
        <v>1.8248057013576644E-6</v>
      </c>
      <c r="N7" s="1">
        <v>-6.0688126536640801E-7</v>
      </c>
      <c r="O7" s="1">
        <v>7.0264740287570704E-11</v>
      </c>
      <c r="P7" s="1">
        <v>1.9253301272821198E-9</v>
      </c>
      <c r="Q7">
        <v>65.771279071961402</v>
      </c>
      <c r="S7">
        <v>20.930787142156401</v>
      </c>
      <c r="AA7">
        <v>1.92128488593896</v>
      </c>
      <c r="AB7">
        <v>9.1054714346041798</v>
      </c>
      <c r="AC7">
        <v>2.27117746533896</v>
      </c>
      <c r="AJ7">
        <v>0.78081867125606996</v>
      </c>
      <c r="AK7">
        <v>9.1043786192435694E-2</v>
      </c>
      <c r="AL7">
        <v>0.12813754255149401</v>
      </c>
    </row>
    <row r="8" spans="1:38" x14ac:dyDescent="0.2">
      <c r="A8">
        <v>44</v>
      </c>
      <c r="B8">
        <v>742</v>
      </c>
      <c r="C8">
        <v>250</v>
      </c>
      <c r="D8">
        <v>0.318396788651924</v>
      </c>
      <c r="E8">
        <v>17.6987972410849</v>
      </c>
      <c r="F8">
        <v>2.5679454404658899</v>
      </c>
      <c r="G8">
        <v>-285.70654339760193</v>
      </c>
      <c r="H8">
        <v>-248.18062459600336</v>
      </c>
      <c r="I8">
        <v>36.965885634239797</v>
      </c>
      <c r="J8">
        <v>21.7551865953827</v>
      </c>
      <c r="K8">
        <v>6.8922014316137101</v>
      </c>
      <c r="L8">
        <v>3.2286855046858643E-5</v>
      </c>
      <c r="M8">
        <v>1.8232975197962285E-6</v>
      </c>
      <c r="N8" s="1">
        <v>-4.1114412762784301E-7</v>
      </c>
      <c r="O8" s="1">
        <v>6.0211422799953005E-11</v>
      </c>
      <c r="P8" s="1">
        <v>1.3375233200563501E-9</v>
      </c>
      <c r="Q8">
        <v>65.732787100494505</v>
      </c>
      <c r="S8">
        <v>20.943348998314001</v>
      </c>
      <c r="AA8">
        <v>1.9406301212149399</v>
      </c>
      <c r="AB8">
        <v>9.0526266791171004</v>
      </c>
      <c r="AC8">
        <v>2.3306071008593698</v>
      </c>
      <c r="AJ8">
        <v>0.77649046082835405</v>
      </c>
      <c r="AK8">
        <v>9.1984588993518093E-2</v>
      </c>
      <c r="AL8">
        <v>0.13152495017812699</v>
      </c>
    </row>
    <row r="9" spans="1:38" x14ac:dyDescent="0.2">
      <c r="A9">
        <v>45</v>
      </c>
      <c r="B9">
        <v>740</v>
      </c>
      <c r="C9">
        <v>250</v>
      </c>
      <c r="D9">
        <v>0.31691309282929903</v>
      </c>
      <c r="E9">
        <v>20.4953817636667</v>
      </c>
      <c r="F9">
        <v>2.5680276517284302</v>
      </c>
      <c r="G9">
        <v>-330.77611713870004</v>
      </c>
      <c r="H9">
        <v>-287.45503261509276</v>
      </c>
      <c r="I9">
        <v>42.758806221790699</v>
      </c>
      <c r="J9">
        <v>25.224900734272801</v>
      </c>
      <c r="K9">
        <v>7.9809817273081602</v>
      </c>
      <c r="L9">
        <v>3.2431953242801583E-5</v>
      </c>
      <c r="M9">
        <v>1.8243455916370445E-6</v>
      </c>
      <c r="N9" s="1">
        <v>-5.0851907989470105E-7</v>
      </c>
      <c r="O9" s="1">
        <v>6.9473207151269197E-11</v>
      </c>
      <c r="P9" s="1">
        <v>1.6411322033454699E-9</v>
      </c>
      <c r="Q9">
        <v>65.752711089870303</v>
      </c>
      <c r="S9">
        <v>20.9327549286667</v>
      </c>
      <c r="AA9">
        <v>1.9272409147388301</v>
      </c>
      <c r="AB9">
        <v>9.0692524902559999</v>
      </c>
      <c r="AC9">
        <v>2.3180405764680798</v>
      </c>
      <c r="AJ9">
        <v>0.777852551859608</v>
      </c>
      <c r="AK9">
        <v>9.1342435089295695E-2</v>
      </c>
      <c r="AL9">
        <v>0.13080501305109499</v>
      </c>
    </row>
    <row r="10" spans="1:38" x14ac:dyDescent="0.2">
      <c r="A10">
        <v>54</v>
      </c>
      <c r="B10">
        <v>748</v>
      </c>
      <c r="C10">
        <v>225</v>
      </c>
      <c r="D10">
        <v>0.34974342652891699</v>
      </c>
      <c r="E10">
        <v>8.6304349652596102</v>
      </c>
      <c r="F10">
        <v>2.52451972426049</v>
      </c>
      <c r="G10">
        <v>-136.53158772062676</v>
      </c>
      <c r="H10">
        <v>-118.31282783963729</v>
      </c>
      <c r="I10">
        <v>17.841413975409498</v>
      </c>
      <c r="J10">
        <v>10.307859570063499</v>
      </c>
      <c r="K10">
        <v>3.4186442998727902</v>
      </c>
      <c r="L10">
        <v>2.9043306572806027E-5</v>
      </c>
      <c r="M10">
        <v>1.8018608979965597E-6</v>
      </c>
      <c r="N10" s="1">
        <v>-8.1415550279136295E-8</v>
      </c>
      <c r="O10" s="1">
        <v>3.2359299027369197E-11</v>
      </c>
      <c r="P10" s="1">
        <v>3.0494324145399098E-10</v>
      </c>
      <c r="Q10">
        <v>66.174687612503305</v>
      </c>
      <c r="S10">
        <v>19.056072393344699</v>
      </c>
      <c r="AA10">
        <v>0.28049615463824601</v>
      </c>
      <c r="AB10">
        <v>5.0896372937459899</v>
      </c>
      <c r="AC10">
        <v>9.3991065457676193</v>
      </c>
      <c r="AJ10">
        <v>0.44534357690097598</v>
      </c>
      <c r="AK10">
        <v>1.3562697052158E-2</v>
      </c>
      <c r="AL10">
        <v>0.54109372604686501</v>
      </c>
    </row>
    <row r="11" spans="1:38" x14ac:dyDescent="0.2">
      <c r="A11">
        <v>55</v>
      </c>
      <c r="B11">
        <v>746</v>
      </c>
      <c r="C11">
        <v>225</v>
      </c>
      <c r="D11">
        <v>0.34832998086640898</v>
      </c>
      <c r="E11">
        <v>34.097529728231599</v>
      </c>
      <c r="F11">
        <v>2.5244627814512599</v>
      </c>
      <c r="G11">
        <v>-539.13211178785798</v>
      </c>
      <c r="H11">
        <v>-467.39684241982184</v>
      </c>
      <c r="I11">
        <v>70.3873515851799</v>
      </c>
      <c r="J11">
        <v>40.728154323647701</v>
      </c>
      <c r="K11">
        <v>13.506845883713</v>
      </c>
      <c r="L11">
        <v>2.9048200364014829E-5</v>
      </c>
      <c r="M11">
        <v>1.8015549864425347E-6</v>
      </c>
      <c r="N11" s="1">
        <v>-3.4010717153880099E-7</v>
      </c>
      <c r="O11" s="1">
        <v>1.2775369170617199E-10</v>
      </c>
      <c r="P11" s="1">
        <v>1.25735794234752E-9</v>
      </c>
      <c r="Q11">
        <v>66.160973121728702</v>
      </c>
      <c r="S11">
        <v>19.045683448732301</v>
      </c>
      <c r="AA11">
        <v>0.27512525789186898</v>
      </c>
      <c r="AB11">
        <v>5.0318393174399203</v>
      </c>
      <c r="AC11">
        <v>9.4863788542071301</v>
      </c>
      <c r="AJ11">
        <v>0.44041523715974301</v>
      </c>
      <c r="AK11">
        <v>1.33068979000791E-2</v>
      </c>
      <c r="AL11">
        <v>0.54627786494017705</v>
      </c>
    </row>
    <row r="12" spans="1:38" x14ac:dyDescent="0.2">
      <c r="A12">
        <v>56</v>
      </c>
      <c r="B12">
        <v>744</v>
      </c>
      <c r="C12">
        <v>225</v>
      </c>
      <c r="D12">
        <v>0.34691097674876298</v>
      </c>
      <c r="E12">
        <v>38.108474689692798</v>
      </c>
      <c r="F12">
        <v>2.5244575683848498</v>
      </c>
      <c r="G12">
        <v>-602.30158567394847</v>
      </c>
      <c r="H12">
        <v>-522.39013937968048</v>
      </c>
      <c r="I12">
        <v>78.564072451720904</v>
      </c>
      <c r="J12">
        <v>45.531846675118402</v>
      </c>
      <c r="K12">
        <v>15.0957081501174</v>
      </c>
      <c r="L12">
        <v>2.9077172048548754E-5</v>
      </c>
      <c r="M12">
        <v>1.8015786083886813E-6</v>
      </c>
      <c r="N12" s="1">
        <v>-4.0454134784920798E-7</v>
      </c>
      <c r="O12" s="1">
        <v>1.4262463182803399E-10</v>
      </c>
      <c r="P12" s="1">
        <v>1.4749675434549001E-9</v>
      </c>
      <c r="Q12">
        <v>66.156410112916802</v>
      </c>
      <c r="S12">
        <v>19.0374533149173</v>
      </c>
      <c r="AA12">
        <v>0.26940002895057003</v>
      </c>
      <c r="AB12">
        <v>5.0000945311749501</v>
      </c>
      <c r="AC12">
        <v>9.5366420120402804</v>
      </c>
      <c r="AJ12">
        <v>0.43770720855659401</v>
      </c>
      <c r="AK12">
        <v>1.3032085250345901E-2</v>
      </c>
      <c r="AL12">
        <v>0.549260706193059</v>
      </c>
    </row>
    <row r="13" spans="1:38" x14ac:dyDescent="0.2">
      <c r="A13">
        <v>63</v>
      </c>
      <c r="B13">
        <v>752</v>
      </c>
      <c r="C13">
        <v>200</v>
      </c>
      <c r="D13">
        <v>0.37937911525142798</v>
      </c>
      <c r="E13">
        <v>12.1681051476814</v>
      </c>
      <c r="F13">
        <v>2.56290958060637</v>
      </c>
      <c r="G13">
        <v>-196.79296124684419</v>
      </c>
      <c r="H13">
        <v>-170.58242416373673</v>
      </c>
      <c r="I13">
        <v>25.567514103406701</v>
      </c>
      <c r="J13">
        <v>14.868363454789</v>
      </c>
      <c r="K13">
        <v>4.7477699719716702</v>
      </c>
      <c r="L13">
        <v>3.1625800437545851E-5</v>
      </c>
      <c r="M13">
        <v>1.8247015564903012E-6</v>
      </c>
      <c r="N13" s="1">
        <v>-1.9506948809757201E-7</v>
      </c>
      <c r="O13" s="1">
        <v>4.2259216522645402E-11</v>
      </c>
      <c r="P13" s="1">
        <v>6.68238902032925E-10</v>
      </c>
      <c r="Q13">
        <v>65.8139232634108</v>
      </c>
      <c r="S13">
        <v>20.842666123547701</v>
      </c>
      <c r="AA13">
        <v>1.8386337042084</v>
      </c>
      <c r="AB13">
        <v>8.9694810219623893</v>
      </c>
      <c r="AC13">
        <v>2.53529588687055</v>
      </c>
      <c r="AJ13">
        <v>0.76967807196509697</v>
      </c>
      <c r="AK13">
        <v>8.7186211305449193E-2</v>
      </c>
      <c r="AL13">
        <v>0.14313571672945299</v>
      </c>
    </row>
    <row r="14" spans="1:38" x14ac:dyDescent="0.2">
      <c r="A14">
        <v>64</v>
      </c>
      <c r="B14">
        <v>750</v>
      </c>
      <c r="C14">
        <v>200</v>
      </c>
      <c r="D14">
        <v>0.37802912573913899</v>
      </c>
      <c r="E14">
        <v>18.609445361959501</v>
      </c>
      <c r="F14">
        <v>2.5643897718665301</v>
      </c>
      <c r="G14">
        <v>-300.98223945214636</v>
      </c>
      <c r="H14">
        <v>-261.02335163166254</v>
      </c>
      <c r="I14">
        <v>39.054769897359897</v>
      </c>
      <c r="J14">
        <v>22.758474038234699</v>
      </c>
      <c r="K14">
        <v>7.2568708416015699</v>
      </c>
      <c r="L14">
        <v>3.1694347419088464E-5</v>
      </c>
      <c r="M14">
        <v>1.8233817701736328E-6</v>
      </c>
      <c r="N14" s="1">
        <v>-3.1806213041729901E-7</v>
      </c>
      <c r="O14" s="1">
        <v>6.4315687223983503E-11</v>
      </c>
      <c r="P14" s="1">
        <v>1.07873900752125E-9</v>
      </c>
      <c r="Q14">
        <v>65.720508857694995</v>
      </c>
      <c r="S14">
        <v>20.926751943040799</v>
      </c>
      <c r="AA14">
        <v>1.92980234077722</v>
      </c>
      <c r="AB14">
        <v>8.9817539352085998</v>
      </c>
      <c r="AC14">
        <v>2.4411829232782098</v>
      </c>
      <c r="AJ14">
        <v>0.77068272804223303</v>
      </c>
      <c r="AK14">
        <v>9.1503581362264302E-2</v>
      </c>
      <c r="AL14">
        <v>0.137813690595501</v>
      </c>
    </row>
    <row r="15" spans="1:38" x14ac:dyDescent="0.2">
      <c r="A15">
        <v>65</v>
      </c>
      <c r="B15">
        <v>748</v>
      </c>
      <c r="C15">
        <v>200</v>
      </c>
      <c r="D15">
        <v>0.37667384811242399</v>
      </c>
      <c r="E15">
        <v>19.7238579374343</v>
      </c>
      <c r="F15">
        <v>2.56483294865262</v>
      </c>
      <c r="G15">
        <v>-318.95612394637777</v>
      </c>
      <c r="H15">
        <v>-276.73499393702781</v>
      </c>
      <c r="I15">
        <v>41.346648395779198</v>
      </c>
      <c r="J15">
        <v>24.1434732733833</v>
      </c>
      <c r="K15">
        <v>7.6901140668033596</v>
      </c>
      <c r="L15">
        <v>3.1795031459112059E-5</v>
      </c>
      <c r="M15">
        <v>1.8237183651708811E-6</v>
      </c>
      <c r="N15" s="1">
        <v>-3.5962686142795598E-7</v>
      </c>
      <c r="O15" s="1">
        <v>6.7947906366201195E-11</v>
      </c>
      <c r="P15" s="1">
        <v>1.2079231673045701E-9</v>
      </c>
      <c r="Q15">
        <v>65.710073216176795</v>
      </c>
      <c r="S15">
        <v>20.941211444440601</v>
      </c>
      <c r="AA15">
        <v>1.9441665917694</v>
      </c>
      <c r="AB15">
        <v>8.9964061304049707</v>
      </c>
      <c r="AC15">
        <v>2.40814261720808</v>
      </c>
      <c r="AJ15">
        <v>0.771883550445294</v>
      </c>
      <c r="AK15">
        <v>9.2177940227285093E-2</v>
      </c>
      <c r="AL15">
        <v>0.13593850932741999</v>
      </c>
    </row>
    <row r="16" spans="1:38" x14ac:dyDescent="0.2">
      <c r="A16">
        <v>70</v>
      </c>
      <c r="B16">
        <v>758</v>
      </c>
      <c r="C16">
        <v>175</v>
      </c>
      <c r="D16">
        <v>0.41006691557969399</v>
      </c>
      <c r="E16">
        <v>10.086586350515599</v>
      </c>
      <c r="F16">
        <v>2.5231328526336299</v>
      </c>
      <c r="G16">
        <v>-160.27720809882143</v>
      </c>
      <c r="H16">
        <v>-138.60368765672129</v>
      </c>
      <c r="I16">
        <v>21.018785280609102</v>
      </c>
      <c r="J16">
        <v>12.0506999324263</v>
      </c>
      <c r="K16">
        <v>3.9976437784428702</v>
      </c>
      <c r="L16">
        <v>2.9072620190383768E-5</v>
      </c>
      <c r="M16">
        <v>1.8078190310041017E-6</v>
      </c>
      <c r="N16" s="1">
        <v>-7.0514519218924396E-8</v>
      </c>
      <c r="O16" s="1">
        <v>3.7898535106730197E-11</v>
      </c>
      <c r="P16" s="1">
        <v>2.85733674948645E-10</v>
      </c>
      <c r="Q16">
        <v>66.268105778866101</v>
      </c>
      <c r="S16">
        <v>19.132979827779799</v>
      </c>
      <c r="AA16">
        <v>0.32214772350374299</v>
      </c>
      <c r="AB16">
        <v>5.4994375066236696</v>
      </c>
      <c r="AC16">
        <v>8.7773291632265398</v>
      </c>
      <c r="AJ16">
        <v>0.48020391602641199</v>
      </c>
      <c r="AK16">
        <v>1.55443756545808E-2</v>
      </c>
      <c r="AL16">
        <v>0.50425170831900601</v>
      </c>
    </row>
    <row r="17" spans="1:38" x14ac:dyDescent="0.2">
      <c r="A17">
        <v>71</v>
      </c>
      <c r="B17">
        <v>756</v>
      </c>
      <c r="C17">
        <v>175</v>
      </c>
      <c r="D17">
        <v>0.40878443375601398</v>
      </c>
      <c r="E17">
        <v>34.741962897646097</v>
      </c>
      <c r="F17">
        <v>2.5226157850681599</v>
      </c>
      <c r="G17">
        <v>-551.37156012550122</v>
      </c>
      <c r="H17">
        <v>-477.02965064212958</v>
      </c>
      <c r="I17">
        <v>72.2362235664107</v>
      </c>
      <c r="J17">
        <v>41.4654753069645</v>
      </c>
      <c r="K17">
        <v>13.7721975353085</v>
      </c>
      <c r="L17">
        <v>2.8941285342444751E-5</v>
      </c>
      <c r="M17">
        <v>1.8054836579501711E-6</v>
      </c>
      <c r="N17" s="1">
        <v>-2.4629394429792402E-7</v>
      </c>
      <c r="O17" s="1">
        <v>1.30704670100245E-10</v>
      </c>
      <c r="P17" s="1">
        <v>9.9320222008337009E-10</v>
      </c>
      <c r="Q17">
        <v>66.199911235749596</v>
      </c>
      <c r="S17">
        <v>19.1058021554073</v>
      </c>
      <c r="AA17">
        <v>0.31563812987640599</v>
      </c>
      <c r="AB17">
        <v>5.2762198222708596</v>
      </c>
      <c r="AC17">
        <v>9.1024286566957002</v>
      </c>
      <c r="AJ17">
        <v>0.46123330438975302</v>
      </c>
      <c r="AK17">
        <v>1.52474785009559E-2</v>
      </c>
      <c r="AL17">
        <v>0.52351921710928995</v>
      </c>
    </row>
    <row r="18" spans="1:38" x14ac:dyDescent="0.2">
      <c r="A18">
        <v>72</v>
      </c>
      <c r="B18">
        <v>754</v>
      </c>
      <c r="C18">
        <v>175</v>
      </c>
      <c r="D18">
        <v>0.40749695760112897</v>
      </c>
      <c r="E18">
        <v>39.164895256637301</v>
      </c>
      <c r="F18">
        <v>2.5225161137186101</v>
      </c>
      <c r="G18">
        <v>-621.22299865486264</v>
      </c>
      <c r="H18">
        <v>-537.70022772827235</v>
      </c>
      <c r="I18">
        <v>81.315066861305894</v>
      </c>
      <c r="J18">
        <v>46.741838824323501</v>
      </c>
      <c r="K18">
        <v>15.526122922918301</v>
      </c>
      <c r="L18">
        <v>2.8932978864025186E-5</v>
      </c>
      <c r="M18">
        <v>1.8050996443125516E-6</v>
      </c>
      <c r="N18" s="1">
        <v>-2.93241669762748E-7</v>
      </c>
      <c r="O18" s="1">
        <v>1.47290040526932E-10</v>
      </c>
      <c r="P18" s="1">
        <v>1.16436297663221E-9</v>
      </c>
      <c r="Q18">
        <v>66.185525456927607</v>
      </c>
      <c r="S18">
        <v>19.093937855236</v>
      </c>
      <c r="AA18">
        <v>0.30920668557630998</v>
      </c>
      <c r="AB18">
        <v>5.2130580801373796</v>
      </c>
      <c r="AC18">
        <v>9.1982719221225793</v>
      </c>
      <c r="AJ18">
        <v>0.45585763760000197</v>
      </c>
      <c r="AK18">
        <v>1.4941573579484099E-2</v>
      </c>
      <c r="AL18">
        <v>0.52920078882051302</v>
      </c>
    </row>
    <row r="19" spans="1:38" x14ac:dyDescent="0.2">
      <c r="A19">
        <v>79</v>
      </c>
      <c r="B19">
        <v>764</v>
      </c>
      <c r="C19">
        <v>150</v>
      </c>
      <c r="D19">
        <v>0.44039965289495597</v>
      </c>
      <c r="E19">
        <v>22.9532352262306</v>
      </c>
      <c r="F19">
        <v>2.52222852033624</v>
      </c>
      <c r="G19">
        <v>-365.41273772008395</v>
      </c>
      <c r="H19">
        <v>-315.61029912488607</v>
      </c>
      <c r="I19">
        <v>48.018549481943602</v>
      </c>
      <c r="J19">
        <v>27.4110705504987</v>
      </c>
      <c r="K19">
        <v>9.1003789074475598</v>
      </c>
      <c r="L19">
        <v>2.9000182727577447E-5</v>
      </c>
      <c r="M19">
        <v>1.8091920860061362E-6</v>
      </c>
      <c r="N19" s="1">
        <v>-1.2923771247348001E-7</v>
      </c>
      <c r="O19" s="1">
        <v>8.6411514841748501E-11</v>
      </c>
      <c r="P19" s="1">
        <v>5.5968381656647299E-10</v>
      </c>
      <c r="Q19">
        <v>66.267417446091699</v>
      </c>
      <c r="S19">
        <v>19.167269266670299</v>
      </c>
      <c r="AA19">
        <v>0.35059747472696301</v>
      </c>
      <c r="AB19">
        <v>5.5877978159253097</v>
      </c>
      <c r="AC19">
        <v>8.6269179965856306</v>
      </c>
      <c r="AJ19">
        <v>0.487701299165682</v>
      </c>
      <c r="AK19">
        <v>1.69095793049144E-2</v>
      </c>
      <c r="AL19">
        <v>0.49538912152940201</v>
      </c>
    </row>
    <row r="20" spans="1:38" x14ac:dyDescent="0.2">
      <c r="A20">
        <v>80</v>
      </c>
      <c r="B20">
        <v>762</v>
      </c>
      <c r="C20">
        <v>150</v>
      </c>
      <c r="D20">
        <v>0.439183210162781</v>
      </c>
      <c r="E20">
        <v>37.137396390123797</v>
      </c>
      <c r="F20">
        <v>2.5217219040359402</v>
      </c>
      <c r="G20">
        <v>-590.55729457661118</v>
      </c>
      <c r="H20">
        <v>-510.2998482748784</v>
      </c>
      <c r="I20">
        <v>77.532189829234994</v>
      </c>
      <c r="J20">
        <v>44.3116700469267</v>
      </c>
      <c r="K20">
        <v>14.7269991709579</v>
      </c>
      <c r="L20">
        <v>2.8888824441314448E-5</v>
      </c>
      <c r="M20">
        <v>1.8072145886082993E-6</v>
      </c>
      <c r="N20" s="1">
        <v>-2.13349832852432E-7</v>
      </c>
      <c r="O20" s="1">
        <v>1.3996698428439801E-10</v>
      </c>
      <c r="P20" s="1">
        <v>9.1722907400547895E-10</v>
      </c>
      <c r="Q20">
        <v>66.210846363341304</v>
      </c>
      <c r="S20">
        <v>19.140635147037599</v>
      </c>
      <c r="AA20">
        <v>0.34182414210196899</v>
      </c>
      <c r="AB20">
        <v>5.3919073839474496</v>
      </c>
      <c r="AC20">
        <v>8.91478696357159</v>
      </c>
      <c r="AJ20">
        <v>0.47107036129919799</v>
      </c>
      <c r="AK20">
        <v>1.65027712303428E-2</v>
      </c>
      <c r="AL20">
        <v>0.51242686747045896</v>
      </c>
    </row>
    <row r="21" spans="1:38" x14ac:dyDescent="0.2">
      <c r="A21">
        <v>81</v>
      </c>
      <c r="B21">
        <v>760</v>
      </c>
      <c r="C21">
        <v>150</v>
      </c>
      <c r="D21">
        <v>0.43796205778444602</v>
      </c>
      <c r="E21">
        <v>40.227474318442198</v>
      </c>
      <c r="F21">
        <v>2.5215957660253099</v>
      </c>
      <c r="G21">
        <v>-639.33680706447649</v>
      </c>
      <c r="H21">
        <v>-552.69380470962506</v>
      </c>
      <c r="I21">
        <v>83.862945704739303</v>
      </c>
      <c r="J21">
        <v>47.992844045545297</v>
      </c>
      <c r="K21">
        <v>15.9531812594415</v>
      </c>
      <c r="L21">
        <v>2.8874329233691279E-5</v>
      </c>
      <c r="M21">
        <v>1.8068070452930106E-6</v>
      </c>
      <c r="N21" s="1">
        <v>-2.4411020655125999E-7</v>
      </c>
      <c r="O21" s="1">
        <v>1.51585614977502E-10</v>
      </c>
      <c r="P21" s="1">
        <v>1.0310229795419201E-9</v>
      </c>
      <c r="Q21">
        <v>66.196816311152105</v>
      </c>
      <c r="S21">
        <v>19.1278348095227</v>
      </c>
      <c r="AA21">
        <v>0.334537453462461</v>
      </c>
      <c r="AB21">
        <v>5.3270844159524202</v>
      </c>
      <c r="AC21">
        <v>9.0137270099102391</v>
      </c>
      <c r="AJ21">
        <v>0.46555972852675198</v>
      </c>
      <c r="AK21">
        <v>1.6156279746037599E-2</v>
      </c>
      <c r="AL21">
        <v>0.51828399172720996</v>
      </c>
    </row>
    <row r="22" spans="1:38" x14ac:dyDescent="0.2">
      <c r="A22">
        <v>89</v>
      </c>
      <c r="B22">
        <v>774</v>
      </c>
      <c r="C22">
        <v>125</v>
      </c>
      <c r="D22">
        <v>0.47267392446163797</v>
      </c>
      <c r="E22">
        <v>5.2700910846511198</v>
      </c>
      <c r="F22">
        <v>2.5231165021427602</v>
      </c>
      <c r="G22">
        <v>-84.283682170670261</v>
      </c>
      <c r="H22">
        <v>-72.642638967820631</v>
      </c>
      <c r="I22">
        <v>11.116882206799</v>
      </c>
      <c r="J22">
        <v>6.30640778835527</v>
      </c>
      <c r="K22">
        <v>2.0887228473895201</v>
      </c>
      <c r="L22">
        <v>2.9233525413225429E-5</v>
      </c>
      <c r="M22">
        <v>1.8155645809704201E-6</v>
      </c>
      <c r="N22" s="1">
        <v>-2.3364025219115302E-8</v>
      </c>
      <c r="O22" s="1">
        <v>1.97988507818109E-11</v>
      </c>
      <c r="P22" s="1">
        <v>1.10302686607437E-10</v>
      </c>
      <c r="Q22">
        <v>66.393604331627401</v>
      </c>
      <c r="S22">
        <v>19.279391021347301</v>
      </c>
      <c r="AA22">
        <v>0.41365508571593901</v>
      </c>
      <c r="AB22">
        <v>6.1629402811793303</v>
      </c>
      <c r="AC22">
        <v>7.75040928012994</v>
      </c>
      <c r="AJ22">
        <v>0.53634028603555395</v>
      </c>
      <c r="AK22">
        <v>1.9893061182004401E-2</v>
      </c>
      <c r="AL22">
        <v>0.44376665278243999</v>
      </c>
    </row>
    <row r="23" spans="1:38" x14ac:dyDescent="0.2">
      <c r="A23">
        <v>90</v>
      </c>
      <c r="B23">
        <v>772</v>
      </c>
      <c r="C23">
        <v>125</v>
      </c>
      <c r="D23">
        <v>0.47153088073482102</v>
      </c>
      <c r="E23">
        <v>28.634586331624799</v>
      </c>
      <c r="F23">
        <v>2.52152381460178</v>
      </c>
      <c r="G23">
        <v>-456.96099470331876</v>
      </c>
      <c r="H23">
        <v>-394.02266243419507</v>
      </c>
      <c r="I23">
        <v>60.219425220421698</v>
      </c>
      <c r="J23">
        <v>34.1935039034773</v>
      </c>
      <c r="K23">
        <v>11.356064204433</v>
      </c>
      <c r="L23">
        <v>2.8961148397994359E-5</v>
      </c>
      <c r="M23">
        <v>1.8109157280121464E-6</v>
      </c>
      <c r="N23" s="1">
        <v>-1.2185945411366101E-7</v>
      </c>
      <c r="O23" s="1">
        <v>1.0795456601346901E-10</v>
      </c>
      <c r="P23" s="1">
        <v>5.83595303320706E-10</v>
      </c>
      <c r="Q23">
        <v>66.2748462615682</v>
      </c>
      <c r="S23">
        <v>19.216971456082899</v>
      </c>
      <c r="AA23">
        <v>0.38986887736900999</v>
      </c>
      <c r="AB23">
        <v>5.7346532841680702</v>
      </c>
      <c r="AC23">
        <v>8.3836601208117205</v>
      </c>
      <c r="AJ23">
        <v>0.50014727311323104</v>
      </c>
      <c r="AK23">
        <v>1.87897108738511E-2</v>
      </c>
      <c r="AL23">
        <v>0.48106301601291701</v>
      </c>
    </row>
    <row r="24" spans="1:38" x14ac:dyDescent="0.2">
      <c r="A24">
        <v>91</v>
      </c>
      <c r="B24">
        <v>770</v>
      </c>
      <c r="C24">
        <v>125</v>
      </c>
      <c r="D24">
        <v>0.47038345396155901</v>
      </c>
      <c r="E24">
        <v>38.762482507351201</v>
      </c>
      <c r="F24">
        <v>2.52093136880602</v>
      </c>
      <c r="G24">
        <v>-617.88138604595963</v>
      </c>
      <c r="H24">
        <v>-533.01779572516455</v>
      </c>
      <c r="I24">
        <v>81.353199751516996</v>
      </c>
      <c r="J24">
        <v>46.246310429622497</v>
      </c>
      <c r="K24">
        <v>15.376254580746499</v>
      </c>
      <c r="L24">
        <v>2.8848519731284603E-5</v>
      </c>
      <c r="M24">
        <v>1.8089629473512291E-6</v>
      </c>
      <c r="N24" s="1">
        <v>-1.68150952188042E-7</v>
      </c>
      <c r="O24" s="1">
        <v>1.4632135531181701E-10</v>
      </c>
      <c r="P24" s="1">
        <v>7.9878776049661602E-10</v>
      </c>
      <c r="Q24">
        <v>66.221336688666099</v>
      </c>
      <c r="S24">
        <v>19.187347493290499</v>
      </c>
      <c r="AA24">
        <v>0.37791453205415898</v>
      </c>
      <c r="AB24">
        <v>5.5377470001862301</v>
      </c>
      <c r="AC24">
        <v>8.6756542858029295</v>
      </c>
      <c r="AJ24">
        <v>0.48345484620652301</v>
      </c>
      <c r="AK24">
        <v>1.8231701013399999E-2</v>
      </c>
      <c r="AL24">
        <v>0.49831345278007499</v>
      </c>
    </row>
    <row r="25" spans="1:38" x14ac:dyDescent="0.2">
      <c r="A25">
        <v>92</v>
      </c>
      <c r="B25">
        <v>768</v>
      </c>
      <c r="C25">
        <v>125</v>
      </c>
      <c r="D25">
        <v>0.46923161888296799</v>
      </c>
      <c r="E25">
        <v>41.334476689493997</v>
      </c>
      <c r="F25">
        <v>2.52075644099122</v>
      </c>
      <c r="G25">
        <v>-658.48891668620752</v>
      </c>
      <c r="H25">
        <v>-568.29844213825902</v>
      </c>
      <c r="I25">
        <v>86.625821973729401</v>
      </c>
      <c r="J25">
        <v>49.304144356878098</v>
      </c>
      <c r="K25">
        <v>16.397647950962</v>
      </c>
      <c r="L25">
        <v>2.8824368576913304E-5</v>
      </c>
      <c r="M25">
        <v>1.8084796677219501E-6</v>
      </c>
      <c r="N25" s="1">
        <v>-1.89355661312825E-7</v>
      </c>
      <c r="O25" s="1">
        <v>1.5603929946932E-10</v>
      </c>
      <c r="P25" s="1">
        <v>8.8088051682090596E-10</v>
      </c>
      <c r="Q25">
        <v>66.206497854760499</v>
      </c>
      <c r="S25">
        <v>19.1727395554888</v>
      </c>
      <c r="AA25">
        <v>0.36932527282646999</v>
      </c>
      <c r="AB25">
        <v>5.4663828463454802</v>
      </c>
      <c r="AC25">
        <v>8.7850544705786699</v>
      </c>
      <c r="AJ25">
        <v>0.47739689720203099</v>
      </c>
      <c r="AK25">
        <v>1.7823761604614401E-2</v>
      </c>
      <c r="AL25">
        <v>0.50477934119335299</v>
      </c>
    </row>
    <row r="26" spans="1:38" x14ac:dyDescent="0.2">
      <c r="A26">
        <v>102</v>
      </c>
      <c r="B26">
        <v>786</v>
      </c>
      <c r="C26">
        <v>100</v>
      </c>
      <c r="D26">
        <v>0.50540574989378495</v>
      </c>
      <c r="E26">
        <v>2.22911604709061</v>
      </c>
      <c r="F26">
        <v>2.5248064310902598</v>
      </c>
      <c r="G26">
        <v>-35.821908331842543</v>
      </c>
      <c r="H26">
        <v>-30.796983469051785</v>
      </c>
      <c r="I26">
        <v>4.7442995447205298</v>
      </c>
      <c r="J26">
        <v>2.6726766552769798</v>
      </c>
      <c r="K26">
        <v>0.88288591934868799</v>
      </c>
      <c r="L26">
        <v>2.9427404774238858E-5</v>
      </c>
      <c r="M26">
        <v>1.8206903482906389E-6</v>
      </c>
      <c r="N26" s="1">
        <v>-7.0658171131017102E-9</v>
      </c>
      <c r="O26" s="1">
        <v>8.3519249467650294E-12</v>
      </c>
      <c r="P26" s="1">
        <v>3.8442169081588601E-11</v>
      </c>
      <c r="Q26">
        <v>66.458706142624195</v>
      </c>
      <c r="S26">
        <v>19.4304669622407</v>
      </c>
      <c r="AA26">
        <v>0.52310366624952798</v>
      </c>
      <c r="AB26">
        <v>6.7040813966302402</v>
      </c>
      <c r="AC26">
        <v>6.8836418322552602</v>
      </c>
      <c r="AJ26">
        <v>0.58184641638050105</v>
      </c>
      <c r="AK26">
        <v>2.50880923368428E-2</v>
      </c>
      <c r="AL26">
        <v>0.393065491282655</v>
      </c>
    </row>
    <row r="27" spans="1:38" x14ac:dyDescent="0.2">
      <c r="A27">
        <v>103</v>
      </c>
      <c r="B27">
        <v>784</v>
      </c>
      <c r="C27">
        <v>100</v>
      </c>
      <c r="D27">
        <v>0.50433760582698905</v>
      </c>
      <c r="E27">
        <v>25.45190781794</v>
      </c>
      <c r="F27">
        <v>2.5218677986715798</v>
      </c>
      <c r="G27">
        <v>-407.82900351427446</v>
      </c>
      <c r="H27">
        <v>-350.76472910011529</v>
      </c>
      <c r="I27">
        <v>53.979354315053797</v>
      </c>
      <c r="J27">
        <v>30.430888088786201</v>
      </c>
      <c r="K27">
        <v>10.092482972877001</v>
      </c>
      <c r="L27">
        <v>2.9066940241086462E-5</v>
      </c>
      <c r="M27">
        <v>1.8146747081355783E-6</v>
      </c>
      <c r="N27" s="1">
        <v>-7.3940878354246206E-8</v>
      </c>
      <c r="O27" s="1">
        <v>9.58810079399274E-11</v>
      </c>
      <c r="P27" s="1">
        <v>4.1828071125244098E-10</v>
      </c>
      <c r="Q27">
        <v>66.327411058798106</v>
      </c>
      <c r="S27">
        <v>19.3209232369082</v>
      </c>
      <c r="AA27">
        <v>0.46336488410418403</v>
      </c>
      <c r="AB27">
        <v>6.12431422446992</v>
      </c>
      <c r="AC27">
        <v>7.7639865957195502</v>
      </c>
      <c r="AJ27">
        <v>0.53308194386103702</v>
      </c>
      <c r="AK27">
        <v>2.2287964926918698E-2</v>
      </c>
      <c r="AL27">
        <v>0.444630091212044</v>
      </c>
    </row>
    <row r="28" spans="1:38" x14ac:dyDescent="0.2">
      <c r="A28">
        <v>104</v>
      </c>
      <c r="B28">
        <v>782</v>
      </c>
      <c r="C28">
        <v>100</v>
      </c>
      <c r="D28">
        <v>0.50326541250059598</v>
      </c>
      <c r="E28">
        <v>37.715505795686603</v>
      </c>
      <c r="F28">
        <v>2.5206118065369201</v>
      </c>
      <c r="G28">
        <v>-603.31465679880273</v>
      </c>
      <c r="H28">
        <v>-519.12708716888312</v>
      </c>
      <c r="I28">
        <v>79.787300033094596</v>
      </c>
      <c r="J28">
        <v>45.025092592519997</v>
      </c>
      <c r="K28">
        <v>14.962837870502501</v>
      </c>
      <c r="L28">
        <v>2.88746665400956E-5</v>
      </c>
      <c r="M28">
        <v>1.8114290563999549E-6</v>
      </c>
      <c r="N28" s="1">
        <v>-1.07570041356307E-7</v>
      </c>
      <c r="O28" s="1">
        <v>1.4244568241059101E-10</v>
      </c>
      <c r="P28" s="1">
        <v>6.1330965066564105E-10</v>
      </c>
      <c r="Q28">
        <v>66.247023581280999</v>
      </c>
      <c r="S28">
        <v>19.268014101588498</v>
      </c>
      <c r="AA28">
        <v>0.43847162463064498</v>
      </c>
      <c r="AB28">
        <v>5.8064668641301198</v>
      </c>
      <c r="AC28">
        <v>8.2400238283696403</v>
      </c>
      <c r="AJ28">
        <v>0.50622641192615503</v>
      </c>
      <c r="AK28">
        <v>2.1124436471032099E-2</v>
      </c>
      <c r="AL28">
        <v>0.47264915160281201</v>
      </c>
    </row>
    <row r="29" spans="1:38" x14ac:dyDescent="0.2">
      <c r="A29">
        <v>105</v>
      </c>
      <c r="B29">
        <v>780</v>
      </c>
      <c r="C29">
        <v>100</v>
      </c>
      <c r="D29">
        <v>0.50218914684517901</v>
      </c>
      <c r="E29">
        <v>41.963868475933303</v>
      </c>
      <c r="F29">
        <v>2.52018088413553</v>
      </c>
      <c r="G29">
        <v>-670.70387685356081</v>
      </c>
      <c r="H29">
        <v>-577.36780384926385</v>
      </c>
      <c r="I29">
        <v>88.625621235623498</v>
      </c>
      <c r="J29">
        <v>50.0683622987438</v>
      </c>
      <c r="K29">
        <v>16.651133551601198</v>
      </c>
      <c r="L29">
        <v>2.8807623575423916E-5</v>
      </c>
      <c r="M29">
        <v>1.8103129714177507E-6</v>
      </c>
      <c r="N29" s="1">
        <v>-1.24677126244905E-7</v>
      </c>
      <c r="O29" s="1">
        <v>1.58613629160656E-10</v>
      </c>
      <c r="P29" s="1">
        <v>6.9678802393279403E-10</v>
      </c>
      <c r="Q29">
        <v>66.217785282883995</v>
      </c>
      <c r="S29">
        <v>19.243937869492601</v>
      </c>
      <c r="AA29">
        <v>0.42543084384841501</v>
      </c>
      <c r="AB29">
        <v>5.6781919112843502</v>
      </c>
      <c r="AC29">
        <v>8.43465409249049</v>
      </c>
      <c r="AJ29">
        <v>0.49536382156081898</v>
      </c>
      <c r="AK29">
        <v>2.0509448480257E-2</v>
      </c>
      <c r="AL29">
        <v>0.48412672995892297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27E1E-5CBE-449C-89FB-AB5EABBDFFAE}">
  <sheetPr codeName="Sheet12"/>
  <dimension ref="A1:AL8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15</v>
      </c>
      <c r="B2">
        <v>736</v>
      </c>
      <c r="C2">
        <v>300</v>
      </c>
      <c r="D2">
        <v>0.25942674528068399</v>
      </c>
      <c r="E2">
        <v>7.7362560598138597</v>
      </c>
      <c r="F2">
        <v>2.5272442483712898</v>
      </c>
      <c r="G2">
        <v>-121.64904123327794</v>
      </c>
      <c r="H2">
        <v>-105.67695643402521</v>
      </c>
      <c r="I2">
        <v>15.8272653215604</v>
      </c>
      <c r="J2">
        <v>9.2400542269773407</v>
      </c>
      <c r="K2">
        <v>3.0611430077641102</v>
      </c>
      <c r="L2">
        <v>2.9027735881656577E-5</v>
      </c>
      <c r="M2">
        <v>1.7928572089933596E-6</v>
      </c>
      <c r="N2" s="1">
        <v>-1.0350367107265801E-7</v>
      </c>
      <c r="O2" s="1">
        <v>2.8880184647738501E-11</v>
      </c>
      <c r="P2" s="1">
        <v>3.5985843162079602E-10</v>
      </c>
      <c r="Q2">
        <v>66.019001989700001</v>
      </c>
      <c r="S2">
        <v>18.9685494836373</v>
      </c>
      <c r="AA2">
        <v>0.24461596968905699</v>
      </c>
      <c r="AB2">
        <v>4.5132475443059601</v>
      </c>
      <c r="AC2">
        <v>10.2545850126675</v>
      </c>
      <c r="AJ2">
        <v>0.396066073707668</v>
      </c>
      <c r="AK2">
        <v>1.18624415453428E-2</v>
      </c>
      <c r="AL2">
        <v>0.59207148474698801</v>
      </c>
    </row>
    <row r="3" spans="1:38" x14ac:dyDescent="0.2">
      <c r="A3">
        <v>15</v>
      </c>
      <c r="B3">
        <v>736</v>
      </c>
      <c r="C3">
        <v>300</v>
      </c>
      <c r="D3">
        <v>0.25942674528068399</v>
      </c>
      <c r="E3">
        <v>2.0598438498458198</v>
      </c>
      <c r="F3">
        <v>2.5754822465830198</v>
      </c>
      <c r="G3">
        <v>-33.217847096314877</v>
      </c>
      <c r="H3">
        <v>-28.89462393699565</v>
      </c>
      <c r="I3">
        <v>4.2840243366389696</v>
      </c>
      <c r="J3">
        <v>2.5443529123933</v>
      </c>
      <c r="K3">
        <v>0.79978957439084797</v>
      </c>
      <c r="L3">
        <v>3.2716438700803918E-5</v>
      </c>
      <c r="M3">
        <v>1.8147218177508104E-6</v>
      </c>
      <c r="N3" s="1">
        <v>-6.0607897798336195E-8</v>
      </c>
      <c r="O3" s="1">
        <v>6.8410747668807699E-12</v>
      </c>
      <c r="P3" s="1">
        <v>1.9204366724942501E-10</v>
      </c>
      <c r="Q3">
        <v>65.352229411510194</v>
      </c>
      <c r="S3">
        <v>21.264283643347799</v>
      </c>
      <c r="AA3">
        <v>2.29420242364335</v>
      </c>
      <c r="AB3">
        <v>9.0459461702102093</v>
      </c>
      <c r="AC3">
        <v>2.0433383512883299</v>
      </c>
      <c r="AJ3">
        <v>0.775937292817095</v>
      </c>
      <c r="AK3">
        <v>0.10874646561069</v>
      </c>
      <c r="AL3">
        <v>0.115316241572213</v>
      </c>
    </row>
    <row r="4" spans="1:38" x14ac:dyDescent="0.2">
      <c r="A4">
        <v>16</v>
      </c>
      <c r="B4">
        <v>734</v>
      </c>
      <c r="C4">
        <v>300</v>
      </c>
      <c r="D4">
        <v>0.25781710768008598</v>
      </c>
      <c r="E4">
        <v>33.031331575372299</v>
      </c>
      <c r="F4">
        <v>2.52724299375455</v>
      </c>
      <c r="G4">
        <v>-519.08257932429103</v>
      </c>
      <c r="H4">
        <v>-451.13157793852184</v>
      </c>
      <c r="I4">
        <v>67.468600889409899</v>
      </c>
      <c r="J4">
        <v>39.455035100345597</v>
      </c>
      <c r="K4">
        <v>13.070105113359</v>
      </c>
      <c r="L4">
        <v>2.9025802881631724E-5</v>
      </c>
      <c r="M4">
        <v>1.7923049234723339E-6</v>
      </c>
      <c r="N4" s="1">
        <v>-4.6402645656641698E-7</v>
      </c>
      <c r="O4" s="1">
        <v>1.23200543027183E-10</v>
      </c>
      <c r="P4" s="1">
        <v>1.5984128629661001E-9</v>
      </c>
      <c r="Q4">
        <v>65.9949872661944</v>
      </c>
      <c r="S4">
        <v>18.958349463001898</v>
      </c>
      <c r="AA4">
        <v>0.24180435565271699</v>
      </c>
      <c r="AB4">
        <v>4.4329913404028396</v>
      </c>
      <c r="AC4">
        <v>10.371867574748</v>
      </c>
      <c r="AJ4">
        <v>0.38918177804009402</v>
      </c>
      <c r="AK4">
        <v>1.17308781805398E-2</v>
      </c>
      <c r="AL4">
        <v>0.59908734377936501</v>
      </c>
    </row>
    <row r="5" spans="1:38" x14ac:dyDescent="0.2">
      <c r="A5">
        <v>16</v>
      </c>
      <c r="B5">
        <v>734</v>
      </c>
      <c r="C5">
        <v>300</v>
      </c>
      <c r="D5">
        <v>0.25781710768008598</v>
      </c>
      <c r="E5">
        <v>14.7849777403095</v>
      </c>
      <c r="F5">
        <v>2.5768191465897901</v>
      </c>
      <c r="G5">
        <v>-238.4208214901353</v>
      </c>
      <c r="H5">
        <v>-207.49201279721439</v>
      </c>
      <c r="I5">
        <v>30.709237643767999</v>
      </c>
      <c r="J5">
        <v>18.289100791458999</v>
      </c>
      <c r="K5">
        <v>5.7376854560694301</v>
      </c>
      <c r="L5">
        <v>3.2837877562512022E-5</v>
      </c>
      <c r="M5">
        <v>1.8132598113980577E-6</v>
      </c>
      <c r="N5" s="1">
        <v>-4.6340502774571002E-7</v>
      </c>
      <c r="O5" s="1">
        <v>4.87610080655325E-11</v>
      </c>
      <c r="P5" s="1">
        <v>1.4587019068079001E-9</v>
      </c>
      <c r="Q5">
        <v>65.2511981575513</v>
      </c>
      <c r="S5">
        <v>21.347191384025201</v>
      </c>
      <c r="AA5">
        <v>2.3861764205350902</v>
      </c>
      <c r="AB5">
        <v>9.0381568587695504</v>
      </c>
      <c r="AC5">
        <v>1.97727717911878</v>
      </c>
      <c r="AJ5">
        <v>0.77529760333458397</v>
      </c>
      <c r="AK5">
        <v>0.113110235676147</v>
      </c>
      <c r="AL5">
        <v>0.111592160989267</v>
      </c>
    </row>
    <row r="6" spans="1:38" x14ac:dyDescent="0.2">
      <c r="A6">
        <v>17</v>
      </c>
      <c r="B6">
        <v>732</v>
      </c>
      <c r="C6">
        <v>300</v>
      </c>
      <c r="D6">
        <v>0.256201064517732</v>
      </c>
      <c r="E6">
        <v>36.528319260990401</v>
      </c>
      <c r="F6">
        <v>2.5272552590380801</v>
      </c>
      <c r="G6">
        <v>-573.69014557467347</v>
      </c>
      <c r="H6">
        <v>-498.81478024558226</v>
      </c>
      <c r="I6">
        <v>74.4917329046323</v>
      </c>
      <c r="J6">
        <v>43.637209930210197</v>
      </c>
      <c r="K6">
        <v>14.453751408907401</v>
      </c>
      <c r="L6">
        <v>2.902821888523848E-5</v>
      </c>
      <c r="M6">
        <v>1.791791908096328E-6</v>
      </c>
      <c r="N6" s="1">
        <v>-5.3892497746022795E-7</v>
      </c>
      <c r="O6" s="1">
        <v>1.3611156017260499E-10</v>
      </c>
      <c r="P6" s="1">
        <v>1.8397137664656501E-9</v>
      </c>
      <c r="Q6">
        <v>65.971707372361394</v>
      </c>
      <c r="S6">
        <v>18.9484720283508</v>
      </c>
      <c r="AA6">
        <v>0.23908741589808599</v>
      </c>
      <c r="AB6">
        <v>4.3552183661221502</v>
      </c>
      <c r="AC6">
        <v>10.485514817267401</v>
      </c>
      <c r="AJ6">
        <v>0.382505130450424</v>
      </c>
      <c r="AK6">
        <v>1.1603655807311699E-2</v>
      </c>
      <c r="AL6">
        <v>0.60589121374226296</v>
      </c>
    </row>
    <row r="7" spans="1:38" x14ac:dyDescent="0.2">
      <c r="A7">
        <v>17</v>
      </c>
      <c r="B7">
        <v>732</v>
      </c>
      <c r="C7">
        <v>300</v>
      </c>
      <c r="D7">
        <v>0.256201064517732</v>
      </c>
      <c r="E7">
        <v>16.142495919301702</v>
      </c>
      <c r="F7">
        <v>2.5781365290367901</v>
      </c>
      <c r="G7">
        <v>-260.30128641840355</v>
      </c>
      <c r="H7">
        <v>-226.64430925125018</v>
      </c>
      <c r="I7">
        <v>33.484531828237898</v>
      </c>
      <c r="J7">
        <v>19.998967146413499</v>
      </c>
      <c r="K7">
        <v>6.2613037507880298</v>
      </c>
      <c r="L7">
        <v>3.296704287772423E-5</v>
      </c>
      <c r="M7">
        <v>1.8117847150014964E-6</v>
      </c>
      <c r="N7" s="1">
        <v>-5.3878885430692E-7</v>
      </c>
      <c r="O7" s="1">
        <v>5.2851504243584902E-11</v>
      </c>
      <c r="P7" s="1">
        <v>1.68529461376471E-9</v>
      </c>
      <c r="Q7">
        <v>65.149410024116307</v>
      </c>
      <c r="S7">
        <v>21.429862908747999</v>
      </c>
      <c r="AA7">
        <v>2.4781321443242699</v>
      </c>
      <c r="AB7">
        <v>9.0280616111637393</v>
      </c>
      <c r="AC7">
        <v>1.91453331164757</v>
      </c>
      <c r="AJ7">
        <v>0.77446892393636002</v>
      </c>
      <c r="AK7">
        <v>0.117474805124629</v>
      </c>
      <c r="AL7">
        <v>0.10805627093900901</v>
      </c>
    </row>
    <row r="8" spans="1:38" x14ac:dyDescent="0.2">
      <c r="A8">
        <v>30</v>
      </c>
      <c r="B8">
        <v>740</v>
      </c>
      <c r="C8">
        <v>275</v>
      </c>
      <c r="D8">
        <v>0.28977002418201098</v>
      </c>
      <c r="E8">
        <v>6.5544281053871796</v>
      </c>
      <c r="F8">
        <v>2.5262570318264101</v>
      </c>
      <c r="G8">
        <v>-103.27150369997368</v>
      </c>
      <c r="H8">
        <v>-89.638152122829581</v>
      </c>
      <c r="I8">
        <v>13.4563999182195</v>
      </c>
      <c r="J8">
        <v>7.8274482166568102</v>
      </c>
      <c r="K8">
        <v>2.5945214690401102</v>
      </c>
      <c r="L8">
        <v>2.9021359857561893E-5</v>
      </c>
      <c r="M8">
        <v>1.7958068865271012E-6</v>
      </c>
      <c r="N8" s="1">
        <v>-7.8075739985415496E-8</v>
      </c>
      <c r="O8" s="1">
        <v>2.4512712022428201E-11</v>
      </c>
      <c r="P8" s="1">
        <v>2.7774355051007302E-10</v>
      </c>
      <c r="Q8">
        <v>66.071758924910597</v>
      </c>
      <c r="S8">
        <v>18.995934580229601</v>
      </c>
      <c r="AA8">
        <v>0.25489884518079098</v>
      </c>
      <c r="AB8">
        <v>4.7026071367310598</v>
      </c>
      <c r="AC8">
        <v>9.9748005129478301</v>
      </c>
      <c r="AJ8">
        <v>0.41228688486739501</v>
      </c>
      <c r="AK8">
        <v>1.2349218630215601E-2</v>
      </c>
      <c r="AL8">
        <v>0.57536389650238895</v>
      </c>
    </row>
    <row r="9" spans="1:38" x14ac:dyDescent="0.2">
      <c r="A9">
        <v>30</v>
      </c>
      <c r="B9">
        <v>740</v>
      </c>
      <c r="C9">
        <v>275</v>
      </c>
      <c r="D9">
        <v>0.28977002418201098</v>
      </c>
      <c r="E9">
        <v>2.8858836354750301</v>
      </c>
      <c r="F9">
        <v>2.5720180367894501</v>
      </c>
      <c r="G9">
        <v>-46.57123564510421</v>
      </c>
      <c r="H9">
        <v>-40.474025977224485</v>
      </c>
      <c r="I9">
        <v>6.0180720208061196</v>
      </c>
      <c r="J9">
        <v>3.5530716549433801</v>
      </c>
      <c r="K9">
        <v>1.12203087000018</v>
      </c>
      <c r="L9">
        <v>3.2404280974918615E-5</v>
      </c>
      <c r="M9">
        <v>1.817972805171137E-6</v>
      </c>
      <c r="N9" s="1">
        <v>-7.3002162401945403E-8</v>
      </c>
      <c r="O9" s="1">
        <v>9.7183417495827106E-12</v>
      </c>
      <c r="P9" s="1">
        <v>2.3516581538707001E-10</v>
      </c>
      <c r="Q9">
        <v>65.507859025242496</v>
      </c>
      <c r="S9">
        <v>21.130969272411999</v>
      </c>
      <c r="AA9">
        <v>2.14790265981997</v>
      </c>
      <c r="AB9">
        <v>9.0432574644272492</v>
      </c>
      <c r="AC9">
        <v>2.1700115780981699</v>
      </c>
      <c r="AJ9">
        <v>0.775719453564923</v>
      </c>
      <c r="AK9">
        <v>0.101813454569625</v>
      </c>
      <c r="AL9">
        <v>0.122467091865451</v>
      </c>
    </row>
    <row r="10" spans="1:38" x14ac:dyDescent="0.2">
      <c r="A10">
        <v>31</v>
      </c>
      <c r="B10">
        <v>738</v>
      </c>
      <c r="C10">
        <v>275</v>
      </c>
      <c r="D10">
        <v>0.28822677149780002</v>
      </c>
      <c r="E10">
        <v>32.037277710066903</v>
      </c>
      <c r="F10">
        <v>2.5264443499520501</v>
      </c>
      <c r="G10">
        <v>-504.86411974144903</v>
      </c>
      <c r="H10">
        <v>-438.39744913195312</v>
      </c>
      <c r="I10">
        <v>65.733739415018405</v>
      </c>
      <c r="J10">
        <v>38.312300520675102</v>
      </c>
      <c r="K10">
        <v>12.6807771208872</v>
      </c>
      <c r="L10">
        <v>2.9182337278414879E-5</v>
      </c>
      <c r="M10">
        <v>1.7975807665306965E-6</v>
      </c>
      <c r="N10" s="1">
        <v>-4.2052870639776401E-7</v>
      </c>
      <c r="O10" s="1">
        <v>1.1944023196543099E-10</v>
      </c>
      <c r="P10" s="1">
        <v>1.4689610874659601E-9</v>
      </c>
      <c r="Q10">
        <v>66.1173062205023</v>
      </c>
      <c r="S10">
        <v>18.997495070184801</v>
      </c>
      <c r="AA10">
        <v>0.245558426617072</v>
      </c>
      <c r="AB10">
        <v>4.8081978701038599</v>
      </c>
      <c r="AC10">
        <v>9.83144241259183</v>
      </c>
      <c r="AJ10">
        <v>0.42131854037060901</v>
      </c>
      <c r="AK10">
        <v>1.1890329001225299E-2</v>
      </c>
      <c r="AL10">
        <v>0.566791130628165</v>
      </c>
    </row>
    <row r="11" spans="1:38" x14ac:dyDescent="0.2">
      <c r="A11">
        <v>31</v>
      </c>
      <c r="B11">
        <v>738</v>
      </c>
      <c r="C11">
        <v>275</v>
      </c>
      <c r="D11">
        <v>0.28822677149780002</v>
      </c>
      <c r="E11">
        <v>17.781006536458499</v>
      </c>
      <c r="F11">
        <v>2.5698943447888301</v>
      </c>
      <c r="G11">
        <v>-286.76726027829562</v>
      </c>
      <c r="H11">
        <v>-249.3076192044972</v>
      </c>
      <c r="I11">
        <v>37.046571798247903</v>
      </c>
      <c r="J11">
        <v>21.926149979010301</v>
      </c>
      <c r="K11">
        <v>6.91896403154254</v>
      </c>
      <c r="L11">
        <v>3.2641394511774528E-5</v>
      </c>
      <c r="M11">
        <v>1.8231375437376523E-6</v>
      </c>
      <c r="N11" s="1">
        <v>-4.8208735089546001E-7</v>
      </c>
      <c r="O11" s="1">
        <v>5.9877792929025102E-11</v>
      </c>
      <c r="P11" s="1">
        <v>1.5406058118428001E-9</v>
      </c>
      <c r="Q11">
        <v>65.724238752171502</v>
      </c>
      <c r="S11">
        <v>20.963266308658099</v>
      </c>
      <c r="AA11">
        <v>1.95905674640354</v>
      </c>
      <c r="AB11">
        <v>9.0857929617177309</v>
      </c>
      <c r="AC11">
        <v>2.2676452310489301</v>
      </c>
      <c r="AJ11">
        <v>0.77920667468004901</v>
      </c>
      <c r="AK11">
        <v>9.28426726843362E-2</v>
      </c>
      <c r="AL11">
        <v>0.127950652635613</v>
      </c>
    </row>
    <row r="12" spans="1:38" x14ac:dyDescent="0.2">
      <c r="A12">
        <v>32</v>
      </c>
      <c r="B12">
        <v>736</v>
      </c>
      <c r="C12">
        <v>275</v>
      </c>
      <c r="D12">
        <v>0.28667740177377199</v>
      </c>
      <c r="E12">
        <v>36.993755389605198</v>
      </c>
      <c r="F12">
        <v>2.5265017276460902</v>
      </c>
      <c r="G12">
        <v>-582.81148117258954</v>
      </c>
      <c r="H12">
        <v>-506.30250471030803</v>
      </c>
      <c r="I12">
        <v>75.815266771323905</v>
      </c>
      <c r="J12">
        <v>44.269735509193303</v>
      </c>
      <c r="K12">
        <v>14.6422838285852</v>
      </c>
      <c r="L12">
        <v>2.9255298593447152E-5</v>
      </c>
      <c r="M12">
        <v>1.7980510655118055E-6</v>
      </c>
      <c r="N12" s="1">
        <v>-5.2077464769528402E-7</v>
      </c>
      <c r="O12" s="1">
        <v>1.3764890547085699E-10</v>
      </c>
      <c r="P12" s="1">
        <v>1.79612529909639E-9</v>
      </c>
      <c r="Q12">
        <v>66.124075472147197</v>
      </c>
      <c r="S12">
        <v>18.9920380736692</v>
      </c>
      <c r="AA12">
        <v>0.23947683628679201</v>
      </c>
      <c r="AB12">
        <v>4.80897655861824</v>
      </c>
      <c r="AC12">
        <v>9.8354330592783992</v>
      </c>
      <c r="AJ12">
        <v>0.42138516473704501</v>
      </c>
      <c r="AK12">
        <v>1.15958044826981E-2</v>
      </c>
      <c r="AL12">
        <v>0.56701903078025495</v>
      </c>
    </row>
    <row r="13" spans="1:38" x14ac:dyDescent="0.2">
      <c r="A13">
        <v>32</v>
      </c>
      <c r="B13">
        <v>736</v>
      </c>
      <c r="C13">
        <v>275</v>
      </c>
      <c r="D13">
        <v>0.28667740177377199</v>
      </c>
      <c r="E13">
        <v>20.943401618121001</v>
      </c>
      <c r="F13">
        <v>2.5696678406539699</v>
      </c>
      <c r="G13">
        <v>-337.67425662431106</v>
      </c>
      <c r="H13">
        <v>-293.68818871196675</v>
      </c>
      <c r="I13">
        <v>43.587244624034398</v>
      </c>
      <c r="J13">
        <v>25.864990813238901</v>
      </c>
      <c r="K13">
        <v>8.1502368853987708</v>
      </c>
      <c r="L13">
        <v>3.281858551283352E-5</v>
      </c>
      <c r="M13">
        <v>1.8248057013576644E-6</v>
      </c>
      <c r="N13" s="1">
        <v>-6.0688126536640801E-7</v>
      </c>
      <c r="O13" s="1">
        <v>7.0264740287570704E-11</v>
      </c>
      <c r="P13" s="1">
        <v>1.9253301272821198E-9</v>
      </c>
      <c r="Q13">
        <v>65.771279071961402</v>
      </c>
      <c r="S13">
        <v>20.930787142156401</v>
      </c>
      <c r="AA13">
        <v>1.92128488593896</v>
      </c>
      <c r="AB13">
        <v>9.1054714346041798</v>
      </c>
      <c r="AC13">
        <v>2.27117746533896</v>
      </c>
      <c r="AJ13">
        <v>0.78081867125606996</v>
      </c>
      <c r="AK13">
        <v>9.1043786192435694E-2</v>
      </c>
      <c r="AL13">
        <v>0.12813754255149401</v>
      </c>
    </row>
    <row r="14" spans="1:38" x14ac:dyDescent="0.2">
      <c r="A14">
        <v>44</v>
      </c>
      <c r="B14">
        <v>742</v>
      </c>
      <c r="C14">
        <v>250</v>
      </c>
      <c r="D14">
        <v>0.318396788651924</v>
      </c>
      <c r="E14">
        <v>32.440538648687898</v>
      </c>
      <c r="F14">
        <v>2.5254401228850001</v>
      </c>
      <c r="G14">
        <v>-512.077909387354</v>
      </c>
      <c r="H14">
        <v>-444.30133388480641</v>
      </c>
      <c r="I14">
        <v>66.765084472784807</v>
      </c>
      <c r="J14">
        <v>38.768866504533101</v>
      </c>
      <c r="K14">
        <v>12.8454990299388</v>
      </c>
      <c r="L14">
        <v>2.9109167424336011E-5</v>
      </c>
      <c r="M14">
        <v>1.7995728731077367E-6</v>
      </c>
      <c r="N14" s="1">
        <v>-3.7141973618663902E-7</v>
      </c>
      <c r="O14" s="1">
        <v>1.2126987635617401E-10</v>
      </c>
      <c r="P14" s="1">
        <v>1.3328231055107001E-9</v>
      </c>
      <c r="Q14">
        <v>66.140223534163098</v>
      </c>
      <c r="S14">
        <v>19.021250177184999</v>
      </c>
      <c r="AA14">
        <v>0.25980919128206198</v>
      </c>
      <c r="AB14">
        <v>4.9215449761953503</v>
      </c>
      <c r="AC14">
        <v>9.6571721211743302</v>
      </c>
      <c r="AJ14">
        <v>0.43100264799001498</v>
      </c>
      <c r="AK14">
        <v>1.2573140870718501E-2</v>
      </c>
      <c r="AL14">
        <v>0.55642421113926499</v>
      </c>
    </row>
    <row r="15" spans="1:38" x14ac:dyDescent="0.2">
      <c r="A15">
        <v>44</v>
      </c>
      <c r="B15">
        <v>742</v>
      </c>
      <c r="C15">
        <v>250</v>
      </c>
      <c r="D15">
        <v>0.318396788651924</v>
      </c>
      <c r="E15">
        <v>17.6987972410849</v>
      </c>
      <c r="F15">
        <v>2.5679454404658899</v>
      </c>
      <c r="G15">
        <v>-285.70654339760193</v>
      </c>
      <c r="H15">
        <v>-248.18062459600336</v>
      </c>
      <c r="I15">
        <v>36.965885634239797</v>
      </c>
      <c r="J15">
        <v>21.7551865953827</v>
      </c>
      <c r="K15">
        <v>6.8922014316137101</v>
      </c>
      <c r="L15">
        <v>3.2286855046858643E-5</v>
      </c>
      <c r="M15">
        <v>1.8232975197962285E-6</v>
      </c>
      <c r="N15" s="1">
        <v>-4.1114412762784301E-7</v>
      </c>
      <c r="O15" s="1">
        <v>6.0211422799953005E-11</v>
      </c>
      <c r="P15" s="1">
        <v>1.3375233200563501E-9</v>
      </c>
      <c r="Q15">
        <v>65.732787100494505</v>
      </c>
      <c r="S15">
        <v>20.943348998314001</v>
      </c>
      <c r="AA15">
        <v>1.9406301212149399</v>
      </c>
      <c r="AB15">
        <v>9.0526266791171004</v>
      </c>
      <c r="AC15">
        <v>2.3306071008593698</v>
      </c>
      <c r="AJ15">
        <v>0.77649046082835405</v>
      </c>
      <c r="AK15">
        <v>9.1984588993518093E-2</v>
      </c>
      <c r="AL15">
        <v>0.13152495017812699</v>
      </c>
    </row>
    <row r="16" spans="1:38" x14ac:dyDescent="0.2">
      <c r="A16">
        <v>45</v>
      </c>
      <c r="B16">
        <v>740</v>
      </c>
      <c r="C16">
        <v>250</v>
      </c>
      <c r="D16">
        <v>0.31691309282929903</v>
      </c>
      <c r="E16">
        <v>37.4555756742188</v>
      </c>
      <c r="F16">
        <v>2.5254683661990001</v>
      </c>
      <c r="G16">
        <v>-591.03525581313863</v>
      </c>
      <c r="H16">
        <v>-513.0320702599704</v>
      </c>
      <c r="I16">
        <v>76.990757097338204</v>
      </c>
      <c r="J16">
        <v>44.7829518122604</v>
      </c>
      <c r="K16">
        <v>14.831140304715801</v>
      </c>
      <c r="L16">
        <v>2.9158267864955996E-5</v>
      </c>
      <c r="M16">
        <v>1.7998050836471707E-6</v>
      </c>
      <c r="N16" s="1">
        <v>-4.5808886036332799E-7</v>
      </c>
      <c r="O16" s="1">
        <v>1.39808165982041E-10</v>
      </c>
      <c r="P16" s="1">
        <v>1.6221380476919601E-9</v>
      </c>
      <c r="Q16">
        <v>66.140904723796297</v>
      </c>
      <c r="S16">
        <v>19.014430252642502</v>
      </c>
      <c r="AA16">
        <v>0.25402373741564799</v>
      </c>
      <c r="AB16">
        <v>4.90518365193011</v>
      </c>
      <c r="AC16">
        <v>9.6854576342153091</v>
      </c>
      <c r="AJ16">
        <v>0.429605498096919</v>
      </c>
      <c r="AK16">
        <v>1.2294182351685499E-2</v>
      </c>
      <c r="AL16">
        <v>0.55810031955139505</v>
      </c>
    </row>
    <row r="17" spans="1:38" x14ac:dyDescent="0.2">
      <c r="A17">
        <v>45</v>
      </c>
      <c r="B17">
        <v>740</v>
      </c>
      <c r="C17">
        <v>250</v>
      </c>
      <c r="D17">
        <v>0.31691309282929903</v>
      </c>
      <c r="E17">
        <v>20.4953817636667</v>
      </c>
      <c r="F17">
        <v>2.5680276517284302</v>
      </c>
      <c r="G17">
        <v>-330.77611713870004</v>
      </c>
      <c r="H17">
        <v>-287.45503261509276</v>
      </c>
      <c r="I17">
        <v>42.758806221790699</v>
      </c>
      <c r="J17">
        <v>25.224900734272801</v>
      </c>
      <c r="K17">
        <v>7.9809817273081602</v>
      </c>
      <c r="L17">
        <v>3.2431953242801583E-5</v>
      </c>
      <c r="M17">
        <v>1.8243455916370445E-6</v>
      </c>
      <c r="N17" s="1">
        <v>-5.0851907989470105E-7</v>
      </c>
      <c r="O17" s="1">
        <v>6.9473207151269197E-11</v>
      </c>
      <c r="P17" s="1">
        <v>1.6411322033454699E-9</v>
      </c>
      <c r="Q17">
        <v>65.752711089870303</v>
      </c>
      <c r="S17">
        <v>20.9327549286667</v>
      </c>
      <c r="AA17">
        <v>1.9272409147388301</v>
      </c>
      <c r="AB17">
        <v>9.0692524902559999</v>
      </c>
      <c r="AC17">
        <v>2.3180405764680798</v>
      </c>
      <c r="AJ17">
        <v>0.777852551859608</v>
      </c>
      <c r="AK17">
        <v>9.1342435089295695E-2</v>
      </c>
      <c r="AL17">
        <v>0.13080501305109499</v>
      </c>
    </row>
    <row r="18" spans="1:38" x14ac:dyDescent="0.2">
      <c r="A18">
        <v>53</v>
      </c>
      <c r="B18">
        <v>750</v>
      </c>
      <c r="C18">
        <v>225</v>
      </c>
      <c r="D18">
        <v>0.35115134633240402</v>
      </c>
      <c r="E18">
        <v>1.4121949684569</v>
      </c>
      <c r="F18">
        <v>2.56759219916129</v>
      </c>
      <c r="G18">
        <v>-22.844238631139017</v>
      </c>
      <c r="H18">
        <v>-19.812168802239494</v>
      </c>
      <c r="I18">
        <v>2.9634656002536399</v>
      </c>
      <c r="J18">
        <v>1.7289387431256</v>
      </c>
      <c r="K18">
        <v>0.55000750076986304</v>
      </c>
      <c r="L18">
        <v>3.1815867382020815E-5</v>
      </c>
      <c r="M18">
        <v>1.8216341884011198E-6</v>
      </c>
      <c r="N18" s="1">
        <v>-2.50534902026257E-8</v>
      </c>
      <c r="O18" s="1">
        <v>4.8569808926641296E-12</v>
      </c>
      <c r="P18" s="1">
        <v>8.4557776116810697E-11</v>
      </c>
      <c r="Q18">
        <v>65.653134261940593</v>
      </c>
      <c r="S18">
        <v>21.028785263244401</v>
      </c>
      <c r="AA18">
        <v>2.0297018155323698</v>
      </c>
      <c r="AB18">
        <v>9.0991068752015796</v>
      </c>
      <c r="AC18">
        <v>2.1892717840809501</v>
      </c>
      <c r="AJ18">
        <v>0.78029573159279098</v>
      </c>
      <c r="AK18">
        <v>9.6184146503445006E-2</v>
      </c>
      <c r="AL18">
        <v>0.12352012190376301</v>
      </c>
    </row>
    <row r="19" spans="1:38" x14ac:dyDescent="0.2">
      <c r="A19">
        <v>54</v>
      </c>
      <c r="B19">
        <v>748</v>
      </c>
      <c r="C19">
        <v>225</v>
      </c>
      <c r="D19">
        <v>0.34974342652891699</v>
      </c>
      <c r="E19">
        <v>6.66979599954887</v>
      </c>
      <c r="F19">
        <v>2.5652695288113398</v>
      </c>
      <c r="G19">
        <v>-107.77935910098837</v>
      </c>
      <c r="H19">
        <v>-93.502978187255309</v>
      </c>
      <c r="I19">
        <v>13.9806893343123</v>
      </c>
      <c r="J19">
        <v>8.1678735434556007</v>
      </c>
      <c r="K19">
        <v>2.6000371207151098</v>
      </c>
      <c r="L19">
        <v>3.187504431079035E-5</v>
      </c>
      <c r="M19">
        <v>1.8236739451458924E-6</v>
      </c>
      <c r="N19" s="1">
        <v>-1.2452797036218E-7</v>
      </c>
      <c r="O19" s="1">
        <v>2.2982450795619998E-11</v>
      </c>
      <c r="P19" s="1">
        <v>4.1696898008447501E-10</v>
      </c>
      <c r="Q19">
        <v>65.774559817239293</v>
      </c>
      <c r="S19">
        <v>20.889737555829601</v>
      </c>
      <c r="AA19">
        <v>1.8866530398452599</v>
      </c>
      <c r="AB19">
        <v>9.0051655721835804</v>
      </c>
      <c r="AC19">
        <v>2.4438840149021099</v>
      </c>
      <c r="AJ19">
        <v>0.77260244344187801</v>
      </c>
      <c r="AK19">
        <v>8.9447293664996597E-2</v>
      </c>
      <c r="AL19">
        <v>0.13795026289312401</v>
      </c>
    </row>
    <row r="20" spans="1:38" x14ac:dyDescent="0.2">
      <c r="A20">
        <v>54</v>
      </c>
      <c r="B20">
        <v>748</v>
      </c>
      <c r="C20">
        <v>225</v>
      </c>
      <c r="D20">
        <v>0.34974342652891699</v>
      </c>
      <c r="E20">
        <v>8.6304349652596102</v>
      </c>
      <c r="F20">
        <v>2.52451972426049</v>
      </c>
      <c r="G20">
        <v>-136.53158772062676</v>
      </c>
      <c r="H20">
        <v>-118.31282783963729</v>
      </c>
      <c r="I20">
        <v>17.841413975409498</v>
      </c>
      <c r="J20">
        <v>10.307859570063499</v>
      </c>
      <c r="K20">
        <v>3.4186442998727902</v>
      </c>
      <c r="L20">
        <v>2.9043306572806027E-5</v>
      </c>
      <c r="M20">
        <v>1.8018608979965597E-6</v>
      </c>
      <c r="N20" s="1">
        <v>-8.1415550279136295E-8</v>
      </c>
      <c r="O20" s="1">
        <v>3.2359299027369197E-11</v>
      </c>
      <c r="P20" s="1">
        <v>3.0494324145399098E-10</v>
      </c>
      <c r="Q20">
        <v>66.174687612503305</v>
      </c>
      <c r="S20">
        <v>19.056072393344699</v>
      </c>
      <c r="AA20">
        <v>0.28049615463824601</v>
      </c>
      <c r="AB20">
        <v>5.0896372937459899</v>
      </c>
      <c r="AC20">
        <v>9.3991065457676193</v>
      </c>
      <c r="AJ20">
        <v>0.44534357690097598</v>
      </c>
      <c r="AK20">
        <v>1.3562697052158E-2</v>
      </c>
      <c r="AL20">
        <v>0.54109372604686501</v>
      </c>
    </row>
    <row r="21" spans="1:38" x14ac:dyDescent="0.2">
      <c r="A21">
        <v>55</v>
      </c>
      <c r="B21">
        <v>746</v>
      </c>
      <c r="C21">
        <v>225</v>
      </c>
      <c r="D21">
        <v>0.34832998086640898</v>
      </c>
      <c r="E21">
        <v>18.092083591479799</v>
      </c>
      <c r="F21">
        <v>2.5660570414325701</v>
      </c>
      <c r="G21">
        <v>-292.32894592538889</v>
      </c>
      <c r="H21">
        <v>-253.72467621622098</v>
      </c>
      <c r="I21">
        <v>37.878888985103202</v>
      </c>
      <c r="J21">
        <v>22.177803943972201</v>
      </c>
      <c r="K21">
        <v>7.0505383548993299</v>
      </c>
      <c r="L21">
        <v>3.1974715096657727E-5</v>
      </c>
      <c r="M21">
        <v>1.8234701638535342E-6</v>
      </c>
      <c r="N21" s="1">
        <v>-3.6035286522658601E-7</v>
      </c>
      <c r="O21" s="1">
        <v>6.2085765603318804E-11</v>
      </c>
      <c r="P21" s="1">
        <v>1.1956707142117E-9</v>
      </c>
      <c r="Q21">
        <v>65.735839920441606</v>
      </c>
      <c r="S21">
        <v>20.9275738938512</v>
      </c>
      <c r="AA21">
        <v>1.92690316470902</v>
      </c>
      <c r="AB21">
        <v>9.0180732374308796</v>
      </c>
      <c r="AC21">
        <v>2.3916097835671799</v>
      </c>
      <c r="AJ21">
        <v>0.77365959825004105</v>
      </c>
      <c r="AK21">
        <v>9.1349640017367104E-2</v>
      </c>
      <c r="AL21">
        <v>0.13499076173259</v>
      </c>
    </row>
    <row r="22" spans="1:38" x14ac:dyDescent="0.2">
      <c r="A22">
        <v>55</v>
      </c>
      <c r="B22">
        <v>746</v>
      </c>
      <c r="C22">
        <v>225</v>
      </c>
      <c r="D22">
        <v>0.34832998086640898</v>
      </c>
      <c r="E22">
        <v>34.097529728231599</v>
      </c>
      <c r="F22">
        <v>2.5244627814512599</v>
      </c>
      <c r="G22">
        <v>-539.13211178785798</v>
      </c>
      <c r="H22">
        <v>-467.39684241982184</v>
      </c>
      <c r="I22">
        <v>70.3873515851799</v>
      </c>
      <c r="J22">
        <v>40.728154323647701</v>
      </c>
      <c r="K22">
        <v>13.506845883713</v>
      </c>
      <c r="L22">
        <v>2.9048200364014829E-5</v>
      </c>
      <c r="M22">
        <v>1.8015549864425347E-6</v>
      </c>
      <c r="N22" s="1">
        <v>-3.4010717153880099E-7</v>
      </c>
      <c r="O22" s="1">
        <v>1.2775369170617199E-10</v>
      </c>
      <c r="P22" s="1">
        <v>1.25735794234752E-9</v>
      </c>
      <c r="Q22">
        <v>66.160973121728702</v>
      </c>
      <c r="S22">
        <v>19.045683448732301</v>
      </c>
      <c r="AA22">
        <v>0.27512525789186898</v>
      </c>
      <c r="AB22">
        <v>5.0318393174399203</v>
      </c>
      <c r="AC22">
        <v>9.4863788542071301</v>
      </c>
      <c r="AJ22">
        <v>0.44041523715974301</v>
      </c>
      <c r="AK22">
        <v>1.33068979000791E-2</v>
      </c>
      <c r="AL22">
        <v>0.54627786494017705</v>
      </c>
    </row>
    <row r="23" spans="1:38" x14ac:dyDescent="0.2">
      <c r="A23">
        <v>56</v>
      </c>
      <c r="B23">
        <v>744</v>
      </c>
      <c r="C23">
        <v>225</v>
      </c>
      <c r="D23">
        <v>0.34691097674876298</v>
      </c>
      <c r="E23">
        <v>20.086957305424299</v>
      </c>
      <c r="F23">
        <v>2.5664060565987299</v>
      </c>
      <c r="G23">
        <v>-324.50461148870346</v>
      </c>
      <c r="H23">
        <v>-281.77644471493551</v>
      </c>
      <c r="I23">
        <v>42.007734133380403</v>
      </c>
      <c r="J23">
        <v>24.649736252594</v>
      </c>
      <c r="K23">
        <v>7.8268819751951302</v>
      </c>
      <c r="L23">
        <v>3.2093408135779776E-5</v>
      </c>
      <c r="M23">
        <v>1.8240061982749732E-6</v>
      </c>
      <c r="N23" s="1">
        <v>-4.2703005817505601E-7</v>
      </c>
      <c r="O23" s="1">
        <v>6.8688279647060295E-11</v>
      </c>
      <c r="P23" s="1">
        <v>1.4045114478773801E-9</v>
      </c>
      <c r="Q23">
        <v>65.733128100356197</v>
      </c>
      <c r="S23">
        <v>20.935544409964699</v>
      </c>
      <c r="AA23">
        <v>1.9341116882581999</v>
      </c>
      <c r="AB23">
        <v>9.0329258360018905</v>
      </c>
      <c r="AC23">
        <v>2.3642899654188798</v>
      </c>
      <c r="AJ23">
        <v>0.774876525783883</v>
      </c>
      <c r="AK23">
        <v>9.1684601100424507E-2</v>
      </c>
      <c r="AL23">
        <v>0.133438873115691</v>
      </c>
    </row>
    <row r="24" spans="1:38" x14ac:dyDescent="0.2">
      <c r="A24">
        <v>56</v>
      </c>
      <c r="B24">
        <v>744</v>
      </c>
      <c r="C24">
        <v>225</v>
      </c>
      <c r="D24">
        <v>0.34691097674876298</v>
      </c>
      <c r="E24">
        <v>38.108474689692798</v>
      </c>
      <c r="F24">
        <v>2.5244575683848498</v>
      </c>
      <c r="G24">
        <v>-602.30158567394847</v>
      </c>
      <c r="H24">
        <v>-522.39013937968048</v>
      </c>
      <c r="I24">
        <v>78.564072451720904</v>
      </c>
      <c r="J24">
        <v>45.531846675118402</v>
      </c>
      <c r="K24">
        <v>15.0957081501174</v>
      </c>
      <c r="L24">
        <v>2.9077172048548754E-5</v>
      </c>
      <c r="M24">
        <v>1.8015786083886813E-6</v>
      </c>
      <c r="N24" s="1">
        <v>-4.0454134784920798E-7</v>
      </c>
      <c r="O24" s="1">
        <v>1.4262463182803399E-10</v>
      </c>
      <c r="P24" s="1">
        <v>1.4749675434549001E-9</v>
      </c>
      <c r="Q24">
        <v>66.156410112916802</v>
      </c>
      <c r="S24">
        <v>19.0374533149173</v>
      </c>
      <c r="AA24">
        <v>0.26940002895057003</v>
      </c>
      <c r="AB24">
        <v>5.0000945311749501</v>
      </c>
      <c r="AC24">
        <v>9.5366420120402804</v>
      </c>
      <c r="AJ24">
        <v>0.43770720855659401</v>
      </c>
      <c r="AK24">
        <v>1.3032085250345901E-2</v>
      </c>
      <c r="AL24">
        <v>0.549260706193059</v>
      </c>
    </row>
    <row r="25" spans="1:38" x14ac:dyDescent="0.2">
      <c r="A25">
        <v>61</v>
      </c>
      <c r="B25">
        <v>756</v>
      </c>
      <c r="C25">
        <v>200</v>
      </c>
      <c r="D25">
        <v>0.38206335325268598</v>
      </c>
      <c r="E25">
        <v>1.47532454147053</v>
      </c>
      <c r="F25">
        <v>2.56650187790071</v>
      </c>
      <c r="G25">
        <v>-23.905975140170757</v>
      </c>
      <c r="H25">
        <v>-20.708223446539943</v>
      </c>
      <c r="I25">
        <v>3.1071774703695398</v>
      </c>
      <c r="J25">
        <v>1.8023423682473501</v>
      </c>
      <c r="K25">
        <v>0.57483867601035299</v>
      </c>
      <c r="L25">
        <v>3.1564124133155271E-5</v>
      </c>
      <c r="M25">
        <v>1.8225137164068571E-6</v>
      </c>
      <c r="N25" s="1">
        <v>-2.1417135226299499E-8</v>
      </c>
      <c r="O25" s="1">
        <v>5.1105374545473704E-12</v>
      </c>
      <c r="P25" s="1">
        <v>7.4653528139169406E-11</v>
      </c>
      <c r="Q25">
        <v>65.660908194567995</v>
      </c>
      <c r="S25">
        <v>21.0474343384303</v>
      </c>
      <c r="AA25">
        <v>2.0432735526098198</v>
      </c>
      <c r="AB25">
        <v>9.16532164238515</v>
      </c>
      <c r="AC25">
        <v>2.0830622720066199</v>
      </c>
      <c r="AJ25">
        <v>0.78571549701139298</v>
      </c>
      <c r="AK25">
        <v>9.6795443178593996E-2</v>
      </c>
      <c r="AL25">
        <v>0.11748905981001199</v>
      </c>
    </row>
    <row r="26" spans="1:38" x14ac:dyDescent="0.2">
      <c r="A26">
        <v>62</v>
      </c>
      <c r="B26">
        <v>754</v>
      </c>
      <c r="C26">
        <v>200</v>
      </c>
      <c r="D26">
        <v>0.38072384753930699</v>
      </c>
      <c r="E26">
        <v>4.4674730968395497</v>
      </c>
      <c r="F26">
        <v>2.5620930764499801</v>
      </c>
      <c r="G26">
        <v>-72.268623163634857</v>
      </c>
      <c r="H26">
        <v>-62.614679173597963</v>
      </c>
      <c r="I26">
        <v>9.3987674536697607</v>
      </c>
      <c r="J26">
        <v>5.4560786160991102</v>
      </c>
      <c r="K26">
        <v>1.7436810309130699</v>
      </c>
      <c r="L26">
        <v>3.1593606409274196E-5</v>
      </c>
      <c r="M26">
        <v>1.826141195491057E-6</v>
      </c>
      <c r="N26" s="1">
        <v>-6.7609220551916899E-8</v>
      </c>
      <c r="O26" s="1">
        <v>1.5569062110292801E-11</v>
      </c>
      <c r="P26" s="1">
        <v>2.3382143987817101E-10</v>
      </c>
      <c r="Q26">
        <v>65.893002208218903</v>
      </c>
      <c r="S26">
        <v>20.788991646949299</v>
      </c>
      <c r="AA26">
        <v>1.77589972073953</v>
      </c>
      <c r="AB26">
        <v>9.0049895918628202</v>
      </c>
      <c r="AC26">
        <v>2.5371168322293398</v>
      </c>
      <c r="AJ26">
        <v>0.772589856262062</v>
      </c>
      <c r="AK26">
        <v>8.4196689477545703E-2</v>
      </c>
      <c r="AL26">
        <v>0.143213454260391</v>
      </c>
    </row>
    <row r="27" spans="1:38" x14ac:dyDescent="0.2">
      <c r="A27">
        <v>63</v>
      </c>
      <c r="B27">
        <v>752</v>
      </c>
      <c r="C27">
        <v>200</v>
      </c>
      <c r="D27">
        <v>0.37937911525142798</v>
      </c>
      <c r="E27">
        <v>20.177482257356999</v>
      </c>
      <c r="F27">
        <v>2.52365393457892</v>
      </c>
      <c r="G27">
        <v>-319.77762284081047</v>
      </c>
      <c r="H27">
        <v>-276.88235693684373</v>
      </c>
      <c r="I27">
        <v>41.842916552667099</v>
      </c>
      <c r="J27">
        <v>24.0961150419107</v>
      </c>
      <c r="K27">
        <v>7.99534436195336</v>
      </c>
      <c r="L27">
        <v>2.9023506905784027E-5</v>
      </c>
      <c r="M27">
        <v>1.8042368973621095E-6</v>
      </c>
      <c r="N27" s="1">
        <v>-1.67015900200449E-7</v>
      </c>
      <c r="O27" s="1">
        <v>7.5758934990469203E-11</v>
      </c>
      <c r="P27" s="1">
        <v>6.4605818834142495E-10</v>
      </c>
      <c r="Q27">
        <v>66.204076405055503</v>
      </c>
      <c r="S27">
        <v>19.084454575645299</v>
      </c>
      <c r="AA27">
        <v>0.29705427267505002</v>
      </c>
      <c r="AB27">
        <v>5.2295362230209097</v>
      </c>
      <c r="AC27">
        <v>9.1848785236030803</v>
      </c>
      <c r="AJ27">
        <v>0.45726055457232001</v>
      </c>
      <c r="AK27">
        <v>1.43531477989796E-2</v>
      </c>
      <c r="AL27">
        <v>0.52838629762869904</v>
      </c>
    </row>
    <row r="28" spans="1:38" x14ac:dyDescent="0.2">
      <c r="A28">
        <v>63</v>
      </c>
      <c r="B28">
        <v>752</v>
      </c>
      <c r="C28">
        <v>200</v>
      </c>
      <c r="D28">
        <v>0.37937911525142798</v>
      </c>
      <c r="E28">
        <v>12.1681051476814</v>
      </c>
      <c r="F28">
        <v>2.56290958060637</v>
      </c>
      <c r="G28">
        <v>-196.79296124684419</v>
      </c>
      <c r="H28">
        <v>-170.58242416373673</v>
      </c>
      <c r="I28">
        <v>25.567514103406701</v>
      </c>
      <c r="J28">
        <v>14.868363454789</v>
      </c>
      <c r="K28">
        <v>4.7477699719716702</v>
      </c>
      <c r="L28">
        <v>3.1625800437545851E-5</v>
      </c>
      <c r="M28">
        <v>1.8247015564903012E-6</v>
      </c>
      <c r="N28" s="1">
        <v>-1.9506948809757201E-7</v>
      </c>
      <c r="O28" s="1">
        <v>4.2259216522645402E-11</v>
      </c>
      <c r="P28" s="1">
        <v>6.68238902032925E-10</v>
      </c>
      <c r="Q28">
        <v>65.8139232634108</v>
      </c>
      <c r="S28">
        <v>20.842666123547701</v>
      </c>
      <c r="AA28">
        <v>1.8386337042084</v>
      </c>
      <c r="AB28">
        <v>8.9694810219623893</v>
      </c>
      <c r="AC28">
        <v>2.53529588687055</v>
      </c>
      <c r="AJ28">
        <v>0.76967807196509697</v>
      </c>
      <c r="AK28">
        <v>8.7186211305449193E-2</v>
      </c>
      <c r="AL28">
        <v>0.14313571672945299</v>
      </c>
    </row>
    <row r="29" spans="1:38" x14ac:dyDescent="0.2">
      <c r="A29">
        <v>64</v>
      </c>
      <c r="B29">
        <v>750</v>
      </c>
      <c r="C29">
        <v>200</v>
      </c>
      <c r="D29">
        <v>0.37802912573913899</v>
      </c>
      <c r="E29">
        <v>36.690484714540901</v>
      </c>
      <c r="F29">
        <v>2.52349097606018</v>
      </c>
      <c r="G29">
        <v>-581.0678055698238</v>
      </c>
      <c r="H29">
        <v>-503.34738106299449</v>
      </c>
      <c r="I29">
        <v>75.961906374264998</v>
      </c>
      <c r="J29">
        <v>43.805776490574999</v>
      </c>
      <c r="K29">
        <v>14.5395743684505</v>
      </c>
      <c r="L29">
        <v>2.8989779398772758E-5</v>
      </c>
      <c r="M29">
        <v>1.8033987055807785E-6</v>
      </c>
      <c r="N29" s="1">
        <v>-3.17695102460589E-7</v>
      </c>
      <c r="O29" s="1">
        <v>1.3774308566458901E-10</v>
      </c>
      <c r="P29" s="1">
        <v>1.21455326026719E-9</v>
      </c>
      <c r="Q29">
        <v>66.176035265459902</v>
      </c>
      <c r="S29">
        <v>19.069980259333501</v>
      </c>
      <c r="AA29">
        <v>0.291655830090364</v>
      </c>
      <c r="AB29">
        <v>5.1291017449371399</v>
      </c>
      <c r="AC29">
        <v>9.3332269001789108</v>
      </c>
      <c r="AJ29">
        <v>0.448706914982059</v>
      </c>
      <c r="AK29">
        <v>1.4099473670423499E-2</v>
      </c>
      <c r="AL29">
        <v>0.53719361134751697</v>
      </c>
    </row>
    <row r="30" spans="1:38" x14ac:dyDescent="0.2">
      <c r="A30">
        <v>64</v>
      </c>
      <c r="B30">
        <v>750</v>
      </c>
      <c r="C30">
        <v>200</v>
      </c>
      <c r="D30">
        <v>0.37802912573913899</v>
      </c>
      <c r="E30">
        <v>18.609445361959501</v>
      </c>
      <c r="F30">
        <v>2.5643897718665301</v>
      </c>
      <c r="G30">
        <v>-300.98223945214636</v>
      </c>
      <c r="H30">
        <v>-261.02335163166254</v>
      </c>
      <c r="I30">
        <v>39.054769897359897</v>
      </c>
      <c r="J30">
        <v>22.758474038234699</v>
      </c>
      <c r="K30">
        <v>7.2568708416015699</v>
      </c>
      <c r="L30">
        <v>3.1694347419088464E-5</v>
      </c>
      <c r="M30">
        <v>1.8233817701736328E-6</v>
      </c>
      <c r="N30" s="1">
        <v>-3.1806213041729901E-7</v>
      </c>
      <c r="O30" s="1">
        <v>6.4315687223983503E-11</v>
      </c>
      <c r="P30" s="1">
        <v>1.07873900752125E-9</v>
      </c>
      <c r="Q30">
        <v>65.720508857694995</v>
      </c>
      <c r="S30">
        <v>20.926751943040799</v>
      </c>
      <c r="AA30">
        <v>1.92980234077722</v>
      </c>
      <c r="AB30">
        <v>8.9817539352085998</v>
      </c>
      <c r="AC30">
        <v>2.4411829232782098</v>
      </c>
      <c r="AJ30">
        <v>0.77068272804223303</v>
      </c>
      <c r="AK30">
        <v>9.1503581362264302E-2</v>
      </c>
      <c r="AL30">
        <v>0.137813690595501</v>
      </c>
    </row>
    <row r="31" spans="1:38" x14ac:dyDescent="0.2">
      <c r="A31">
        <v>65</v>
      </c>
      <c r="B31">
        <v>748</v>
      </c>
      <c r="C31">
        <v>200</v>
      </c>
      <c r="D31">
        <v>0.37667384811242399</v>
      </c>
      <c r="E31">
        <v>39.046382042176702</v>
      </c>
      <c r="F31">
        <v>2.5234650837208998</v>
      </c>
      <c r="G31">
        <v>-618.10673095270386</v>
      </c>
      <c r="H31">
        <v>-535.66718999171951</v>
      </c>
      <c r="I31">
        <v>80.7320579356455</v>
      </c>
      <c r="J31">
        <v>46.626864164599901</v>
      </c>
      <c r="K31">
        <v>15.473319719804399</v>
      </c>
      <c r="L31">
        <v>2.900830302711179E-5</v>
      </c>
      <c r="M31">
        <v>1.8033409785823281E-6</v>
      </c>
      <c r="N31" s="1">
        <v>-3.5935772303215401E-7</v>
      </c>
      <c r="O31" s="1">
        <v>1.46462493521241E-10</v>
      </c>
      <c r="P31" s="1">
        <v>1.35340217659624E-9</v>
      </c>
      <c r="Q31">
        <v>66.169884062000506</v>
      </c>
      <c r="S31">
        <v>19.060964112804299</v>
      </c>
      <c r="AA31">
        <v>0.28565271612068499</v>
      </c>
      <c r="AB31">
        <v>5.09175711753669</v>
      </c>
      <c r="AC31">
        <v>9.3917419915377405</v>
      </c>
      <c r="AJ31">
        <v>0.44552422760990401</v>
      </c>
      <c r="AK31">
        <v>1.3811879954122801E-2</v>
      </c>
      <c r="AL31">
        <v>0.54066389243597301</v>
      </c>
    </row>
    <row r="32" spans="1:38" x14ac:dyDescent="0.2">
      <c r="A32">
        <v>65</v>
      </c>
      <c r="B32">
        <v>748</v>
      </c>
      <c r="C32">
        <v>200</v>
      </c>
      <c r="D32">
        <v>0.37667384811242399</v>
      </c>
      <c r="E32">
        <v>19.7238579374343</v>
      </c>
      <c r="F32">
        <v>2.56483294865262</v>
      </c>
      <c r="G32">
        <v>-318.95612394637777</v>
      </c>
      <c r="H32">
        <v>-276.73499393702781</v>
      </c>
      <c r="I32">
        <v>41.346648395779198</v>
      </c>
      <c r="J32">
        <v>24.1434732733833</v>
      </c>
      <c r="K32">
        <v>7.6901140668033596</v>
      </c>
      <c r="L32">
        <v>3.1795031459112059E-5</v>
      </c>
      <c r="M32">
        <v>1.8237183651708811E-6</v>
      </c>
      <c r="N32" s="1">
        <v>-3.5962686142795598E-7</v>
      </c>
      <c r="O32" s="1">
        <v>6.7947906366201195E-11</v>
      </c>
      <c r="P32" s="1">
        <v>1.2079231673045701E-9</v>
      </c>
      <c r="Q32">
        <v>65.710073216176795</v>
      </c>
      <c r="S32">
        <v>20.941211444440601</v>
      </c>
      <c r="AA32">
        <v>1.9441665917694</v>
      </c>
      <c r="AB32">
        <v>8.9964061304049707</v>
      </c>
      <c r="AC32">
        <v>2.40814261720808</v>
      </c>
      <c r="AJ32">
        <v>0.771883550445294</v>
      </c>
      <c r="AK32">
        <v>9.2177940227285093E-2</v>
      </c>
      <c r="AL32">
        <v>0.13593850932741999</v>
      </c>
    </row>
    <row r="33" spans="1:38" x14ac:dyDescent="0.2">
      <c r="A33">
        <v>67</v>
      </c>
      <c r="B33">
        <v>764</v>
      </c>
      <c r="C33">
        <v>175</v>
      </c>
      <c r="D33">
        <v>0.41388468398978101</v>
      </c>
      <c r="E33">
        <v>0.115147846491711</v>
      </c>
      <c r="F33">
        <v>2.5668943217778701</v>
      </c>
      <c r="G33">
        <v>-1.8702894917276771</v>
      </c>
      <c r="H33">
        <v>-1.6176127032932621</v>
      </c>
      <c r="I33">
        <v>0.24362607957808899</v>
      </c>
      <c r="J33">
        <v>0.14039456286526</v>
      </c>
      <c r="K33">
        <v>4.4858818500933997E-2</v>
      </c>
      <c r="L33">
        <v>3.1285027155959592E-5</v>
      </c>
      <c r="M33">
        <v>1.8212312623594498E-6</v>
      </c>
      <c r="N33" s="1">
        <v>-1.2941946746751499E-9</v>
      </c>
      <c r="O33" s="1">
        <v>4.00658260294532E-13</v>
      </c>
      <c r="P33" s="1">
        <v>4.7365374367415599E-12</v>
      </c>
      <c r="Q33">
        <v>65.558823449112694</v>
      </c>
      <c r="S33">
        <v>21.169885020168</v>
      </c>
      <c r="AA33">
        <v>2.1681166986022999</v>
      </c>
      <c r="AB33">
        <v>9.2588516425534007</v>
      </c>
      <c r="AC33">
        <v>1.8443231895635199</v>
      </c>
      <c r="AJ33">
        <v>0.79336318210104795</v>
      </c>
      <c r="AK33">
        <v>0.102661678706136</v>
      </c>
      <c r="AL33">
        <v>0.103975139192814</v>
      </c>
    </row>
    <row r="34" spans="1:38" x14ac:dyDescent="0.2">
      <c r="A34">
        <v>68</v>
      </c>
      <c r="B34">
        <v>762</v>
      </c>
      <c r="C34">
        <v>175</v>
      </c>
      <c r="D34">
        <v>0.41261701202724399</v>
      </c>
      <c r="E34">
        <v>2.6650911796956902</v>
      </c>
      <c r="F34">
        <v>2.5636915040954902</v>
      </c>
      <c r="G34">
        <v>-43.236131977567567</v>
      </c>
      <c r="H34">
        <v>-37.404723675303444</v>
      </c>
      <c r="I34">
        <v>5.6333944860784602</v>
      </c>
      <c r="J34">
        <v>3.2495159250063099</v>
      </c>
      <c r="K34">
        <v>1.03955221423412</v>
      </c>
      <c r="L34">
        <v>3.135407021503598E-5</v>
      </c>
      <c r="M34">
        <v>1.8250319265731883E-6</v>
      </c>
      <c r="N34" s="1">
        <v>-3.1528917828976998E-8</v>
      </c>
      <c r="O34" s="1">
        <v>9.3132007228118294E-12</v>
      </c>
      <c r="P34" s="1">
        <v>1.14126781012392E-10</v>
      </c>
      <c r="Q34">
        <v>65.765168177960007</v>
      </c>
      <c r="S34">
        <v>20.964704875804198</v>
      </c>
      <c r="AA34">
        <v>1.95069325706214</v>
      </c>
      <c r="AB34">
        <v>9.1807733833391705</v>
      </c>
      <c r="AC34">
        <v>2.1386603058342999</v>
      </c>
      <c r="AJ34">
        <v>0.78698134455427304</v>
      </c>
      <c r="AK34">
        <v>9.2402759925723499E-2</v>
      </c>
      <c r="AL34">
        <v>0.120615895520003</v>
      </c>
    </row>
    <row r="35" spans="1:38" x14ac:dyDescent="0.2">
      <c r="A35">
        <v>69</v>
      </c>
      <c r="B35">
        <v>760</v>
      </c>
      <c r="C35">
        <v>175</v>
      </c>
      <c r="D35">
        <v>0.41134443207665999</v>
      </c>
      <c r="E35">
        <v>5.6550687418152901</v>
      </c>
      <c r="F35">
        <v>2.5595532245391901</v>
      </c>
      <c r="G35">
        <v>-91.592883877347035</v>
      </c>
      <c r="H35">
        <v>-79.256930482405394</v>
      </c>
      <c r="I35">
        <v>11.9401378260094</v>
      </c>
      <c r="J35">
        <v>6.8921428865278198</v>
      </c>
      <c r="K35">
        <v>2.2093968148809999</v>
      </c>
      <c r="L35">
        <v>3.1362264652531683E-5</v>
      </c>
      <c r="M35">
        <v>1.8280367239318631E-6</v>
      </c>
      <c r="N35" s="1">
        <v>-6.9613240819523395E-8</v>
      </c>
      <c r="O35" s="1">
        <v>1.9875768580889899E-11</v>
      </c>
      <c r="P35" s="1">
        <v>2.4981573900932799E-10</v>
      </c>
      <c r="Q35">
        <v>65.969778857320406</v>
      </c>
      <c r="S35">
        <v>20.727581711241399</v>
      </c>
      <c r="AA35">
        <v>1.7073211135292701</v>
      </c>
      <c r="AB35">
        <v>9.0150881074915699</v>
      </c>
      <c r="AC35">
        <v>2.5802302104171999</v>
      </c>
      <c r="AJ35">
        <v>0.77341861351019203</v>
      </c>
      <c r="AK35">
        <v>8.0941387651158103E-2</v>
      </c>
      <c r="AL35">
        <v>0.145639998838649</v>
      </c>
    </row>
    <row r="36" spans="1:38" x14ac:dyDescent="0.2">
      <c r="A36">
        <v>70</v>
      </c>
      <c r="B36">
        <v>758</v>
      </c>
      <c r="C36">
        <v>175</v>
      </c>
      <c r="D36">
        <v>0.41006691557969399</v>
      </c>
      <c r="E36">
        <v>9.5792388390472993</v>
      </c>
      <c r="F36">
        <v>2.5587029453725401</v>
      </c>
      <c r="G36">
        <v>-155.02861125738804</v>
      </c>
      <c r="H36">
        <v>-134.19966475974545</v>
      </c>
      <c r="I36">
        <v>20.1997250619624</v>
      </c>
      <c r="J36">
        <v>11.6740711036656</v>
      </c>
      <c r="K36">
        <v>3.74378700597953</v>
      </c>
      <c r="L36">
        <v>3.1350426487200322E-5</v>
      </c>
      <c r="M36">
        <v>1.8273767829997091E-6</v>
      </c>
      <c r="N36" s="1">
        <v>-1.2363234937863101E-7</v>
      </c>
      <c r="O36" s="1">
        <v>3.3665003066080502E-11</v>
      </c>
      <c r="P36" s="1">
        <v>4.3952857296667398E-10</v>
      </c>
      <c r="Q36">
        <v>65.962934722784894</v>
      </c>
      <c r="S36">
        <v>20.692371202069101</v>
      </c>
      <c r="AA36">
        <v>1.6798690681638699</v>
      </c>
      <c r="AB36">
        <v>8.9075273931732895</v>
      </c>
      <c r="AC36">
        <v>2.75729761380871</v>
      </c>
      <c r="AJ36">
        <v>0.76459969280575002</v>
      </c>
      <c r="AK36">
        <v>7.9682541265556406E-2</v>
      </c>
      <c r="AL36">
        <v>0.15571776592869199</v>
      </c>
    </row>
    <row r="37" spans="1:38" x14ac:dyDescent="0.2">
      <c r="A37">
        <v>70</v>
      </c>
      <c r="B37">
        <v>758</v>
      </c>
      <c r="C37">
        <v>175</v>
      </c>
      <c r="D37">
        <v>0.41006691557969399</v>
      </c>
      <c r="E37">
        <v>10.086586350515599</v>
      </c>
      <c r="F37">
        <v>2.5231328526336299</v>
      </c>
      <c r="G37">
        <v>-160.27720809882143</v>
      </c>
      <c r="H37">
        <v>-138.60368765672129</v>
      </c>
      <c r="I37">
        <v>21.018785280609102</v>
      </c>
      <c r="J37">
        <v>12.0506999324263</v>
      </c>
      <c r="K37">
        <v>3.9976437784428702</v>
      </c>
      <c r="L37">
        <v>2.9072620190383768E-5</v>
      </c>
      <c r="M37">
        <v>1.8078190310041017E-6</v>
      </c>
      <c r="N37" s="1">
        <v>-7.0514519218924396E-8</v>
      </c>
      <c r="O37" s="1">
        <v>3.7898535106730197E-11</v>
      </c>
      <c r="P37" s="1">
        <v>2.85733674948645E-10</v>
      </c>
      <c r="Q37">
        <v>66.268105778866101</v>
      </c>
      <c r="S37">
        <v>19.132979827779799</v>
      </c>
      <c r="AA37">
        <v>0.32214772350374299</v>
      </c>
      <c r="AB37">
        <v>5.4994375066236696</v>
      </c>
      <c r="AC37">
        <v>8.7773291632265398</v>
      </c>
      <c r="AJ37">
        <v>0.48020391602641199</v>
      </c>
      <c r="AK37">
        <v>1.55443756545808E-2</v>
      </c>
      <c r="AL37">
        <v>0.50425170831900601</v>
      </c>
    </row>
    <row r="38" spans="1:38" x14ac:dyDescent="0.2">
      <c r="A38">
        <v>71</v>
      </c>
      <c r="B38">
        <v>756</v>
      </c>
      <c r="C38">
        <v>175</v>
      </c>
      <c r="D38">
        <v>0.40878443375601398</v>
      </c>
      <c r="E38">
        <v>17.147556149110901</v>
      </c>
      <c r="F38">
        <v>2.5620710557216202</v>
      </c>
      <c r="G38">
        <v>-277.64067589898457</v>
      </c>
      <c r="H38">
        <v>-240.47554119926687</v>
      </c>
      <c r="I38">
        <v>36.112456590115798</v>
      </c>
      <c r="J38">
        <v>20.9132603196073</v>
      </c>
      <c r="K38">
        <v>6.6928495643463899</v>
      </c>
      <c r="L38">
        <v>3.1369123640661407E-5</v>
      </c>
      <c r="M38">
        <v>1.8234279647675256E-6</v>
      </c>
      <c r="N38" s="1">
        <v>-2.3610008634631299E-7</v>
      </c>
      <c r="O38" s="1">
        <v>5.9806530919859801E-11</v>
      </c>
      <c r="P38" s="1">
        <v>8.2971836239625604E-10</v>
      </c>
      <c r="Q38">
        <v>65.732126410322195</v>
      </c>
      <c r="S38">
        <v>20.8972655170246</v>
      </c>
      <c r="AA38">
        <v>1.90276494031354</v>
      </c>
      <c r="AB38">
        <v>8.9303405290313709</v>
      </c>
      <c r="AC38">
        <v>2.5375026033082402</v>
      </c>
      <c r="AJ38">
        <v>0.76646736290514506</v>
      </c>
      <c r="AK38">
        <v>9.0244673537940703E-2</v>
      </c>
      <c r="AL38">
        <v>0.14328796355691301</v>
      </c>
    </row>
    <row r="39" spans="1:38" x14ac:dyDescent="0.2">
      <c r="A39">
        <v>71</v>
      </c>
      <c r="B39">
        <v>756</v>
      </c>
      <c r="C39">
        <v>175</v>
      </c>
      <c r="D39">
        <v>0.40878443375601398</v>
      </c>
      <c r="E39">
        <v>34.741962897646097</v>
      </c>
      <c r="F39">
        <v>2.5226157850681599</v>
      </c>
      <c r="G39">
        <v>-551.37156012550122</v>
      </c>
      <c r="H39">
        <v>-477.02965064212958</v>
      </c>
      <c r="I39">
        <v>72.2362235664107</v>
      </c>
      <c r="J39">
        <v>41.4654753069645</v>
      </c>
      <c r="K39">
        <v>13.7721975353085</v>
      </c>
      <c r="L39">
        <v>2.8941285342444751E-5</v>
      </c>
      <c r="M39">
        <v>1.8054836579501711E-6</v>
      </c>
      <c r="N39" s="1">
        <v>-2.4629394429792402E-7</v>
      </c>
      <c r="O39" s="1">
        <v>1.30704670100245E-10</v>
      </c>
      <c r="P39" s="1">
        <v>9.9320222008337009E-10</v>
      </c>
      <c r="Q39">
        <v>66.199911235749596</v>
      </c>
      <c r="S39">
        <v>19.1058021554073</v>
      </c>
      <c r="AA39">
        <v>0.31563812987640599</v>
      </c>
      <c r="AB39">
        <v>5.2762198222708596</v>
      </c>
      <c r="AC39">
        <v>9.1024286566957002</v>
      </c>
      <c r="AJ39">
        <v>0.46123330438975302</v>
      </c>
      <c r="AK39">
        <v>1.52474785009559E-2</v>
      </c>
      <c r="AL39">
        <v>0.52351921710928995</v>
      </c>
    </row>
    <row r="40" spans="1:38" x14ac:dyDescent="0.2">
      <c r="A40">
        <v>72</v>
      </c>
      <c r="B40">
        <v>754</v>
      </c>
      <c r="C40">
        <v>175</v>
      </c>
      <c r="D40">
        <v>0.40749695760112897</v>
      </c>
      <c r="E40">
        <v>18.781975614973302</v>
      </c>
      <c r="F40">
        <v>2.5629345620903599</v>
      </c>
      <c r="G40">
        <v>-304.08190708152711</v>
      </c>
      <c r="H40">
        <v>-263.50017595253951</v>
      </c>
      <c r="I40">
        <v>39.509060146023103</v>
      </c>
      <c r="J40">
        <v>22.923344880442301</v>
      </c>
      <c r="K40">
        <v>7.3283086867635596</v>
      </c>
      <c r="L40">
        <v>3.1441415262568736E-5</v>
      </c>
      <c r="M40">
        <v>1.8230552580063994E-6</v>
      </c>
      <c r="N40" s="1">
        <v>-2.7569164361609601E-7</v>
      </c>
      <c r="O40" s="1">
        <v>6.5284228133710403E-11</v>
      </c>
      <c r="P40" s="1">
        <v>9.5808556830400394E-10</v>
      </c>
      <c r="Q40">
        <v>65.688373722587002</v>
      </c>
      <c r="S40">
        <v>20.939920992536202</v>
      </c>
      <c r="AA40">
        <v>1.9481652359132</v>
      </c>
      <c r="AB40">
        <v>8.9446668849827606</v>
      </c>
      <c r="AC40">
        <v>2.4788731639807602</v>
      </c>
      <c r="AJ40">
        <v>0.76764156830732699</v>
      </c>
      <c r="AK40">
        <v>9.2391260519000901E-2</v>
      </c>
      <c r="AL40">
        <v>0.139967171173671</v>
      </c>
    </row>
    <row r="41" spans="1:38" x14ac:dyDescent="0.2">
      <c r="A41">
        <v>72</v>
      </c>
      <c r="B41">
        <v>754</v>
      </c>
      <c r="C41">
        <v>175</v>
      </c>
      <c r="D41">
        <v>0.40749695760112897</v>
      </c>
      <c r="E41">
        <v>39.164895256637301</v>
      </c>
      <c r="F41">
        <v>2.5225161137186101</v>
      </c>
      <c r="G41">
        <v>-621.22299865486264</v>
      </c>
      <c r="H41">
        <v>-537.70022772827235</v>
      </c>
      <c r="I41">
        <v>81.315066861305894</v>
      </c>
      <c r="J41">
        <v>46.741838824323501</v>
      </c>
      <c r="K41">
        <v>15.526122922918301</v>
      </c>
      <c r="L41">
        <v>2.8932978864025186E-5</v>
      </c>
      <c r="M41">
        <v>1.8050996443125516E-6</v>
      </c>
      <c r="N41" s="1">
        <v>-2.93241669762748E-7</v>
      </c>
      <c r="O41" s="1">
        <v>1.47290040526932E-10</v>
      </c>
      <c r="P41" s="1">
        <v>1.16436297663221E-9</v>
      </c>
      <c r="Q41">
        <v>66.185525456927607</v>
      </c>
      <c r="S41">
        <v>19.093937855236</v>
      </c>
      <c r="AA41">
        <v>0.30920668557630998</v>
      </c>
      <c r="AB41">
        <v>5.2130580801373796</v>
      </c>
      <c r="AC41">
        <v>9.1982719221225793</v>
      </c>
      <c r="AJ41">
        <v>0.45585763760000197</v>
      </c>
      <c r="AK41">
        <v>1.4941573579484099E-2</v>
      </c>
      <c r="AL41">
        <v>0.52920078882051302</v>
      </c>
    </row>
    <row r="42" spans="1:38" x14ac:dyDescent="0.2">
      <c r="A42">
        <v>74</v>
      </c>
      <c r="B42">
        <v>774</v>
      </c>
      <c r="C42">
        <v>150</v>
      </c>
      <c r="D42">
        <v>0.44641216635630598</v>
      </c>
      <c r="E42">
        <v>0.23996744067562401</v>
      </c>
      <c r="F42">
        <v>2.5649123226032899</v>
      </c>
      <c r="G42">
        <v>-3.9053292697192687</v>
      </c>
      <c r="H42">
        <v>-3.3706423019350695</v>
      </c>
      <c r="I42">
        <v>0.51061162945537797</v>
      </c>
      <c r="J42">
        <v>0.29198581086180603</v>
      </c>
      <c r="K42">
        <v>9.3557755780153101E-2</v>
      </c>
      <c r="L42">
        <v>3.1010695194731117E-5</v>
      </c>
      <c r="M42">
        <v>1.821655075079327E-6</v>
      </c>
      <c r="N42" s="1">
        <v>-1.9487107687728601E-9</v>
      </c>
      <c r="O42" s="1">
        <v>8.4158670975281199E-13</v>
      </c>
      <c r="P42" s="1">
        <v>7.6918825331684005E-12</v>
      </c>
      <c r="Q42">
        <v>65.576516956289097</v>
      </c>
      <c r="S42">
        <v>21.1627180207743</v>
      </c>
      <c r="AA42">
        <v>2.1580753127044301</v>
      </c>
      <c r="AB42">
        <v>9.2794914539240292</v>
      </c>
      <c r="AC42">
        <v>1.82319825630804</v>
      </c>
      <c r="AJ42">
        <v>0.79505052064859105</v>
      </c>
      <c r="AK42">
        <v>0.102175774216253</v>
      </c>
      <c r="AL42">
        <v>0.10277370513515501</v>
      </c>
    </row>
    <row r="43" spans="1:38" x14ac:dyDescent="0.2">
      <c r="A43">
        <v>75</v>
      </c>
      <c r="B43">
        <v>772</v>
      </c>
      <c r="C43">
        <v>150</v>
      </c>
      <c r="D43">
        <v>0.44521886810505501</v>
      </c>
      <c r="E43">
        <v>1.05560981270307</v>
      </c>
      <c r="F43">
        <v>2.5640625341207399</v>
      </c>
      <c r="G43">
        <v>-17.171270186681863</v>
      </c>
      <c r="H43">
        <v>-14.826029421361838</v>
      </c>
      <c r="I43">
        <v>2.2439274413433701</v>
      </c>
      <c r="J43">
        <v>1.2848250387092</v>
      </c>
      <c r="K43">
        <v>0.41169425419847</v>
      </c>
      <c r="L43">
        <v>3.1079062247987118E-5</v>
      </c>
      <c r="M43">
        <v>1.8235252148688235E-6</v>
      </c>
      <c r="N43" s="1">
        <v>-9.1143401898256096E-9</v>
      </c>
      <c r="O43" s="1">
        <v>3.7040972655469097E-12</v>
      </c>
      <c r="P43" s="1">
        <v>3.5411127412745097E-11</v>
      </c>
      <c r="Q43">
        <v>65.656782714266797</v>
      </c>
      <c r="S43">
        <v>21.094071326825802</v>
      </c>
      <c r="AA43">
        <v>2.0827121699900402</v>
      </c>
      <c r="AB43">
        <v>9.2783931590341098</v>
      </c>
      <c r="AC43">
        <v>1.88804062988319</v>
      </c>
      <c r="AJ43">
        <v>0.79496203468954696</v>
      </c>
      <c r="AK43">
        <v>9.8608343280593799E-2</v>
      </c>
      <c r="AL43">
        <v>0.10642962202985801</v>
      </c>
    </row>
    <row r="44" spans="1:38" x14ac:dyDescent="0.2">
      <c r="A44">
        <v>76</v>
      </c>
      <c r="B44">
        <v>770</v>
      </c>
      <c r="C44">
        <v>150</v>
      </c>
      <c r="D44">
        <v>0.44402099410439499</v>
      </c>
      <c r="E44">
        <v>2.9501810864446698</v>
      </c>
      <c r="F44">
        <v>2.5618791678345501</v>
      </c>
      <c r="G44">
        <v>-47.946551281663417</v>
      </c>
      <c r="H44">
        <v>-41.411092479457686</v>
      </c>
      <c r="I44">
        <v>6.2651189207743103</v>
      </c>
      <c r="J44">
        <v>3.59097206350806</v>
      </c>
      <c r="K44">
        <v>1.15156917761204</v>
      </c>
      <c r="L44">
        <v>3.1136297040723617E-5</v>
      </c>
      <c r="M44">
        <v>1.826296321869833E-6</v>
      </c>
      <c r="N44" s="1">
        <v>-2.6896305002548698E-8</v>
      </c>
      <c r="O44" s="1">
        <v>1.03809029904797E-11</v>
      </c>
      <c r="P44" s="1">
        <v>1.0306892391152501E-10</v>
      </c>
      <c r="Q44">
        <v>65.8024321082016</v>
      </c>
      <c r="S44">
        <v>20.950714687135999</v>
      </c>
      <c r="AA44">
        <v>1.9304561794714901</v>
      </c>
      <c r="AB44">
        <v>9.2271369554279801</v>
      </c>
      <c r="AC44">
        <v>2.0892600697628398</v>
      </c>
      <c r="AJ44">
        <v>0.79077407152798995</v>
      </c>
      <c r="AK44">
        <v>9.1423152391930204E-2</v>
      </c>
      <c r="AL44">
        <v>0.117802776080079</v>
      </c>
    </row>
    <row r="45" spans="1:38" x14ac:dyDescent="0.2">
      <c r="A45">
        <v>77</v>
      </c>
      <c r="B45">
        <v>768</v>
      </c>
      <c r="C45">
        <v>150</v>
      </c>
      <c r="D45">
        <v>0.442818517984921</v>
      </c>
      <c r="E45">
        <v>5.7220922550568201</v>
      </c>
      <c r="F45">
        <v>2.5584072998866501</v>
      </c>
      <c r="G45">
        <v>-92.865582475008182</v>
      </c>
      <c r="H45">
        <v>-80.227532213537174</v>
      </c>
      <c r="I45">
        <v>12.138548971301899</v>
      </c>
      <c r="J45">
        <v>6.9623827481112697</v>
      </c>
      <c r="K45">
        <v>2.2365837743311299</v>
      </c>
      <c r="L45">
        <v>3.1149705534200788E-5</v>
      </c>
      <c r="M45">
        <v>1.8290260039842844E-6</v>
      </c>
      <c r="N45" s="1">
        <v>-5.4464541952392101E-8</v>
      </c>
      <c r="O45" s="1">
        <v>2.02323672847161E-11</v>
      </c>
      <c r="P45" s="1">
        <v>2.06444261698285E-10</v>
      </c>
      <c r="Q45">
        <v>65.980702666155196</v>
      </c>
      <c r="S45">
        <v>20.748283136796498</v>
      </c>
      <c r="AA45">
        <v>1.7218510801243001</v>
      </c>
      <c r="AB45">
        <v>9.09370270823025</v>
      </c>
      <c r="AC45">
        <v>2.45546040869361</v>
      </c>
      <c r="AJ45">
        <v>0.77985836628247196</v>
      </c>
      <c r="AK45">
        <v>8.1598347032833696E-2</v>
      </c>
      <c r="AL45">
        <v>0.13854328668469301</v>
      </c>
    </row>
    <row r="46" spans="1:38" x14ac:dyDescent="0.2">
      <c r="A46">
        <v>78</v>
      </c>
      <c r="B46">
        <v>766</v>
      </c>
      <c r="C46">
        <v>150</v>
      </c>
      <c r="D46">
        <v>0.44161141317423203</v>
      </c>
      <c r="E46">
        <v>9.3497902423661507</v>
      </c>
      <c r="F46">
        <v>2.5532122799205301</v>
      </c>
      <c r="G46">
        <v>-151.40615455947443</v>
      </c>
      <c r="H46">
        <v>-130.82466701134715</v>
      </c>
      <c r="I46">
        <v>19.806079534357199</v>
      </c>
      <c r="J46">
        <v>11.3627889163101</v>
      </c>
      <c r="K46">
        <v>3.6619713589412801</v>
      </c>
      <c r="L46">
        <v>3.1059611019980159E-5</v>
      </c>
      <c r="M46">
        <v>1.8305404203276821E-6</v>
      </c>
      <c r="N46" s="1">
        <v>-9.0896499921420802E-8</v>
      </c>
      <c r="O46" s="1">
        <v>3.3310314354365602E-11</v>
      </c>
      <c r="P46" s="1">
        <v>3.42446069421604E-10</v>
      </c>
      <c r="Q46">
        <v>66.163781998843604</v>
      </c>
      <c r="S46">
        <v>20.482590406781402</v>
      </c>
      <c r="AA46">
        <v>1.4599327979578001</v>
      </c>
      <c r="AB46">
        <v>8.8051371506585596</v>
      </c>
      <c r="AC46">
        <v>3.08855764575855</v>
      </c>
      <c r="AJ46">
        <v>0.756199075405521</v>
      </c>
      <c r="AK46">
        <v>6.9285710140325002E-2</v>
      </c>
      <c r="AL46">
        <v>0.17451521445415299</v>
      </c>
    </row>
    <row r="47" spans="1:38" x14ac:dyDescent="0.2">
      <c r="A47">
        <v>79</v>
      </c>
      <c r="B47">
        <v>764</v>
      </c>
      <c r="C47">
        <v>150</v>
      </c>
      <c r="D47">
        <v>0.44039965289495597</v>
      </c>
      <c r="E47">
        <v>13.355134972085001</v>
      </c>
      <c r="F47">
        <v>2.557352813764</v>
      </c>
      <c r="G47">
        <v>-216.41278659707342</v>
      </c>
      <c r="H47">
        <v>-187.10668006558618</v>
      </c>
      <c r="I47">
        <v>28.2563819423296</v>
      </c>
      <c r="J47">
        <v>16.242120993978901</v>
      </c>
      <c r="K47">
        <v>5.2222497029764403</v>
      </c>
      <c r="L47">
        <v>3.10663386034576E-5</v>
      </c>
      <c r="M47">
        <v>1.8260621328777508E-6</v>
      </c>
      <c r="N47" s="1">
        <v>-1.3893814882963299E-7</v>
      </c>
      <c r="O47" s="1">
        <v>4.7190013172502502E-11</v>
      </c>
      <c r="P47" s="1">
        <v>5.1583718159303902E-10</v>
      </c>
      <c r="Q47">
        <v>65.896079170857305</v>
      </c>
      <c r="S47">
        <v>20.727745812448202</v>
      </c>
      <c r="AA47">
        <v>1.72465331300205</v>
      </c>
      <c r="AB47">
        <v>8.85128252047598</v>
      </c>
      <c r="AC47">
        <v>2.8002391832163802</v>
      </c>
      <c r="AJ47">
        <v>0.75998344265699602</v>
      </c>
      <c r="AK47">
        <v>8.1829618218714706E-2</v>
      </c>
      <c r="AL47">
        <v>0.158186939124288</v>
      </c>
    </row>
    <row r="48" spans="1:38" x14ac:dyDescent="0.2">
      <c r="A48">
        <v>79</v>
      </c>
      <c r="B48">
        <v>764</v>
      </c>
      <c r="C48">
        <v>150</v>
      </c>
      <c r="D48">
        <v>0.44039965289495597</v>
      </c>
      <c r="E48">
        <v>22.9532352262306</v>
      </c>
      <c r="F48">
        <v>2.52222852033624</v>
      </c>
      <c r="G48">
        <v>-365.41273772008395</v>
      </c>
      <c r="H48">
        <v>-315.61029912488607</v>
      </c>
      <c r="I48">
        <v>48.018549481943602</v>
      </c>
      <c r="J48">
        <v>27.4110705504987</v>
      </c>
      <c r="K48">
        <v>9.1003789074475598</v>
      </c>
      <c r="L48">
        <v>2.9000182727577447E-5</v>
      </c>
      <c r="M48">
        <v>1.8091920860061362E-6</v>
      </c>
      <c r="N48" s="1">
        <v>-1.2923771247348001E-7</v>
      </c>
      <c r="O48" s="1">
        <v>8.6411514841748501E-11</v>
      </c>
      <c r="P48" s="1">
        <v>5.5968381656647299E-10</v>
      </c>
      <c r="Q48">
        <v>66.267417446091699</v>
      </c>
      <c r="S48">
        <v>19.167269266670299</v>
      </c>
      <c r="AA48">
        <v>0.35059747472696301</v>
      </c>
      <c r="AB48">
        <v>5.5877978159253097</v>
      </c>
      <c r="AC48">
        <v>8.6269179965856306</v>
      </c>
      <c r="AJ48">
        <v>0.487701299165682</v>
      </c>
      <c r="AK48">
        <v>1.69095793049144E-2</v>
      </c>
      <c r="AL48">
        <v>0.49538912152940201</v>
      </c>
    </row>
    <row r="49" spans="1:38" x14ac:dyDescent="0.2">
      <c r="A49">
        <v>80</v>
      </c>
      <c r="B49">
        <v>762</v>
      </c>
      <c r="C49">
        <v>150</v>
      </c>
      <c r="D49">
        <v>0.439183210162781</v>
      </c>
      <c r="E49">
        <v>17.036120403035898</v>
      </c>
      <c r="F49">
        <v>2.5602554628921599</v>
      </c>
      <c r="G49">
        <v>-276.16386730767391</v>
      </c>
      <c r="H49">
        <v>-238.89849942798236</v>
      </c>
      <c r="I49">
        <v>35.999968970382596</v>
      </c>
      <c r="J49">
        <v>20.731812057806302</v>
      </c>
      <c r="K49">
        <v>6.6540705214593103</v>
      </c>
      <c r="L49">
        <v>3.1083966372243404E-5</v>
      </c>
      <c r="M49">
        <v>1.8228275185572077E-6</v>
      </c>
      <c r="N49" s="1">
        <v>-1.8912472062418701E-7</v>
      </c>
      <c r="O49" s="1">
        <v>5.9814855021083906E-11</v>
      </c>
      <c r="P49" s="1">
        <v>6.9270652945903001E-10</v>
      </c>
      <c r="Q49">
        <v>65.703374470989601</v>
      </c>
      <c r="S49">
        <v>20.901268766848901</v>
      </c>
      <c r="AA49">
        <v>1.9127765343876799</v>
      </c>
      <c r="AB49">
        <v>8.8767634137186899</v>
      </c>
      <c r="AC49">
        <v>2.6058168140550002</v>
      </c>
      <c r="AJ49">
        <v>0.76207167409931698</v>
      </c>
      <c r="AK49">
        <v>9.0743640788859603E-2</v>
      </c>
      <c r="AL49">
        <v>0.14718468511182201</v>
      </c>
    </row>
    <row r="50" spans="1:38" x14ac:dyDescent="0.2">
      <c r="A50">
        <v>80</v>
      </c>
      <c r="B50">
        <v>762</v>
      </c>
      <c r="C50">
        <v>150</v>
      </c>
      <c r="D50">
        <v>0.439183210162781</v>
      </c>
      <c r="E50">
        <v>37.137396390123797</v>
      </c>
      <c r="F50">
        <v>2.5217219040359402</v>
      </c>
      <c r="G50">
        <v>-590.55729457661118</v>
      </c>
      <c r="H50">
        <v>-510.2998482748784</v>
      </c>
      <c r="I50">
        <v>77.532189829234994</v>
      </c>
      <c r="J50">
        <v>44.3116700469267</v>
      </c>
      <c r="K50">
        <v>14.7269991709579</v>
      </c>
      <c r="L50">
        <v>2.8888824441314448E-5</v>
      </c>
      <c r="M50">
        <v>1.8072145886082993E-6</v>
      </c>
      <c r="N50" s="1">
        <v>-2.13349832852432E-7</v>
      </c>
      <c r="O50" s="1">
        <v>1.3996698428439801E-10</v>
      </c>
      <c r="P50" s="1">
        <v>9.1722907400547895E-10</v>
      </c>
      <c r="Q50">
        <v>66.210846363341304</v>
      </c>
      <c r="S50">
        <v>19.140635147037599</v>
      </c>
      <c r="AA50">
        <v>0.34182414210196899</v>
      </c>
      <c r="AB50">
        <v>5.3919073839474496</v>
      </c>
      <c r="AC50">
        <v>8.91478696357159</v>
      </c>
      <c r="AJ50">
        <v>0.47107036129919799</v>
      </c>
      <c r="AK50">
        <v>1.65027712303428E-2</v>
      </c>
      <c r="AL50">
        <v>0.51242686747045896</v>
      </c>
    </row>
    <row r="51" spans="1:38" x14ac:dyDescent="0.2">
      <c r="A51">
        <v>81</v>
      </c>
      <c r="B51">
        <v>760</v>
      </c>
      <c r="C51">
        <v>150</v>
      </c>
      <c r="D51">
        <v>0.43796205778444602</v>
      </c>
      <c r="E51">
        <v>18.0887471636558</v>
      </c>
      <c r="F51">
        <v>2.56113863741952</v>
      </c>
      <c r="G51">
        <v>-293.20823795826391</v>
      </c>
      <c r="H51">
        <v>-253.76152346176087</v>
      </c>
      <c r="I51">
        <v>38.181013886176203</v>
      </c>
      <c r="J51">
        <v>22.025720114954101</v>
      </c>
      <c r="K51">
        <v>7.0627754778168299</v>
      </c>
      <c r="L51">
        <v>3.1142258435634019E-5</v>
      </c>
      <c r="M51">
        <v>1.8224069715791767E-6</v>
      </c>
      <c r="N51" s="1">
        <v>-2.1405424614744801E-7</v>
      </c>
      <c r="O51" s="1">
        <v>6.3320135506963903E-11</v>
      </c>
      <c r="P51" s="1">
        <v>7.7389235213655296E-10</v>
      </c>
      <c r="Q51">
        <v>65.658961654779802</v>
      </c>
      <c r="S51">
        <v>20.944962311384799</v>
      </c>
      <c r="AA51">
        <v>1.9591872795163801</v>
      </c>
      <c r="AB51">
        <v>8.8923401416643308</v>
      </c>
      <c r="AC51">
        <v>2.5445486126545802</v>
      </c>
      <c r="AJ51">
        <v>0.76334908637000198</v>
      </c>
      <c r="AK51">
        <v>9.2938116394240697E-2</v>
      </c>
      <c r="AL51">
        <v>0.143712797235756</v>
      </c>
    </row>
    <row r="52" spans="1:38" x14ac:dyDescent="0.2">
      <c r="A52">
        <v>81</v>
      </c>
      <c r="B52">
        <v>760</v>
      </c>
      <c r="C52">
        <v>150</v>
      </c>
      <c r="D52">
        <v>0.43796205778444602</v>
      </c>
      <c r="E52">
        <v>40.227474318442198</v>
      </c>
      <c r="F52">
        <v>2.5215957660253099</v>
      </c>
      <c r="G52">
        <v>-639.33680706447649</v>
      </c>
      <c r="H52">
        <v>-552.69380470962506</v>
      </c>
      <c r="I52">
        <v>83.862945704739303</v>
      </c>
      <c r="J52">
        <v>47.992844045545297</v>
      </c>
      <c r="K52">
        <v>15.9531812594415</v>
      </c>
      <c r="L52">
        <v>2.8874329233691279E-5</v>
      </c>
      <c r="M52">
        <v>1.8068070452930106E-6</v>
      </c>
      <c r="N52" s="1">
        <v>-2.4411020655125999E-7</v>
      </c>
      <c r="O52" s="1">
        <v>1.51585614977502E-10</v>
      </c>
      <c r="P52" s="1">
        <v>1.0310229795419201E-9</v>
      </c>
      <c r="Q52">
        <v>66.196816311152105</v>
      </c>
      <c r="S52">
        <v>19.1278348095227</v>
      </c>
      <c r="AA52">
        <v>0.334537453462461</v>
      </c>
      <c r="AB52">
        <v>5.3270844159524202</v>
      </c>
      <c r="AC52">
        <v>9.0137270099102391</v>
      </c>
      <c r="AJ52">
        <v>0.46555972852675198</v>
      </c>
      <c r="AK52">
        <v>1.6156279746037599E-2</v>
      </c>
      <c r="AL52">
        <v>0.51828399172720996</v>
      </c>
    </row>
    <row r="53" spans="1:38" x14ac:dyDescent="0.2">
      <c r="A53">
        <v>83</v>
      </c>
      <c r="B53">
        <v>786</v>
      </c>
      <c r="C53">
        <v>125</v>
      </c>
      <c r="D53">
        <v>0.47944153330501299</v>
      </c>
      <c r="E53">
        <v>0.63298188203670802</v>
      </c>
      <c r="F53">
        <v>2.56228248126305</v>
      </c>
      <c r="G53">
        <v>-10.323130198612306</v>
      </c>
      <c r="H53">
        <v>-8.8869826253995434</v>
      </c>
      <c r="I53">
        <v>1.3559435143395699</v>
      </c>
      <c r="J53">
        <v>0.769044880252445</v>
      </c>
      <c r="K53">
        <v>0.247038289753549</v>
      </c>
      <c r="L53">
        <v>3.0785230503167854E-5</v>
      </c>
      <c r="M53">
        <v>1.8226977072336608E-6</v>
      </c>
      <c r="N53" s="1">
        <v>-3.46639723357684E-9</v>
      </c>
      <c r="O53" s="1">
        <v>2.2369793266338599E-12</v>
      </c>
      <c r="P53" s="1">
        <v>1.5376654476238E-11</v>
      </c>
      <c r="Q53">
        <v>65.628939260600802</v>
      </c>
      <c r="S53">
        <v>21.123521592317498</v>
      </c>
      <c r="AA53">
        <v>2.11350582983586</v>
      </c>
      <c r="AB53">
        <v>9.2935532152280107</v>
      </c>
      <c r="AC53">
        <v>1.8404801020177699</v>
      </c>
      <c r="AJ53">
        <v>0.796200538938591</v>
      </c>
      <c r="AK53">
        <v>0.100058714174258</v>
      </c>
      <c r="AL53">
        <v>0.10374074688715</v>
      </c>
    </row>
    <row r="54" spans="1:38" x14ac:dyDescent="0.2">
      <c r="A54">
        <v>84</v>
      </c>
      <c r="B54">
        <v>784</v>
      </c>
      <c r="C54">
        <v>125</v>
      </c>
      <c r="D54">
        <v>0.47832426807926898</v>
      </c>
      <c r="E54">
        <v>1.41196024417702</v>
      </c>
      <c r="F54">
        <v>2.56151830302831</v>
      </c>
      <c r="G54">
        <v>-23.01672190411962</v>
      </c>
      <c r="H54">
        <v>-19.822385625821909</v>
      </c>
      <c r="I54">
        <v>3.02164903589623</v>
      </c>
      <c r="J54">
        <v>1.7157315642700599</v>
      </c>
      <c r="K54">
        <v>0.55122004887013898</v>
      </c>
      <c r="L54">
        <v>3.0836929345328037E-5</v>
      </c>
      <c r="M54">
        <v>1.8243680182231598E-6</v>
      </c>
      <c r="N54" s="1">
        <v>-8.2378804938785399E-9</v>
      </c>
      <c r="O54" s="1">
        <v>4.99357621634147E-12</v>
      </c>
      <c r="P54" s="1">
        <v>3.5779326849331201E-11</v>
      </c>
      <c r="Q54">
        <v>65.701542199645203</v>
      </c>
      <c r="S54">
        <v>21.0611819082465</v>
      </c>
      <c r="AA54">
        <v>2.0451340488897598</v>
      </c>
      <c r="AB54">
        <v>9.2919133855705294</v>
      </c>
      <c r="AC54">
        <v>1.90022845764791</v>
      </c>
      <c r="AJ54">
        <v>0.79606769106015796</v>
      </c>
      <c r="AK54">
        <v>9.6822750297450993E-2</v>
      </c>
      <c r="AL54">
        <v>0.10710955864239</v>
      </c>
    </row>
    <row r="55" spans="1:38" x14ac:dyDescent="0.2">
      <c r="A55">
        <v>85</v>
      </c>
      <c r="B55">
        <v>782</v>
      </c>
      <c r="C55">
        <v>125</v>
      </c>
      <c r="D55">
        <v>0.47720276737904699</v>
      </c>
      <c r="E55">
        <v>2.1909921259773002</v>
      </c>
      <c r="F55">
        <v>2.5607773018703202</v>
      </c>
      <c r="G55">
        <v>-35.699462084975472</v>
      </c>
      <c r="H55">
        <v>-30.75701642941959</v>
      </c>
      <c r="I55">
        <v>4.6841166237557497</v>
      </c>
      <c r="J55">
        <v>2.6627945235302102</v>
      </c>
      <c r="K55">
        <v>0.85559651140966297</v>
      </c>
      <c r="L55">
        <v>3.0887475489481242E-5</v>
      </c>
      <c r="M55">
        <v>1.8259338414673523E-6</v>
      </c>
      <c r="N55" s="1">
        <v>-1.36059578561593E-8</v>
      </c>
      <c r="O55" s="1">
        <v>7.7536266578041296E-12</v>
      </c>
      <c r="P55" s="1">
        <v>5.7925699071790798E-11</v>
      </c>
      <c r="Q55">
        <v>65.769837273888498</v>
      </c>
      <c r="S55">
        <v>21.001492200746199</v>
      </c>
      <c r="AA55">
        <v>1.9799537071070601</v>
      </c>
      <c r="AB55">
        <v>9.2876209682828001</v>
      </c>
      <c r="AC55">
        <v>1.96109584997529</v>
      </c>
      <c r="AJ55">
        <v>0.79571799648655495</v>
      </c>
      <c r="AK55">
        <v>9.3739044782990499E-2</v>
      </c>
      <c r="AL55">
        <v>0.110542958730453</v>
      </c>
    </row>
    <row r="56" spans="1:38" x14ac:dyDescent="0.2">
      <c r="A56">
        <v>86</v>
      </c>
      <c r="B56">
        <v>780</v>
      </c>
      <c r="C56">
        <v>125</v>
      </c>
      <c r="D56">
        <v>0.47607700707401701</v>
      </c>
      <c r="E56">
        <v>3.4037713173216901</v>
      </c>
      <c r="F56">
        <v>2.5595391158807099</v>
      </c>
      <c r="G56">
        <v>-55.425417870544386</v>
      </c>
      <c r="H56">
        <v>-47.769436339211488</v>
      </c>
      <c r="I56">
        <v>7.26960217569472</v>
      </c>
      <c r="J56">
        <v>4.13700672633074</v>
      </c>
      <c r="K56">
        <v>1.32983758529139</v>
      </c>
      <c r="L56">
        <v>3.0932517586462772E-5</v>
      </c>
      <c r="M56">
        <v>1.8277561417712685E-6</v>
      </c>
      <c r="N56" s="1">
        <v>-2.2416556374218401E-8</v>
      </c>
      <c r="O56" s="1">
        <v>1.2062546077244199E-11</v>
      </c>
      <c r="P56" s="1">
        <v>9.3713021229884799E-11</v>
      </c>
      <c r="Q56">
        <v>65.859653897857498</v>
      </c>
      <c r="S56">
        <v>20.915179021676099</v>
      </c>
      <c r="AA56">
        <v>1.8877869692667</v>
      </c>
      <c r="AB56">
        <v>9.2614912786113592</v>
      </c>
      <c r="AC56">
        <v>2.0758888325883</v>
      </c>
      <c r="AJ56">
        <v>0.79358374109544305</v>
      </c>
      <c r="AK56">
        <v>8.93872576649275E-2</v>
      </c>
      <c r="AL56">
        <v>0.117029001239629</v>
      </c>
    </row>
    <row r="57" spans="1:38" x14ac:dyDescent="0.2">
      <c r="A57">
        <v>87</v>
      </c>
      <c r="B57">
        <v>778</v>
      </c>
      <c r="C57">
        <v>125</v>
      </c>
      <c r="D57">
        <v>0.47494696285021398</v>
      </c>
      <c r="E57">
        <v>6.0205156305167904</v>
      </c>
      <c r="F57">
        <v>2.5565265558762298</v>
      </c>
      <c r="G57">
        <v>-97.912304605345284</v>
      </c>
      <c r="H57">
        <v>-84.410655213955138</v>
      </c>
      <c r="I57">
        <v>12.844645760728801</v>
      </c>
      <c r="J57">
        <v>7.3145980453670001</v>
      </c>
      <c r="K57">
        <v>2.35495915998936</v>
      </c>
      <c r="L57">
        <v>3.0940809700769282E-5</v>
      </c>
      <c r="M57">
        <v>1.8301415569079984E-6</v>
      </c>
      <c r="N57" s="1">
        <v>-4.14843977916369E-8</v>
      </c>
      <c r="O57" s="1">
        <v>2.1427704954316101E-11</v>
      </c>
      <c r="P57" s="1">
        <v>1.71008586940039E-10</v>
      </c>
      <c r="Q57">
        <v>66.014916700788206</v>
      </c>
      <c r="S57">
        <v>20.738706371548101</v>
      </c>
      <c r="AA57">
        <v>1.7059667734903401</v>
      </c>
      <c r="AB57">
        <v>9.1448401147634097</v>
      </c>
      <c r="AC57">
        <v>2.3955700394098498</v>
      </c>
      <c r="AJ57">
        <v>0.78404503769134304</v>
      </c>
      <c r="AK57">
        <v>8.0825100311364098E-2</v>
      </c>
      <c r="AL57">
        <v>0.13512986199729199</v>
      </c>
    </row>
    <row r="58" spans="1:38" x14ac:dyDescent="0.2">
      <c r="A58">
        <v>88</v>
      </c>
      <c r="B58">
        <v>776</v>
      </c>
      <c r="C58">
        <v>125</v>
      </c>
      <c r="D58">
        <v>0.47381261020826598</v>
      </c>
      <c r="E58">
        <v>9.1710855934296092</v>
      </c>
      <c r="F58">
        <v>2.5525412421492599</v>
      </c>
      <c r="G58">
        <v>-148.89217106702981</v>
      </c>
      <c r="H58">
        <v>-128.39043526349536</v>
      </c>
      <c r="I58">
        <v>19.5412818029208</v>
      </c>
      <c r="J58">
        <v>11.132672900574001</v>
      </c>
      <c r="K58">
        <v>3.5929235704365898</v>
      </c>
      <c r="L58">
        <v>3.0885972143162431E-5</v>
      </c>
      <c r="M58">
        <v>1.8316220020533313E-6</v>
      </c>
      <c r="N58" s="1">
        <v>-6.5156416966553695E-8</v>
      </c>
      <c r="O58" s="1">
        <v>3.2827789346621797E-11</v>
      </c>
      <c r="P58" s="1">
        <v>2.6597715113600598E-10</v>
      </c>
      <c r="Q58">
        <v>66.165102530122795</v>
      </c>
      <c r="S58">
        <v>20.529818330887601</v>
      </c>
      <c r="AA58">
        <v>1.49858819099956</v>
      </c>
      <c r="AB58">
        <v>8.9318940269037306</v>
      </c>
      <c r="AC58">
        <v>2.8745969210861801</v>
      </c>
      <c r="AJ58">
        <v>0.76660142891421001</v>
      </c>
      <c r="AK58">
        <v>7.1075374884956702E-2</v>
      </c>
      <c r="AL58">
        <v>0.16232319620083299</v>
      </c>
    </row>
    <row r="59" spans="1:38" x14ac:dyDescent="0.2">
      <c r="A59">
        <v>89</v>
      </c>
      <c r="B59">
        <v>774</v>
      </c>
      <c r="C59">
        <v>125</v>
      </c>
      <c r="D59">
        <v>0.47267392446163797</v>
      </c>
      <c r="E59">
        <v>12.0667194495987</v>
      </c>
      <c r="F59">
        <v>2.5492757889248798</v>
      </c>
      <c r="G59">
        <v>-195.55535519826637</v>
      </c>
      <c r="H59">
        <v>-168.67409558447707</v>
      </c>
      <c r="I59">
        <v>25.670877728872899</v>
      </c>
      <c r="J59">
        <v>14.630606884812799</v>
      </c>
      <c r="K59">
        <v>4.7333911466235303</v>
      </c>
      <c r="L59">
        <v>3.0760662563074897E-5</v>
      </c>
      <c r="M59">
        <v>1.8305755799666104E-6</v>
      </c>
      <c r="N59" s="1">
        <v>-8.7498878695154794E-8</v>
      </c>
      <c r="O59" s="1">
        <v>4.3382769050262E-11</v>
      </c>
      <c r="P59" s="1">
        <v>3.5478704260190899E-10</v>
      </c>
      <c r="Q59">
        <v>66.210605295636796</v>
      </c>
      <c r="S59">
        <v>20.386520307840001</v>
      </c>
      <c r="AA59">
        <v>1.3697484064608101</v>
      </c>
      <c r="AB59">
        <v>8.6576201026575603</v>
      </c>
      <c r="AC59">
        <v>3.3755058874047399</v>
      </c>
      <c r="AJ59">
        <v>0.74407721183310005</v>
      </c>
      <c r="AK59">
        <v>6.5053560785883202E-2</v>
      </c>
      <c r="AL59">
        <v>0.190869227381015</v>
      </c>
    </row>
    <row r="60" spans="1:38" x14ac:dyDescent="0.2">
      <c r="A60">
        <v>89</v>
      </c>
      <c r="B60">
        <v>774</v>
      </c>
      <c r="C60">
        <v>125</v>
      </c>
      <c r="D60">
        <v>0.47267392446163797</v>
      </c>
      <c r="E60">
        <v>5.2700910846511198</v>
      </c>
      <c r="F60">
        <v>2.5231165021427602</v>
      </c>
      <c r="G60">
        <v>-84.283682170670261</v>
      </c>
      <c r="H60">
        <v>-72.642638967820631</v>
      </c>
      <c r="I60">
        <v>11.116882206799</v>
      </c>
      <c r="J60">
        <v>6.30640778835527</v>
      </c>
      <c r="K60">
        <v>2.0887228473895201</v>
      </c>
      <c r="L60">
        <v>2.9233525413225429E-5</v>
      </c>
      <c r="M60">
        <v>1.8155645809704201E-6</v>
      </c>
      <c r="N60" s="1">
        <v>-2.3364025219115302E-8</v>
      </c>
      <c r="O60" s="1">
        <v>1.97988507818109E-11</v>
      </c>
      <c r="P60" s="1">
        <v>1.10302686607437E-10</v>
      </c>
      <c r="Q60">
        <v>66.393604331627401</v>
      </c>
      <c r="S60">
        <v>19.279391021347301</v>
      </c>
      <c r="AA60">
        <v>0.41365508571593901</v>
      </c>
      <c r="AB60">
        <v>6.1629402811793303</v>
      </c>
      <c r="AC60">
        <v>7.75040928012994</v>
      </c>
      <c r="AJ60">
        <v>0.53634028603555395</v>
      </c>
      <c r="AK60">
        <v>1.9893061182004401E-2</v>
      </c>
      <c r="AL60">
        <v>0.44376665278243999</v>
      </c>
    </row>
    <row r="61" spans="1:38" x14ac:dyDescent="0.2">
      <c r="A61">
        <v>90</v>
      </c>
      <c r="B61">
        <v>772</v>
      </c>
      <c r="C61">
        <v>125</v>
      </c>
      <c r="D61">
        <v>0.47153088073482102</v>
      </c>
      <c r="E61">
        <v>14.0657082831219</v>
      </c>
      <c r="F61">
        <v>2.55522075542514</v>
      </c>
      <c r="G61">
        <v>-228.23412276717423</v>
      </c>
      <c r="H61">
        <v>-196.99380012181194</v>
      </c>
      <c r="I61">
        <v>29.890755054644998</v>
      </c>
      <c r="J61">
        <v>17.0707943439151</v>
      </c>
      <c r="K61">
        <v>5.5046939694967998</v>
      </c>
      <c r="L61">
        <v>3.0775086453113483E-5</v>
      </c>
      <c r="M61">
        <v>1.8250564823922108E-6</v>
      </c>
      <c r="N61" s="1">
        <v>-1.1041512805174501E-7</v>
      </c>
      <c r="O61" s="1">
        <v>5.0029579297267803E-11</v>
      </c>
      <c r="P61" s="1">
        <v>4.3859381119652502E-10</v>
      </c>
      <c r="Q61">
        <v>65.861608177882701</v>
      </c>
      <c r="S61">
        <v>20.7274876545038</v>
      </c>
      <c r="AA61">
        <v>1.73248366501657</v>
      </c>
      <c r="AB61">
        <v>8.7737889662790192</v>
      </c>
      <c r="AC61">
        <v>2.9046315363177402</v>
      </c>
      <c r="AJ61">
        <v>0.753619882249564</v>
      </c>
      <c r="AK61">
        <v>8.2232804571236606E-2</v>
      </c>
      <c r="AL61">
        <v>0.16414731317919801</v>
      </c>
    </row>
    <row r="62" spans="1:38" x14ac:dyDescent="0.2">
      <c r="A62">
        <v>90</v>
      </c>
      <c r="B62">
        <v>772</v>
      </c>
      <c r="C62">
        <v>125</v>
      </c>
      <c r="D62">
        <v>0.47153088073482102</v>
      </c>
      <c r="E62">
        <v>28.634586331624799</v>
      </c>
      <c r="F62">
        <v>2.52152381460178</v>
      </c>
      <c r="G62">
        <v>-456.96099470331876</v>
      </c>
      <c r="H62">
        <v>-394.02266243419507</v>
      </c>
      <c r="I62">
        <v>60.219425220421698</v>
      </c>
      <c r="J62">
        <v>34.1935039034773</v>
      </c>
      <c r="K62">
        <v>11.356064204433</v>
      </c>
      <c r="L62">
        <v>2.8961148397994359E-5</v>
      </c>
      <c r="M62">
        <v>1.8109157280121464E-6</v>
      </c>
      <c r="N62" s="1">
        <v>-1.2185945411366101E-7</v>
      </c>
      <c r="O62" s="1">
        <v>1.0795456601346901E-10</v>
      </c>
      <c r="P62" s="1">
        <v>5.83595303320706E-10</v>
      </c>
      <c r="Q62">
        <v>66.2748462615682</v>
      </c>
      <c r="S62">
        <v>19.216971456082899</v>
      </c>
      <c r="AA62">
        <v>0.38986887736900999</v>
      </c>
      <c r="AB62">
        <v>5.7346532841680702</v>
      </c>
      <c r="AC62">
        <v>8.3836601208117205</v>
      </c>
      <c r="AJ62">
        <v>0.50014727311323104</v>
      </c>
      <c r="AK62">
        <v>1.87897108738511E-2</v>
      </c>
      <c r="AL62">
        <v>0.48106301601291701</v>
      </c>
    </row>
    <row r="63" spans="1:38" x14ac:dyDescent="0.2">
      <c r="A63">
        <v>91</v>
      </c>
      <c r="B63">
        <v>770</v>
      </c>
      <c r="C63">
        <v>125</v>
      </c>
      <c r="D63">
        <v>0.47038345396155901</v>
      </c>
      <c r="E63">
        <v>16.238431141001701</v>
      </c>
      <c r="F63">
        <v>2.5580880205611098</v>
      </c>
      <c r="G63">
        <v>-263.59013769018361</v>
      </c>
      <c r="H63">
        <v>-227.63611295924716</v>
      </c>
      <c r="I63">
        <v>34.466783042646099</v>
      </c>
      <c r="J63">
        <v>19.717989255440902</v>
      </c>
      <c r="K63">
        <v>6.3478781849890504</v>
      </c>
      <c r="L63">
        <v>3.0785327387791455E-5</v>
      </c>
      <c r="M63">
        <v>1.8219948900719393E-6</v>
      </c>
      <c r="N63" s="1">
        <v>-1.3624127987815801E-7</v>
      </c>
      <c r="O63" s="1">
        <v>5.74199073004979E-11</v>
      </c>
      <c r="P63" s="1">
        <v>5.3213030075987799E-10</v>
      </c>
      <c r="Q63">
        <v>65.677298080204395</v>
      </c>
      <c r="S63">
        <v>20.896508152961101</v>
      </c>
      <c r="AA63">
        <v>1.9149335484880801</v>
      </c>
      <c r="AB63">
        <v>8.8061730067850696</v>
      </c>
      <c r="AC63">
        <v>2.7050872115612701</v>
      </c>
      <c r="AJ63">
        <v>0.75627675131836303</v>
      </c>
      <c r="AK63">
        <v>9.0877848076166598E-2</v>
      </c>
      <c r="AL63">
        <v>0.152845400605469</v>
      </c>
    </row>
    <row r="64" spans="1:38" x14ac:dyDescent="0.2">
      <c r="A64">
        <v>91</v>
      </c>
      <c r="B64">
        <v>770</v>
      </c>
      <c r="C64">
        <v>125</v>
      </c>
      <c r="D64">
        <v>0.47038345396155901</v>
      </c>
      <c r="E64">
        <v>38.762482507351201</v>
      </c>
      <c r="F64">
        <v>2.52093136880602</v>
      </c>
      <c r="G64">
        <v>-617.88138604595963</v>
      </c>
      <c r="H64">
        <v>-533.01779572516455</v>
      </c>
      <c r="I64">
        <v>81.353199751516996</v>
      </c>
      <c r="J64">
        <v>46.246310429622497</v>
      </c>
      <c r="K64">
        <v>15.376254580746499</v>
      </c>
      <c r="L64">
        <v>2.8848519731284603E-5</v>
      </c>
      <c r="M64">
        <v>1.8089629473512291E-6</v>
      </c>
      <c r="N64" s="1">
        <v>-1.68150952188042E-7</v>
      </c>
      <c r="O64" s="1">
        <v>1.4632135531181701E-10</v>
      </c>
      <c r="P64" s="1">
        <v>7.9878776049661602E-10</v>
      </c>
      <c r="Q64">
        <v>66.221336688666099</v>
      </c>
      <c r="S64">
        <v>19.187347493290499</v>
      </c>
      <c r="AA64">
        <v>0.37791453205415898</v>
      </c>
      <c r="AB64">
        <v>5.5377470001862301</v>
      </c>
      <c r="AC64">
        <v>8.6756542858029295</v>
      </c>
      <c r="AJ64">
        <v>0.48345484620652301</v>
      </c>
      <c r="AK64">
        <v>1.8231701013399999E-2</v>
      </c>
      <c r="AL64">
        <v>0.49831345278007499</v>
      </c>
    </row>
    <row r="65" spans="1:38" x14ac:dyDescent="0.2">
      <c r="A65">
        <v>92</v>
      </c>
      <c r="B65">
        <v>768</v>
      </c>
      <c r="C65">
        <v>125</v>
      </c>
      <c r="D65">
        <v>0.46923161888296799</v>
      </c>
      <c r="E65">
        <v>17.048715277092199</v>
      </c>
      <c r="F65">
        <v>2.55906639027903</v>
      </c>
      <c r="G65">
        <v>-276.73163740395489</v>
      </c>
      <c r="H65">
        <v>-239.09798985010235</v>
      </c>
      <c r="I65">
        <v>36.146230181868603</v>
      </c>
      <c r="J65">
        <v>20.7111565465948</v>
      </c>
      <c r="K65">
        <v>6.66208400917386</v>
      </c>
      <c r="L65">
        <v>3.082821972100861E-5</v>
      </c>
      <c r="M65">
        <v>1.8214273614589954E-6</v>
      </c>
      <c r="N65" s="1">
        <v>-1.5256448947044299E-7</v>
      </c>
      <c r="O65" s="1">
        <v>6.0120072601618901E-11</v>
      </c>
      <c r="P65" s="1">
        <v>5.8647324431770299E-10</v>
      </c>
      <c r="Q65">
        <v>65.626922833578305</v>
      </c>
      <c r="S65">
        <v>20.946023859742599</v>
      </c>
      <c r="AA65">
        <v>1.9675388887095899</v>
      </c>
      <c r="AB65">
        <v>8.8237263335004599</v>
      </c>
      <c r="AC65">
        <v>2.6357880844689299</v>
      </c>
      <c r="AJ65">
        <v>0.75771725791522804</v>
      </c>
      <c r="AK65">
        <v>9.3366109881686296E-2</v>
      </c>
      <c r="AL65">
        <v>0.14891663220308499</v>
      </c>
    </row>
    <row r="66" spans="1:38" x14ac:dyDescent="0.2">
      <c r="A66">
        <v>92</v>
      </c>
      <c r="B66">
        <v>768</v>
      </c>
      <c r="C66">
        <v>125</v>
      </c>
      <c r="D66">
        <v>0.46923161888296799</v>
      </c>
      <c r="E66">
        <v>41.334476689493997</v>
      </c>
      <c r="F66">
        <v>2.52075644099122</v>
      </c>
      <c r="G66">
        <v>-658.48891668620752</v>
      </c>
      <c r="H66">
        <v>-568.29844213825902</v>
      </c>
      <c r="I66">
        <v>86.625821973729401</v>
      </c>
      <c r="J66">
        <v>49.304144356878098</v>
      </c>
      <c r="K66">
        <v>16.397647950962</v>
      </c>
      <c r="L66">
        <v>2.8824368576913304E-5</v>
      </c>
      <c r="M66">
        <v>1.8084796677219501E-6</v>
      </c>
      <c r="N66" s="1">
        <v>-1.89355661312825E-7</v>
      </c>
      <c r="O66" s="1">
        <v>1.5603929946932E-10</v>
      </c>
      <c r="P66" s="1">
        <v>8.8088051682090596E-10</v>
      </c>
      <c r="Q66">
        <v>66.206497854760499</v>
      </c>
      <c r="S66">
        <v>19.1727395554888</v>
      </c>
      <c r="AA66">
        <v>0.36932527282646999</v>
      </c>
      <c r="AB66">
        <v>5.4663828463454802</v>
      </c>
      <c r="AC66">
        <v>8.7850544705786699</v>
      </c>
      <c r="AJ66">
        <v>0.47739689720203099</v>
      </c>
      <c r="AK66">
        <v>1.7823761604614401E-2</v>
      </c>
      <c r="AL66">
        <v>0.50477934119335299</v>
      </c>
    </row>
    <row r="67" spans="1:38" x14ac:dyDescent="0.2">
      <c r="A67">
        <v>93</v>
      </c>
      <c r="B67">
        <v>804</v>
      </c>
      <c r="C67">
        <v>100</v>
      </c>
      <c r="D67">
        <v>0.514840551455232</v>
      </c>
      <c r="E67">
        <v>4.1561533249925703E-2</v>
      </c>
      <c r="F67">
        <v>2.5601054642122199</v>
      </c>
      <c r="G67">
        <v>-0.67991396595357656</v>
      </c>
      <c r="H67">
        <v>-0.5830862475282218</v>
      </c>
      <c r="I67">
        <v>8.9892511187257801E-2</v>
      </c>
      <c r="J67">
        <v>5.0450499782402999E-2</v>
      </c>
      <c r="K67">
        <v>1.62343051217676E-2</v>
      </c>
      <c r="L67">
        <v>3.0553705539162186E-5</v>
      </c>
      <c r="M67">
        <v>1.821849875987024E-6</v>
      </c>
      <c r="N67" s="1">
        <v>-1.208168826326E-10</v>
      </c>
      <c r="O67" s="1">
        <v>1.47755361449456E-13</v>
      </c>
      <c r="P67" s="1">
        <v>6.9328578334553198E-13</v>
      </c>
      <c r="Q67">
        <v>65.606578098463203</v>
      </c>
      <c r="S67">
        <v>21.147349700705199</v>
      </c>
      <c r="AA67">
        <v>2.1383819347242001</v>
      </c>
      <c r="AB67">
        <v>9.3061910483660295</v>
      </c>
      <c r="AC67">
        <v>1.8014992177411999</v>
      </c>
      <c r="AJ67">
        <v>0.79723285959221202</v>
      </c>
      <c r="AK67">
        <v>0.101230013291514</v>
      </c>
      <c r="AL67">
        <v>0.101537127116272</v>
      </c>
    </row>
    <row r="68" spans="1:38" x14ac:dyDescent="0.2">
      <c r="A68">
        <v>94</v>
      </c>
      <c r="B68">
        <v>802</v>
      </c>
      <c r="C68">
        <v>100</v>
      </c>
      <c r="D68">
        <v>0.51380784076640695</v>
      </c>
      <c r="E68">
        <v>0.78725638447816904</v>
      </c>
      <c r="F68">
        <v>2.55939743014414</v>
      </c>
      <c r="G68">
        <v>-12.873211594631838</v>
      </c>
      <c r="H68">
        <v>-11.044266521207112</v>
      </c>
      <c r="I68">
        <v>1.70110689059641</v>
      </c>
      <c r="J68">
        <v>0.95565062101074005</v>
      </c>
      <c r="K68">
        <v>0.30759442640912199</v>
      </c>
      <c r="L68">
        <v>3.0592247143795867E-5</v>
      </c>
      <c r="M68">
        <v>1.8234405166449243E-6</v>
      </c>
      <c r="N68" s="1">
        <v>-2.46348444763484E-9</v>
      </c>
      <c r="O68" s="1">
        <v>2.8014617224851002E-12</v>
      </c>
      <c r="P68" s="1">
        <v>1.36493437571768E-11</v>
      </c>
      <c r="Q68">
        <v>65.676323885068399</v>
      </c>
      <c r="S68">
        <v>21.088230562223998</v>
      </c>
      <c r="AA68">
        <v>2.0733338143272899</v>
      </c>
      <c r="AB68">
        <v>9.3066272866550399</v>
      </c>
      <c r="AC68">
        <v>1.8554844517251701</v>
      </c>
      <c r="AJ68">
        <v>0.79726961706195798</v>
      </c>
      <c r="AK68">
        <v>9.81505897559736E-2</v>
      </c>
      <c r="AL68">
        <v>0.104579793182067</v>
      </c>
    </row>
    <row r="69" spans="1:38" x14ac:dyDescent="0.2">
      <c r="A69">
        <v>95</v>
      </c>
      <c r="B69">
        <v>800</v>
      </c>
      <c r="C69">
        <v>100</v>
      </c>
      <c r="D69">
        <v>0.51277128080883805</v>
      </c>
      <c r="E69">
        <v>1.53249246389319</v>
      </c>
      <c r="F69">
        <v>2.5587122010626602</v>
      </c>
      <c r="G69">
        <v>-25.048212490875052</v>
      </c>
      <c r="H69">
        <v>-21.498016084217468</v>
      </c>
      <c r="I69">
        <v>3.30820146918657</v>
      </c>
      <c r="J69">
        <v>1.86033715634414</v>
      </c>
      <c r="K69">
        <v>0.59893115890749005</v>
      </c>
      <c r="L69">
        <v>3.0629369636290429E-5</v>
      </c>
      <c r="M69">
        <v>1.8249354758978254E-6</v>
      </c>
      <c r="N69" s="1">
        <v>-5.1509091991322703E-9</v>
      </c>
      <c r="O69" s="1">
        <v>5.4581961486149504E-12</v>
      </c>
      <c r="P69" s="1">
        <v>2.7619767105557499E-11</v>
      </c>
      <c r="Q69">
        <v>65.742128379664194</v>
      </c>
      <c r="S69">
        <v>21.031588115360201</v>
      </c>
      <c r="AA69">
        <v>2.0112486364835598</v>
      </c>
      <c r="AB69">
        <v>9.3047735360919201</v>
      </c>
      <c r="AC69">
        <v>1.91026133239998</v>
      </c>
      <c r="AJ69">
        <v>0.79711920010625004</v>
      </c>
      <c r="AK69">
        <v>9.5212510287115998E-2</v>
      </c>
      <c r="AL69">
        <v>0.10766828960663299</v>
      </c>
    </row>
    <row r="70" spans="1:38" x14ac:dyDescent="0.2">
      <c r="A70">
        <v>96</v>
      </c>
      <c r="B70">
        <v>798</v>
      </c>
      <c r="C70">
        <v>100</v>
      </c>
      <c r="D70">
        <v>0.51173085002101004</v>
      </c>
      <c r="E70">
        <v>2.2763577368633499</v>
      </c>
      <c r="F70">
        <v>2.5580491213032102</v>
      </c>
      <c r="G70">
        <v>-37.189983145514759</v>
      </c>
      <c r="H70">
        <v>-31.931536607198208</v>
      </c>
      <c r="I70">
        <v>4.9091598173146096</v>
      </c>
      <c r="J70">
        <v>2.7634132283824502</v>
      </c>
      <c r="K70">
        <v>0.88988038498011601</v>
      </c>
      <c r="L70">
        <v>3.0665207413834526E-5</v>
      </c>
      <c r="M70">
        <v>1.8263386377495338E-6</v>
      </c>
      <c r="N70" s="1">
        <v>-8.2024293573582893E-9</v>
      </c>
      <c r="O70" s="1">
        <v>8.1140827248571696E-12</v>
      </c>
      <c r="P70" s="1">
        <v>4.2652860332694601E-11</v>
      </c>
      <c r="Q70">
        <v>65.804133272154502</v>
      </c>
      <c r="S70">
        <v>20.977335129928498</v>
      </c>
      <c r="AA70">
        <v>1.95202137399482</v>
      </c>
      <c r="AB70">
        <v>9.3007168597583192</v>
      </c>
      <c r="AC70">
        <v>1.9657933641638099</v>
      </c>
      <c r="AJ70">
        <v>0.79678871414936303</v>
      </c>
      <c r="AK70">
        <v>9.2410668019149295E-2</v>
      </c>
      <c r="AL70">
        <v>0.11080061783148699</v>
      </c>
    </row>
    <row r="71" spans="1:38" x14ac:dyDescent="0.2">
      <c r="A71">
        <v>97</v>
      </c>
      <c r="B71">
        <v>796</v>
      </c>
      <c r="C71">
        <v>100</v>
      </c>
      <c r="D71">
        <v>0.51068652668007097</v>
      </c>
      <c r="E71">
        <v>3.0179999435237899</v>
      </c>
      <c r="F71">
        <v>2.55740745075297</v>
      </c>
      <c r="G71">
        <v>-49.28459692895035</v>
      </c>
      <c r="H71">
        <v>-42.332872005500384</v>
      </c>
      <c r="I71">
        <v>6.5021044039189597</v>
      </c>
      <c r="J71">
        <v>3.6638572973533998</v>
      </c>
      <c r="K71">
        <v>1.18010133372967</v>
      </c>
      <c r="L71">
        <v>3.069990171462476E-5</v>
      </c>
      <c r="M71">
        <v>1.8276540731504871E-6</v>
      </c>
      <c r="N71" s="1">
        <v>-1.16385400761156E-8</v>
      </c>
      <c r="O71" s="1">
        <v>1.07654573232819E-11</v>
      </c>
      <c r="P71" s="1">
        <v>5.8800573763338303E-11</v>
      </c>
      <c r="Q71">
        <v>65.862488933708505</v>
      </c>
      <c r="S71">
        <v>20.925377895595499</v>
      </c>
      <c r="AA71">
        <v>1.8955396278199499</v>
      </c>
      <c r="AB71">
        <v>9.2945466779206605</v>
      </c>
      <c r="AC71">
        <v>2.0220468649553198</v>
      </c>
      <c r="AJ71">
        <v>0.79628544650107602</v>
      </c>
      <c r="AK71">
        <v>8.97396195395814E-2</v>
      </c>
      <c r="AL71">
        <v>0.113974933959341</v>
      </c>
    </row>
    <row r="72" spans="1:38" x14ac:dyDescent="0.2">
      <c r="A72">
        <v>98</v>
      </c>
      <c r="B72">
        <v>794</v>
      </c>
      <c r="C72">
        <v>100</v>
      </c>
      <c r="D72">
        <v>0.50963828890034402</v>
      </c>
      <c r="E72">
        <v>3.7566333945417001</v>
      </c>
      <c r="F72">
        <v>2.5567863861751299</v>
      </c>
      <c r="G72">
        <v>-61.319242312759165</v>
      </c>
      <c r="H72">
        <v>-52.691002933950962</v>
      </c>
      <c r="I72">
        <v>8.0853107611940107</v>
      </c>
      <c r="J72">
        <v>4.5607315381747702</v>
      </c>
      <c r="K72">
        <v>1.4692793323894</v>
      </c>
      <c r="L72">
        <v>3.0733599241481223E-5</v>
      </c>
      <c r="M72">
        <v>1.8288859709802948E-6</v>
      </c>
      <c r="N72" s="1">
        <v>-1.54810724675857E-8</v>
      </c>
      <c r="O72" s="1">
        <v>1.3408895054881699E-11</v>
      </c>
      <c r="P72" s="1">
        <v>7.6119067655788495E-11</v>
      </c>
      <c r="Q72">
        <v>65.917351473401297</v>
      </c>
      <c r="S72">
        <v>20.875618246085399</v>
      </c>
      <c r="AA72">
        <v>1.84168598385766</v>
      </c>
      <c r="AB72">
        <v>9.2863535156277308</v>
      </c>
      <c r="AC72">
        <v>2.0789907810278199</v>
      </c>
      <c r="AJ72">
        <v>0.79561676554920302</v>
      </c>
      <c r="AK72">
        <v>8.7193695965439605E-2</v>
      </c>
      <c r="AL72">
        <v>0.117189538485357</v>
      </c>
    </row>
    <row r="73" spans="1:38" x14ac:dyDescent="0.2">
      <c r="A73">
        <v>99</v>
      </c>
      <c r="B73">
        <v>792</v>
      </c>
      <c r="C73">
        <v>100</v>
      </c>
      <c r="D73">
        <v>0.50858611463174297</v>
      </c>
      <c r="E73">
        <v>5.5174418280606803</v>
      </c>
      <c r="F73">
        <v>2.5550017565772101</v>
      </c>
      <c r="G73">
        <v>-89.984767594179814</v>
      </c>
      <c r="H73">
        <v>-77.349048904606477</v>
      </c>
      <c r="I73">
        <v>11.8628537666744</v>
      </c>
      <c r="J73">
        <v>6.6969164274351698</v>
      </c>
      <c r="K73">
        <v>2.15946694120949</v>
      </c>
      <c r="L73">
        <v>3.0749417933040504E-5</v>
      </c>
      <c r="M73">
        <v>1.8306161130912847E-6</v>
      </c>
      <c r="N73" s="1">
        <v>-2.4053768323675202E-8</v>
      </c>
      <c r="O73" s="1">
        <v>1.9743162022676698E-11</v>
      </c>
      <c r="P73" s="1">
        <v>1.1562964029248801E-10</v>
      </c>
      <c r="Q73">
        <v>66.019218302621596</v>
      </c>
      <c r="S73">
        <v>20.765001667243201</v>
      </c>
      <c r="AA73">
        <v>1.72665694169991</v>
      </c>
      <c r="AB73">
        <v>9.2233625400929693</v>
      </c>
      <c r="AC73">
        <v>2.2657605483421599</v>
      </c>
      <c r="AJ73">
        <v>0.79046885485319895</v>
      </c>
      <c r="AK73">
        <v>8.1773452215756201E-2</v>
      </c>
      <c r="AL73">
        <v>0.127757692931044</v>
      </c>
    </row>
    <row r="74" spans="1:38" x14ac:dyDescent="0.2">
      <c r="A74">
        <v>100</v>
      </c>
      <c r="B74">
        <v>790</v>
      </c>
      <c r="C74">
        <v>100</v>
      </c>
      <c r="D74">
        <v>0.507529981658283</v>
      </c>
      <c r="E74">
        <v>8.2121735427333</v>
      </c>
      <c r="F74">
        <v>2.5520159107737599</v>
      </c>
      <c r="G74">
        <v>-133.75579141114721</v>
      </c>
      <c r="H74">
        <v>-115.00558963220114</v>
      </c>
      <c r="I74">
        <v>17.6364593697465</v>
      </c>
      <c r="J74">
        <v>9.9614937598915407</v>
      </c>
      <c r="K74">
        <v>3.21791627868157</v>
      </c>
      <c r="L74">
        <v>3.072351180280431E-5</v>
      </c>
      <c r="M74">
        <v>1.8321900456020018E-6</v>
      </c>
      <c r="N74" s="1">
        <v>-3.7331168533436699E-8</v>
      </c>
      <c r="O74" s="1">
        <v>2.9512741301433801E-11</v>
      </c>
      <c r="P74" s="1">
        <v>1.7646967545605201E-10</v>
      </c>
      <c r="Q74">
        <v>66.146928294209104</v>
      </c>
      <c r="S74">
        <v>20.601033566044698</v>
      </c>
      <c r="AA74">
        <v>1.56158219868256</v>
      </c>
      <c r="AB74">
        <v>9.0780937142101106</v>
      </c>
      <c r="AC74">
        <v>2.6123622268534299</v>
      </c>
      <c r="AJ74">
        <v>0.77858277646433005</v>
      </c>
      <c r="AK74">
        <v>7.4009210336441894E-2</v>
      </c>
      <c r="AL74">
        <v>0.147408013199227</v>
      </c>
    </row>
    <row r="75" spans="1:38" x14ac:dyDescent="0.2">
      <c r="A75">
        <v>101</v>
      </c>
      <c r="B75">
        <v>788</v>
      </c>
      <c r="C75">
        <v>100</v>
      </c>
      <c r="D75">
        <v>0.50646986759647905</v>
      </c>
      <c r="E75">
        <v>11.5606908836962</v>
      </c>
      <c r="F75">
        <v>2.5479797531338502</v>
      </c>
      <c r="G75">
        <v>-187.94549519376338</v>
      </c>
      <c r="H75">
        <v>-161.63667054735993</v>
      </c>
      <c r="I75">
        <v>24.792748100083301</v>
      </c>
      <c r="J75">
        <v>14.0072734597123</v>
      </c>
      <c r="K75">
        <v>4.5371988805944596</v>
      </c>
      <c r="L75">
        <v>3.0629603518937023E-5</v>
      </c>
      <c r="M75">
        <v>1.8327434107114964E-6</v>
      </c>
      <c r="N75" s="1">
        <v>-5.37645879705142E-8</v>
      </c>
      <c r="O75" s="1">
        <v>4.1788015584761798E-11</v>
      </c>
      <c r="P75" s="1">
        <v>2.51703362416532E-10</v>
      </c>
      <c r="Q75">
        <v>66.267275321424904</v>
      </c>
      <c r="S75">
        <v>20.402275584719099</v>
      </c>
      <c r="AA75">
        <v>1.3695234954184401</v>
      </c>
      <c r="AB75">
        <v>8.8252107232652293</v>
      </c>
      <c r="AC75">
        <v>3.1357148751722299</v>
      </c>
      <c r="AJ75">
        <v>0.75784886692527098</v>
      </c>
      <c r="AK75">
        <v>6.4988692466251996E-2</v>
      </c>
      <c r="AL75">
        <v>0.177162440608476</v>
      </c>
    </row>
    <row r="76" spans="1:38" x14ac:dyDescent="0.2">
      <c r="A76">
        <v>102</v>
      </c>
      <c r="B76">
        <v>786</v>
      </c>
      <c r="C76">
        <v>100</v>
      </c>
      <c r="D76">
        <v>0.50540574989378495</v>
      </c>
      <c r="E76">
        <v>15.6934273880482</v>
      </c>
      <c r="F76">
        <v>2.5423383171068998</v>
      </c>
      <c r="G76">
        <v>-254.41162829905358</v>
      </c>
      <c r="H76">
        <v>-218.83821290172725</v>
      </c>
      <c r="I76">
        <v>33.586758624676698</v>
      </c>
      <c r="J76">
        <v>18.972956420971801</v>
      </c>
      <c r="K76">
        <v>6.1728320272916504</v>
      </c>
      <c r="L76">
        <v>3.0391229073312918E-5</v>
      </c>
      <c r="M76">
        <v>1.8307503137251601E-6</v>
      </c>
      <c r="N76" s="1">
        <v>-7.1747035458793604E-8</v>
      </c>
      <c r="O76" s="1">
        <v>5.7188817080012399E-11</v>
      </c>
      <c r="P76" s="1">
        <v>3.3743578006802102E-10</v>
      </c>
      <c r="Q76">
        <v>66.3427637218211</v>
      </c>
      <c r="S76">
        <v>20.1601520550552</v>
      </c>
      <c r="AA76">
        <v>1.1521549180592101</v>
      </c>
      <c r="AB76">
        <v>8.3586742648017793</v>
      </c>
      <c r="AC76">
        <v>3.98625504026257</v>
      </c>
      <c r="AJ76">
        <v>0.71945779547660005</v>
      </c>
      <c r="AK76">
        <v>5.4801139587582003E-2</v>
      </c>
      <c r="AL76">
        <v>0.225741064935817</v>
      </c>
    </row>
    <row r="77" spans="1:38" x14ac:dyDescent="0.2">
      <c r="A77">
        <v>102</v>
      </c>
      <c r="B77">
        <v>786</v>
      </c>
      <c r="C77">
        <v>100</v>
      </c>
      <c r="D77">
        <v>0.50540574989378495</v>
      </c>
      <c r="E77">
        <v>2.22911604709061</v>
      </c>
      <c r="F77">
        <v>2.5248064310902598</v>
      </c>
      <c r="G77">
        <v>-35.821908331842543</v>
      </c>
      <c r="H77">
        <v>-30.796983469051785</v>
      </c>
      <c r="I77">
        <v>4.7442995447205298</v>
      </c>
      <c r="J77">
        <v>2.6726766552769798</v>
      </c>
      <c r="K77">
        <v>0.88288591934868799</v>
      </c>
      <c r="L77">
        <v>2.9427404774238858E-5</v>
      </c>
      <c r="M77">
        <v>1.8206903482906389E-6</v>
      </c>
      <c r="N77" s="1">
        <v>-7.0658171131017102E-9</v>
      </c>
      <c r="O77" s="1">
        <v>8.3519249467650294E-12</v>
      </c>
      <c r="P77" s="1">
        <v>3.8442169081588601E-11</v>
      </c>
      <c r="Q77">
        <v>66.458706142624195</v>
      </c>
      <c r="S77">
        <v>19.4304669622407</v>
      </c>
      <c r="AA77">
        <v>0.52310366624952798</v>
      </c>
      <c r="AB77">
        <v>6.7040813966302402</v>
      </c>
      <c r="AC77">
        <v>6.8836418322552602</v>
      </c>
      <c r="AJ77">
        <v>0.58184641638050105</v>
      </c>
      <c r="AK77">
        <v>2.50880923368428E-2</v>
      </c>
      <c r="AL77">
        <v>0.393065491282655</v>
      </c>
    </row>
    <row r="78" spans="1:38" x14ac:dyDescent="0.2">
      <c r="A78">
        <v>103</v>
      </c>
      <c r="B78">
        <v>784</v>
      </c>
      <c r="C78">
        <v>100</v>
      </c>
      <c r="D78">
        <v>0.50433760582698905</v>
      </c>
      <c r="E78">
        <v>12.669273336824499</v>
      </c>
      <c r="F78">
        <v>2.5498016322691899</v>
      </c>
      <c r="G78">
        <v>-205.78557596561674</v>
      </c>
      <c r="H78">
        <v>-177.14033050521167</v>
      </c>
      <c r="I78">
        <v>27.096670728283598</v>
      </c>
      <c r="J78">
        <v>15.3398032468947</v>
      </c>
      <c r="K78">
        <v>4.9687290087541003</v>
      </c>
      <c r="L78">
        <v>3.0472016876448036E-5</v>
      </c>
      <c r="M78">
        <v>1.8262431125467586E-6</v>
      </c>
      <c r="N78" s="1">
        <v>-6.4664074129572793E-8</v>
      </c>
      <c r="O78" s="1">
        <v>4.5599706541115599E-11</v>
      </c>
      <c r="P78" s="1">
        <v>2.9278329130399101E-10</v>
      </c>
      <c r="Q78">
        <v>65.990179886867594</v>
      </c>
      <c r="S78">
        <v>20.556489608848899</v>
      </c>
      <c r="AA78">
        <v>1.5614080758675799</v>
      </c>
      <c r="AB78">
        <v>8.6120105180652793</v>
      </c>
      <c r="AC78">
        <v>3.2799119103505099</v>
      </c>
      <c r="AJ78">
        <v>0.74032224688689696</v>
      </c>
      <c r="AK78">
        <v>7.4172592745232094E-2</v>
      </c>
      <c r="AL78">
        <v>0.18550516036786899</v>
      </c>
    </row>
    <row r="79" spans="1:38" x14ac:dyDescent="0.2">
      <c r="A79">
        <v>103</v>
      </c>
      <c r="B79">
        <v>784</v>
      </c>
      <c r="C79">
        <v>100</v>
      </c>
      <c r="D79">
        <v>0.50433760582698905</v>
      </c>
      <c r="E79">
        <v>25.45190781794</v>
      </c>
      <c r="F79">
        <v>2.5218677986715798</v>
      </c>
      <c r="G79">
        <v>-407.82900351427446</v>
      </c>
      <c r="H79">
        <v>-350.76472910011529</v>
      </c>
      <c r="I79">
        <v>53.979354315053797</v>
      </c>
      <c r="J79">
        <v>30.430888088786201</v>
      </c>
      <c r="K79">
        <v>10.092482972877001</v>
      </c>
      <c r="L79">
        <v>2.9066940241086462E-5</v>
      </c>
      <c r="M79">
        <v>1.8146747081355783E-6</v>
      </c>
      <c r="N79" s="1">
        <v>-7.3940878354246206E-8</v>
      </c>
      <c r="O79" s="1">
        <v>9.58810079399274E-11</v>
      </c>
      <c r="P79" s="1">
        <v>4.1828071125244098E-10</v>
      </c>
      <c r="Q79">
        <v>66.327411058798106</v>
      </c>
      <c r="S79">
        <v>19.3209232369082</v>
      </c>
      <c r="AA79">
        <v>0.46336488410418403</v>
      </c>
      <c r="AB79">
        <v>6.12431422446992</v>
      </c>
      <c r="AC79">
        <v>7.7639865957195502</v>
      </c>
      <c r="AJ79">
        <v>0.53308194386103702</v>
      </c>
      <c r="AK79">
        <v>2.2287964926918698E-2</v>
      </c>
      <c r="AL79">
        <v>0.444630091212044</v>
      </c>
    </row>
    <row r="80" spans="1:38" x14ac:dyDescent="0.2">
      <c r="A80">
        <v>104</v>
      </c>
      <c r="B80">
        <v>782</v>
      </c>
      <c r="C80">
        <v>100</v>
      </c>
      <c r="D80">
        <v>0.50326541250059598</v>
      </c>
      <c r="E80">
        <v>14.197530686042199</v>
      </c>
      <c r="F80">
        <v>2.5542715985932798</v>
      </c>
      <c r="G80">
        <v>-230.80206105274291</v>
      </c>
      <c r="H80">
        <v>-198.79774951200804</v>
      </c>
      <c r="I80">
        <v>30.331527783476101</v>
      </c>
      <c r="J80">
        <v>17.201057090703301</v>
      </c>
      <c r="K80">
        <v>5.5583480996544097</v>
      </c>
      <c r="L80">
        <v>3.0471606232263134E-5</v>
      </c>
      <c r="M80">
        <v>1.8218958596124857E-6</v>
      </c>
      <c r="N80" s="1">
        <v>-7.8302019418768098E-8</v>
      </c>
      <c r="O80" s="1">
        <v>5.0693326719965703E-11</v>
      </c>
      <c r="P80" s="1">
        <v>3.45587049923444E-10</v>
      </c>
      <c r="Q80">
        <v>65.7218564944109</v>
      </c>
      <c r="S80">
        <v>20.814906617514801</v>
      </c>
      <c r="AA80">
        <v>1.83721434940939</v>
      </c>
      <c r="AB80">
        <v>8.6915400096218001</v>
      </c>
      <c r="AC80">
        <v>2.9344825290429801</v>
      </c>
      <c r="AJ80">
        <v>0.74685890916201902</v>
      </c>
      <c r="AK80">
        <v>8.7239356090387604E-2</v>
      </c>
      <c r="AL80">
        <v>0.16590173474759301</v>
      </c>
    </row>
    <row r="81" spans="1:38" x14ac:dyDescent="0.2">
      <c r="A81">
        <v>104</v>
      </c>
      <c r="B81">
        <v>782</v>
      </c>
      <c r="C81">
        <v>100</v>
      </c>
      <c r="D81">
        <v>0.50326541250059598</v>
      </c>
      <c r="E81">
        <v>37.715505795686603</v>
      </c>
      <c r="F81">
        <v>2.5206118065369201</v>
      </c>
      <c r="G81">
        <v>-603.31465679880273</v>
      </c>
      <c r="H81">
        <v>-519.12708716888312</v>
      </c>
      <c r="I81">
        <v>79.787300033094596</v>
      </c>
      <c r="J81">
        <v>45.025092592519997</v>
      </c>
      <c r="K81">
        <v>14.962837870502501</v>
      </c>
      <c r="L81">
        <v>2.88746665400956E-5</v>
      </c>
      <c r="M81">
        <v>1.8114290563999549E-6</v>
      </c>
      <c r="N81" s="1">
        <v>-1.07570041356307E-7</v>
      </c>
      <c r="O81" s="1">
        <v>1.4244568241059101E-10</v>
      </c>
      <c r="P81" s="1">
        <v>6.1330965066564105E-10</v>
      </c>
      <c r="Q81">
        <v>66.247023581280999</v>
      </c>
      <c r="S81">
        <v>19.268014101588498</v>
      </c>
      <c r="AA81">
        <v>0.43847162463064498</v>
      </c>
      <c r="AB81">
        <v>5.8064668641301198</v>
      </c>
      <c r="AC81">
        <v>8.2400238283696403</v>
      </c>
      <c r="AJ81">
        <v>0.50622641192615503</v>
      </c>
      <c r="AK81">
        <v>2.1124436471032099E-2</v>
      </c>
      <c r="AL81">
        <v>0.47264915160281201</v>
      </c>
    </row>
    <row r="82" spans="1:38" x14ac:dyDescent="0.2">
      <c r="A82">
        <v>105</v>
      </c>
      <c r="B82">
        <v>780</v>
      </c>
      <c r="C82">
        <v>100</v>
      </c>
      <c r="D82">
        <v>0.50218914684517901</v>
      </c>
      <c r="E82">
        <v>15.2075926513093</v>
      </c>
      <c r="F82">
        <v>2.5560922904653598</v>
      </c>
      <c r="G82">
        <v>-247.26089912911121</v>
      </c>
      <c r="H82">
        <v>-213.08290519544821</v>
      </c>
      <c r="I82">
        <v>32.453111079773002</v>
      </c>
      <c r="J82">
        <v>18.4313129451183</v>
      </c>
      <c r="K82">
        <v>5.9495475605619301</v>
      </c>
      <c r="L82">
        <v>3.0488169391342695E-5</v>
      </c>
      <c r="M82">
        <v>1.8202464811435417E-6</v>
      </c>
      <c r="N82" s="1">
        <v>-8.9818912038807705E-8</v>
      </c>
      <c r="O82" s="1">
        <v>5.40977830103428E-11</v>
      </c>
      <c r="P82" s="1">
        <v>3.8775687339585701E-10</v>
      </c>
      <c r="Q82">
        <v>65.614396128882603</v>
      </c>
      <c r="S82">
        <v>20.9168570162742</v>
      </c>
      <c r="AA82">
        <v>1.9463988794932201</v>
      </c>
      <c r="AB82">
        <v>8.7193465716402194</v>
      </c>
      <c r="AC82">
        <v>2.8030014037097302</v>
      </c>
      <c r="AJ82">
        <v>0.74914293350360595</v>
      </c>
      <c r="AK82">
        <v>9.2410939046631099E-2</v>
      </c>
      <c r="AL82">
        <v>0.158446127449761</v>
      </c>
    </row>
    <row r="83" spans="1:38" x14ac:dyDescent="0.2">
      <c r="A83">
        <v>105</v>
      </c>
      <c r="B83">
        <v>780</v>
      </c>
      <c r="C83">
        <v>100</v>
      </c>
      <c r="D83">
        <v>0.50218914684517901</v>
      </c>
      <c r="E83">
        <v>41.963868475933303</v>
      </c>
      <c r="F83">
        <v>2.52018088413553</v>
      </c>
      <c r="G83">
        <v>-670.70387685356081</v>
      </c>
      <c r="H83">
        <v>-577.36780384926385</v>
      </c>
      <c r="I83">
        <v>88.625621235623498</v>
      </c>
      <c r="J83">
        <v>50.0683622987438</v>
      </c>
      <c r="K83">
        <v>16.651133551601198</v>
      </c>
      <c r="L83">
        <v>2.8807623575423916E-5</v>
      </c>
      <c r="M83">
        <v>1.8103129714177507E-6</v>
      </c>
      <c r="N83" s="1">
        <v>-1.24677126244905E-7</v>
      </c>
      <c r="O83" s="1">
        <v>1.58613629160656E-10</v>
      </c>
      <c r="P83" s="1">
        <v>6.9678802393279403E-10</v>
      </c>
      <c r="Q83">
        <v>66.217785282883995</v>
      </c>
      <c r="S83">
        <v>19.243937869492601</v>
      </c>
      <c r="AA83">
        <v>0.42543084384841501</v>
      </c>
      <c r="AB83">
        <v>5.6781919112843502</v>
      </c>
      <c r="AC83">
        <v>8.43465409249049</v>
      </c>
      <c r="AJ83">
        <v>0.49536382156081898</v>
      </c>
      <c r="AK83">
        <v>2.0509448480257E-2</v>
      </c>
      <c r="AL83">
        <v>0.48412672995892297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AE320-F009-4B20-8734-BECDE50ABCEC}">
  <sheetPr codeName="Sheet13"/>
  <dimension ref="A1:AJ87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762</v>
      </c>
      <c r="C2">
        <v>300</v>
      </c>
      <c r="D2">
        <v>0.27978602134956498</v>
      </c>
      <c r="E2">
        <v>8.5186382267967001E-2</v>
      </c>
      <c r="F2">
        <v>2.5446339321928</v>
      </c>
      <c r="G2">
        <v>-1.3890922685600342</v>
      </c>
      <c r="H2">
        <v>-1.214973446682998</v>
      </c>
      <c r="I2">
        <v>0.168206368040415</v>
      </c>
      <c r="J2">
        <v>9.8783086922047098E-2</v>
      </c>
      <c r="K2">
        <v>3.3476871148440099E-2</v>
      </c>
      <c r="L2">
        <v>0</v>
      </c>
      <c r="M2">
        <v>1.238338982083055E-6</v>
      </c>
      <c r="N2">
        <v>0</v>
      </c>
      <c r="O2" s="1">
        <v>4.76266399703551E-14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760</v>
      </c>
      <c r="C3">
        <v>300</v>
      </c>
      <c r="D3">
        <v>0.27825630353772701</v>
      </c>
      <c r="E3">
        <v>0.52705363526337201</v>
      </c>
      <c r="F3">
        <v>2.5446339321928</v>
      </c>
      <c r="G3">
        <v>-8.5923231327214378</v>
      </c>
      <c r="H3">
        <v>-7.5183411913189273</v>
      </c>
      <c r="I3">
        <v>1.0395217939336101</v>
      </c>
      <c r="J3">
        <v>0.61102404056099902</v>
      </c>
      <c r="K3">
        <v>0.207123558558063</v>
      </c>
      <c r="L3">
        <v>0</v>
      </c>
      <c r="M3">
        <v>1.2383389820830548E-6</v>
      </c>
      <c r="N3">
        <v>0</v>
      </c>
      <c r="O3" s="1">
        <v>2.9466908986454998E-13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758</v>
      </c>
      <c r="C4">
        <v>300</v>
      </c>
      <c r="D4">
        <v>0.27672065169955901</v>
      </c>
      <c r="E4">
        <v>0.96451717727487296</v>
      </c>
      <c r="F4">
        <v>2.5446339321928</v>
      </c>
      <c r="G4">
        <v>-15.720295939749482</v>
      </c>
      <c r="H4">
        <v>-13.760929204112372</v>
      </c>
      <c r="I4">
        <v>1.9001762455870701</v>
      </c>
      <c r="J4">
        <v>1.11790273259748</v>
      </c>
      <c r="K4">
        <v>0.37903965873932699</v>
      </c>
      <c r="L4">
        <v>0</v>
      </c>
      <c r="M4">
        <v>1.2383389820830548E-6</v>
      </c>
      <c r="N4">
        <v>0</v>
      </c>
      <c r="O4" s="1">
        <v>5.3924948007291205E-13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756</v>
      </c>
      <c r="C5">
        <v>300</v>
      </c>
      <c r="D5">
        <v>0.27517903123937498</v>
      </c>
      <c r="E5">
        <v>1.3976530384355601</v>
      </c>
      <c r="F5">
        <v>2.5446339321928</v>
      </c>
      <c r="G5">
        <v>-22.774307561157197</v>
      </c>
      <c r="H5">
        <v>-19.943790999450851</v>
      </c>
      <c r="I5">
        <v>2.7503440331403</v>
      </c>
      <c r="J5">
        <v>1.6195094562778301</v>
      </c>
      <c r="K5">
        <v>0.54925505030547095</v>
      </c>
      <c r="L5">
        <v>0</v>
      </c>
      <c r="M5">
        <v>1.2383389820830548E-6</v>
      </c>
      <c r="N5">
        <v>0</v>
      </c>
      <c r="O5" s="1">
        <v>7.8141031809111801E-13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754</v>
      </c>
      <c r="C6">
        <v>300</v>
      </c>
      <c r="D6">
        <v>0.27363140729202201</v>
      </c>
      <c r="E6">
        <v>1.8265356274370199</v>
      </c>
      <c r="F6">
        <v>2.5446339321928</v>
      </c>
      <c r="G6">
        <v>-29.755627152169254</v>
      </c>
      <c r="H6">
        <v>-26.067957666566532</v>
      </c>
      <c r="I6">
        <v>3.5901956730786302</v>
      </c>
      <c r="J6">
        <v>2.1159325561253399</v>
      </c>
      <c r="K6">
        <v>0.71779897466942499</v>
      </c>
      <c r="L6">
        <v>0</v>
      </c>
      <c r="M6">
        <v>1.238338982083055E-6</v>
      </c>
      <c r="N6">
        <v>0</v>
      </c>
      <c r="O6" s="1">
        <v>1.02119320488718E-12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752</v>
      </c>
      <c r="C7">
        <v>300</v>
      </c>
      <c r="D7">
        <v>0.27207774472028401</v>
      </c>
      <c r="E7">
        <v>2.25123777749126</v>
      </c>
      <c r="F7">
        <v>2.5446339321928</v>
      </c>
      <c r="G7">
        <v>-36.665496935297632</v>
      </c>
      <c r="H7">
        <v>-32.134438506449591</v>
      </c>
      <c r="I7">
        <v>4.4198979942915999</v>
      </c>
      <c r="J7">
        <v>2.60725848280592</v>
      </c>
      <c r="K7">
        <v>0.88470005410612995</v>
      </c>
      <c r="L7">
        <v>0</v>
      </c>
      <c r="M7">
        <v>1.2383389820830548E-6</v>
      </c>
      <c r="N7">
        <v>0</v>
      </c>
      <c r="O7" s="1">
        <v>1.25863886059822E-12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750</v>
      </c>
      <c r="C8">
        <v>300</v>
      </c>
      <c r="D8">
        <v>0.270518008112205</v>
      </c>
      <c r="E8">
        <v>2.6718307914982602</v>
      </c>
      <c r="F8">
        <v>2.5446339321928</v>
      </c>
      <c r="G8">
        <v>-43.505132969798176</v>
      </c>
      <c r="H8">
        <v>-38.144221658068496</v>
      </c>
      <c r="I8">
        <v>5.23961424202676</v>
      </c>
      <c r="J8">
        <v>3.09357184701354</v>
      </c>
      <c r="K8">
        <v>1.0499863095026101</v>
      </c>
      <c r="L8">
        <v>0</v>
      </c>
      <c r="M8">
        <v>1.2383389820830548E-6</v>
      </c>
      <c r="N8">
        <v>0</v>
      </c>
      <c r="O8" s="1">
        <v>1.49378714978306E-12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748</v>
      </c>
      <c r="C9">
        <v>300</v>
      </c>
      <c r="D9">
        <v>0.26895216177838999</v>
      </c>
      <c r="E9">
        <v>3.0883844881538698</v>
      </c>
      <c r="F9">
        <v>2.5446339321928</v>
      </c>
      <c r="G9">
        <v>-50.275725935278594</v>
      </c>
      <c r="H9">
        <v>-44.09827473865802</v>
      </c>
      <c r="I9">
        <v>6.0495041831470102</v>
      </c>
      <c r="J9">
        <v>3.57495547438422</v>
      </c>
      <c r="K9">
        <v>1.2136851784777101</v>
      </c>
      <c r="L9">
        <v>0</v>
      </c>
      <c r="M9">
        <v>1.2383389820830548E-6</v>
      </c>
      <c r="N9">
        <v>0</v>
      </c>
      <c r="O9" s="1">
        <v>1.7266771072005501E-12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746</v>
      </c>
      <c r="C10">
        <v>300</v>
      </c>
      <c r="D10">
        <v>0.26738016974930101</v>
      </c>
      <c r="E10">
        <v>3.5009672413440902</v>
      </c>
      <c r="F10">
        <v>2.5446339321928</v>
      </c>
      <c r="G10">
        <v>-56.978441804862278</v>
      </c>
      <c r="H10">
        <v>-49.997545388778683</v>
      </c>
      <c r="I10">
        <v>6.8497241976976699</v>
      </c>
      <c r="J10">
        <v>4.0514904525780899</v>
      </c>
      <c r="K10">
        <v>1.3758235308633</v>
      </c>
      <c r="L10">
        <v>0</v>
      </c>
      <c r="M10">
        <v>1.2383389820830546E-6</v>
      </c>
      <c r="N10">
        <v>0</v>
      </c>
      <c r="O10" s="1">
        <v>1.95734695983447E-12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744</v>
      </c>
      <c r="C11">
        <v>300</v>
      </c>
      <c r="D11">
        <v>0.26580199577250502</v>
      </c>
      <c r="E11">
        <v>3.90964602920292</v>
      </c>
      <c r="F11">
        <v>2.5446339321928</v>
      </c>
      <c r="G11">
        <v>-63.614422674575252</v>
      </c>
      <c r="H11">
        <v>-55.842961955963254</v>
      </c>
      <c r="I11">
        <v>7.6404273888924896</v>
      </c>
      <c r="J11">
        <v>4.5232561894902696</v>
      </c>
      <c r="K11">
        <v>1.5364276879833301</v>
      </c>
      <c r="L11">
        <v>0</v>
      </c>
      <c r="M11">
        <v>1.2383389820830548E-6</v>
      </c>
      <c r="N11">
        <v>0</v>
      </c>
      <c r="O11" s="1">
        <v>2.1858341543211E-12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742</v>
      </c>
      <c r="C12">
        <v>300</v>
      </c>
      <c r="D12">
        <v>0.264217603309855</v>
      </c>
      <c r="E12">
        <v>4.3144864654293302</v>
      </c>
      <c r="F12">
        <v>2.5446339321928</v>
      </c>
      <c r="G12">
        <v>-70.18478730289813</v>
      </c>
      <c r="H12">
        <v>-61.635433925612645</v>
      </c>
      <c r="I12">
        <v>8.4217636578687607</v>
      </c>
      <c r="J12">
        <v>4.9903304508721504</v>
      </c>
      <c r="K12">
        <v>1.6955234349607899</v>
      </c>
      <c r="L12">
        <v>0</v>
      </c>
      <c r="M12">
        <v>1.2383389820830548E-6</v>
      </c>
      <c r="N12">
        <v>0</v>
      </c>
      <c r="O12" s="1">
        <v>2.4121753744582E-12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740</v>
      </c>
      <c r="C13">
        <v>300</v>
      </c>
      <c r="D13">
        <v>0.26262695553471999</v>
      </c>
      <c r="E13">
        <v>4.71555284510797</v>
      </c>
      <c r="F13">
        <v>2.5446339321928</v>
      </c>
      <c r="G13">
        <v>-76.690631885379446</v>
      </c>
      <c r="H13">
        <v>-67.375852559566965</v>
      </c>
      <c r="I13">
        <v>9.1938798063588596</v>
      </c>
      <c r="J13">
        <v>5.4527894146855003</v>
      </c>
      <c r="K13">
        <v>1.8531360387246001</v>
      </c>
      <c r="L13">
        <v>0</v>
      </c>
      <c r="M13">
        <v>1.2383389820830548E-6</v>
      </c>
      <c r="N13">
        <v>0</v>
      </c>
      <c r="O13" s="1">
        <v>2.6364065668227499E-12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738</v>
      </c>
      <c r="C14">
        <v>300</v>
      </c>
      <c r="D14">
        <v>0.26103001532908299</v>
      </c>
      <c r="E14">
        <v>5.11290818177822</v>
      </c>
      <c r="F14">
        <v>2.5446339321928</v>
      </c>
      <c r="G14">
        <v>-83.133030685794211</v>
      </c>
      <c r="H14">
        <v>-73.065091410255832</v>
      </c>
      <c r="I14">
        <v>9.9569196217557998</v>
      </c>
      <c r="J14">
        <v>5.9107077152735403</v>
      </c>
      <c r="K14">
        <v>2.0092902625770699</v>
      </c>
      <c r="L14">
        <v>0</v>
      </c>
      <c r="M14">
        <v>1.2383389820830548E-6</v>
      </c>
      <c r="N14">
        <v>0</v>
      </c>
      <c r="O14" s="1">
        <v>2.85856296149581E-12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736</v>
      </c>
      <c r="C15">
        <v>300</v>
      </c>
      <c r="D15">
        <v>0.25942674528068399</v>
      </c>
      <c r="E15">
        <v>10.139053746064301</v>
      </c>
      <c r="F15">
        <v>2.5446339321928</v>
      </c>
      <c r="G15">
        <v>-164.81588312447766</v>
      </c>
      <c r="H15">
        <v>-144.91375642138598</v>
      </c>
      <c r="I15">
        <v>19.721673391558902</v>
      </c>
      <c r="J15">
        <v>11.718007125242099</v>
      </c>
      <c r="K15">
        <v>3.9844842190433001</v>
      </c>
      <c r="L15">
        <v>0</v>
      </c>
      <c r="M15">
        <v>1.2383389820830548E-6</v>
      </c>
      <c r="N15">
        <v>0</v>
      </c>
      <c r="O15" s="1">
        <v>5.6686180296386304E-12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734</v>
      </c>
      <c r="C16">
        <v>300</v>
      </c>
      <c r="D16">
        <v>0.25781710768008598</v>
      </c>
      <c r="E16">
        <v>30.9503704526565</v>
      </c>
      <c r="F16">
        <v>2.5446339321928</v>
      </c>
      <c r="G16">
        <v>-502.99492436926266</v>
      </c>
      <c r="H16">
        <v>-442.43376295899799</v>
      </c>
      <c r="I16">
        <v>60.131223164637497</v>
      </c>
      <c r="J16">
        <v>35.7607389178091</v>
      </c>
      <c r="K16">
        <v>12.162995258805401</v>
      </c>
      <c r="L16">
        <v>0</v>
      </c>
      <c r="M16">
        <v>1.2383389820830548E-6</v>
      </c>
      <c r="N16">
        <v>0</v>
      </c>
      <c r="O16" s="1">
        <v>1.7303964686056199E-11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732</v>
      </c>
      <c r="C17">
        <v>300</v>
      </c>
      <c r="D17">
        <v>0.256201064517732</v>
      </c>
      <c r="E17">
        <v>34.148939762256198</v>
      </c>
      <c r="F17">
        <v>2.5446339321928</v>
      </c>
      <c r="G17">
        <v>-554.84437547116124</v>
      </c>
      <c r="H17">
        <v>-488.23602933094605</v>
      </c>
      <c r="I17">
        <v>66.267070725976296</v>
      </c>
      <c r="J17">
        <v>39.445876493056701</v>
      </c>
      <c r="K17">
        <v>13.4199812909155</v>
      </c>
      <c r="L17">
        <v>0</v>
      </c>
      <c r="M17">
        <v>1.2383389820830548E-6</v>
      </c>
      <c r="N17">
        <v>0</v>
      </c>
      <c r="O17" s="1">
        <v>1.9092244747643201E-11</v>
      </c>
      <c r="P17">
        <v>0</v>
      </c>
      <c r="Q17">
        <v>100</v>
      </c>
      <c r="AJ17">
        <v>1</v>
      </c>
    </row>
    <row r="18" spans="1:36" x14ac:dyDescent="0.2">
      <c r="A18">
        <v>19</v>
      </c>
      <c r="B18">
        <v>762</v>
      </c>
      <c r="C18">
        <v>275</v>
      </c>
      <c r="D18">
        <v>0.306352219485102</v>
      </c>
      <c r="E18">
        <v>5.5785657762445998E-2</v>
      </c>
      <c r="F18">
        <v>2.54384628309294</v>
      </c>
      <c r="G18">
        <v>-0.91021732922096366</v>
      </c>
      <c r="H18">
        <v>-0.79619284844564642</v>
      </c>
      <c r="I18">
        <v>0.110152616311952</v>
      </c>
      <c r="J18">
        <v>6.4689676131762103E-2</v>
      </c>
      <c r="K18">
        <v>2.1929649654231002E-2</v>
      </c>
      <c r="L18">
        <v>0</v>
      </c>
      <c r="M18">
        <v>1.2383112330061072E-6</v>
      </c>
      <c r="N18">
        <v>0</v>
      </c>
      <c r="O18" s="1">
        <v>3.1189062935010201E-14</v>
      </c>
      <c r="P18">
        <v>0</v>
      </c>
      <c r="Q18">
        <v>100</v>
      </c>
      <c r="AJ18">
        <v>1</v>
      </c>
    </row>
    <row r="19" spans="1:36" x14ac:dyDescent="0.2">
      <c r="A19">
        <v>20</v>
      </c>
      <c r="B19">
        <v>760</v>
      </c>
      <c r="C19">
        <v>275</v>
      </c>
      <c r="D19">
        <v>0.30487392924551299</v>
      </c>
      <c r="E19">
        <v>0.48550596821183001</v>
      </c>
      <c r="F19">
        <v>2.54384628309294</v>
      </c>
      <c r="G19">
        <v>-7.9197604660010148</v>
      </c>
      <c r="H19">
        <v>-6.9304405800996722</v>
      </c>
      <c r="I19">
        <v>0.95757623375244905</v>
      </c>
      <c r="J19">
        <v>0.56285698184214505</v>
      </c>
      <c r="K19">
        <v>0.19085507305949601</v>
      </c>
      <c r="L19">
        <v>0</v>
      </c>
      <c r="M19">
        <v>1.238311233006107E-6</v>
      </c>
      <c r="N19">
        <v>0</v>
      </c>
      <c r="O19" s="1">
        <v>2.7144030930608701E-13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758</v>
      </c>
      <c r="C20">
        <v>275</v>
      </c>
      <c r="D20">
        <v>0.303389904475587</v>
      </c>
      <c r="E20">
        <v>0.91099844567713495</v>
      </c>
      <c r="F20">
        <v>2.54384628309294</v>
      </c>
      <c r="G20">
        <v>-14.856966215027061</v>
      </c>
      <c r="H20">
        <v>-13.006320013245425</v>
      </c>
      <c r="I20">
        <v>1.79474004924757</v>
      </c>
      <c r="J20">
        <v>1.0558730065253099</v>
      </c>
      <c r="K20">
        <v>0.35811851200753197</v>
      </c>
      <c r="L20">
        <v>0</v>
      </c>
      <c r="M20">
        <v>1.2383112330061072E-6</v>
      </c>
      <c r="N20">
        <v>0</v>
      </c>
      <c r="O20" s="1">
        <v>5.0932782717940702E-13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756</v>
      </c>
      <c r="C21">
        <v>275</v>
      </c>
      <c r="D21">
        <v>0.30190011174270298</v>
      </c>
      <c r="E21">
        <v>1.33233349903168</v>
      </c>
      <c r="F21">
        <v>2.54384628309294</v>
      </c>
      <c r="G21">
        <v>-21.723038301195881</v>
      </c>
      <c r="H21">
        <v>-19.024806385965647</v>
      </c>
      <c r="I21">
        <v>2.6218062626732999</v>
      </c>
      <c r="J21">
        <v>1.5438214215258701</v>
      </c>
      <c r="K21">
        <v>0.52374764461466095</v>
      </c>
      <c r="L21">
        <v>0</v>
      </c>
      <c r="M21">
        <v>1.2383112330061072E-6</v>
      </c>
      <c r="N21">
        <v>0</v>
      </c>
      <c r="O21" s="1">
        <v>7.4489098127467701E-13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754</v>
      </c>
      <c r="C22">
        <v>275</v>
      </c>
      <c r="D22">
        <v>0.30040451735384299</v>
      </c>
      <c r="E22">
        <v>1.7495800344117101</v>
      </c>
      <c r="F22">
        <v>2.54384628309294</v>
      </c>
      <c r="G22">
        <v>-28.519154744959053</v>
      </c>
      <c r="H22">
        <v>-24.986854137949788</v>
      </c>
      <c r="I22">
        <v>3.4389335608326599</v>
      </c>
      <c r="J22">
        <v>2.0267840926559102</v>
      </c>
      <c r="K22">
        <v>0.68776955826296504</v>
      </c>
      <c r="L22">
        <v>0</v>
      </c>
      <c r="M22">
        <v>1.238311233006107E-6</v>
      </c>
      <c r="N22">
        <v>0</v>
      </c>
      <c r="O22" s="1">
        <v>9.7816829615009997E-13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752</v>
      </c>
      <c r="C23">
        <v>275</v>
      </c>
      <c r="D23">
        <v>0.29890308735307097</v>
      </c>
      <c r="E23">
        <v>2.1628054941702102</v>
      </c>
      <c r="F23">
        <v>2.54384628309294</v>
      </c>
      <c r="G23">
        <v>-35.246468529567643</v>
      </c>
      <c r="H23">
        <v>-30.893397449159831</v>
      </c>
      <c r="I23">
        <v>4.2462772086112297</v>
      </c>
      <c r="J23">
        <v>2.5048411268304598</v>
      </c>
      <c r="K23">
        <v>0.85021076491326297</v>
      </c>
      <c r="L23">
        <v>0</v>
      </c>
      <c r="M23">
        <v>1.238311233006107E-6</v>
      </c>
      <c r="N23">
        <v>0</v>
      </c>
      <c r="O23" s="1">
        <v>1.20919747798099E-12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750</v>
      </c>
      <c r="C24">
        <v>275</v>
      </c>
      <c r="D24">
        <v>0.29739578751893703</v>
      </c>
      <c r="E24">
        <v>2.5720758979657798</v>
      </c>
      <c r="F24">
        <v>2.54384628309294</v>
      </c>
      <c r="G24">
        <v>-41.906108302092122</v>
      </c>
      <c r="H24">
        <v>-36.745350809549016</v>
      </c>
      <c r="I24">
        <v>5.0439891438626798</v>
      </c>
      <c r="J24">
        <v>2.9780709211256098</v>
      </c>
      <c r="K24">
        <v>1.01109721725737</v>
      </c>
      <c r="L24">
        <v>0</v>
      </c>
      <c r="M24">
        <v>1.2383112330061072E-6</v>
      </c>
      <c r="N24">
        <v>0</v>
      </c>
      <c r="O24" s="1">
        <v>1.4380154375320601E-12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748</v>
      </c>
      <c r="C25">
        <v>275</v>
      </c>
      <c r="D25">
        <v>0.29588258336189799</v>
      </c>
      <c r="E25">
        <v>2.97745588268831</v>
      </c>
      <c r="F25">
        <v>2.54384628309294</v>
      </c>
      <c r="G25">
        <v>-48.499179054439004</v>
      </c>
      <c r="H25">
        <v>-42.543609572741254</v>
      </c>
      <c r="I25">
        <v>5.8322180695272401</v>
      </c>
      <c r="J25">
        <v>3.4465502104360399</v>
      </c>
      <c r="K25">
        <v>1.1704543244130901</v>
      </c>
      <c r="L25">
        <v>0</v>
      </c>
      <c r="M25">
        <v>1.238311233006107E-6</v>
      </c>
      <c r="N25">
        <v>0</v>
      </c>
      <c r="O25" s="1">
        <v>1.66465831247932E-12</v>
      </c>
      <c r="P25">
        <v>0</v>
      </c>
      <c r="Q25">
        <v>100</v>
      </c>
      <c r="AJ25">
        <v>1</v>
      </c>
    </row>
    <row r="26" spans="1:36" x14ac:dyDescent="0.2">
      <c r="A26">
        <v>27</v>
      </c>
      <c r="B26">
        <v>746</v>
      </c>
      <c r="C26">
        <v>275</v>
      </c>
      <c r="D26">
        <v>0.29436344012167098</v>
      </c>
      <c r="E26">
        <v>3.3790087399050099</v>
      </c>
      <c r="F26">
        <v>2.54384628309294</v>
      </c>
      <c r="G26">
        <v>-55.02676276296058</v>
      </c>
      <c r="H26">
        <v>-48.289050474838191</v>
      </c>
      <c r="I26">
        <v>6.6111095404232696</v>
      </c>
      <c r="J26">
        <v>3.9103541122102001</v>
      </c>
      <c r="K26">
        <v>1.32830696664447</v>
      </c>
      <c r="L26">
        <v>0</v>
      </c>
      <c r="M26">
        <v>1.238311233006107E-6</v>
      </c>
      <c r="N26">
        <v>0</v>
      </c>
      <c r="O26" s="1">
        <v>1.8891614883457098E-12</v>
      </c>
      <c r="P26">
        <v>0</v>
      </c>
      <c r="Q26">
        <v>100</v>
      </c>
      <c r="AJ26">
        <v>1</v>
      </c>
    </row>
    <row r="27" spans="1:36" x14ac:dyDescent="0.2">
      <c r="A27">
        <v>28</v>
      </c>
      <c r="B27">
        <v>744</v>
      </c>
      <c r="C27">
        <v>275</v>
      </c>
      <c r="D27">
        <v>0.29283832276459099</v>
      </c>
      <c r="E27">
        <v>3.7767964525650002</v>
      </c>
      <c r="F27">
        <v>2.54384628309294</v>
      </c>
      <c r="G27">
        <v>-61.489919015031546</v>
      </c>
      <c r="H27">
        <v>-53.982532143160192</v>
      </c>
      <c r="I27">
        <v>7.3808060481456597</v>
      </c>
      <c r="J27">
        <v>4.36955617027877</v>
      </c>
      <c r="K27">
        <v>1.4846795097905701</v>
      </c>
      <c r="L27">
        <v>0</v>
      </c>
      <c r="M27">
        <v>1.2383112330061072E-6</v>
      </c>
      <c r="N27">
        <v>0</v>
      </c>
      <c r="O27" s="1">
        <v>2.11155961902219E-12</v>
      </c>
      <c r="P27">
        <v>0</v>
      </c>
      <c r="Q27">
        <v>100</v>
      </c>
      <c r="AJ27">
        <v>1</v>
      </c>
    </row>
    <row r="28" spans="1:36" x14ac:dyDescent="0.2">
      <c r="A28">
        <v>29</v>
      </c>
      <c r="B28">
        <v>742</v>
      </c>
      <c r="C28">
        <v>275</v>
      </c>
      <c r="D28">
        <v>0.291307195980888</v>
      </c>
      <c r="E28">
        <v>4.1708797292043203</v>
      </c>
      <c r="F28">
        <v>2.54384628309294</v>
      </c>
      <c r="G28">
        <v>-67.889685593993661</v>
      </c>
      <c r="H28">
        <v>-59.624895569770885</v>
      </c>
      <c r="I28">
        <v>8.1414471006479605</v>
      </c>
      <c r="J28">
        <v>4.8242283957431704</v>
      </c>
      <c r="K28">
        <v>1.63959581871163</v>
      </c>
      <c r="L28">
        <v>0</v>
      </c>
      <c r="M28">
        <v>1.2383112330061072E-6</v>
      </c>
      <c r="N28">
        <v>0</v>
      </c>
      <c r="O28" s="1">
        <v>2.3318866458913298E-12</v>
      </c>
      <c r="P28">
        <v>0</v>
      </c>
      <c r="Q28">
        <v>100</v>
      </c>
      <c r="AJ28">
        <v>1</v>
      </c>
    </row>
    <row r="29" spans="1:36" x14ac:dyDescent="0.2">
      <c r="A29">
        <v>30</v>
      </c>
      <c r="B29">
        <v>740</v>
      </c>
      <c r="C29">
        <v>275</v>
      </c>
      <c r="D29">
        <v>0.28977002418201098</v>
      </c>
      <c r="E29">
        <v>9.0760623504761302</v>
      </c>
      <c r="F29">
        <v>2.54384628309294</v>
      </c>
      <c r="G29">
        <v>-147.69625622172356</v>
      </c>
      <c r="H29">
        <v>-129.76802580655487</v>
      </c>
      <c r="I29">
        <v>17.695534141211699</v>
      </c>
      <c r="J29">
        <v>10.4950274840083</v>
      </c>
      <c r="K29">
        <v>3.5678501530528699</v>
      </c>
      <c r="L29">
        <v>0</v>
      </c>
      <c r="M29">
        <v>1.238311233006107E-6</v>
      </c>
      <c r="N29">
        <v>0</v>
      </c>
      <c r="O29" s="1">
        <v>5.07431284679837E-12</v>
      </c>
      <c r="P29">
        <v>0</v>
      </c>
      <c r="Q29">
        <v>100</v>
      </c>
      <c r="AJ29">
        <v>1</v>
      </c>
    </row>
    <row r="30" spans="1:36" x14ac:dyDescent="0.2">
      <c r="A30">
        <v>31</v>
      </c>
      <c r="B30">
        <v>738</v>
      </c>
      <c r="C30">
        <v>275</v>
      </c>
      <c r="D30">
        <v>0.28822677149780002</v>
      </c>
      <c r="E30">
        <v>28.689221765770299</v>
      </c>
      <c r="F30">
        <v>2.54384628309294</v>
      </c>
      <c r="G30">
        <v>-466.75262218773912</v>
      </c>
      <c r="H30">
        <v>-410.2600484251933</v>
      </c>
      <c r="I30">
        <v>55.869627416847898</v>
      </c>
      <c r="J30">
        <v>33.165783230857201</v>
      </c>
      <c r="K30">
        <v>11.277891261137199</v>
      </c>
      <c r="L30">
        <v>0</v>
      </c>
      <c r="M30">
        <v>1.2383112330061072E-6</v>
      </c>
      <c r="N30">
        <v>0</v>
      </c>
      <c r="O30" s="1">
        <v>1.6039784760079199E-11</v>
      </c>
      <c r="P30">
        <v>0</v>
      </c>
      <c r="Q30">
        <v>100</v>
      </c>
      <c r="AJ30">
        <v>1</v>
      </c>
    </row>
    <row r="31" spans="1:36" x14ac:dyDescent="0.2">
      <c r="A31">
        <v>32</v>
      </c>
      <c r="B31">
        <v>736</v>
      </c>
      <c r="C31">
        <v>275</v>
      </c>
      <c r="D31">
        <v>0.28667740177377199</v>
      </c>
      <c r="E31">
        <v>32.593641473491502</v>
      </c>
      <c r="F31">
        <v>2.54384628309294</v>
      </c>
      <c r="G31">
        <v>-530.14779901435065</v>
      </c>
      <c r="H31">
        <v>-466.16916761865747</v>
      </c>
      <c r="I31">
        <v>63.398534802252499</v>
      </c>
      <c r="J31">
        <v>37.6694445645104</v>
      </c>
      <c r="K31">
        <v>12.8127401762116</v>
      </c>
      <c r="L31">
        <v>0</v>
      </c>
      <c r="M31">
        <v>1.238311233006107E-6</v>
      </c>
      <c r="N31">
        <v>0</v>
      </c>
      <c r="O31" s="1">
        <v>1.8222696943482499E-11</v>
      </c>
      <c r="P31">
        <v>0</v>
      </c>
      <c r="Q31">
        <v>100</v>
      </c>
      <c r="AJ31">
        <v>1</v>
      </c>
    </row>
    <row r="32" spans="1:36" x14ac:dyDescent="0.2">
      <c r="A32">
        <v>34</v>
      </c>
      <c r="B32">
        <v>762</v>
      </c>
      <c r="C32">
        <v>250</v>
      </c>
      <c r="D32">
        <v>0.33291841762063901</v>
      </c>
      <c r="E32">
        <v>5.9199150834853602E-2</v>
      </c>
      <c r="F32">
        <v>2.5430588954681599</v>
      </c>
      <c r="G32">
        <v>-0.96649489434729285</v>
      </c>
      <c r="H32">
        <v>-0.84549331962304586</v>
      </c>
      <c r="I32">
        <v>0.116892793048589</v>
      </c>
      <c r="J32">
        <v>6.8648001088194202E-2</v>
      </c>
      <c r="K32">
        <v>2.3278717980283099E-2</v>
      </c>
      <c r="L32">
        <v>0</v>
      </c>
      <c r="M32">
        <v>1.2382833910659954E-6</v>
      </c>
      <c r="N32">
        <v>0</v>
      </c>
      <c r="O32" s="1">
        <v>3.3097504181986298E-14</v>
      </c>
      <c r="P32">
        <v>0</v>
      </c>
      <c r="Q32">
        <v>100</v>
      </c>
      <c r="AJ32">
        <v>1</v>
      </c>
    </row>
    <row r="33" spans="1:36" x14ac:dyDescent="0.2">
      <c r="A33">
        <v>35</v>
      </c>
      <c r="B33">
        <v>760</v>
      </c>
      <c r="C33">
        <v>250</v>
      </c>
      <c r="D33">
        <v>0.33149155495329902</v>
      </c>
      <c r="E33">
        <v>0.47615549202986901</v>
      </c>
      <c r="F33">
        <v>2.5430588954681599</v>
      </c>
      <c r="G33">
        <v>-7.7719121030100506</v>
      </c>
      <c r="H33">
        <v>-6.8016457666737766</v>
      </c>
      <c r="I33">
        <v>0.93913404281689306</v>
      </c>
      <c r="J33">
        <v>0.55201678388958497</v>
      </c>
      <c r="K33">
        <v>0.18723730420809201</v>
      </c>
      <c r="L33">
        <v>0</v>
      </c>
      <c r="M33">
        <v>1.2382833910659954E-6</v>
      </c>
      <c r="N33">
        <v>0</v>
      </c>
      <c r="O33" s="1">
        <v>2.6621257512119302E-13</v>
      </c>
      <c r="P33">
        <v>0</v>
      </c>
      <c r="Q33">
        <v>100</v>
      </c>
      <c r="AJ33">
        <v>1</v>
      </c>
    </row>
    <row r="34" spans="1:36" x14ac:dyDescent="0.2">
      <c r="A34">
        <v>36</v>
      </c>
      <c r="B34">
        <v>758</v>
      </c>
      <c r="C34">
        <v>250</v>
      </c>
      <c r="D34">
        <v>0.330059157251614</v>
      </c>
      <c r="E34">
        <v>0.88908689572391297</v>
      </c>
      <c r="F34">
        <v>2.5430588954681599</v>
      </c>
      <c r="G34">
        <v>-14.508361928438426</v>
      </c>
      <c r="H34">
        <v>-12.702227906549627</v>
      </c>
      <c r="I34">
        <v>1.7515725373503299</v>
      </c>
      <c r="J34">
        <v>1.03047689938975</v>
      </c>
      <c r="K34">
        <v>0.34961317541969</v>
      </c>
      <c r="L34">
        <v>0</v>
      </c>
      <c r="M34">
        <v>1.2382833910659954E-6</v>
      </c>
      <c r="N34">
        <v>0</v>
      </c>
      <c r="O34" s="1">
        <v>4.9707735388742296E-13</v>
      </c>
      <c r="P34">
        <v>0</v>
      </c>
      <c r="Q34">
        <v>100</v>
      </c>
      <c r="AJ34">
        <v>1</v>
      </c>
    </row>
    <row r="35" spans="1:36" x14ac:dyDescent="0.2">
      <c r="A35">
        <v>37</v>
      </c>
      <c r="B35">
        <v>756</v>
      </c>
      <c r="C35">
        <v>250</v>
      </c>
      <c r="D35">
        <v>0.32862119224602798</v>
      </c>
      <c r="E35">
        <v>1.2980581042456001</v>
      </c>
      <c r="F35">
        <v>2.5430588954681599</v>
      </c>
      <c r="G35">
        <v>-21.176953772594583</v>
      </c>
      <c r="H35">
        <v>-18.548136132533561</v>
      </c>
      <c r="I35">
        <v>2.55435810140506</v>
      </c>
      <c r="J35">
        <v>1.5041053228610299</v>
      </c>
      <c r="K35">
        <v>0.51043179006148598</v>
      </c>
      <c r="L35">
        <v>0</v>
      </c>
      <c r="M35">
        <v>1.2382833910659954E-6</v>
      </c>
      <c r="N35">
        <v>0</v>
      </c>
      <c r="O35" s="1">
        <v>7.2572803710616303E-13</v>
      </c>
      <c r="P35">
        <v>0</v>
      </c>
      <c r="Q35">
        <v>100</v>
      </c>
      <c r="AJ35">
        <v>1</v>
      </c>
    </row>
    <row r="36" spans="1:36" x14ac:dyDescent="0.2">
      <c r="A36">
        <v>38</v>
      </c>
      <c r="B36">
        <v>754</v>
      </c>
      <c r="C36">
        <v>250</v>
      </c>
      <c r="D36">
        <v>0.32717762741566497</v>
      </c>
      <c r="E36">
        <v>1.70313248742531</v>
      </c>
      <c r="F36">
        <v>2.5430588954681599</v>
      </c>
      <c r="G36">
        <v>-27.778773536723257</v>
      </c>
      <c r="H36">
        <v>-24.340247832940594</v>
      </c>
      <c r="I36">
        <v>3.34763734973729</v>
      </c>
      <c r="J36">
        <v>1.97297738046021</v>
      </c>
      <c r="K36">
        <v>0.66971806687622104</v>
      </c>
      <c r="L36">
        <v>0</v>
      </c>
      <c r="M36">
        <v>1.2382833910659952E-6</v>
      </c>
      <c r="N36">
        <v>0</v>
      </c>
      <c r="O36" s="1">
        <v>9.5220005405632505E-13</v>
      </c>
      <c r="P36">
        <v>0</v>
      </c>
      <c r="Q36">
        <v>100</v>
      </c>
      <c r="AJ36">
        <v>1</v>
      </c>
    </row>
    <row r="37" spans="1:36" x14ac:dyDescent="0.2">
      <c r="A37">
        <v>39</v>
      </c>
      <c r="B37">
        <v>752</v>
      </c>
      <c r="C37">
        <v>250</v>
      </c>
      <c r="D37">
        <v>0.32572842998585799</v>
      </c>
      <c r="E37">
        <v>2.10437207963614</v>
      </c>
      <c r="F37">
        <v>2.5430588954681599</v>
      </c>
      <c r="G37">
        <v>-34.314884254985721</v>
      </c>
      <c r="H37">
        <v>-30.079421904361233</v>
      </c>
      <c r="I37">
        <v>4.1315537732278003</v>
      </c>
      <c r="J37">
        <v>2.4371667935163499</v>
      </c>
      <c r="K37">
        <v>0.82749639946845799</v>
      </c>
      <c r="L37">
        <v>0</v>
      </c>
      <c r="M37">
        <v>1.2382833910659952E-6</v>
      </c>
      <c r="N37">
        <v>0</v>
      </c>
      <c r="O37" s="1">
        <v>1.1765280873793499E-12</v>
      </c>
      <c r="P37">
        <v>0</v>
      </c>
      <c r="Q37">
        <v>100</v>
      </c>
      <c r="AJ37">
        <v>1</v>
      </c>
    </row>
    <row r="38" spans="1:36" x14ac:dyDescent="0.2">
      <c r="A38">
        <v>40</v>
      </c>
      <c r="B38">
        <v>750</v>
      </c>
      <c r="C38">
        <v>250</v>
      </c>
      <c r="D38">
        <v>0.324273566925672</v>
      </c>
      <c r="E38">
        <v>2.50183761672203</v>
      </c>
      <c r="F38">
        <v>2.5430588954681599</v>
      </c>
      <c r="G38">
        <v>-40.786326725299418</v>
      </c>
      <c r="H38">
        <v>-35.766499263817494</v>
      </c>
      <c r="I38">
        <v>4.9062478243482603</v>
      </c>
      <c r="J38">
        <v>2.8967457226401101</v>
      </c>
      <c r="K38">
        <v>0.983790670825756</v>
      </c>
      <c r="L38">
        <v>0</v>
      </c>
      <c r="M38">
        <v>1.2382833910659954E-6</v>
      </c>
      <c r="N38">
        <v>0</v>
      </c>
      <c r="O38" s="1">
        <v>1.39874609372533E-12</v>
      </c>
      <c r="P38">
        <v>0</v>
      </c>
      <c r="Q38">
        <v>100</v>
      </c>
      <c r="AJ38">
        <v>1</v>
      </c>
    </row>
    <row r="39" spans="1:36" x14ac:dyDescent="0.2">
      <c r="A39">
        <v>41</v>
      </c>
      <c r="B39">
        <v>748</v>
      </c>
      <c r="C39">
        <v>250</v>
      </c>
      <c r="D39">
        <v>0.32281300494540499</v>
      </c>
      <c r="E39">
        <v>2.8955885653113</v>
      </c>
      <c r="F39">
        <v>2.5430588954681599</v>
      </c>
      <c r="G39">
        <v>-47.194120015117576</v>
      </c>
      <c r="H39">
        <v>-41.402303252562994</v>
      </c>
      <c r="I39">
        <v>5.6718569872737401</v>
      </c>
      <c r="J39">
        <v>3.35178480297051</v>
      </c>
      <c r="K39">
        <v>1.13862426484552</v>
      </c>
      <c r="L39">
        <v>0</v>
      </c>
      <c r="M39">
        <v>1.2382833910659956E-6</v>
      </c>
      <c r="N39">
        <v>0</v>
      </c>
      <c r="O39" s="1">
        <v>1.61888732014173E-12</v>
      </c>
      <c r="P39">
        <v>0</v>
      </c>
      <c r="Q39">
        <v>100</v>
      </c>
      <c r="AJ39">
        <v>1</v>
      </c>
    </row>
    <row r="40" spans="1:36" x14ac:dyDescent="0.2">
      <c r="A40">
        <v>42</v>
      </c>
      <c r="B40">
        <v>746</v>
      </c>
      <c r="C40">
        <v>250</v>
      </c>
      <c r="D40">
        <v>0.32134671049404001</v>
      </c>
      <c r="E40">
        <v>3.2856831625675502</v>
      </c>
      <c r="F40">
        <v>2.5430588954681599</v>
      </c>
      <c r="G40">
        <v>-53.539262136515717</v>
      </c>
      <c r="H40">
        <v>-46.987640189562555</v>
      </c>
      <c r="I40">
        <v>6.4285158680794403</v>
      </c>
      <c r="J40">
        <v>3.8023531914649702</v>
      </c>
      <c r="K40">
        <v>1.29202008196616</v>
      </c>
      <c r="L40">
        <v>0</v>
      </c>
      <c r="M40">
        <v>1.2382833910659952E-6</v>
      </c>
      <c r="N40">
        <v>0</v>
      </c>
      <c r="O40" s="1">
        <v>1.8369843262977298E-12</v>
      </c>
      <c r="P40">
        <v>0</v>
      </c>
      <c r="Q40">
        <v>100</v>
      </c>
      <c r="AJ40">
        <v>1</v>
      </c>
    </row>
    <row r="41" spans="1:36" x14ac:dyDescent="0.2">
      <c r="A41">
        <v>43</v>
      </c>
      <c r="B41">
        <v>744</v>
      </c>
      <c r="C41">
        <v>250</v>
      </c>
      <c r="D41">
        <v>0.31987464975667701</v>
      </c>
      <c r="E41">
        <v>3.6721784427576099</v>
      </c>
      <c r="F41">
        <v>2.5430588954681599</v>
      </c>
      <c r="G41">
        <v>-59.822730505505518</v>
      </c>
      <c r="H41">
        <v>-52.523299736975609</v>
      </c>
      <c r="I41">
        <v>7.1763562586933096</v>
      </c>
      <c r="J41">
        <v>4.2485185988826002</v>
      </c>
      <c r="K41">
        <v>1.44400054961432</v>
      </c>
      <c r="L41">
        <v>0</v>
      </c>
      <c r="M41">
        <v>1.2382833910659956E-6</v>
      </c>
      <c r="N41">
        <v>0</v>
      </c>
      <c r="O41" s="1">
        <v>2.0530689993379599E-12</v>
      </c>
      <c r="P41">
        <v>0</v>
      </c>
      <c r="Q41">
        <v>100</v>
      </c>
      <c r="AJ41">
        <v>1</v>
      </c>
    </row>
    <row r="42" spans="1:36" x14ac:dyDescent="0.2">
      <c r="A42">
        <v>44</v>
      </c>
      <c r="B42">
        <v>742</v>
      </c>
      <c r="C42">
        <v>250</v>
      </c>
      <c r="D42">
        <v>0.318396788651924</v>
      </c>
      <c r="E42">
        <v>28.613086449336901</v>
      </c>
      <c r="F42">
        <v>2.5430588954681599</v>
      </c>
      <c r="G42">
        <v>-466.0183457924245</v>
      </c>
      <c r="H42">
        <v>-409.32019892597992</v>
      </c>
      <c r="I42">
        <v>55.851989229615903</v>
      </c>
      <c r="J42">
        <v>33.0951916863539</v>
      </c>
      <c r="K42">
        <v>11.251444667807901</v>
      </c>
      <c r="L42">
        <v>0</v>
      </c>
      <c r="M42">
        <v>1.2382833910659956E-6</v>
      </c>
      <c r="N42">
        <v>0</v>
      </c>
      <c r="O42" s="1">
        <v>1.5997218457716501E-11</v>
      </c>
      <c r="P42">
        <v>0</v>
      </c>
      <c r="Q42">
        <v>100</v>
      </c>
      <c r="AJ42">
        <v>1</v>
      </c>
    </row>
    <row r="43" spans="1:36" x14ac:dyDescent="0.2">
      <c r="A43">
        <v>45</v>
      </c>
      <c r="B43">
        <v>740</v>
      </c>
      <c r="C43">
        <v>250</v>
      </c>
      <c r="D43">
        <v>0.31691309282929903</v>
      </c>
      <c r="E43">
        <v>32.511385095505098</v>
      </c>
      <c r="F43">
        <v>2.5430588954681599</v>
      </c>
      <c r="G43">
        <v>-529.38267944009488</v>
      </c>
      <c r="H43">
        <v>-465.1619215165972</v>
      </c>
      <c r="I43">
        <v>63.387216032668</v>
      </c>
      <c r="J43">
        <v>37.594263563273699</v>
      </c>
      <c r="K43">
        <v>12.784361838194799</v>
      </c>
      <c r="L43">
        <v>0</v>
      </c>
      <c r="M43">
        <v>1.2382833910659952E-6</v>
      </c>
      <c r="N43">
        <v>0</v>
      </c>
      <c r="O43" s="1">
        <v>1.81767084322285E-11</v>
      </c>
      <c r="P43">
        <v>0</v>
      </c>
      <c r="Q43">
        <v>100</v>
      </c>
      <c r="AJ43">
        <v>1</v>
      </c>
    </row>
    <row r="44" spans="1:36" x14ac:dyDescent="0.2">
      <c r="A44">
        <v>47</v>
      </c>
      <c r="B44">
        <v>762</v>
      </c>
      <c r="C44">
        <v>225</v>
      </c>
      <c r="D44">
        <v>0.35948461575617302</v>
      </c>
      <c r="E44">
        <v>0.115407547197587</v>
      </c>
      <c r="F44">
        <v>2.5422717692855801</v>
      </c>
      <c r="G44">
        <v>-1.8852969586926576</v>
      </c>
      <c r="H44">
        <v>-1.6494068361311474</v>
      </c>
      <c r="I44">
        <v>0.22788013578854199</v>
      </c>
      <c r="J44">
        <v>0.13382788965515699</v>
      </c>
      <c r="K44">
        <v>4.5395440641666299E-2</v>
      </c>
      <c r="L44">
        <v>0</v>
      </c>
      <c r="M44">
        <v>1.2382554563563434E-6</v>
      </c>
      <c r="N44">
        <v>0</v>
      </c>
      <c r="O44" s="1">
        <v>6.4522914976612898E-14</v>
      </c>
      <c r="P44">
        <v>0</v>
      </c>
      <c r="Q44">
        <v>100</v>
      </c>
      <c r="AJ44">
        <v>1</v>
      </c>
    </row>
    <row r="45" spans="1:36" x14ac:dyDescent="0.2">
      <c r="A45">
        <v>48</v>
      </c>
      <c r="B45">
        <v>760</v>
      </c>
      <c r="C45">
        <v>225</v>
      </c>
      <c r="D45">
        <v>0.35810918066108399</v>
      </c>
      <c r="E45">
        <v>0.51854162008735505</v>
      </c>
      <c r="F45">
        <v>2.5422717692855801</v>
      </c>
      <c r="G45">
        <v>-8.4688459855781506</v>
      </c>
      <c r="H45">
        <v>-7.4122090541942462</v>
      </c>
      <c r="I45">
        <v>1.02273332176731</v>
      </c>
      <c r="J45">
        <v>0.60115588757203997</v>
      </c>
      <c r="K45">
        <v>0.20396781585356299</v>
      </c>
      <c r="L45">
        <v>0</v>
      </c>
      <c r="M45">
        <v>1.2382554563563434E-6</v>
      </c>
      <c r="N45">
        <v>0</v>
      </c>
      <c r="O45" s="1">
        <v>2.89910128732299E-13</v>
      </c>
      <c r="P45">
        <v>0</v>
      </c>
      <c r="Q45">
        <v>100</v>
      </c>
      <c r="AJ45">
        <v>1</v>
      </c>
    </row>
    <row r="46" spans="1:36" x14ac:dyDescent="0.2">
      <c r="A46">
        <v>49</v>
      </c>
      <c r="B46">
        <v>758</v>
      </c>
      <c r="C46">
        <v>225</v>
      </c>
      <c r="D46">
        <v>0.356728410027642</v>
      </c>
      <c r="E46">
        <v>0.91788330709377997</v>
      </c>
      <c r="F46">
        <v>2.5422717692855801</v>
      </c>
      <c r="G46">
        <v>-14.98729442062154</v>
      </c>
      <c r="H46">
        <v>-13.122661979136677</v>
      </c>
      <c r="I46">
        <v>1.8083037787759899</v>
      </c>
      <c r="J46">
        <v>1.06385275595078</v>
      </c>
      <c r="K46">
        <v>0.36104845995741702</v>
      </c>
      <c r="L46">
        <v>0</v>
      </c>
      <c r="M46">
        <v>1.2382554563563432E-6</v>
      </c>
      <c r="N46">
        <v>0</v>
      </c>
      <c r="O46" s="1">
        <v>5.1317706701336204E-13</v>
      </c>
      <c r="P46">
        <v>0</v>
      </c>
      <c r="Q46">
        <v>100</v>
      </c>
      <c r="AJ46">
        <v>1</v>
      </c>
    </row>
    <row r="47" spans="1:36" x14ac:dyDescent="0.2">
      <c r="A47">
        <v>50</v>
      </c>
      <c r="B47">
        <v>756</v>
      </c>
      <c r="C47">
        <v>225</v>
      </c>
      <c r="D47">
        <v>0.35534227274935698</v>
      </c>
      <c r="E47">
        <v>1.3134915183185101</v>
      </c>
      <c r="F47">
        <v>2.5422717692855801</v>
      </c>
      <c r="G47">
        <v>-21.441654162786566</v>
      </c>
      <c r="H47">
        <v>-18.781580887073673</v>
      </c>
      <c r="I47">
        <v>2.5847284416391099</v>
      </c>
      <c r="J47">
        <v>1.52198855950588</v>
      </c>
      <c r="K47">
        <v>0.51666054518145699</v>
      </c>
      <c r="L47">
        <v>0</v>
      </c>
      <c r="M47">
        <v>1.2382554563563434E-6</v>
      </c>
      <c r="N47">
        <v>0</v>
      </c>
      <c r="O47" s="1">
        <v>7.3435666572020696E-13</v>
      </c>
      <c r="P47">
        <v>0</v>
      </c>
      <c r="Q47">
        <v>100</v>
      </c>
      <c r="AJ47">
        <v>1</v>
      </c>
    </row>
    <row r="48" spans="1:36" x14ac:dyDescent="0.2">
      <c r="A48">
        <v>51</v>
      </c>
      <c r="B48">
        <v>754</v>
      </c>
      <c r="C48">
        <v>225</v>
      </c>
      <c r="D48">
        <v>0.35395073747748601</v>
      </c>
      <c r="E48">
        <v>1.70542393548837</v>
      </c>
      <c r="F48">
        <v>2.5422717692855801</v>
      </c>
      <c r="G48">
        <v>-27.832916046579268</v>
      </c>
      <c r="H48">
        <v>-24.389764042070212</v>
      </c>
      <c r="I48">
        <v>3.35214136641099</v>
      </c>
      <c r="J48">
        <v>1.9756318863370601</v>
      </c>
      <c r="K48">
        <v>0.67082676057391899</v>
      </c>
      <c r="L48">
        <v>0</v>
      </c>
      <c r="M48">
        <v>1.2382554563563434E-6</v>
      </c>
      <c r="N48">
        <v>0</v>
      </c>
      <c r="O48" s="1">
        <v>9.534811739842351E-13</v>
      </c>
      <c r="P48">
        <v>0</v>
      </c>
      <c r="Q48">
        <v>100</v>
      </c>
      <c r="AJ48">
        <v>1</v>
      </c>
    </row>
    <row r="49" spans="1:36" x14ac:dyDescent="0.2">
      <c r="A49">
        <v>52</v>
      </c>
      <c r="B49">
        <v>752</v>
      </c>
      <c r="C49">
        <v>225</v>
      </c>
      <c r="D49">
        <v>0.35255377261864101</v>
      </c>
      <c r="E49">
        <v>2.0937370416559902</v>
      </c>
      <c r="F49">
        <v>2.5422717692855801</v>
      </c>
      <c r="G49">
        <v>-34.162050353202694</v>
      </c>
      <c r="H49">
        <v>-29.947993106456099</v>
      </c>
      <c r="I49">
        <v>4.1106738006599901</v>
      </c>
      <c r="J49">
        <v>2.4248498835631098</v>
      </c>
      <c r="K49">
        <v>0.82356932368578695</v>
      </c>
      <c r="L49">
        <v>0</v>
      </c>
      <c r="M49">
        <v>1.2382554563563436E-6</v>
      </c>
      <c r="N49">
        <v>0</v>
      </c>
      <c r="O49" s="1">
        <v>1.17058217077313E-12</v>
      </c>
      <c r="P49">
        <v>0</v>
      </c>
      <c r="Q49">
        <v>100</v>
      </c>
      <c r="AJ49">
        <v>1</v>
      </c>
    </row>
    <row r="50" spans="1:36" x14ac:dyDescent="0.2">
      <c r="A50">
        <v>53</v>
      </c>
      <c r="B50">
        <v>750</v>
      </c>
      <c r="C50">
        <v>225</v>
      </c>
      <c r="D50">
        <v>0.35115134633240402</v>
      </c>
      <c r="E50">
        <v>3.1621155858924999</v>
      </c>
      <c r="F50">
        <v>2.5422717692855801</v>
      </c>
      <c r="G50">
        <v>-51.581630278962258</v>
      </c>
      <c r="H50">
        <v>-45.236984028403135</v>
      </c>
      <c r="I50">
        <v>6.2010909940469299</v>
      </c>
      <c r="J50">
        <v>3.6612467318838999</v>
      </c>
      <c r="K50">
        <v>1.24381493123416</v>
      </c>
      <c r="L50">
        <v>0</v>
      </c>
      <c r="M50">
        <v>1.2382554563563434E-6</v>
      </c>
      <c r="N50">
        <v>0</v>
      </c>
      <c r="O50" s="1">
        <v>1.7678992409868001E-12</v>
      </c>
      <c r="P50">
        <v>0</v>
      </c>
      <c r="Q50">
        <v>100</v>
      </c>
      <c r="AJ50">
        <v>1</v>
      </c>
    </row>
    <row r="51" spans="1:36" x14ac:dyDescent="0.2">
      <c r="A51">
        <v>54</v>
      </c>
      <c r="B51">
        <v>748</v>
      </c>
      <c r="C51">
        <v>225</v>
      </c>
      <c r="D51">
        <v>0.34974342652891699</v>
      </c>
      <c r="E51">
        <v>10.4162922560977</v>
      </c>
      <c r="F51">
        <v>2.5422717692855801</v>
      </c>
      <c r="G51">
        <v>-169.87368465138286</v>
      </c>
      <c r="H51">
        <v>-149.03879919311379</v>
      </c>
      <c r="I51">
        <v>20.403354510374601</v>
      </c>
      <c r="J51">
        <v>12.057365644257001</v>
      </c>
      <c r="K51">
        <v>4.09723790427996</v>
      </c>
      <c r="L51">
        <v>0</v>
      </c>
      <c r="M51">
        <v>1.2382554563563432E-6</v>
      </c>
      <c r="N51">
        <v>0</v>
      </c>
      <c r="O51" s="1">
        <v>5.8236186101509696E-12</v>
      </c>
      <c r="P51">
        <v>0</v>
      </c>
      <c r="Q51">
        <v>100</v>
      </c>
      <c r="AJ51">
        <v>1</v>
      </c>
    </row>
    <row r="52" spans="1:36" x14ac:dyDescent="0.2">
      <c r="A52">
        <v>55</v>
      </c>
      <c r="B52">
        <v>746</v>
      </c>
      <c r="C52">
        <v>225</v>
      </c>
      <c r="D52">
        <v>0.34832998086640898</v>
      </c>
      <c r="E52">
        <v>29.453730121722302</v>
      </c>
      <c r="F52">
        <v>2.5422717692855801</v>
      </c>
      <c r="G52">
        <v>-480.22965616519093</v>
      </c>
      <c r="H52">
        <v>-421.49918973326697</v>
      </c>
      <c r="I52">
        <v>57.626911084652797</v>
      </c>
      <c r="J52">
        <v>34.085296477997296</v>
      </c>
      <c r="K52">
        <v>11.5855946156375</v>
      </c>
      <c r="L52">
        <v>0</v>
      </c>
      <c r="M52">
        <v>1.2382554563563432E-6</v>
      </c>
      <c r="N52">
        <v>0</v>
      </c>
      <c r="O52" s="1">
        <v>1.6467211811843299E-11</v>
      </c>
      <c r="P52">
        <v>0</v>
      </c>
      <c r="Q52">
        <v>100</v>
      </c>
      <c r="AJ52">
        <v>1</v>
      </c>
    </row>
    <row r="53" spans="1:36" x14ac:dyDescent="0.2">
      <c r="A53">
        <v>56</v>
      </c>
      <c r="B53">
        <v>744</v>
      </c>
      <c r="C53">
        <v>225</v>
      </c>
      <c r="D53">
        <v>0.34691097674876298</v>
      </c>
      <c r="E53">
        <v>32.554982003489499</v>
      </c>
      <c r="F53">
        <v>2.5422717692855801</v>
      </c>
      <c r="G53">
        <v>-530.66684057087946</v>
      </c>
      <c r="H53">
        <v>-465.95516029459122</v>
      </c>
      <c r="I53">
        <v>63.620587205710201</v>
      </c>
      <c r="J53">
        <v>37.664413286040997</v>
      </c>
      <c r="K53">
        <v>12.805468871110399</v>
      </c>
      <c r="L53">
        <v>0</v>
      </c>
      <c r="M53">
        <v>1.2382554563563434E-6</v>
      </c>
      <c r="N53">
        <v>0</v>
      </c>
      <c r="O53" s="1">
        <v>1.8201082917740201E-11</v>
      </c>
      <c r="P53">
        <v>0</v>
      </c>
      <c r="Q53">
        <v>100</v>
      </c>
      <c r="AJ53">
        <v>1</v>
      </c>
    </row>
    <row r="54" spans="1:36" x14ac:dyDescent="0.2">
      <c r="A54">
        <v>58</v>
      </c>
      <c r="B54">
        <v>762</v>
      </c>
      <c r="C54">
        <v>200</v>
      </c>
      <c r="D54">
        <v>0.38605081389170998</v>
      </c>
      <c r="E54">
        <v>0.25166749393898602</v>
      </c>
      <c r="F54">
        <v>2.5414849045122199</v>
      </c>
      <c r="G54">
        <v>-4.1137137958908454</v>
      </c>
      <c r="H54">
        <v>-3.5993117707929883</v>
      </c>
      <c r="I54">
        <v>0.49693476800256597</v>
      </c>
      <c r="J54">
        <v>0.29183645633671901</v>
      </c>
      <c r="K54">
        <v>9.9023800413753693E-2</v>
      </c>
      <c r="L54">
        <v>0</v>
      </c>
      <c r="M54">
        <v>1.2382274289707085E-6</v>
      </c>
      <c r="N54">
        <v>0</v>
      </c>
      <c r="O54" s="1">
        <v>1.4070414550966099E-13</v>
      </c>
      <c r="P54">
        <v>0</v>
      </c>
      <c r="Q54">
        <v>100</v>
      </c>
      <c r="AJ54">
        <v>1</v>
      </c>
    </row>
    <row r="55" spans="1:36" x14ac:dyDescent="0.2">
      <c r="A55">
        <v>59</v>
      </c>
      <c r="B55">
        <v>760</v>
      </c>
      <c r="C55">
        <v>200</v>
      </c>
      <c r="D55">
        <v>0.38472680636887402</v>
      </c>
      <c r="E55">
        <v>0.63940627557616403</v>
      </c>
      <c r="F55">
        <v>2.5414849045122199</v>
      </c>
      <c r="G55">
        <v>-10.449101908924664</v>
      </c>
      <c r="H55">
        <v>-9.1461779800439071</v>
      </c>
      <c r="I55">
        <v>1.26111787144243</v>
      </c>
      <c r="J55">
        <v>0.74127675045325503</v>
      </c>
      <c r="K55">
        <v>0.251587673977895</v>
      </c>
      <c r="L55">
        <v>0</v>
      </c>
      <c r="M55">
        <v>1.2382274289707085E-6</v>
      </c>
      <c r="N55">
        <v>0</v>
      </c>
      <c r="O55" s="1">
        <v>3.5748404464292998E-13</v>
      </c>
      <c r="P55">
        <v>0</v>
      </c>
      <c r="Q55">
        <v>100</v>
      </c>
      <c r="AJ55">
        <v>1</v>
      </c>
    </row>
    <row r="56" spans="1:36" x14ac:dyDescent="0.2">
      <c r="A56">
        <v>60</v>
      </c>
      <c r="B56">
        <v>758</v>
      </c>
      <c r="C56">
        <v>200</v>
      </c>
      <c r="D56">
        <v>0.383397662803666</v>
      </c>
      <c r="E56">
        <v>1.0236178133837699</v>
      </c>
      <c r="F56">
        <v>2.5414849045122199</v>
      </c>
      <c r="G56">
        <v>-16.723806006543189</v>
      </c>
      <c r="H56">
        <v>-14.644379386877938</v>
      </c>
      <c r="I56">
        <v>2.0166092417836801</v>
      </c>
      <c r="J56">
        <v>1.18640204412976</v>
      </c>
      <c r="K56">
        <v>0.40276368022741799</v>
      </c>
      <c r="L56">
        <v>0</v>
      </c>
      <c r="M56">
        <v>1.2382274289707085E-6</v>
      </c>
      <c r="N56">
        <v>0</v>
      </c>
      <c r="O56" s="1">
        <v>5.7229190590481604E-13</v>
      </c>
      <c r="P56">
        <v>0</v>
      </c>
      <c r="Q56">
        <v>100</v>
      </c>
      <c r="AJ56">
        <v>1</v>
      </c>
    </row>
    <row r="57" spans="1:36" x14ac:dyDescent="0.2">
      <c r="A57">
        <v>61</v>
      </c>
      <c r="B57">
        <v>756</v>
      </c>
      <c r="C57">
        <v>200</v>
      </c>
      <c r="D57">
        <v>0.38206335325268598</v>
      </c>
      <c r="E57">
        <v>2.1474926675930299</v>
      </c>
      <c r="F57">
        <v>2.5414849045122199</v>
      </c>
      <c r="G57">
        <v>-35.077148854917503</v>
      </c>
      <c r="H57">
        <v>-30.728062640667318</v>
      </c>
      <c r="I57">
        <v>4.2259011944324696</v>
      </c>
      <c r="J57">
        <v>2.4883748590044399</v>
      </c>
      <c r="K57">
        <v>0.84497557462580797</v>
      </c>
      <c r="L57">
        <v>0</v>
      </c>
      <c r="M57">
        <v>1.2382274289707087E-6</v>
      </c>
      <c r="N57">
        <v>0</v>
      </c>
      <c r="O57" s="1">
        <v>1.2006362683263099E-12</v>
      </c>
      <c r="P57">
        <v>0</v>
      </c>
      <c r="Q57">
        <v>100</v>
      </c>
      <c r="AJ57">
        <v>1</v>
      </c>
    </row>
    <row r="58" spans="1:36" x14ac:dyDescent="0.2">
      <c r="A58">
        <v>62</v>
      </c>
      <c r="B58">
        <v>754</v>
      </c>
      <c r="C58">
        <v>200</v>
      </c>
      <c r="D58">
        <v>0.38072384753930699</v>
      </c>
      <c r="E58">
        <v>3.99025312289554</v>
      </c>
      <c r="F58">
        <v>2.5414849045122199</v>
      </c>
      <c r="G58">
        <v>-65.161105948482557</v>
      </c>
      <c r="H58">
        <v>-57.105016343605556</v>
      </c>
      <c r="I58">
        <v>7.8431481330642896</v>
      </c>
      <c r="J58">
        <v>4.6224701906103904</v>
      </c>
      <c r="K58">
        <v>1.5700479337143101</v>
      </c>
      <c r="L58">
        <v>0</v>
      </c>
      <c r="M58">
        <v>1.2382274289707087E-6</v>
      </c>
      <c r="N58">
        <v>0</v>
      </c>
      <c r="O58" s="1">
        <v>2.2309005713721099E-12</v>
      </c>
      <c r="P58">
        <v>0</v>
      </c>
      <c r="Q58">
        <v>100</v>
      </c>
      <c r="AJ58">
        <v>1</v>
      </c>
    </row>
    <row r="59" spans="1:36" x14ac:dyDescent="0.2">
      <c r="A59">
        <v>63</v>
      </c>
      <c r="B59">
        <v>752</v>
      </c>
      <c r="C59">
        <v>200</v>
      </c>
      <c r="D59">
        <v>0.37937911525142798</v>
      </c>
      <c r="E59">
        <v>18.730215104195601</v>
      </c>
      <c r="F59">
        <v>2.5414849045122199</v>
      </c>
      <c r="G59">
        <v>-305.79210246480551</v>
      </c>
      <c r="H59">
        <v>-268.09386380226067</v>
      </c>
      <c r="I59">
        <v>36.773387955464798</v>
      </c>
      <c r="J59">
        <v>21.6922942140807</v>
      </c>
      <c r="K59">
        <v>7.3697919948064801</v>
      </c>
      <c r="L59">
        <v>0</v>
      </c>
      <c r="M59">
        <v>1.2382274289707085E-6</v>
      </c>
      <c r="N59">
        <v>0</v>
      </c>
      <c r="O59" s="1">
        <v>1.04718288015651E-11</v>
      </c>
      <c r="P59">
        <v>0</v>
      </c>
      <c r="Q59">
        <v>100</v>
      </c>
      <c r="AJ59">
        <v>1</v>
      </c>
    </row>
    <row r="60" spans="1:36" x14ac:dyDescent="0.2">
      <c r="A60">
        <v>64</v>
      </c>
      <c r="B60">
        <v>750</v>
      </c>
      <c r="C60">
        <v>200</v>
      </c>
      <c r="D60">
        <v>0.37802912573913899</v>
      </c>
      <c r="E60">
        <v>30.9363185813482</v>
      </c>
      <c r="F60">
        <v>2.5414849045122199</v>
      </c>
      <c r="G60">
        <v>-504.94924336855132</v>
      </c>
      <c r="H60">
        <v>-442.87687682732195</v>
      </c>
      <c r="I60">
        <v>60.6679045508765</v>
      </c>
      <c r="J60">
        <v>35.819530382698296</v>
      </c>
      <c r="K60">
        <v>12.172536821455401</v>
      </c>
      <c r="L60">
        <v>0</v>
      </c>
      <c r="M60">
        <v>1.2382274289707085E-6</v>
      </c>
      <c r="N60">
        <v>0</v>
      </c>
      <c r="O60" s="1">
        <v>1.72961084607079E-11</v>
      </c>
      <c r="P60">
        <v>0</v>
      </c>
      <c r="Q60">
        <v>100</v>
      </c>
      <c r="AJ60">
        <v>1</v>
      </c>
    </row>
    <row r="61" spans="1:36" x14ac:dyDescent="0.2">
      <c r="A61">
        <v>65</v>
      </c>
      <c r="B61">
        <v>748</v>
      </c>
      <c r="C61">
        <v>200</v>
      </c>
      <c r="D61">
        <v>0.37667384811242399</v>
      </c>
      <c r="E61">
        <v>32.788134503565601</v>
      </c>
      <c r="F61">
        <v>2.5414849045122199</v>
      </c>
      <c r="G61">
        <v>-535.04645640857416</v>
      </c>
      <c r="H61">
        <v>-469.46294454309287</v>
      </c>
      <c r="I61">
        <v>64.225149944162197</v>
      </c>
      <c r="J61">
        <v>37.953862735671201</v>
      </c>
      <c r="K61">
        <v>12.901172242004099</v>
      </c>
      <c r="L61">
        <v>0</v>
      </c>
      <c r="M61">
        <v>1.2382274289707083E-6</v>
      </c>
      <c r="N61">
        <v>0</v>
      </c>
      <c r="O61" s="1">
        <v>1.83314355619502E-11</v>
      </c>
      <c r="P61">
        <v>0</v>
      </c>
      <c r="Q61">
        <v>100</v>
      </c>
      <c r="AJ61">
        <v>1</v>
      </c>
    </row>
    <row r="62" spans="1:36" x14ac:dyDescent="0.2">
      <c r="A62">
        <v>67</v>
      </c>
      <c r="B62">
        <v>764</v>
      </c>
      <c r="C62">
        <v>175</v>
      </c>
      <c r="D62">
        <v>0.41388468398978101</v>
      </c>
      <c r="E62">
        <v>0.193333976146217</v>
      </c>
      <c r="F62">
        <v>2.5406983011149902</v>
      </c>
      <c r="G62">
        <v>-3.1628701062741502</v>
      </c>
      <c r="H62">
        <v>-2.7664879478421804</v>
      </c>
      <c r="I62">
        <v>0.38218402201414398</v>
      </c>
      <c r="J62">
        <v>0.22424823819459</v>
      </c>
      <c r="K62">
        <v>7.6094818523463198E-2</v>
      </c>
      <c r="L62">
        <v>0</v>
      </c>
      <c r="M62">
        <v>1.238199309002582E-6</v>
      </c>
      <c r="N62">
        <v>0</v>
      </c>
      <c r="O62" s="1">
        <v>1.08090605925585E-13</v>
      </c>
      <c r="P62">
        <v>0</v>
      </c>
      <c r="Q62">
        <v>100</v>
      </c>
      <c r="AJ62">
        <v>1</v>
      </c>
    </row>
    <row r="63" spans="1:36" x14ac:dyDescent="0.2">
      <c r="A63">
        <v>68</v>
      </c>
      <c r="B63">
        <v>762</v>
      </c>
      <c r="C63">
        <v>175</v>
      </c>
      <c r="D63">
        <v>0.41261701202724399</v>
      </c>
      <c r="E63">
        <v>1.88875474591138</v>
      </c>
      <c r="F63">
        <v>2.5406983011149902</v>
      </c>
      <c r="G63">
        <v>-30.891844032906551</v>
      </c>
      <c r="H63">
        <v>-27.031276857530493</v>
      </c>
      <c r="I63">
        <v>3.72947609078496</v>
      </c>
      <c r="J63">
        <v>2.1902212451385199</v>
      </c>
      <c r="K63">
        <v>0.74339985392303098</v>
      </c>
      <c r="L63">
        <v>0</v>
      </c>
      <c r="M63">
        <v>1.238199309002582E-6</v>
      </c>
      <c r="N63">
        <v>0</v>
      </c>
      <c r="O63" s="1">
        <v>1.0559791351727201E-12</v>
      </c>
      <c r="P63">
        <v>0</v>
      </c>
      <c r="Q63">
        <v>100</v>
      </c>
      <c r="AJ63">
        <v>1</v>
      </c>
    </row>
    <row r="64" spans="1:36" x14ac:dyDescent="0.2">
      <c r="A64">
        <v>69</v>
      </c>
      <c r="B64">
        <v>760</v>
      </c>
      <c r="C64">
        <v>175</v>
      </c>
      <c r="D64">
        <v>0.41134443207665999</v>
      </c>
      <c r="E64">
        <v>3.7600677738350101</v>
      </c>
      <c r="F64">
        <v>2.5406983011149902</v>
      </c>
      <c r="G64">
        <v>-61.483576535559891</v>
      </c>
      <c r="H64">
        <v>-53.821652554084253</v>
      </c>
      <c r="I64">
        <v>7.4160808996521599</v>
      </c>
      <c r="J64">
        <v>4.3591233419797897</v>
      </c>
      <c r="K64">
        <v>1.4799347770590801</v>
      </c>
      <c r="L64">
        <v>0</v>
      </c>
      <c r="M64">
        <v>1.2381993090025822E-6</v>
      </c>
      <c r="N64">
        <v>0</v>
      </c>
      <c r="O64" s="1">
        <v>2.1022068241523899E-12</v>
      </c>
      <c r="P64">
        <v>0</v>
      </c>
      <c r="Q64">
        <v>100</v>
      </c>
      <c r="AJ64">
        <v>1</v>
      </c>
    </row>
    <row r="65" spans="1:36" x14ac:dyDescent="0.2">
      <c r="A65">
        <v>70</v>
      </c>
      <c r="B65">
        <v>758</v>
      </c>
      <c r="C65">
        <v>175</v>
      </c>
      <c r="D65">
        <v>0.41006691557969399</v>
      </c>
      <c r="E65">
        <v>11.365744826866999</v>
      </c>
      <c r="F65">
        <v>2.5406983011149902</v>
      </c>
      <c r="G65">
        <v>-185.80467198104893</v>
      </c>
      <c r="H65">
        <v>-162.71574949817199</v>
      </c>
      <c r="I65">
        <v>22.391429455342902</v>
      </c>
      <c r="J65">
        <v>13.1732202383984</v>
      </c>
      <c r="K65">
        <v>4.4734728329920497</v>
      </c>
      <c r="L65">
        <v>0</v>
      </c>
      <c r="M65">
        <v>1.2381993090025822E-6</v>
      </c>
      <c r="N65">
        <v>0</v>
      </c>
      <c r="O65" s="1">
        <v>6.3544456573040001E-12</v>
      </c>
      <c r="P65">
        <v>0</v>
      </c>
      <c r="Q65">
        <v>100</v>
      </c>
      <c r="AJ65">
        <v>1</v>
      </c>
    </row>
    <row r="66" spans="1:36" x14ac:dyDescent="0.2">
      <c r="A66">
        <v>71</v>
      </c>
      <c r="B66">
        <v>756</v>
      </c>
      <c r="C66">
        <v>175</v>
      </c>
      <c r="D66">
        <v>0.40878443375601398</v>
      </c>
      <c r="E66">
        <v>28.952503905506902</v>
      </c>
      <c r="F66">
        <v>2.5406983011149902</v>
      </c>
      <c r="G66">
        <v>-473.1950908092162</v>
      </c>
      <c r="H66">
        <v>-414.56069475113981</v>
      </c>
      <c r="I66">
        <v>56.973615175704602</v>
      </c>
      <c r="J66">
        <v>33.548278842060498</v>
      </c>
      <c r="K66">
        <v>11.395490717178401</v>
      </c>
      <c r="L66">
        <v>0</v>
      </c>
      <c r="M66">
        <v>1.238199309002582E-6</v>
      </c>
      <c r="N66">
        <v>0</v>
      </c>
      <c r="O66" s="1">
        <v>1.6186982508663199E-11</v>
      </c>
      <c r="P66">
        <v>0</v>
      </c>
      <c r="Q66">
        <v>100</v>
      </c>
      <c r="AJ66">
        <v>1</v>
      </c>
    </row>
    <row r="67" spans="1:36" x14ac:dyDescent="0.2">
      <c r="A67">
        <v>72</v>
      </c>
      <c r="B67">
        <v>754</v>
      </c>
      <c r="C67">
        <v>175</v>
      </c>
      <c r="D67">
        <v>0.40749695760112897</v>
      </c>
      <c r="E67">
        <v>32.273312091958097</v>
      </c>
      <c r="F67">
        <v>2.5406983011149902</v>
      </c>
      <c r="G67">
        <v>-527.34290431843942</v>
      </c>
      <c r="H67">
        <v>-462.18495918279166</v>
      </c>
      <c r="I67">
        <v>63.4356667825027</v>
      </c>
      <c r="J67">
        <v>37.386706683180897</v>
      </c>
      <c r="K67">
        <v>12.7025361798348</v>
      </c>
      <c r="L67">
        <v>0</v>
      </c>
      <c r="M67">
        <v>1.238199309002582E-6</v>
      </c>
      <c r="N67">
        <v>0</v>
      </c>
      <c r="O67" s="1">
        <v>1.80436047961223E-11</v>
      </c>
      <c r="P67">
        <v>0</v>
      </c>
      <c r="Q67">
        <v>100</v>
      </c>
      <c r="AJ67">
        <v>1</v>
      </c>
    </row>
    <row r="68" spans="1:36" x14ac:dyDescent="0.2">
      <c r="A68">
        <v>76</v>
      </c>
      <c r="B68">
        <v>770</v>
      </c>
      <c r="C68">
        <v>150</v>
      </c>
      <c r="D68">
        <v>0.44402099410439499</v>
      </c>
      <c r="E68">
        <v>1.0866998312101901</v>
      </c>
      <c r="F68">
        <v>2.53991195906073</v>
      </c>
      <c r="G68">
        <v>-17.801600334245592</v>
      </c>
      <c r="H68">
        <v>-15.553122034696084</v>
      </c>
      <c r="I68">
        <v>2.1554697786027899</v>
      </c>
      <c r="J68">
        <v>1.26140000696437</v>
      </c>
      <c r="K68">
        <v>0.42784940924175002</v>
      </c>
      <c r="L68">
        <v>0</v>
      </c>
      <c r="M68">
        <v>1.2381710965453891E-6</v>
      </c>
      <c r="N68">
        <v>0</v>
      </c>
      <c r="O68" s="1">
        <v>6.0756027241639904E-13</v>
      </c>
      <c r="P68">
        <v>0</v>
      </c>
      <c r="Q68">
        <v>100</v>
      </c>
      <c r="AJ68">
        <v>1</v>
      </c>
    </row>
    <row r="69" spans="1:36" x14ac:dyDescent="0.2">
      <c r="A69">
        <v>77</v>
      </c>
      <c r="B69">
        <v>768</v>
      </c>
      <c r="C69">
        <v>150</v>
      </c>
      <c r="D69">
        <v>0.442818517984921</v>
      </c>
      <c r="E69">
        <v>2.8866612395948001</v>
      </c>
      <c r="F69">
        <v>2.53991195906073</v>
      </c>
      <c r="G69">
        <v>-47.275936716956615</v>
      </c>
      <c r="H69">
        <v>-41.321324265907244</v>
      </c>
      <c r="I69">
        <v>5.7192647083027097</v>
      </c>
      <c r="J69">
        <v>3.3499018274130199</v>
      </c>
      <c r="K69">
        <v>1.13652019681119</v>
      </c>
      <c r="L69">
        <v>0</v>
      </c>
      <c r="M69">
        <v>1.2381710965453891E-6</v>
      </c>
      <c r="N69">
        <v>0</v>
      </c>
      <c r="O69" s="1">
        <v>1.61389616408512E-12</v>
      </c>
      <c r="P69">
        <v>0</v>
      </c>
      <c r="Q69">
        <v>100</v>
      </c>
      <c r="AJ69">
        <v>1</v>
      </c>
    </row>
    <row r="70" spans="1:36" x14ac:dyDescent="0.2">
      <c r="A70">
        <v>78</v>
      </c>
      <c r="B70">
        <v>766</v>
      </c>
      <c r="C70">
        <v>150</v>
      </c>
      <c r="D70">
        <v>0.44161141317423203</v>
      </c>
      <c r="E70">
        <v>5.08858905972762</v>
      </c>
      <c r="F70">
        <v>2.53991195906073</v>
      </c>
      <c r="G70">
        <v>-83.317584292560255</v>
      </c>
      <c r="H70">
        <v>-72.852790636379538</v>
      </c>
      <c r="I70">
        <v>10.070532316008901</v>
      </c>
      <c r="J70">
        <v>5.9037258546591902</v>
      </c>
      <c r="K70">
        <v>2.0034509627685599</v>
      </c>
      <c r="L70">
        <v>0</v>
      </c>
      <c r="M70">
        <v>1.2381710965453891E-6</v>
      </c>
      <c r="N70">
        <v>0</v>
      </c>
      <c r="O70" s="1">
        <v>2.8449664447819598E-12</v>
      </c>
      <c r="P70">
        <v>0</v>
      </c>
      <c r="Q70">
        <v>100</v>
      </c>
      <c r="AJ70">
        <v>1</v>
      </c>
    </row>
    <row r="71" spans="1:36" x14ac:dyDescent="0.2">
      <c r="A71">
        <v>79</v>
      </c>
      <c r="B71">
        <v>764</v>
      </c>
      <c r="C71">
        <v>150</v>
      </c>
      <c r="D71">
        <v>0.44039965289495597</v>
      </c>
      <c r="E71">
        <v>20.043916884007501</v>
      </c>
      <c r="F71">
        <v>2.53991195906073</v>
      </c>
      <c r="G71">
        <v>-328.10809381388987</v>
      </c>
      <c r="H71">
        <v>-287.01313887485151</v>
      </c>
      <c r="I71">
        <v>39.622961904293803</v>
      </c>
      <c r="J71">
        <v>23.248955705323599</v>
      </c>
      <c r="K71">
        <v>7.8915793960905001</v>
      </c>
      <c r="L71">
        <v>0</v>
      </c>
      <c r="M71">
        <v>1.2381710965453893E-6</v>
      </c>
      <c r="N71">
        <v>0</v>
      </c>
      <c r="O71" s="1">
        <v>1.12063030218542E-11</v>
      </c>
      <c r="P71">
        <v>0</v>
      </c>
      <c r="Q71">
        <v>100</v>
      </c>
      <c r="AJ71">
        <v>1</v>
      </c>
    </row>
    <row r="72" spans="1:36" x14ac:dyDescent="0.2">
      <c r="A72">
        <v>80</v>
      </c>
      <c r="B72">
        <v>762</v>
      </c>
      <c r="C72">
        <v>150</v>
      </c>
      <c r="D72">
        <v>0.439183210162781</v>
      </c>
      <c r="E72">
        <v>30.0750060536982</v>
      </c>
      <c r="F72">
        <v>2.53991195906073</v>
      </c>
      <c r="G72">
        <v>-492.19276812322573</v>
      </c>
      <c r="H72">
        <v>-430.72021250345489</v>
      </c>
      <c r="I72">
        <v>59.385166999730302</v>
      </c>
      <c r="J72">
        <v>34.875315256822702</v>
      </c>
      <c r="K72">
        <v>11.8409639934212</v>
      </c>
      <c r="L72">
        <v>0</v>
      </c>
      <c r="M72">
        <v>1.2381710965453891E-6</v>
      </c>
      <c r="N72">
        <v>0</v>
      </c>
      <c r="O72" s="1">
        <v>1.6814559408333399E-11</v>
      </c>
      <c r="P72">
        <v>0</v>
      </c>
      <c r="Q72">
        <v>100</v>
      </c>
      <c r="AJ72">
        <v>1</v>
      </c>
    </row>
    <row r="73" spans="1:36" x14ac:dyDescent="0.2">
      <c r="A73">
        <v>81</v>
      </c>
      <c r="B73">
        <v>760</v>
      </c>
      <c r="C73">
        <v>150</v>
      </c>
      <c r="D73">
        <v>0.43796205778444602</v>
      </c>
      <c r="E73">
        <v>32.411313956690201</v>
      </c>
      <c r="F73">
        <v>2.53991195906073</v>
      </c>
      <c r="G73">
        <v>-530.29971096143481</v>
      </c>
      <c r="H73">
        <v>-464.25488448145404</v>
      </c>
      <c r="I73">
        <v>63.925689861085601</v>
      </c>
      <c r="J73">
        <v>37.575098033071498</v>
      </c>
      <c r="K73">
        <v>12.760802137675601</v>
      </c>
      <c r="L73">
        <v>0</v>
      </c>
      <c r="M73">
        <v>1.2381710965453893E-6</v>
      </c>
      <c r="N73">
        <v>0</v>
      </c>
      <c r="O73" s="1">
        <v>1.8120759911198701E-11</v>
      </c>
      <c r="P73">
        <v>0</v>
      </c>
      <c r="Q73">
        <v>100</v>
      </c>
      <c r="AJ73">
        <v>1</v>
      </c>
    </row>
    <row r="74" spans="1:36" x14ac:dyDescent="0.2">
      <c r="A74">
        <v>86</v>
      </c>
      <c r="B74">
        <v>780</v>
      </c>
      <c r="C74">
        <v>125</v>
      </c>
      <c r="D74">
        <v>0.47607700707401701</v>
      </c>
      <c r="E74">
        <v>0.43871608717126798</v>
      </c>
      <c r="F74">
        <v>2.5391258783161499</v>
      </c>
      <c r="G74">
        <v>-7.1998029266865933</v>
      </c>
      <c r="H74">
        <v>-6.2782386106690771</v>
      </c>
      <c r="I74">
        <v>0.87505513556237502</v>
      </c>
      <c r="J74">
        <v>0.509864138084278</v>
      </c>
      <c r="K74">
        <v>0.17278233069019999</v>
      </c>
      <c r="L74">
        <v>0</v>
      </c>
      <c r="M74">
        <v>1.2381427916924884E-6</v>
      </c>
      <c r="N74">
        <v>0</v>
      </c>
      <c r="O74" s="1">
        <v>2.4528067252793699E-13</v>
      </c>
      <c r="P74">
        <v>0</v>
      </c>
      <c r="Q74">
        <v>100</v>
      </c>
      <c r="AJ74">
        <v>1</v>
      </c>
    </row>
    <row r="75" spans="1:36" x14ac:dyDescent="0.2">
      <c r="A75">
        <v>87</v>
      </c>
      <c r="B75">
        <v>778</v>
      </c>
      <c r="C75">
        <v>125</v>
      </c>
      <c r="D75">
        <v>0.47494696285021398</v>
      </c>
      <c r="E75">
        <v>2.1871381926898898</v>
      </c>
      <c r="F75">
        <v>2.5391258783161499</v>
      </c>
      <c r="G75">
        <v>-35.884570470598455</v>
      </c>
      <c r="H75">
        <v>-31.304084505063376</v>
      </c>
      <c r="I75">
        <v>4.35759498219576</v>
      </c>
      <c r="J75">
        <v>2.54122162130894</v>
      </c>
      <c r="K75">
        <v>0.86137446408931895</v>
      </c>
      <c r="L75">
        <v>0</v>
      </c>
      <c r="M75">
        <v>1.2381427916924884E-6</v>
      </c>
      <c r="N75">
        <v>0</v>
      </c>
      <c r="O75" s="1">
        <v>1.2228015851287601E-12</v>
      </c>
      <c r="P75">
        <v>0</v>
      </c>
      <c r="Q75">
        <v>100</v>
      </c>
      <c r="AJ75">
        <v>1</v>
      </c>
    </row>
    <row r="76" spans="1:36" x14ac:dyDescent="0.2">
      <c r="A76">
        <v>88</v>
      </c>
      <c r="B76">
        <v>776</v>
      </c>
      <c r="C76">
        <v>125</v>
      </c>
      <c r="D76">
        <v>0.47381261020826598</v>
      </c>
      <c r="E76">
        <v>4.1820445621548199</v>
      </c>
      <c r="F76">
        <v>2.5391258783161499</v>
      </c>
      <c r="G76">
        <v>-68.598521219378156</v>
      </c>
      <c r="H76">
        <v>-59.866509235970781</v>
      </c>
      <c r="I76">
        <v>8.3229395066552794</v>
      </c>
      <c r="J76">
        <v>4.85791502922073</v>
      </c>
      <c r="K76">
        <v>1.6470410537220701</v>
      </c>
      <c r="L76">
        <v>0</v>
      </c>
      <c r="M76">
        <v>1.2381427916924881E-6</v>
      </c>
      <c r="N76">
        <v>0</v>
      </c>
      <c r="O76" s="1">
        <v>2.3381287642335601E-12</v>
      </c>
      <c r="P76">
        <v>0</v>
      </c>
      <c r="Q76">
        <v>100</v>
      </c>
      <c r="AJ76">
        <v>1</v>
      </c>
    </row>
    <row r="77" spans="1:36" x14ac:dyDescent="0.2">
      <c r="A77">
        <v>89</v>
      </c>
      <c r="B77">
        <v>774</v>
      </c>
      <c r="C77">
        <v>125</v>
      </c>
      <c r="D77">
        <v>0.47267392446163797</v>
      </c>
      <c r="E77">
        <v>8.8721443380720793</v>
      </c>
      <c r="F77">
        <v>2.5391258783161499</v>
      </c>
      <c r="G77">
        <v>-145.4954317582536</v>
      </c>
      <c r="H77">
        <v>-127.02650410460396</v>
      </c>
      <c r="I77">
        <v>17.637327654729098</v>
      </c>
      <c r="J77">
        <v>10.3034892986289</v>
      </c>
      <c r="K77">
        <v>3.4941727048033302</v>
      </c>
      <c r="L77">
        <v>0</v>
      </c>
      <c r="M77">
        <v>1.2381427916924884E-6</v>
      </c>
      <c r="N77">
        <v>0</v>
      </c>
      <c r="O77" s="1">
        <v>4.9603048386910603E-12</v>
      </c>
      <c r="P77">
        <v>0</v>
      </c>
      <c r="Q77">
        <v>100</v>
      </c>
      <c r="AJ77">
        <v>1</v>
      </c>
    </row>
    <row r="78" spans="1:36" x14ac:dyDescent="0.2">
      <c r="A78">
        <v>90</v>
      </c>
      <c r="B78">
        <v>772</v>
      </c>
      <c r="C78">
        <v>125</v>
      </c>
      <c r="D78">
        <v>0.47153088073482102</v>
      </c>
      <c r="E78">
        <v>23.347460987296</v>
      </c>
      <c r="F78">
        <v>2.5391258783161499</v>
      </c>
      <c r="G78">
        <v>-382.78522907998166</v>
      </c>
      <c r="H78">
        <v>-334.33038258459464</v>
      </c>
      <c r="I78">
        <v>46.3616193803635</v>
      </c>
      <c r="J78">
        <v>27.1074943358973</v>
      </c>
      <c r="K78">
        <v>9.1950781907587693</v>
      </c>
      <c r="L78">
        <v>0</v>
      </c>
      <c r="M78">
        <v>1.2381427916924881E-6</v>
      </c>
      <c r="N78">
        <v>0</v>
      </c>
      <c r="O78" s="1">
        <v>1.30532731765273E-11</v>
      </c>
      <c r="P78">
        <v>0</v>
      </c>
      <c r="Q78">
        <v>100</v>
      </c>
      <c r="AJ78">
        <v>1</v>
      </c>
    </row>
    <row r="79" spans="1:36" x14ac:dyDescent="0.2">
      <c r="A79">
        <v>91</v>
      </c>
      <c r="B79">
        <v>770</v>
      </c>
      <c r="C79">
        <v>125</v>
      </c>
      <c r="D79">
        <v>0.47038345396155901</v>
      </c>
      <c r="E79">
        <v>30.431692131099101</v>
      </c>
      <c r="F79">
        <v>2.5391258783161499</v>
      </c>
      <c r="G79">
        <v>-498.81150264842825</v>
      </c>
      <c r="H79">
        <v>-435.845633500232</v>
      </c>
      <c r="I79">
        <v>60.361279919662699</v>
      </c>
      <c r="J79">
        <v>35.323955671693803</v>
      </c>
      <c r="K79">
        <v>11.9851057369712</v>
      </c>
      <c r="L79">
        <v>0</v>
      </c>
      <c r="M79">
        <v>1.2381427916924881E-6</v>
      </c>
      <c r="N79">
        <v>0</v>
      </c>
      <c r="O79" s="1">
        <v>1.70139781292432E-11</v>
      </c>
      <c r="P79">
        <v>0</v>
      </c>
      <c r="Q79">
        <v>100</v>
      </c>
      <c r="AJ79">
        <v>1</v>
      </c>
    </row>
    <row r="80" spans="1:36" x14ac:dyDescent="0.2">
      <c r="A80">
        <v>92</v>
      </c>
      <c r="B80">
        <v>768</v>
      </c>
      <c r="C80">
        <v>125</v>
      </c>
      <c r="D80">
        <v>0.46923161888296799</v>
      </c>
      <c r="E80">
        <v>32.388913839630597</v>
      </c>
      <c r="F80">
        <v>2.5391258783161499</v>
      </c>
      <c r="G80">
        <v>-530.76427147412869</v>
      </c>
      <c r="H80">
        <v>-463.95233421594804</v>
      </c>
      <c r="I80">
        <v>64.171288727062006</v>
      </c>
      <c r="J80">
        <v>37.586565465690597</v>
      </c>
      <c r="K80">
        <v>12.755930738301799</v>
      </c>
      <c r="L80">
        <v>0</v>
      </c>
      <c r="M80">
        <v>1.2381427916924884E-6</v>
      </c>
      <c r="N80">
        <v>0</v>
      </c>
      <c r="O80" s="1">
        <v>1.81082362861534E-11</v>
      </c>
      <c r="P80">
        <v>0</v>
      </c>
      <c r="Q80">
        <v>100</v>
      </c>
      <c r="AJ80">
        <v>1</v>
      </c>
    </row>
    <row r="81" spans="1:36" x14ac:dyDescent="0.2">
      <c r="A81">
        <v>99</v>
      </c>
      <c r="B81">
        <v>792</v>
      </c>
      <c r="C81">
        <v>100</v>
      </c>
      <c r="D81">
        <v>0.50858611463174297</v>
      </c>
      <c r="E81">
        <v>1.0070781613695901</v>
      </c>
      <c r="F81">
        <v>2.53834005884787</v>
      </c>
      <c r="G81">
        <v>-16.56133724652226</v>
      </c>
      <c r="H81">
        <v>-14.407636069625198</v>
      </c>
      <c r="I81">
        <v>2.0219698417096699</v>
      </c>
      <c r="J81">
        <v>1.17206562193589</v>
      </c>
      <c r="K81">
        <v>0.396746747095302</v>
      </c>
      <c r="L81">
        <v>0</v>
      </c>
      <c r="M81">
        <v>1.2381143945371709E-6</v>
      </c>
      <c r="N81">
        <v>0</v>
      </c>
      <c r="O81" s="1">
        <v>5.63044793505603E-13</v>
      </c>
      <c r="P81">
        <v>0</v>
      </c>
      <c r="Q81">
        <v>100</v>
      </c>
      <c r="AJ81">
        <v>1</v>
      </c>
    </row>
    <row r="82" spans="1:36" x14ac:dyDescent="0.2">
      <c r="A82">
        <v>100</v>
      </c>
      <c r="B82">
        <v>790</v>
      </c>
      <c r="C82">
        <v>100</v>
      </c>
      <c r="D82">
        <v>0.507529981658283</v>
      </c>
      <c r="E82">
        <v>2.79786481344772</v>
      </c>
      <c r="F82">
        <v>2.53834005884787</v>
      </c>
      <c r="G82">
        <v>-45.999482748112534</v>
      </c>
      <c r="H82">
        <v>-40.033810030542057</v>
      </c>
      <c r="I82">
        <v>5.6113179867097402</v>
      </c>
      <c r="J82">
        <v>3.2554695754065701</v>
      </c>
      <c r="K82">
        <v>1.1022419173881799</v>
      </c>
      <c r="L82">
        <v>0</v>
      </c>
      <c r="M82">
        <v>1.2381143945371711E-6</v>
      </c>
      <c r="N82">
        <v>0</v>
      </c>
      <c r="O82" s="1">
        <v>1.5642511937721699E-12</v>
      </c>
      <c r="P82">
        <v>0</v>
      </c>
      <c r="Q82">
        <v>100</v>
      </c>
      <c r="AJ82">
        <v>1</v>
      </c>
    </row>
    <row r="83" spans="1:36" x14ac:dyDescent="0.2">
      <c r="A83">
        <v>101</v>
      </c>
      <c r="B83">
        <v>788</v>
      </c>
      <c r="C83">
        <v>100</v>
      </c>
      <c r="D83">
        <v>0.50646986759647905</v>
      </c>
      <c r="E83">
        <v>4.9116715609994204</v>
      </c>
      <c r="F83">
        <v>2.53834005884787</v>
      </c>
      <c r="G83">
        <v>-80.732728165966108</v>
      </c>
      <c r="H83">
        <v>-70.291066634805773</v>
      </c>
      <c r="I83">
        <v>9.8399486699904095</v>
      </c>
      <c r="J83">
        <v>5.7136541144817601</v>
      </c>
      <c r="K83">
        <v>1.9349935182556901</v>
      </c>
      <c r="L83">
        <v>0</v>
      </c>
      <c r="M83">
        <v>1.2381143945371711E-6</v>
      </c>
      <c r="N83">
        <v>0</v>
      </c>
      <c r="O83" s="1">
        <v>2.74605408588076E-12</v>
      </c>
      <c r="P83">
        <v>0</v>
      </c>
      <c r="Q83">
        <v>100</v>
      </c>
      <c r="AJ83">
        <v>1</v>
      </c>
    </row>
    <row r="84" spans="1:36" x14ac:dyDescent="0.2">
      <c r="A84">
        <v>102</v>
      </c>
      <c r="B84">
        <v>786</v>
      </c>
      <c r="C84">
        <v>100</v>
      </c>
      <c r="D84">
        <v>0.50540574989378495</v>
      </c>
      <c r="E84">
        <v>8.65090817024854</v>
      </c>
      <c r="F84">
        <v>2.53834005884787</v>
      </c>
      <c r="G84">
        <v>-142.15959948709434</v>
      </c>
      <c r="H84">
        <v>-123.82350896305049</v>
      </c>
      <c r="I84">
        <v>17.3120809366415</v>
      </c>
      <c r="J84">
        <v>10.0610565229847</v>
      </c>
      <c r="K84">
        <v>3.4080966181399202</v>
      </c>
      <c r="L84">
        <v>0</v>
      </c>
      <c r="M84">
        <v>1.2381143945371709E-6</v>
      </c>
      <c r="N84">
        <v>0</v>
      </c>
      <c r="O84" s="1">
        <v>4.8366144666758796E-12</v>
      </c>
      <c r="P84">
        <v>0</v>
      </c>
      <c r="Q84">
        <v>100</v>
      </c>
      <c r="AJ84">
        <v>1</v>
      </c>
    </row>
    <row r="85" spans="1:36" x14ac:dyDescent="0.2">
      <c r="A85">
        <v>103</v>
      </c>
      <c r="B85">
        <v>784</v>
      </c>
      <c r="C85">
        <v>100</v>
      </c>
      <c r="D85">
        <v>0.50433760582698905</v>
      </c>
      <c r="E85">
        <v>20.391636093043601</v>
      </c>
      <c r="F85">
        <v>2.53834005884787</v>
      </c>
      <c r="G85">
        <v>-335.01236022280972</v>
      </c>
      <c r="H85">
        <v>-291.92012664275148</v>
      </c>
      <c r="I85">
        <v>40.762648233512898</v>
      </c>
      <c r="J85">
        <v>23.709956683203298</v>
      </c>
      <c r="K85">
        <v>8.0334532096929294</v>
      </c>
      <c r="L85">
        <v>0</v>
      </c>
      <c r="M85">
        <v>1.2381143945371709E-6</v>
      </c>
      <c r="N85">
        <v>0</v>
      </c>
      <c r="O85" s="1">
        <v>1.14007084789077E-11</v>
      </c>
      <c r="P85">
        <v>0</v>
      </c>
      <c r="Q85">
        <v>100</v>
      </c>
      <c r="AJ85">
        <v>1</v>
      </c>
    </row>
    <row r="86" spans="1:36" x14ac:dyDescent="0.2">
      <c r="A86">
        <v>104</v>
      </c>
      <c r="B86">
        <v>782</v>
      </c>
      <c r="C86">
        <v>100</v>
      </c>
      <c r="D86">
        <v>0.50326541250059598</v>
      </c>
      <c r="E86">
        <v>28.510477788709501</v>
      </c>
      <c r="F86">
        <v>2.53834005884787</v>
      </c>
      <c r="G86">
        <v>-468.28216068259121</v>
      </c>
      <c r="H86">
        <v>-408.21315425193558</v>
      </c>
      <c r="I86">
        <v>56.929352632948401</v>
      </c>
      <c r="J86">
        <v>33.142061950279903</v>
      </c>
      <c r="K86">
        <v>11.231937852192299</v>
      </c>
      <c r="L86">
        <v>0</v>
      </c>
      <c r="M86">
        <v>1.2381143945371711E-6</v>
      </c>
      <c r="N86">
        <v>0</v>
      </c>
      <c r="O86" s="1">
        <v>1.5939851240005899E-11</v>
      </c>
      <c r="P86">
        <v>0</v>
      </c>
      <c r="Q86">
        <v>100</v>
      </c>
      <c r="AJ86">
        <v>1</v>
      </c>
    </row>
    <row r="87" spans="1:36" x14ac:dyDescent="0.2">
      <c r="A87">
        <v>105</v>
      </c>
      <c r="B87">
        <v>780</v>
      </c>
      <c r="C87">
        <v>100</v>
      </c>
      <c r="D87">
        <v>0.50218914684517901</v>
      </c>
      <c r="E87">
        <v>31.615702757546298</v>
      </c>
      <c r="F87">
        <v>2.53834005884787</v>
      </c>
      <c r="G87">
        <v>-519.15902541856735</v>
      </c>
      <c r="H87">
        <v>-452.74727454106397</v>
      </c>
      <c r="I87">
        <v>63.060106231309199</v>
      </c>
      <c r="J87">
        <v>36.742926707659599</v>
      </c>
      <c r="K87">
        <v>12.4552668376105</v>
      </c>
      <c r="L87">
        <v>0</v>
      </c>
      <c r="M87">
        <v>1.2381143945371711E-6</v>
      </c>
      <c r="N87">
        <v>0</v>
      </c>
      <c r="O87" s="1">
        <v>1.7675943649148699E-11</v>
      </c>
      <c r="P87">
        <v>0</v>
      </c>
      <c r="Q87">
        <v>100</v>
      </c>
      <c r="AJ87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39EDF-47E9-4720-8CC4-11C2FA47035D}">
  <sheetPr codeName="Sheet14"/>
  <dimension ref="A1:AJ106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764</v>
      </c>
      <c r="C2">
        <v>300</v>
      </c>
      <c r="D2">
        <v>0.28130983946391902</v>
      </c>
      <c r="E2">
        <v>3.6635871081764799</v>
      </c>
      <c r="F2">
        <v>0.57498235851920398</v>
      </c>
      <c r="G2">
        <v>-79.447860139838028</v>
      </c>
      <c r="H2">
        <v>-46.570418237971886</v>
      </c>
      <c r="I2">
        <v>31.701815968162201</v>
      </c>
      <c r="J2">
        <v>13.980811256673601</v>
      </c>
      <c r="K2">
        <v>6.3716513278974301</v>
      </c>
      <c r="L2">
        <v>1.1138557535189076E-3</v>
      </c>
      <c r="M2">
        <v>1.6992708775435367E-4</v>
      </c>
      <c r="N2" s="1">
        <v>4.4568497810369098E-6</v>
      </c>
      <c r="O2" s="1">
        <v>7.8331772339111598E-7</v>
      </c>
      <c r="P2" s="1">
        <v>-3.1145806044768001E-6</v>
      </c>
      <c r="AE2">
        <v>100</v>
      </c>
      <c r="AJ2">
        <v>1</v>
      </c>
    </row>
    <row r="3" spans="1:36" x14ac:dyDescent="0.2">
      <c r="A3">
        <v>2</v>
      </c>
      <c r="B3">
        <v>762</v>
      </c>
      <c r="C3">
        <v>300</v>
      </c>
      <c r="D3">
        <v>0.27978602134956498</v>
      </c>
      <c r="E3">
        <v>3.6692328725957402</v>
      </c>
      <c r="F3">
        <v>0.576265301537632</v>
      </c>
      <c r="G3">
        <v>-79.506818809694749</v>
      </c>
      <c r="H3">
        <v>-46.670200818271468</v>
      </c>
      <c r="I3">
        <v>31.723632084035799</v>
      </c>
      <c r="J3">
        <v>14.0129583794326</v>
      </c>
      <c r="K3">
        <v>6.3672632428244897</v>
      </c>
      <c r="L3">
        <v>1.1149294593023496E-3</v>
      </c>
      <c r="M3">
        <v>1.6932698841657171E-4</v>
      </c>
      <c r="N3" s="1">
        <v>4.5244026331361503E-6</v>
      </c>
      <c r="O3" s="1">
        <v>7.79201960865279E-7</v>
      </c>
      <c r="P3" s="1">
        <v>-3.1157623674270802E-6</v>
      </c>
      <c r="AE3">
        <v>100</v>
      </c>
      <c r="AJ3">
        <v>1</v>
      </c>
    </row>
    <row r="4" spans="1:36" x14ac:dyDescent="0.2">
      <c r="A4">
        <v>3</v>
      </c>
      <c r="B4">
        <v>760</v>
      </c>
      <c r="C4">
        <v>300</v>
      </c>
      <c r="D4">
        <v>0.27825630353772701</v>
      </c>
      <c r="E4">
        <v>3.6945592545669101</v>
      </c>
      <c r="F4">
        <v>0.57755233730724798</v>
      </c>
      <c r="G4">
        <v>-79.991745922359414</v>
      </c>
      <c r="H4">
        <v>-47.020565557148906</v>
      </c>
      <c r="I4">
        <v>31.915302346114199</v>
      </c>
      <c r="J4">
        <v>14.120324866995301</v>
      </c>
      <c r="K4">
        <v>6.3969254661702903</v>
      </c>
      <c r="L4">
        <v>1.1159856656337461E-3</v>
      </c>
      <c r="M4">
        <v>1.6872488244912799E-4</v>
      </c>
      <c r="N4" s="1">
        <v>4.6168520981707596E-6</v>
      </c>
      <c r="O4" s="1">
        <v>7.7921990914086899E-7</v>
      </c>
      <c r="P4" s="1">
        <v>-3.1335039123166899E-6</v>
      </c>
      <c r="AE4">
        <v>100</v>
      </c>
      <c r="AJ4">
        <v>1</v>
      </c>
    </row>
    <row r="5" spans="1:36" x14ac:dyDescent="0.2">
      <c r="A5">
        <v>4</v>
      </c>
      <c r="B5">
        <v>758</v>
      </c>
      <c r="C5">
        <v>300</v>
      </c>
      <c r="D5">
        <v>0.27672065169955901</v>
      </c>
      <c r="E5">
        <v>3.7195401912731199</v>
      </c>
      <c r="F5">
        <v>0.57884346008014098</v>
      </c>
      <c r="G5">
        <v>-80.468379232039794</v>
      </c>
      <c r="H5">
        <v>-47.366939618625125</v>
      </c>
      <c r="I5">
        <v>32.1035428043621</v>
      </c>
      <c r="J5">
        <v>14.2264834316845</v>
      </c>
      <c r="K5">
        <v>6.4258136228370804</v>
      </c>
      <c r="L5">
        <v>1.1170241678359534E-3</v>
      </c>
      <c r="M5">
        <v>1.6812079328550446E-4</v>
      </c>
      <c r="N5" s="1">
        <v>4.7098123882827199E-6</v>
      </c>
      <c r="O5" s="1">
        <v>7.7909160068825303E-7</v>
      </c>
      <c r="P5" s="1">
        <v>-3.1507782157606202E-6</v>
      </c>
      <c r="AE5">
        <v>100</v>
      </c>
      <c r="AJ5">
        <v>1</v>
      </c>
    </row>
    <row r="6" spans="1:36" x14ac:dyDescent="0.2">
      <c r="A6">
        <v>5</v>
      </c>
      <c r="B6">
        <v>756</v>
      </c>
      <c r="C6">
        <v>300</v>
      </c>
      <c r="D6">
        <v>0.27517903123937498</v>
      </c>
      <c r="E6">
        <v>3.7441804060371302</v>
      </c>
      <c r="F6">
        <v>0.58013866374805401</v>
      </c>
      <c r="G6">
        <v>-80.936839996540655</v>
      </c>
      <c r="H6">
        <v>-47.709375628416524</v>
      </c>
      <c r="I6">
        <v>32.288400153594203</v>
      </c>
      <c r="J6">
        <v>14.331447380959199</v>
      </c>
      <c r="K6">
        <v>6.45394048010421</v>
      </c>
      <c r="L6">
        <v>1.1180447622227638E-3</v>
      </c>
      <c r="M6">
        <v>1.6751474484224938E-4</v>
      </c>
      <c r="N6" s="1">
        <v>4.8032656182454403E-6</v>
      </c>
      <c r="O6" s="1">
        <v>7.7881987023343099E-7</v>
      </c>
      <c r="P6" s="1">
        <v>-3.1675873943937498E-6</v>
      </c>
      <c r="AE6">
        <v>100</v>
      </c>
      <c r="AJ6">
        <v>1</v>
      </c>
    </row>
    <row r="7" spans="1:36" x14ac:dyDescent="0.2">
      <c r="A7">
        <v>6</v>
      </c>
      <c r="B7">
        <v>754</v>
      </c>
      <c r="C7">
        <v>300</v>
      </c>
      <c r="D7">
        <v>0.27363140729202201</v>
      </c>
      <c r="E7">
        <v>3.7684844890934799</v>
      </c>
      <c r="F7">
        <v>0.58143794183976405</v>
      </c>
      <c r="G7">
        <v>-81.397246246968479</v>
      </c>
      <c r="H7">
        <v>-48.047924644109543</v>
      </c>
      <c r="I7">
        <v>32.469919837506701</v>
      </c>
      <c r="J7">
        <v>14.4352295509988</v>
      </c>
      <c r="K7">
        <v>6.4813185000782303</v>
      </c>
      <c r="L7">
        <v>1.1190472461558233E-3</v>
      </c>
      <c r="M7">
        <v>1.6690676151603708E-4</v>
      </c>
      <c r="N7" s="1">
        <v>4.8971936656843896E-6</v>
      </c>
      <c r="O7" s="1">
        <v>7.7840751086461901E-7</v>
      </c>
      <c r="P7" s="1">
        <v>-3.1839335182484301E-6</v>
      </c>
      <c r="AE7">
        <v>100</v>
      </c>
      <c r="AJ7">
        <v>1</v>
      </c>
    </row>
    <row r="8" spans="1:36" x14ac:dyDescent="0.2">
      <c r="A8">
        <v>7</v>
      </c>
      <c r="B8">
        <v>752</v>
      </c>
      <c r="C8">
        <v>300</v>
      </c>
      <c r="D8">
        <v>0.27207774472028401</v>
      </c>
      <c r="E8">
        <v>3.7924569001225699</v>
      </c>
      <c r="F8">
        <v>0.58274128751843002</v>
      </c>
      <c r="G8">
        <v>-81.84971285446332</v>
      </c>
      <c r="H8">
        <v>-48.382636182638301</v>
      </c>
      <c r="I8">
        <v>32.648146074766402</v>
      </c>
      <c r="J8">
        <v>14.537842315206399</v>
      </c>
      <c r="K8">
        <v>6.5079598465942397</v>
      </c>
      <c r="L8">
        <v>1.1200314181014448E-3</v>
      </c>
      <c r="M8">
        <v>1.6629686818048778E-4</v>
      </c>
      <c r="N8" s="1">
        <v>4.9915781731503696E-6</v>
      </c>
      <c r="O8" s="1">
        <v>7.77857275195203E-7</v>
      </c>
      <c r="P8" s="1">
        <v>-3.1998186139827301E-6</v>
      </c>
      <c r="AE8">
        <v>100</v>
      </c>
      <c r="AJ8">
        <v>1</v>
      </c>
    </row>
    <row r="9" spans="1:36" x14ac:dyDescent="0.2">
      <c r="A9">
        <v>8</v>
      </c>
      <c r="B9">
        <v>750</v>
      </c>
      <c r="C9">
        <v>300</v>
      </c>
      <c r="D9">
        <v>0.270518008112205</v>
      </c>
      <c r="E9">
        <v>3.8161019707563599</v>
      </c>
      <c r="F9">
        <v>0.58404869357908595</v>
      </c>
      <c r="G9">
        <v>-82.294351596031504</v>
      </c>
      <c r="H9">
        <v>-48.713558247508644</v>
      </c>
      <c r="I9">
        <v>32.823121884773499</v>
      </c>
      <c r="J9">
        <v>14.639297592660901</v>
      </c>
      <c r="K9">
        <v>6.5338763920026199</v>
      </c>
      <c r="L9">
        <v>1.1209970776875702E-3</v>
      </c>
      <c r="M9">
        <v>1.6568509018277563E-4</v>
      </c>
      <c r="N9" s="1">
        <v>5.0864005504192701E-6</v>
      </c>
      <c r="O9" s="1">
        <v>7.7717187649426998E-7</v>
      </c>
      <c r="P9" s="1">
        <v>-3.2152446680793E-6</v>
      </c>
      <c r="AE9">
        <v>100</v>
      </c>
      <c r="AJ9">
        <v>1</v>
      </c>
    </row>
    <row r="10" spans="1:36" x14ac:dyDescent="0.2">
      <c r="A10">
        <v>9</v>
      </c>
      <c r="B10">
        <v>748</v>
      </c>
      <c r="C10">
        <v>300</v>
      </c>
      <c r="D10">
        <v>0.26895216177838999</v>
      </c>
      <c r="E10">
        <v>3.8394239069565299</v>
      </c>
      <c r="F10">
        <v>0.58536015244613604</v>
      </c>
      <c r="G10">
        <v>-82.731271217344641</v>
      </c>
      <c r="H10">
        <v>-49.040737354498091</v>
      </c>
      <c r="I10">
        <v>32.994889112249602</v>
      </c>
      <c r="J10">
        <v>14.739606856122901</v>
      </c>
      <c r="K10">
        <v>6.5590797236746097</v>
      </c>
      <c r="L10">
        <v>1.1219440257605906E-3</v>
      </c>
      <c r="M10">
        <v>1.650714533400102E-4</v>
      </c>
      <c r="N10" s="1">
        <v>5.1816419769106598E-6</v>
      </c>
      <c r="O10" s="1">
        <v>7.7635398976483502E-7</v>
      </c>
      <c r="P10" s="1">
        <v>-3.23021362992992E-6</v>
      </c>
      <c r="AE10">
        <v>100</v>
      </c>
      <c r="AJ10">
        <v>1</v>
      </c>
    </row>
    <row r="11" spans="1:36" x14ac:dyDescent="0.2">
      <c r="A11">
        <v>10</v>
      </c>
      <c r="B11">
        <v>746</v>
      </c>
      <c r="C11">
        <v>300</v>
      </c>
      <c r="D11">
        <v>0.26738016974930101</v>
      </c>
      <c r="E11">
        <v>3.8624267912204302</v>
      </c>
      <c r="F11">
        <v>0.58667565617094397</v>
      </c>
      <c r="G11">
        <v>-83.160577491560019</v>
      </c>
      <c r="H11">
        <v>-49.364218555254858</v>
      </c>
      <c r="I11">
        <v>33.163488450272503</v>
      </c>
      <c r="J11">
        <v>14.8387811394335</v>
      </c>
      <c r="K11">
        <v>6.5835811501526003</v>
      </c>
      <c r="L11">
        <v>1.1228720644420381E-3</v>
      </c>
      <c r="M11">
        <v>1.644559839353467E-4</v>
      </c>
      <c r="N11" s="1">
        <v>5.2772834041312196E-6</v>
      </c>
      <c r="O11" s="1">
        <v>7.7540625276150204E-7</v>
      </c>
      <c r="P11" s="1">
        <v>-3.2447274147658501E-6</v>
      </c>
      <c r="AE11">
        <v>100</v>
      </c>
      <c r="AJ11">
        <v>1</v>
      </c>
    </row>
    <row r="12" spans="1:36" x14ac:dyDescent="0.2">
      <c r="A12">
        <v>11</v>
      </c>
      <c r="B12">
        <v>744</v>
      </c>
      <c r="C12">
        <v>300</v>
      </c>
      <c r="D12">
        <v>0.26580199577250502</v>
      </c>
      <c r="E12">
        <v>3.8851145850107098</v>
      </c>
      <c r="F12">
        <v>0.58799519642945897</v>
      </c>
      <c r="G12">
        <v>-83.582373282699862</v>
      </c>
      <c r="H12">
        <v>-49.684045463850346</v>
      </c>
      <c r="I12">
        <v>33.328959465160899</v>
      </c>
      <c r="J12">
        <v>14.9368310458143</v>
      </c>
      <c r="K12">
        <v>6.6073917076239201</v>
      </c>
      <c r="L12">
        <v>1.1237809971851973E-3</v>
      </c>
      <c r="M12">
        <v>1.6383870871392441E-4</v>
      </c>
      <c r="N12" s="1">
        <v>5.3733055586878796E-6</v>
      </c>
      <c r="O12" s="1">
        <v>7.7433126702907797E-7</v>
      </c>
      <c r="P12" s="1">
        <v>-3.25878790676833E-6</v>
      </c>
      <c r="AE12">
        <v>100</v>
      </c>
      <c r="AJ12">
        <v>1</v>
      </c>
    </row>
    <row r="13" spans="1:36" x14ac:dyDescent="0.2">
      <c r="A13">
        <v>12</v>
      </c>
      <c r="B13">
        <v>742</v>
      </c>
      <c r="C13">
        <v>300</v>
      </c>
      <c r="D13">
        <v>0.264217603309855</v>
      </c>
      <c r="E13">
        <v>3.9074911302797402</v>
      </c>
      <c r="F13">
        <v>0.58931876451991005</v>
      </c>
      <c r="G13">
        <v>-83.996758589297428</v>
      </c>
      <c r="H13">
        <v>-50.000260271851225</v>
      </c>
      <c r="I13">
        <v>33.491340613523498</v>
      </c>
      <c r="J13">
        <v>15.033766752737501</v>
      </c>
      <c r="K13">
        <v>6.6305221647964698</v>
      </c>
      <c r="L13">
        <v>1.1246706288316102E-3</v>
      </c>
      <c r="M13">
        <v>1.6321965487853322E-4</v>
      </c>
      <c r="N13" s="1">
        <v>5.4696889442920604E-6</v>
      </c>
      <c r="O13" s="1">
        <v>7.7313159873532795E-7</v>
      </c>
      <c r="P13" s="1">
        <v>-3.2723969614057598E-6</v>
      </c>
      <c r="AE13">
        <v>100</v>
      </c>
      <c r="AJ13">
        <v>1</v>
      </c>
    </row>
    <row r="14" spans="1:36" x14ac:dyDescent="0.2">
      <c r="A14">
        <v>13</v>
      </c>
      <c r="B14">
        <v>740</v>
      </c>
      <c r="C14">
        <v>300</v>
      </c>
      <c r="D14">
        <v>0.26262695553471999</v>
      </c>
      <c r="E14">
        <v>3.9295601516764198</v>
      </c>
      <c r="F14">
        <v>0.59064635136056898</v>
      </c>
      <c r="G14">
        <v>-84.403830602517488</v>
      </c>
      <c r="H14">
        <v>-50.312903772191071</v>
      </c>
      <c r="I14">
        <v>33.650669265111603</v>
      </c>
      <c r="J14">
        <v>15.129598019456701</v>
      </c>
      <c r="K14">
        <v>6.6529830288878999</v>
      </c>
      <c r="L14">
        <v>1.125540765667381E-3</v>
      </c>
      <c r="M14">
        <v>1.625988500850754E-4</v>
      </c>
      <c r="N14" s="1">
        <v>5.5664138449338898E-6</v>
      </c>
      <c r="O14" s="1">
        <v>7.7180977961958403E-7</v>
      </c>
      <c r="P14" s="1">
        <v>-3.2855564083355599E-6</v>
      </c>
      <c r="AE14">
        <v>100</v>
      </c>
      <c r="AJ14">
        <v>1</v>
      </c>
    </row>
    <row r="15" spans="1:36" x14ac:dyDescent="0.2">
      <c r="A15">
        <v>14</v>
      </c>
      <c r="B15">
        <v>738</v>
      </c>
      <c r="C15">
        <v>300</v>
      </c>
      <c r="D15">
        <v>0.26103001532908299</v>
      </c>
      <c r="E15">
        <v>3.95132525827694</v>
      </c>
      <c r="F15">
        <v>0.59197794748758203</v>
      </c>
      <c r="G15">
        <v>-84.803683753809253</v>
      </c>
      <c r="H15">
        <v>-50.62201537703578</v>
      </c>
      <c r="I15">
        <v>33.806981721530299</v>
      </c>
      <c r="J15">
        <v>15.224334192752201</v>
      </c>
      <c r="K15">
        <v>6.6747845507535999</v>
      </c>
      <c r="L15">
        <v>1.1263912154793017E-3</v>
      </c>
      <c r="M15">
        <v>1.6197632243779075E-4</v>
      </c>
      <c r="N15" s="1">
        <v>5.6634603276149E-6</v>
      </c>
      <c r="O15" s="1">
        <v>7.7036830782393095E-7</v>
      </c>
      <c r="P15" s="1">
        <v>-3.29826805389238E-6</v>
      </c>
      <c r="AE15">
        <v>100</v>
      </c>
      <c r="AJ15">
        <v>1</v>
      </c>
    </row>
    <row r="16" spans="1:36" x14ac:dyDescent="0.2">
      <c r="A16">
        <v>15</v>
      </c>
      <c r="B16">
        <v>736</v>
      </c>
      <c r="C16">
        <v>300</v>
      </c>
      <c r="D16">
        <v>0.25942674528068399</v>
      </c>
      <c r="E16">
        <v>4.9701503066579402</v>
      </c>
      <c r="F16">
        <v>0.59331354305285799</v>
      </c>
      <c r="G16">
        <v>-106.58478498361943</v>
      </c>
      <c r="H16">
        <v>-63.712905774273779</v>
      </c>
      <c r="I16">
        <v>42.485976747315298</v>
      </c>
      <c r="J16">
        <v>19.163531165794801</v>
      </c>
      <c r="K16">
        <v>8.3769372279694299</v>
      </c>
      <c r="L16">
        <v>1.1272217876108106E-3</v>
      </c>
      <c r="M16">
        <v>1.6135210048428211E-4</v>
      </c>
      <c r="N16" s="1">
        <v>7.2070467507819098E-6</v>
      </c>
      <c r="O16" s="1">
        <v>9.6181765556838392E-7</v>
      </c>
      <c r="P16" s="1">
        <v>-4.1416360364005298E-6</v>
      </c>
      <c r="AE16">
        <v>100</v>
      </c>
      <c r="AJ16">
        <v>1</v>
      </c>
    </row>
    <row r="17" spans="1:36" x14ac:dyDescent="0.2">
      <c r="A17">
        <v>16</v>
      </c>
      <c r="B17">
        <v>734</v>
      </c>
      <c r="C17">
        <v>300</v>
      </c>
      <c r="D17">
        <v>0.25781710768008598</v>
      </c>
      <c r="E17">
        <v>9.4080063409934702</v>
      </c>
      <c r="F17">
        <v>0.59465312782199797</v>
      </c>
      <c r="G17">
        <v>-201.59375715315369</v>
      </c>
      <c r="H17">
        <v>-120.67484766656793</v>
      </c>
      <c r="I17">
        <v>80.349792310511603</v>
      </c>
      <c r="J17">
        <v>36.300489152425101</v>
      </c>
      <c r="K17">
        <v>15.8209986642996</v>
      </c>
      <c r="L17">
        <v>1.1280322930175457E-3</v>
      </c>
      <c r="M17">
        <v>1.6072621321029816E-4</v>
      </c>
      <c r="N17" s="1">
        <v>1.3799899818337299E-5</v>
      </c>
      <c r="O17" s="1">
        <v>1.807035351729E-6</v>
      </c>
      <c r="P17" s="1">
        <v>-7.8260063515386994E-6</v>
      </c>
      <c r="AE17">
        <v>100</v>
      </c>
      <c r="AJ17">
        <v>1</v>
      </c>
    </row>
    <row r="18" spans="1:36" x14ac:dyDescent="0.2">
      <c r="A18">
        <v>17</v>
      </c>
      <c r="B18">
        <v>732</v>
      </c>
      <c r="C18">
        <v>300</v>
      </c>
      <c r="D18">
        <v>0.256201064517732</v>
      </c>
      <c r="E18">
        <v>10.0149674538787</v>
      </c>
      <c r="F18">
        <v>0.59599669117238396</v>
      </c>
      <c r="G18">
        <v>-214.42866481472919</v>
      </c>
      <c r="H18">
        <v>-128.5375436560922</v>
      </c>
      <c r="I18">
        <v>85.456750075116602</v>
      </c>
      <c r="J18">
        <v>38.669772958408601</v>
      </c>
      <c r="K18">
        <v>16.803729957255701</v>
      </c>
      <c r="L18">
        <v>1.1288225443230099E-3</v>
      </c>
      <c r="M18">
        <v>1.6009869003430545E-4</v>
      </c>
      <c r="N18" s="1">
        <v>1.48580130358727E-5</v>
      </c>
      <c r="O18" s="1">
        <v>1.90916109125616E-6</v>
      </c>
      <c r="P18" s="1">
        <v>-8.31597468765277E-6</v>
      </c>
      <c r="AE18">
        <v>100</v>
      </c>
      <c r="AJ18">
        <v>1</v>
      </c>
    </row>
    <row r="19" spans="1:36" x14ac:dyDescent="0.2">
      <c r="A19">
        <v>18</v>
      </c>
      <c r="B19">
        <v>764</v>
      </c>
      <c r="C19">
        <v>275</v>
      </c>
      <c r="D19">
        <v>0.30782480836908999</v>
      </c>
      <c r="E19">
        <v>4.0870740759455604</v>
      </c>
      <c r="F19">
        <v>0.54930484383000799</v>
      </c>
      <c r="G19">
        <v>-88.813243614085664</v>
      </c>
      <c r="H19">
        <v>-51.917965480606753</v>
      </c>
      <c r="I19">
        <v>35.575969732671503</v>
      </c>
      <c r="J19">
        <v>15.7320573959254</v>
      </c>
      <c r="K19">
        <v>7.4404479076655896</v>
      </c>
      <c r="L19">
        <v>1.1946659736013364E-3</v>
      </c>
      <c r="M19">
        <v>1.9671341178087348E-4</v>
      </c>
      <c r="N19" s="1">
        <v>5.4411258264707197E-6</v>
      </c>
      <c r="O19" s="1">
        <v>1.1943630031119899E-6</v>
      </c>
      <c r="P19" s="1">
        <v>-4.3405498213033602E-6</v>
      </c>
      <c r="AE19">
        <v>100</v>
      </c>
      <c r="AJ19">
        <v>1</v>
      </c>
    </row>
    <row r="20" spans="1:36" x14ac:dyDescent="0.2">
      <c r="A20">
        <v>19</v>
      </c>
      <c r="B20">
        <v>762</v>
      </c>
      <c r="C20">
        <v>275</v>
      </c>
      <c r="D20">
        <v>0.306352219485102</v>
      </c>
      <c r="E20">
        <v>4.0914645566294201</v>
      </c>
      <c r="F20">
        <v>0.55061964729202695</v>
      </c>
      <c r="G20">
        <v>-88.837451991261361</v>
      </c>
      <c r="H20">
        <v>-52.005249088902893</v>
      </c>
      <c r="I20">
        <v>35.583774612010302</v>
      </c>
      <c r="J20">
        <v>15.7625153293779</v>
      </c>
      <c r="K20">
        <v>7.4306548572166502</v>
      </c>
      <c r="L20">
        <v>1.1960475999566829E-3</v>
      </c>
      <c r="M20">
        <v>1.9601518700588123E-4</v>
      </c>
      <c r="N20" s="1">
        <v>5.5348269457490496E-6</v>
      </c>
      <c r="O20" s="1">
        <v>1.18757826108376E-6</v>
      </c>
      <c r="P20" s="1">
        <v>-4.3417369393612796E-6</v>
      </c>
      <c r="AE20">
        <v>100</v>
      </c>
      <c r="AJ20">
        <v>1</v>
      </c>
    </row>
    <row r="21" spans="1:36" x14ac:dyDescent="0.2">
      <c r="A21">
        <v>20</v>
      </c>
      <c r="B21">
        <v>760</v>
      </c>
      <c r="C21">
        <v>275</v>
      </c>
      <c r="D21">
        <v>0.30487392924551299</v>
      </c>
      <c r="E21">
        <v>4.1156719261575399</v>
      </c>
      <c r="F21">
        <v>0.55193911159252396</v>
      </c>
      <c r="G21">
        <v>-89.291505588898588</v>
      </c>
      <c r="H21">
        <v>-52.34466609182369</v>
      </c>
      <c r="I21">
        <v>35.763630389858399</v>
      </c>
      <c r="J21">
        <v>15.869375419717301</v>
      </c>
      <c r="K21">
        <v>7.4567499199005702</v>
      </c>
      <c r="L21">
        <v>1.1974085424393381E-3</v>
      </c>
      <c r="M21">
        <v>1.95313992079686E-4</v>
      </c>
      <c r="N21" s="1">
        <v>5.6562005238899102E-6</v>
      </c>
      <c r="O21" s="1">
        <v>1.1864803253178401E-6</v>
      </c>
      <c r="P21" s="1">
        <v>-4.3637349423105902E-6</v>
      </c>
      <c r="AE21">
        <v>100</v>
      </c>
      <c r="AJ21">
        <v>1</v>
      </c>
    </row>
    <row r="22" spans="1:36" x14ac:dyDescent="0.2">
      <c r="A22">
        <v>21</v>
      </c>
      <c r="B22">
        <v>758</v>
      </c>
      <c r="C22">
        <v>275</v>
      </c>
      <c r="D22">
        <v>0.303389904475587</v>
      </c>
      <c r="E22">
        <v>4.1395772039988099</v>
      </c>
      <c r="F22">
        <v>0.55326323210226602</v>
      </c>
      <c r="G22">
        <v>-89.738230437850731</v>
      </c>
      <c r="H22">
        <v>-52.680639168553824</v>
      </c>
      <c r="I22">
        <v>35.940416224188702</v>
      </c>
      <c r="J22">
        <v>15.975189974800401</v>
      </c>
      <c r="K22">
        <v>7.4821115227003601</v>
      </c>
      <c r="L22">
        <v>1.1987485172768261E-3</v>
      </c>
      <c r="M22">
        <v>1.9460985494651055E-4</v>
      </c>
      <c r="N22" s="1">
        <v>5.7784320009161996E-6</v>
      </c>
      <c r="O22" s="1">
        <v>1.1851920355295101E-6</v>
      </c>
      <c r="P22" s="1">
        <v>-4.3851730438496898E-6</v>
      </c>
      <c r="AE22">
        <v>100</v>
      </c>
      <c r="AJ22">
        <v>1</v>
      </c>
    </row>
    <row r="23" spans="1:36" x14ac:dyDescent="0.2">
      <c r="A23">
        <v>22</v>
      </c>
      <c r="B23">
        <v>756</v>
      </c>
      <c r="C23">
        <v>275</v>
      </c>
      <c r="D23">
        <v>0.30190011174270298</v>
      </c>
      <c r="E23">
        <v>4.1631848625845196</v>
      </c>
      <c r="F23">
        <v>0.55459200373927897</v>
      </c>
      <c r="G23">
        <v>-90.177740402339566</v>
      </c>
      <c r="H23">
        <v>-53.013218670117709</v>
      </c>
      <c r="I23">
        <v>36.1141759337793</v>
      </c>
      <c r="J23">
        <v>16.079970983252402</v>
      </c>
      <c r="K23">
        <v>7.5067524135124204</v>
      </c>
      <c r="L23">
        <v>1.2000672419984479E-3</v>
      </c>
      <c r="M23">
        <v>1.9390280436198246E-4</v>
      </c>
      <c r="N23" s="1">
        <v>5.9014969113861399E-6</v>
      </c>
      <c r="O23" s="1">
        <v>1.18371688663985E-6</v>
      </c>
      <c r="P23" s="1">
        <v>-4.4060520331487703E-6</v>
      </c>
      <c r="AE23">
        <v>100</v>
      </c>
      <c r="AJ23">
        <v>1</v>
      </c>
    </row>
    <row r="24" spans="1:36" x14ac:dyDescent="0.2">
      <c r="A24">
        <v>23</v>
      </c>
      <c r="B24">
        <v>754</v>
      </c>
      <c r="C24">
        <v>275</v>
      </c>
      <c r="D24">
        <v>0.30040451735384299</v>
      </c>
      <c r="E24">
        <v>4.18649926591028</v>
      </c>
      <c r="F24">
        <v>0.55592542096507003</v>
      </c>
      <c r="G24">
        <v>-90.610146666776942</v>
      </c>
      <c r="H24">
        <v>-53.342453687123509</v>
      </c>
      <c r="I24">
        <v>36.284952296756899</v>
      </c>
      <c r="J24">
        <v>16.183730048801799</v>
      </c>
      <c r="K24">
        <v>7.5306850667894301</v>
      </c>
      <c r="L24">
        <v>1.2013644355344702E-3</v>
      </c>
      <c r="M24">
        <v>1.931928698912921E-4</v>
      </c>
      <c r="N24" s="1">
        <v>6.0253703692195496E-6</v>
      </c>
      <c r="O24" s="1">
        <v>1.1820583341914601E-6</v>
      </c>
      <c r="P24" s="1">
        <v>-4.4263726750470897E-6</v>
      </c>
      <c r="AE24">
        <v>100</v>
      </c>
      <c r="AJ24">
        <v>1</v>
      </c>
    </row>
    <row r="25" spans="1:36" x14ac:dyDescent="0.2">
      <c r="A25">
        <v>24</v>
      </c>
      <c r="B25">
        <v>752</v>
      </c>
      <c r="C25">
        <v>275</v>
      </c>
      <c r="D25">
        <v>0.29890308735307097</v>
      </c>
      <c r="E25">
        <v>4.2095246721137203</v>
      </c>
      <c r="F25">
        <v>0.55726347778082896</v>
      </c>
      <c r="G25">
        <v>-91.035557801461295</v>
      </c>
      <c r="H25">
        <v>-53.668392078682842</v>
      </c>
      <c r="I25">
        <v>36.452787076320703</v>
      </c>
      <c r="J25">
        <v>16.286478399423199</v>
      </c>
      <c r="K25">
        <v>7.5539216904670798</v>
      </c>
      <c r="L25">
        <v>1.2026398183147557E-3</v>
      </c>
      <c r="M25">
        <v>1.924800819068232E-4</v>
      </c>
      <c r="N25" s="1">
        <v>6.1500270740401199E-6</v>
      </c>
      <c r="O25" s="1">
        <v>1.1802197957540701E-6</v>
      </c>
      <c r="P25" s="1">
        <v>-4.4461357150601899E-6</v>
      </c>
      <c r="AE25">
        <v>100</v>
      </c>
      <c r="AJ25">
        <v>1</v>
      </c>
    </row>
    <row r="26" spans="1:36" x14ac:dyDescent="0.2">
      <c r="A26">
        <v>25</v>
      </c>
      <c r="B26">
        <v>750</v>
      </c>
      <c r="C26">
        <v>275</v>
      </c>
      <c r="D26">
        <v>0.29739578751893703</v>
      </c>
      <c r="E26">
        <v>4.2322652358909396</v>
      </c>
      <c r="F26">
        <v>0.55860616772383997</v>
      </c>
      <c r="G26">
        <v>-91.454079824503367</v>
      </c>
      <c r="H26">
        <v>-53.991080499388417</v>
      </c>
      <c r="I26">
        <v>36.617721044982403</v>
      </c>
      <c r="J26">
        <v>16.3882268959252</v>
      </c>
      <c r="K26">
        <v>7.5764742325280903</v>
      </c>
      <c r="L26">
        <v>1.2038931123682388E-3</v>
      </c>
      <c r="M26">
        <v>1.9176447158538007E-4</v>
      </c>
      <c r="N26" s="1">
        <v>6.2754413178760599E-6</v>
      </c>
      <c r="O26" s="1">
        <v>1.17820465224311E-6</v>
      </c>
      <c r="P26" s="1">
        <v>-4.4653418842102202E-6</v>
      </c>
      <c r="AE26">
        <v>100</v>
      </c>
      <c r="AJ26">
        <v>1</v>
      </c>
    </row>
    <row r="27" spans="1:36" x14ac:dyDescent="0.2">
      <c r="A27">
        <v>26</v>
      </c>
      <c r="B27">
        <v>748</v>
      </c>
      <c r="C27">
        <v>275</v>
      </c>
      <c r="D27">
        <v>0.29588258336189799</v>
      </c>
      <c r="E27">
        <v>4.2547250109263004</v>
      </c>
      <c r="F27">
        <v>0.55995348386390498</v>
      </c>
      <c r="G27">
        <v>-91.865816263765794</v>
      </c>
      <c r="H27">
        <v>-54.310564426563495</v>
      </c>
      <c r="I27">
        <v>36.779794008836703</v>
      </c>
      <c r="J27">
        <v>16.488986040632401</v>
      </c>
      <c r="K27">
        <v>7.5983543875233703</v>
      </c>
      <c r="L27">
        <v>1.2051240414215599E-3</v>
      </c>
      <c r="M27">
        <v>1.9104607090488277E-4</v>
      </c>
      <c r="N27" s="1">
        <v>6.40158699243017E-6</v>
      </c>
      <c r="O27" s="1">
        <v>1.1760162492003699E-6</v>
      </c>
      <c r="P27" s="1">
        <v>-4.4839919038527603E-6</v>
      </c>
      <c r="AE27">
        <v>100</v>
      </c>
      <c r="AJ27">
        <v>1</v>
      </c>
    </row>
    <row r="28" spans="1:36" x14ac:dyDescent="0.2">
      <c r="A28">
        <v>27</v>
      </c>
      <c r="B28">
        <v>746</v>
      </c>
      <c r="C28">
        <v>275</v>
      </c>
      <c r="D28">
        <v>0.29436344012167098</v>
      </c>
      <c r="E28">
        <v>4.2769079520894797</v>
      </c>
      <c r="F28">
        <v>0.56130541879990004</v>
      </c>
      <c r="G28">
        <v>-92.270868213510298</v>
      </c>
      <c r="H28">
        <v>-54.626888184644606</v>
      </c>
      <c r="I28">
        <v>36.939044829738599</v>
      </c>
      <c r="J28">
        <v>16.588765985229799</v>
      </c>
      <c r="K28">
        <v>7.6195736026096501</v>
      </c>
      <c r="L28">
        <v>1.2063323309982942E-3</v>
      </c>
      <c r="M28">
        <v>1.9032491264064458E-4</v>
      </c>
      <c r="N28" s="1">
        <v>6.5284375965550103E-6</v>
      </c>
      <c r="O28" s="1">
        <v>1.17365789796988E-6</v>
      </c>
      <c r="P28" s="1">
        <v>-4.5020864902426203E-6</v>
      </c>
      <c r="AE28">
        <v>100</v>
      </c>
      <c r="AJ28">
        <v>1</v>
      </c>
    </row>
    <row r="29" spans="1:36" x14ac:dyDescent="0.2">
      <c r="A29">
        <v>28</v>
      </c>
      <c r="B29">
        <v>744</v>
      </c>
      <c r="C29">
        <v>275</v>
      </c>
      <c r="D29">
        <v>0.29283832276459099</v>
      </c>
      <c r="E29">
        <v>4.2988179177057502</v>
      </c>
      <c r="F29">
        <v>0.56266196465644502</v>
      </c>
      <c r="G29">
        <v>-92.669334392374282</v>
      </c>
      <c r="H29">
        <v>-54.940094970594352</v>
      </c>
      <c r="I29">
        <v>37.095511448036198</v>
      </c>
      <c r="J29">
        <v>16.687576538934199</v>
      </c>
      <c r="K29">
        <v>7.6401430836551496</v>
      </c>
      <c r="L29">
        <v>1.2075177085175582E-3</v>
      </c>
      <c r="M29">
        <v>1.896010303611445E-4</v>
      </c>
      <c r="N29" s="1">
        <v>6.6559662443776601E-6</v>
      </c>
      <c r="O29" s="1">
        <v>1.1711328768544099E-6</v>
      </c>
      <c r="P29" s="1">
        <v>-4.5196263591539503E-6</v>
      </c>
      <c r="AE29">
        <v>100</v>
      </c>
      <c r="AJ29">
        <v>1</v>
      </c>
    </row>
    <row r="30" spans="1:36" x14ac:dyDescent="0.2">
      <c r="A30">
        <v>29</v>
      </c>
      <c r="B30">
        <v>742</v>
      </c>
      <c r="C30">
        <v>275</v>
      </c>
      <c r="D30">
        <v>0.291307195980888</v>
      </c>
      <c r="E30">
        <v>4.3204586714584803</v>
      </c>
      <c r="F30">
        <v>0.56402311308061603</v>
      </c>
      <c r="G30">
        <v>-93.061311193171861</v>
      </c>
      <c r="H30">
        <v>-55.250226874708879</v>
      </c>
      <c r="I30">
        <v>37.249230902055203</v>
      </c>
      <c r="J30">
        <v>16.785427175290302</v>
      </c>
      <c r="K30">
        <v>7.6600738006297897</v>
      </c>
      <c r="L30">
        <v>1.2086799033924221E-3</v>
      </c>
      <c r="M30">
        <v>1.8887445842331584E-4</v>
      </c>
      <c r="N30" s="1">
        <v>6.78414567337314E-6</v>
      </c>
      <c r="O30" s="1">
        <v>1.1684444321324299E-6</v>
      </c>
      <c r="P30" s="1">
        <v>-4.5366122300872601E-6</v>
      </c>
      <c r="AE30">
        <v>100</v>
      </c>
      <c r="AJ30">
        <v>1</v>
      </c>
    </row>
    <row r="31" spans="1:36" x14ac:dyDescent="0.2">
      <c r="A31">
        <v>30</v>
      </c>
      <c r="B31">
        <v>740</v>
      </c>
      <c r="C31">
        <v>275</v>
      </c>
      <c r="D31">
        <v>0.28977002418201098</v>
      </c>
      <c r="E31">
        <v>5.2893071457863803</v>
      </c>
      <c r="F31">
        <v>0.56538885523881099</v>
      </c>
      <c r="G31">
        <v>-113.83883645794396</v>
      </c>
      <c r="H31">
        <v>-67.681022220929052</v>
      </c>
      <c r="I31">
        <v>45.561704686733798</v>
      </c>
      <c r="J31">
        <v>20.566381723633</v>
      </c>
      <c r="K31">
        <v>9.3551669736260799</v>
      </c>
      <c r="L31">
        <v>1.2098186471282174E-3</v>
      </c>
      <c r="M31">
        <v>1.8814523196739472E-4</v>
      </c>
      <c r="N31" s="1">
        <v>8.4214890682378201E-6</v>
      </c>
      <c r="O31" s="1">
        <v>1.4199516258504401E-6</v>
      </c>
      <c r="P31" s="1">
        <v>-5.5466084605207399E-6</v>
      </c>
      <c r="AE31">
        <v>100</v>
      </c>
      <c r="AJ31">
        <v>1</v>
      </c>
    </row>
    <row r="32" spans="1:36" x14ac:dyDescent="0.2">
      <c r="A32">
        <v>31</v>
      </c>
      <c r="B32">
        <v>738</v>
      </c>
      <c r="C32">
        <v>275</v>
      </c>
      <c r="D32">
        <v>0.28822677149780002</v>
      </c>
      <c r="E32">
        <v>9.4972591451179103</v>
      </c>
      <c r="F32">
        <v>0.56675918181370799</v>
      </c>
      <c r="G32">
        <v>-204.24071889732332</v>
      </c>
      <c r="H32">
        <v>-121.59910509247646</v>
      </c>
      <c r="I32">
        <v>81.735695712533399</v>
      </c>
      <c r="J32">
        <v>36.958314414347797</v>
      </c>
      <c r="K32">
        <v>16.7571332761215</v>
      </c>
      <c r="L32">
        <v>1.21093367342011E-3</v>
      </c>
      <c r="M32">
        <v>1.8741338691124584E-4</v>
      </c>
      <c r="N32" s="1">
        <v>1.5329772009393101E-5</v>
      </c>
      <c r="O32" s="1">
        <v>2.5307250214247902E-6</v>
      </c>
      <c r="P32" s="1">
        <v>-9.9456313430743898E-6</v>
      </c>
      <c r="AE32">
        <v>100</v>
      </c>
      <c r="AJ32">
        <v>1</v>
      </c>
    </row>
    <row r="33" spans="1:36" x14ac:dyDescent="0.2">
      <c r="A33">
        <v>32</v>
      </c>
      <c r="B33">
        <v>736</v>
      </c>
      <c r="C33">
        <v>275</v>
      </c>
      <c r="D33">
        <v>0.28667740177377199</v>
      </c>
      <c r="E33">
        <v>10.349782649800799</v>
      </c>
      <c r="F33">
        <v>0.56813408300133506</v>
      </c>
      <c r="G33">
        <v>-222.39636514828825</v>
      </c>
      <c r="H33">
        <v>-132.59505938668417</v>
      </c>
      <c r="I33">
        <v>88.992943113299006</v>
      </c>
      <c r="J33">
        <v>40.308628203270999</v>
      </c>
      <c r="K33">
        <v>18.217147957617801</v>
      </c>
      <c r="L33">
        <v>1.2120247182506815E-3</v>
      </c>
      <c r="M33">
        <v>1.8667895994427741E-4</v>
      </c>
      <c r="N33" s="1">
        <v>1.69332138457305E-5</v>
      </c>
      <c r="O33" s="1">
        <v>2.7373167188709302E-6</v>
      </c>
      <c r="P33" s="1">
        <v>-1.08230310228824E-5</v>
      </c>
      <c r="AE33">
        <v>100</v>
      </c>
      <c r="AJ33">
        <v>1</v>
      </c>
    </row>
    <row r="34" spans="1:36" x14ac:dyDescent="0.2">
      <c r="A34">
        <v>33</v>
      </c>
      <c r="B34">
        <v>764</v>
      </c>
      <c r="C34">
        <v>250</v>
      </c>
      <c r="D34">
        <v>0.33433977727426201</v>
      </c>
      <c r="E34">
        <v>4.4976708860190397</v>
      </c>
      <c r="F34">
        <v>0.52076137964575597</v>
      </c>
      <c r="G34">
        <v>-97.945729969555003</v>
      </c>
      <c r="H34">
        <v>-57.073456870078047</v>
      </c>
      <c r="I34">
        <v>39.410738025306401</v>
      </c>
      <c r="J34">
        <v>17.4728612487635</v>
      </c>
      <c r="K34">
        <v>8.6367212735294405</v>
      </c>
      <c r="L34">
        <v>1.288735419005353E-3</v>
      </c>
      <c r="M34">
        <v>2.318300249721325E-4</v>
      </c>
      <c r="N34" s="1">
        <v>6.3304342267163297E-6</v>
      </c>
      <c r="O34" s="1">
        <v>1.8593659718272899E-6</v>
      </c>
      <c r="P34" s="1">
        <v>-6.0821757009864702E-6</v>
      </c>
      <c r="AE34">
        <v>100</v>
      </c>
      <c r="AJ34">
        <v>1</v>
      </c>
    </row>
    <row r="35" spans="1:36" x14ac:dyDescent="0.2">
      <c r="A35">
        <v>34</v>
      </c>
      <c r="B35">
        <v>762</v>
      </c>
      <c r="C35">
        <v>250</v>
      </c>
      <c r="D35">
        <v>0.33291841762063901</v>
      </c>
      <c r="E35">
        <v>4.50231770493843</v>
      </c>
      <c r="F35">
        <v>0.52210632293512205</v>
      </c>
      <c r="G35">
        <v>-97.968054545054002</v>
      </c>
      <c r="H35">
        <v>-57.167422280887493</v>
      </c>
      <c r="I35">
        <v>39.41767740601</v>
      </c>
      <c r="J35">
        <v>17.508410936560999</v>
      </c>
      <c r="K35">
        <v>8.6233732616524996</v>
      </c>
      <c r="L35">
        <v>1.2905791835346745E-3</v>
      </c>
      <c r="M35">
        <v>2.310168466174833E-4</v>
      </c>
      <c r="N35" s="1">
        <v>6.4652591759602402E-6</v>
      </c>
      <c r="O35" s="1">
        <v>1.8490310343308201E-6</v>
      </c>
      <c r="P35" s="1">
        <v>-6.0869494569963402E-6</v>
      </c>
      <c r="AE35">
        <v>100</v>
      </c>
      <c r="AJ35">
        <v>1</v>
      </c>
    </row>
    <row r="36" spans="1:36" x14ac:dyDescent="0.2">
      <c r="A36">
        <v>35</v>
      </c>
      <c r="B36">
        <v>760</v>
      </c>
      <c r="C36">
        <v>250</v>
      </c>
      <c r="D36">
        <v>0.33149155495329902</v>
      </c>
      <c r="E36">
        <v>4.5251076313479599</v>
      </c>
      <c r="F36">
        <v>0.523456657347251</v>
      </c>
      <c r="G36">
        <v>-98.384750930070211</v>
      </c>
      <c r="H36">
        <v>-57.492005162539115</v>
      </c>
      <c r="I36">
        <v>39.583153764691602</v>
      </c>
      <c r="J36">
        <v>17.614579128582001</v>
      </c>
      <c r="K36">
        <v>8.6446653564023599</v>
      </c>
      <c r="L36">
        <v>1.2923987114362441E-3</v>
      </c>
      <c r="M36">
        <v>2.3019915088390771E-4</v>
      </c>
      <c r="N36" s="1">
        <v>6.6275130126376598E-6</v>
      </c>
      <c r="O36" s="1">
        <v>1.84604314476279E-6</v>
      </c>
      <c r="P36" s="1">
        <v>-6.1159412188247403E-6</v>
      </c>
      <c r="AE36">
        <v>100</v>
      </c>
      <c r="AJ36">
        <v>1</v>
      </c>
    </row>
    <row r="37" spans="1:36" x14ac:dyDescent="0.2">
      <c r="A37">
        <v>36</v>
      </c>
      <c r="B37">
        <v>758</v>
      </c>
      <c r="C37">
        <v>250</v>
      </c>
      <c r="D37">
        <v>0.330059157251614</v>
      </c>
      <c r="E37">
        <v>4.5476346316496103</v>
      </c>
      <c r="F37">
        <v>0.52481238107299999</v>
      </c>
      <c r="G37">
        <v>-98.795006164584507</v>
      </c>
      <c r="H37">
        <v>-57.813635384609043</v>
      </c>
      <c r="I37">
        <v>39.745888780263201</v>
      </c>
      <c r="J37">
        <v>17.719854758807799</v>
      </c>
      <c r="K37">
        <v>8.6652579010270099</v>
      </c>
      <c r="L37">
        <v>1.2941935850456405E-3</v>
      </c>
      <c r="M37">
        <v>2.2937696661968072E-4</v>
      </c>
      <c r="N37" s="1">
        <v>6.79125096178992E-6</v>
      </c>
      <c r="O37" s="1">
        <v>1.84279564956172E-6</v>
      </c>
      <c r="P37" s="1">
        <v>-6.1442526091455704E-6</v>
      </c>
      <c r="AE37">
        <v>100</v>
      </c>
      <c r="AJ37">
        <v>1</v>
      </c>
    </row>
    <row r="38" spans="1:36" x14ac:dyDescent="0.2">
      <c r="A38">
        <v>37</v>
      </c>
      <c r="B38">
        <v>756</v>
      </c>
      <c r="C38">
        <v>250</v>
      </c>
      <c r="D38">
        <v>0.32862119224602798</v>
      </c>
      <c r="E38">
        <v>4.5699028116818097</v>
      </c>
      <c r="F38">
        <v>0.52617349171939898</v>
      </c>
      <c r="G38">
        <v>-99.198924388367004</v>
      </c>
      <c r="H38">
        <v>-58.132359463330303</v>
      </c>
      <c r="I38">
        <v>39.905922464217703</v>
      </c>
      <c r="J38">
        <v>17.824247757899901</v>
      </c>
      <c r="K38">
        <v>8.6851635127960307</v>
      </c>
      <c r="L38">
        <v>1.2959633878440581E-3</v>
      </c>
      <c r="M38">
        <v>2.2855032405439389E-4</v>
      </c>
      <c r="N38" s="1">
        <v>6.95643959992562E-6</v>
      </c>
      <c r="O38" s="1">
        <v>1.8392927713693401E-6</v>
      </c>
      <c r="P38" s="1">
        <v>-6.1718812819815701E-6</v>
      </c>
      <c r="AE38">
        <v>100</v>
      </c>
      <c r="AJ38">
        <v>1</v>
      </c>
    </row>
    <row r="39" spans="1:36" x14ac:dyDescent="0.2">
      <c r="A39">
        <v>38</v>
      </c>
      <c r="B39">
        <v>754</v>
      </c>
      <c r="C39">
        <v>250</v>
      </c>
      <c r="D39">
        <v>0.32717762741566497</v>
      </c>
      <c r="E39">
        <v>4.5919161887389697</v>
      </c>
      <c r="F39">
        <v>0.52753998630330401</v>
      </c>
      <c r="G39">
        <v>-99.596607514724965</v>
      </c>
      <c r="H39">
        <v>-58.448222897315048</v>
      </c>
      <c r="I39">
        <v>40.063293962740602</v>
      </c>
      <c r="J39">
        <v>17.927767732823298</v>
      </c>
      <c r="K39">
        <v>8.7043945633703999</v>
      </c>
      <c r="L39">
        <v>1.2977077046387243E-3</v>
      </c>
      <c r="M39">
        <v>2.2771925480444128E-4</v>
      </c>
      <c r="N39" s="1">
        <v>7.12304461690727E-6</v>
      </c>
      <c r="O39" s="1">
        <v>1.8355387037982999E-6</v>
      </c>
      <c r="P39" s="1">
        <v>-6.1988248774659496E-6</v>
      </c>
      <c r="AE39">
        <v>100</v>
      </c>
      <c r="AJ39">
        <v>1</v>
      </c>
    </row>
    <row r="40" spans="1:36" x14ac:dyDescent="0.2">
      <c r="A40">
        <v>39</v>
      </c>
      <c r="B40">
        <v>752</v>
      </c>
      <c r="C40">
        <v>250</v>
      </c>
      <c r="D40">
        <v>0.32572842998585799</v>
      </c>
      <c r="E40">
        <v>4.6136786938629903</v>
      </c>
      <c r="F40">
        <v>0.52891186124509804</v>
      </c>
      <c r="G40">
        <v>-99.988155288404286</v>
      </c>
      <c r="H40">
        <v>-58.761270193514882</v>
      </c>
      <c r="I40">
        <v>40.218041579427698</v>
      </c>
      <c r="J40">
        <v>18.030423975516499</v>
      </c>
      <c r="K40">
        <v>8.7229631852120804</v>
      </c>
      <c r="L40">
        <v>1.2994261217443423E-3</v>
      </c>
      <c r="M40">
        <v>2.2688379187760327E-4</v>
      </c>
      <c r="N40" s="1">
        <v>7.2910308244949198E-6</v>
      </c>
      <c r="O40" s="1">
        <v>1.83153761332834E-6</v>
      </c>
      <c r="P40" s="1">
        <v>-6.2250810301922501E-6</v>
      </c>
      <c r="AE40">
        <v>100</v>
      </c>
      <c r="AJ40">
        <v>1</v>
      </c>
    </row>
    <row r="41" spans="1:36" x14ac:dyDescent="0.2">
      <c r="A41">
        <v>40</v>
      </c>
      <c r="B41">
        <v>750</v>
      </c>
      <c r="C41">
        <v>250</v>
      </c>
      <c r="D41">
        <v>0.324273566925672</v>
      </c>
      <c r="E41">
        <v>4.63519417409496</v>
      </c>
      <c r="F41">
        <v>0.53028911236263798</v>
      </c>
      <c r="G41">
        <v>-100.37366534236972</v>
      </c>
      <c r="H41">
        <v>-59.071544892775151</v>
      </c>
      <c r="I41">
        <v>40.370202797570698</v>
      </c>
      <c r="J41">
        <v>18.132225471481501</v>
      </c>
      <c r="K41">
        <v>8.7408812778437408</v>
      </c>
      <c r="L41">
        <v>1.3011182271658577E-3</v>
      </c>
      <c r="M41">
        <v>2.2604396967675726E-4</v>
      </c>
      <c r="N41" s="1">
        <v>7.4603621660865803E-6</v>
      </c>
      <c r="O41" s="1">
        <v>1.8272936411204099E-6</v>
      </c>
      <c r="P41" s="1">
        <v>-6.2506473775469098E-6</v>
      </c>
      <c r="AE41">
        <v>100</v>
      </c>
      <c r="AJ41">
        <v>1</v>
      </c>
    </row>
    <row r="42" spans="1:36" x14ac:dyDescent="0.2">
      <c r="A42">
        <v>41</v>
      </c>
      <c r="B42">
        <v>748</v>
      </c>
      <c r="C42">
        <v>250</v>
      </c>
      <c r="D42">
        <v>0.32281300494540499</v>
      </c>
      <c r="E42">
        <v>4.6564663943156201</v>
      </c>
      <c r="F42">
        <v>0.53167173486526598</v>
      </c>
      <c r="G42">
        <v>-100.75323324543604</v>
      </c>
      <c r="H42">
        <v>-59.379089590244007</v>
      </c>
      <c r="I42">
        <v>40.519814298783302</v>
      </c>
      <c r="J42">
        <v>18.233180906826401</v>
      </c>
      <c r="K42">
        <v>8.7581605132641496</v>
      </c>
      <c r="L42">
        <v>1.3027836107818854E-3</v>
      </c>
      <c r="M42">
        <v>2.2519982400264786E-4</v>
      </c>
      <c r="N42" s="1">
        <v>7.63100172704084E-6</v>
      </c>
      <c r="O42" s="1">
        <v>1.82281090460271E-6</v>
      </c>
      <c r="P42" s="1">
        <v>-6.2755215675126899E-6</v>
      </c>
      <c r="AE42">
        <v>100</v>
      </c>
      <c r="AJ42">
        <v>1</v>
      </c>
    </row>
    <row r="43" spans="1:36" x14ac:dyDescent="0.2">
      <c r="A43">
        <v>42</v>
      </c>
      <c r="B43">
        <v>746</v>
      </c>
      <c r="C43">
        <v>250</v>
      </c>
      <c r="D43">
        <v>0.32134671049404001</v>
      </c>
      <c r="E43">
        <v>4.6774990397749496</v>
      </c>
      <c r="F43">
        <v>0.53305972334802598</v>
      </c>
      <c r="G43">
        <v>-101.12695256458956</v>
      </c>
      <c r="H43">
        <v>-59.683945964654441</v>
      </c>
      <c r="I43">
        <v>40.666911987555302</v>
      </c>
      <c r="J43">
        <v>18.333298678074001</v>
      </c>
      <c r="K43">
        <v>8.77481234259578</v>
      </c>
      <c r="L43">
        <v>1.3044218645294641E-3</v>
      </c>
      <c r="M43">
        <v>2.2435139205577133E-4</v>
      </c>
      <c r="N43" s="1">
        <v>7.8029117473343296E-6</v>
      </c>
      <c r="O43" s="1">
        <v>1.8180934992635501E-6</v>
      </c>
      <c r="P43" s="1">
        <v>-6.2997012674201E-6</v>
      </c>
      <c r="AE43">
        <v>100</v>
      </c>
      <c r="AJ43">
        <v>1</v>
      </c>
    </row>
    <row r="44" spans="1:36" x14ac:dyDescent="0.2">
      <c r="A44">
        <v>43</v>
      </c>
      <c r="B44">
        <v>744</v>
      </c>
      <c r="C44">
        <v>250</v>
      </c>
      <c r="D44">
        <v>0.31987464975667701</v>
      </c>
      <c r="E44">
        <v>4.6982957176464497</v>
      </c>
      <c r="F44">
        <v>0.53445307178602697</v>
      </c>
      <c r="G44">
        <v>-101.49491490595902</v>
      </c>
      <c r="H44">
        <v>-59.986154795266657</v>
      </c>
      <c r="I44">
        <v>40.811531007236297</v>
      </c>
      <c r="J44">
        <v>18.432586898211401</v>
      </c>
      <c r="K44">
        <v>8.7908480008277508</v>
      </c>
      <c r="L44">
        <v>1.3060325825887279E-3</v>
      </c>
      <c r="M44">
        <v>2.2349871243725617E-4</v>
      </c>
      <c r="N44" s="1">
        <v>7.9760536338921404E-6</v>
      </c>
      <c r="O44" s="1">
        <v>1.8131454999934699E-6</v>
      </c>
      <c r="P44" s="1">
        <v>-6.3231841713892897E-6</v>
      </c>
      <c r="AE44">
        <v>100</v>
      </c>
      <c r="AJ44">
        <v>1</v>
      </c>
    </row>
    <row r="45" spans="1:36" x14ac:dyDescent="0.2">
      <c r="A45">
        <v>44</v>
      </c>
      <c r="B45">
        <v>742</v>
      </c>
      <c r="C45">
        <v>250</v>
      </c>
      <c r="D45">
        <v>0.318396788651924</v>
      </c>
      <c r="E45">
        <v>9.6146521017037596</v>
      </c>
      <c r="F45">
        <v>0.53585177352894597</v>
      </c>
      <c r="G45">
        <v>-207.53352427686855</v>
      </c>
      <c r="H45">
        <v>-122.83190760324396</v>
      </c>
      <c r="I45">
        <v>83.442957954947005</v>
      </c>
      <c r="J45">
        <v>37.756922881757198</v>
      </c>
      <c r="K45">
        <v>17.942745693244099</v>
      </c>
      <c r="L45">
        <v>1.3076153615686314E-3</v>
      </c>
      <c r="M45">
        <v>2.2264182514884908E-4</v>
      </c>
      <c r="N45" s="1">
        <v>1.6606372206909201E-5</v>
      </c>
      <c r="O45" s="1">
        <v>3.6837312329126401E-6</v>
      </c>
      <c r="P45" s="1">
        <v>-1.29298761096631E-5</v>
      </c>
      <c r="AE45">
        <v>100</v>
      </c>
      <c r="AJ45">
        <v>1</v>
      </c>
    </row>
    <row r="46" spans="1:36" x14ac:dyDescent="0.2">
      <c r="A46">
        <v>45</v>
      </c>
      <c r="B46">
        <v>740</v>
      </c>
      <c r="C46">
        <v>250</v>
      </c>
      <c r="D46">
        <v>0.31691309282929903</v>
      </c>
      <c r="E46">
        <v>10.384076040403</v>
      </c>
      <c r="F46">
        <v>0.53725582129572502</v>
      </c>
      <c r="G46">
        <v>-223.96147997855263</v>
      </c>
      <c r="H46">
        <v>-132.74327265236121</v>
      </c>
      <c r="I46">
        <v>90.040122126197502</v>
      </c>
      <c r="J46">
        <v>40.817457014692202</v>
      </c>
      <c r="K46">
        <v>19.327991673239101</v>
      </c>
      <c r="L46">
        <v>1.309169800692835E-3</v>
      </c>
      <c r="M46">
        <v>2.2178077159190821E-4</v>
      </c>
      <c r="N46" s="1">
        <v>1.8242868345888601E-5</v>
      </c>
      <c r="O46" s="1">
        <v>3.9496293847300799E-6</v>
      </c>
      <c r="P46" s="1">
        <v>-1.3953069679482601E-5</v>
      </c>
      <c r="AE46">
        <v>100</v>
      </c>
      <c r="AJ46">
        <v>1</v>
      </c>
    </row>
    <row r="47" spans="1:36" x14ac:dyDescent="0.2">
      <c r="A47">
        <v>46</v>
      </c>
      <c r="B47">
        <v>764</v>
      </c>
      <c r="C47">
        <v>225</v>
      </c>
      <c r="D47">
        <v>0.36085474617943802</v>
      </c>
      <c r="E47">
        <v>4.9012836246200502</v>
      </c>
      <c r="F47">
        <v>0.48869547576889899</v>
      </c>
      <c r="G47">
        <v>-106.97789381874375</v>
      </c>
      <c r="H47">
        <v>-62.099880757174184</v>
      </c>
      <c r="I47">
        <v>43.273217834481798</v>
      </c>
      <c r="J47">
        <v>19.2193109698465</v>
      </c>
      <c r="K47">
        <v>10.0293206457631</v>
      </c>
      <c r="L47">
        <v>1.3978432493216984E-3</v>
      </c>
      <c r="M47">
        <v>2.7899988343468146E-4</v>
      </c>
      <c r="N47" s="1">
        <v>6.7325881438159896E-6</v>
      </c>
      <c r="O47" s="1">
        <v>2.9827493419022099E-6</v>
      </c>
      <c r="P47" s="1">
        <v>-8.6021074926209495E-6</v>
      </c>
      <c r="AE47">
        <v>100</v>
      </c>
      <c r="AJ47">
        <v>1</v>
      </c>
    </row>
    <row r="48" spans="1:36" x14ac:dyDescent="0.2">
      <c r="A48">
        <v>47</v>
      </c>
      <c r="B48">
        <v>762</v>
      </c>
      <c r="C48">
        <v>225</v>
      </c>
      <c r="D48">
        <v>0.35948461575617302</v>
      </c>
      <c r="E48">
        <v>4.90847343566075</v>
      </c>
      <c r="F48">
        <v>0.49006487950535499</v>
      </c>
      <c r="G48">
        <v>-107.04818603078229</v>
      </c>
      <c r="H48">
        <v>-62.229494517325321</v>
      </c>
      <c r="I48">
        <v>43.299522236749802</v>
      </c>
      <c r="J48">
        <v>19.270438787388901</v>
      </c>
      <c r="K48">
        <v>10.015966540216199</v>
      </c>
      <c r="L48">
        <v>1.4003952185746168E-3</v>
      </c>
      <c r="M48">
        <v>2.7806099651990983E-4</v>
      </c>
      <c r="N48" s="1">
        <v>6.9297072798498702E-6</v>
      </c>
      <c r="O48" s="1">
        <v>2.9684961133186201E-6</v>
      </c>
      <c r="P48" s="1">
        <v>-8.6195723022831802E-6</v>
      </c>
      <c r="AE48">
        <v>100</v>
      </c>
      <c r="AJ48">
        <v>1</v>
      </c>
    </row>
    <row r="49" spans="1:36" x14ac:dyDescent="0.2">
      <c r="A49">
        <v>48</v>
      </c>
      <c r="B49">
        <v>760</v>
      </c>
      <c r="C49">
        <v>225</v>
      </c>
      <c r="D49">
        <v>0.35810918066108399</v>
      </c>
      <c r="E49">
        <v>4.9295629308774096</v>
      </c>
      <c r="F49">
        <v>0.49144061549942297</v>
      </c>
      <c r="G49">
        <v>-107.42119008615425</v>
      </c>
      <c r="H49">
        <v>-62.535596044940149</v>
      </c>
      <c r="I49">
        <v>43.4481101871296</v>
      </c>
      <c r="J49">
        <v>19.376231536103798</v>
      </c>
      <c r="K49">
        <v>10.0308415206337</v>
      </c>
      <c r="L49">
        <v>1.4029199985897737E-3</v>
      </c>
      <c r="M49">
        <v>2.7711513706788106E-4</v>
      </c>
      <c r="N49" s="1">
        <v>7.1489673252282597E-6</v>
      </c>
      <c r="O49" s="1">
        <v>2.9624650776715699E-6</v>
      </c>
      <c r="P49" s="1">
        <v>-8.6610352693541204E-6</v>
      </c>
      <c r="AE49">
        <v>100</v>
      </c>
      <c r="AJ49">
        <v>1</v>
      </c>
    </row>
    <row r="50" spans="1:36" x14ac:dyDescent="0.2">
      <c r="A50">
        <v>49</v>
      </c>
      <c r="B50">
        <v>758</v>
      </c>
      <c r="C50">
        <v>225</v>
      </c>
      <c r="D50">
        <v>0.356728410027642</v>
      </c>
      <c r="E50">
        <v>4.9504257727538796</v>
      </c>
      <c r="F50">
        <v>0.49282268840091997</v>
      </c>
      <c r="G50">
        <v>-107.78859058768562</v>
      </c>
      <c r="H50">
        <v>-62.839198036070208</v>
      </c>
      <c r="I50">
        <v>43.594264160629898</v>
      </c>
      <c r="J50">
        <v>19.481288707429499</v>
      </c>
      <c r="K50">
        <v>10.045044372483501</v>
      </c>
      <c r="L50">
        <v>1.4054169480793059E-3</v>
      </c>
      <c r="M50">
        <v>2.7616232173905721E-4</v>
      </c>
      <c r="N50" s="1">
        <v>7.3709198662291502E-6</v>
      </c>
      <c r="O50" s="1">
        <v>2.9560618920148301E-6</v>
      </c>
      <c r="P50" s="1">
        <v>-8.7016882668953795E-6</v>
      </c>
      <c r="AE50">
        <v>100</v>
      </c>
      <c r="AJ50">
        <v>1</v>
      </c>
    </row>
    <row r="51" spans="1:36" x14ac:dyDescent="0.2">
      <c r="A51">
        <v>50</v>
      </c>
      <c r="B51">
        <v>756</v>
      </c>
      <c r="C51">
        <v>225</v>
      </c>
      <c r="D51">
        <v>0.35534227274935698</v>
      </c>
      <c r="E51">
        <v>4.9710656323226701</v>
      </c>
      <c r="F51">
        <v>0.49421110210605401</v>
      </c>
      <c r="G51">
        <v>-108.15048057220753</v>
      </c>
      <c r="H51">
        <v>-63.140342268851533</v>
      </c>
      <c r="I51">
        <v>43.738019775901599</v>
      </c>
      <c r="J51">
        <v>19.585617517893802</v>
      </c>
      <c r="K51">
        <v>10.058587537064</v>
      </c>
      <c r="L51">
        <v>1.4078854248212131E-3</v>
      </c>
      <c r="M51">
        <v>2.7520256945572124E-4</v>
      </c>
      <c r="N51" s="1">
        <v>7.5955241833331801E-6</v>
      </c>
      <c r="O51" s="1">
        <v>2.94929127645594E-6</v>
      </c>
      <c r="P51" s="1">
        <v>-8.7415223926220796E-6</v>
      </c>
      <c r="AE51">
        <v>100</v>
      </c>
      <c r="AJ51">
        <v>1</v>
      </c>
    </row>
    <row r="52" spans="1:36" x14ac:dyDescent="0.2">
      <c r="A52">
        <v>51</v>
      </c>
      <c r="B52">
        <v>754</v>
      </c>
      <c r="C52">
        <v>225</v>
      </c>
      <c r="D52">
        <v>0.35395073747748601</v>
      </c>
      <c r="E52">
        <v>4.9914861090242004</v>
      </c>
      <c r="F52">
        <v>0.49560585974538901</v>
      </c>
      <c r="G52">
        <v>-108.50695124590901</v>
      </c>
      <c r="H52">
        <v>-63.439069706034701</v>
      </c>
      <c r="I52">
        <v>43.879411940552203</v>
      </c>
      <c r="J52">
        <v>19.689224892885498</v>
      </c>
      <c r="K52">
        <v>10.071483237886801</v>
      </c>
      <c r="L52">
        <v>1.4103247859760769E-3</v>
      </c>
      <c r="M52">
        <v>2.7423590143348011E-4</v>
      </c>
      <c r="N52" s="1">
        <v>7.8227376302696301E-6</v>
      </c>
      <c r="O52" s="1">
        <v>2.9421579451353899E-6</v>
      </c>
      <c r="P52" s="1">
        <v>-8.7805286663428693E-6</v>
      </c>
      <c r="AE52">
        <v>100</v>
      </c>
      <c r="AJ52">
        <v>1</v>
      </c>
    </row>
    <row r="53" spans="1:36" x14ac:dyDescent="0.2">
      <c r="A53">
        <v>52</v>
      </c>
      <c r="B53">
        <v>752</v>
      </c>
      <c r="C53">
        <v>225</v>
      </c>
      <c r="D53">
        <v>0.35255377261864101</v>
      </c>
      <c r="E53">
        <v>5.0116907325835598</v>
      </c>
      <c r="F53">
        <v>0.49700696367191499</v>
      </c>
      <c r="G53">
        <v>-108.85809203185309</v>
      </c>
      <c r="H53">
        <v>-63.735420516200612</v>
      </c>
      <c r="I53">
        <v>44.018474869865599</v>
      </c>
      <c r="J53">
        <v>19.792117474443099</v>
      </c>
      <c r="K53">
        <v>10.083743486322399</v>
      </c>
      <c r="L53">
        <v>1.4127343884097431E-3</v>
      </c>
      <c r="M53">
        <v>2.7326234121145598E-4</v>
      </c>
      <c r="N53" s="1">
        <v>8.0525156294765401E-6</v>
      </c>
      <c r="O53" s="1">
        <v>2.9346666095400101E-6</v>
      </c>
      <c r="P53" s="1">
        <v>-8.8186980443091002E-6</v>
      </c>
      <c r="AE53">
        <v>100</v>
      </c>
      <c r="AJ53">
        <v>1</v>
      </c>
    </row>
    <row r="54" spans="1:36" x14ac:dyDescent="0.2">
      <c r="A54">
        <v>53</v>
      </c>
      <c r="B54">
        <v>750</v>
      </c>
      <c r="C54">
        <v>225</v>
      </c>
      <c r="D54">
        <v>0.35115134633240402</v>
      </c>
      <c r="E54">
        <v>5.1835615194137601</v>
      </c>
      <c r="F54">
        <v>0.49841441544936699</v>
      </c>
      <c r="G54">
        <v>-112.50025239673509</v>
      </c>
      <c r="H54">
        <v>-65.96212698636225</v>
      </c>
      <c r="I54">
        <v>45.488043554299303</v>
      </c>
      <c r="J54">
        <v>20.494800069909701</v>
      </c>
      <c r="K54">
        <v>10.4001035257784</v>
      </c>
      <c r="L54">
        <v>1.4151135890225653E-3</v>
      </c>
      <c r="M54">
        <v>2.7228191468116428E-4</v>
      </c>
      <c r="N54" s="1">
        <v>8.534884107156E-6</v>
      </c>
      <c r="O54" s="1">
        <v>3.0151664770067201E-6</v>
      </c>
      <c r="P54" s="1">
        <v>-9.1233355201437903E-6</v>
      </c>
      <c r="AE54">
        <v>100</v>
      </c>
      <c r="AJ54">
        <v>1</v>
      </c>
    </row>
    <row r="55" spans="1:36" x14ac:dyDescent="0.2">
      <c r="A55">
        <v>54</v>
      </c>
      <c r="B55">
        <v>748</v>
      </c>
      <c r="C55">
        <v>225</v>
      </c>
      <c r="D55">
        <v>0.34974342652891699</v>
      </c>
      <c r="E55">
        <v>6.4818529062024597</v>
      </c>
      <c r="F55">
        <v>0.49982821584070197</v>
      </c>
      <c r="G55">
        <v>-140.56371310539717</v>
      </c>
      <c r="H55">
        <v>-82.534498000876511</v>
      </c>
      <c r="I55">
        <v>56.830949829882897</v>
      </c>
      <c r="J55">
        <v>25.657843075268499</v>
      </c>
      <c r="K55">
        <v>12.9681612617648</v>
      </c>
      <c r="L55">
        <v>1.4174617450838846E-3</v>
      </c>
      <c r="M55">
        <v>2.7129465011387977E-4</v>
      </c>
      <c r="N55" s="1">
        <v>1.09320036470953E-5</v>
      </c>
      <c r="O55" s="1">
        <v>3.7450755220892699E-6</v>
      </c>
      <c r="P55" s="1">
        <v>-1.1410510920197E-5</v>
      </c>
      <c r="AE55">
        <v>100</v>
      </c>
      <c r="AJ55">
        <v>1</v>
      </c>
    </row>
    <row r="56" spans="1:36" x14ac:dyDescent="0.2">
      <c r="A56">
        <v>55</v>
      </c>
      <c r="B56">
        <v>746</v>
      </c>
      <c r="C56">
        <v>225</v>
      </c>
      <c r="D56">
        <v>0.34832998086640898</v>
      </c>
      <c r="E56">
        <v>9.8836928527850993</v>
      </c>
      <c r="F56">
        <v>0.50124836479679802</v>
      </c>
      <c r="G56">
        <v>-214.16185843213611</v>
      </c>
      <c r="H56">
        <v>-125.92897781739147</v>
      </c>
      <c r="I56">
        <v>86.580519718121295</v>
      </c>
      <c r="J56">
        <v>39.169118265998101</v>
      </c>
      <c r="K56">
        <v>19.718154804937502</v>
      </c>
      <c r="L56">
        <v>1.4197782145724301E-3</v>
      </c>
      <c r="M56">
        <v>2.7030057818655599E-4</v>
      </c>
      <c r="N56" s="1">
        <v>1.70673241160086E-5</v>
      </c>
      <c r="O56" s="1">
        <v>5.6718999086191599E-6</v>
      </c>
      <c r="P56" s="1">
        <v>-1.7401257023372198E-5</v>
      </c>
      <c r="AE56">
        <v>100</v>
      </c>
      <c r="AJ56">
        <v>1</v>
      </c>
    </row>
    <row r="57" spans="1:36" x14ac:dyDescent="0.2">
      <c r="A57">
        <v>56</v>
      </c>
      <c r="B57">
        <v>744</v>
      </c>
      <c r="C57">
        <v>225</v>
      </c>
      <c r="D57">
        <v>0.34691097674876298</v>
      </c>
      <c r="E57">
        <v>10.4379042942351</v>
      </c>
      <c r="F57">
        <v>0.502674861445363</v>
      </c>
      <c r="G57">
        <v>-225.98783469491244</v>
      </c>
      <c r="H57">
        <v>-133.07301204040635</v>
      </c>
      <c r="I57">
        <v>91.354073503715298</v>
      </c>
      <c r="J57">
        <v>41.413258865231398</v>
      </c>
      <c r="K57">
        <v>20.764723074120901</v>
      </c>
      <c r="L57">
        <v>1.4220623565214816E-3</v>
      </c>
      <c r="M57">
        <v>2.692997320061339E-4</v>
      </c>
      <c r="N57" s="1">
        <v>1.8446942201183399E-5</v>
      </c>
      <c r="O57" s="1">
        <v>5.9489425923447901E-6</v>
      </c>
      <c r="P57" s="1">
        <v>-1.8378271681686601E-5</v>
      </c>
      <c r="AE57">
        <v>100</v>
      </c>
      <c r="AJ57">
        <v>1</v>
      </c>
    </row>
    <row r="58" spans="1:36" x14ac:dyDescent="0.2">
      <c r="A58">
        <v>57</v>
      </c>
      <c r="B58">
        <v>764</v>
      </c>
      <c r="C58">
        <v>200</v>
      </c>
      <c r="D58">
        <v>0.38736971508460899</v>
      </c>
      <c r="E58">
        <v>5.3043750625850503</v>
      </c>
      <c r="F58">
        <v>0.45228805448552301</v>
      </c>
      <c r="G58">
        <v>-116.05772495726906</v>
      </c>
      <c r="H58">
        <v>-67.062324542560006</v>
      </c>
      <c r="I58">
        <v>47.243345614275398</v>
      </c>
      <c r="J58">
        <v>20.973127997363399</v>
      </c>
      <c r="K58">
        <v>11.727869020592999</v>
      </c>
      <c r="L58">
        <v>1.5221493354871563E-3</v>
      </c>
      <c r="M58">
        <v>3.4394199512921059E-4</v>
      </c>
      <c r="N58" s="1">
        <v>5.7522617140399501E-6</v>
      </c>
      <c r="O58" s="1">
        <v>4.9727356842263197E-6</v>
      </c>
      <c r="P58" s="1">
        <v>-1.2287636347063701E-5</v>
      </c>
      <c r="AE58">
        <v>100</v>
      </c>
      <c r="AJ58">
        <v>1</v>
      </c>
    </row>
    <row r="59" spans="1:36" x14ac:dyDescent="0.2">
      <c r="A59">
        <v>58</v>
      </c>
      <c r="B59">
        <v>762</v>
      </c>
      <c r="C59">
        <v>200</v>
      </c>
      <c r="D59">
        <v>0.38605081389170998</v>
      </c>
      <c r="E59">
        <v>5.3172692012537901</v>
      </c>
      <c r="F59">
        <v>0.45366870567212503</v>
      </c>
      <c r="G59">
        <v>-116.2451680598644</v>
      </c>
      <c r="H59">
        <v>-67.267421758598076</v>
      </c>
      <c r="I59">
        <v>47.317576360161297</v>
      </c>
      <c r="J59">
        <v>21.054672289521001</v>
      </c>
      <c r="K59">
        <v>11.7205994920369</v>
      </c>
      <c r="L59">
        <v>1.5257892376992497E-3</v>
      </c>
      <c r="M59">
        <v>3.4288827953132307E-4</v>
      </c>
      <c r="N59" s="1">
        <v>6.0322665824305603E-6</v>
      </c>
      <c r="O59" s="1">
        <v>4.9567084152822297E-6</v>
      </c>
      <c r="P59" s="1">
        <v>-1.23382171037896E-5</v>
      </c>
      <c r="AE59">
        <v>100</v>
      </c>
      <c r="AJ59">
        <v>1</v>
      </c>
    </row>
    <row r="60" spans="1:36" x14ac:dyDescent="0.2">
      <c r="A60">
        <v>59</v>
      </c>
      <c r="B60">
        <v>760</v>
      </c>
      <c r="C60">
        <v>200</v>
      </c>
      <c r="D60">
        <v>0.38472680636887402</v>
      </c>
      <c r="E60">
        <v>5.3363796783815198</v>
      </c>
      <c r="F60">
        <v>0.45505687206717499</v>
      </c>
      <c r="G60">
        <v>-116.5680234167645</v>
      </c>
      <c r="H60">
        <v>-67.551474906808139</v>
      </c>
      <c r="I60">
        <v>47.446742790591401</v>
      </c>
      <c r="J60">
        <v>21.1610128316666</v>
      </c>
      <c r="K60">
        <v>11.726841205891599</v>
      </c>
      <c r="L60">
        <v>1.5294024524042341E-3</v>
      </c>
      <c r="M60">
        <v>3.4182390521239169E-4</v>
      </c>
      <c r="N60" s="1">
        <v>6.3242798467388699E-6</v>
      </c>
      <c r="O60" s="1">
        <v>4.9461334669880902E-6</v>
      </c>
      <c r="P60" s="1">
        <v>-1.2402815917640799E-5</v>
      </c>
      <c r="AE60">
        <v>100</v>
      </c>
      <c r="AJ60">
        <v>1</v>
      </c>
    </row>
    <row r="61" spans="1:36" x14ac:dyDescent="0.2">
      <c r="A61">
        <v>60</v>
      </c>
      <c r="B61">
        <v>758</v>
      </c>
      <c r="C61">
        <v>200</v>
      </c>
      <c r="D61">
        <v>0.383397662803666</v>
      </c>
      <c r="E61">
        <v>5.3552975705019703</v>
      </c>
      <c r="F61">
        <v>0.45645257202433998</v>
      </c>
      <c r="G61">
        <v>-116.88607763399126</v>
      </c>
      <c r="H61">
        <v>-67.833453112652521</v>
      </c>
      <c r="I61">
        <v>47.5737663302735</v>
      </c>
      <c r="J61">
        <v>21.266800659809</v>
      </c>
      <c r="K61">
        <v>11.732429388559501</v>
      </c>
      <c r="L61">
        <v>1.5329879985900398E-3</v>
      </c>
      <c r="M61">
        <v>3.4074884165332135E-4</v>
      </c>
      <c r="N61" s="1">
        <v>6.6213236071436104E-6</v>
      </c>
      <c r="O61" s="1">
        <v>4.9350036038762401E-6</v>
      </c>
      <c r="P61" s="1">
        <v>-1.24665587882834E-5</v>
      </c>
      <c r="AE61">
        <v>100</v>
      </c>
      <c r="AJ61">
        <v>1</v>
      </c>
    </row>
    <row r="62" spans="1:36" x14ac:dyDescent="0.2">
      <c r="A62">
        <v>61</v>
      </c>
      <c r="B62">
        <v>756</v>
      </c>
      <c r="C62">
        <v>200</v>
      </c>
      <c r="D62">
        <v>0.38206335325268598</v>
      </c>
      <c r="E62">
        <v>5.5228781319895601</v>
      </c>
      <c r="F62">
        <v>0.45785582298683303</v>
      </c>
      <c r="G62">
        <v>-120.44565095564646</v>
      </c>
      <c r="H62">
        <v>-70.000026638825886</v>
      </c>
      <c r="I62">
        <v>49.019856043172702</v>
      </c>
      <c r="J62">
        <v>21.964011643061902</v>
      </c>
      <c r="K62">
        <v>12.062483110864299</v>
      </c>
      <c r="L62">
        <v>1.5365448866216133E-3</v>
      </c>
      <c r="M62">
        <v>3.3966306150425685E-4</v>
      </c>
      <c r="N62" s="1">
        <v>7.1151362859802298E-6</v>
      </c>
      <c r="O62" s="1">
        <v>5.0596911658739E-6</v>
      </c>
      <c r="P62" s="1">
        <v>-1.2876470502843E-5</v>
      </c>
      <c r="AE62">
        <v>100</v>
      </c>
      <c r="AJ62">
        <v>1</v>
      </c>
    </row>
    <row r="63" spans="1:36" x14ac:dyDescent="0.2">
      <c r="A63">
        <v>62</v>
      </c>
      <c r="B63">
        <v>754</v>
      </c>
      <c r="C63">
        <v>200</v>
      </c>
      <c r="D63">
        <v>0.38072384753930699</v>
      </c>
      <c r="E63">
        <v>5.8355336524592696</v>
      </c>
      <c r="F63">
        <v>0.45926664146385499</v>
      </c>
      <c r="G63">
        <v>-127.1606521065975</v>
      </c>
      <c r="H63">
        <v>-74.009244786510749</v>
      </c>
      <c r="I63">
        <v>51.749741294636102</v>
      </c>
      <c r="J63">
        <v>23.2409116140648</v>
      </c>
      <c r="K63">
        <v>12.7061996792521</v>
      </c>
      <c r="L63">
        <v>1.5400721186903533E-3</v>
      </c>
      <c r="M63">
        <v>3.3856654068413543E-4</v>
      </c>
      <c r="N63" s="1">
        <v>7.8243172030860497E-6</v>
      </c>
      <c r="O63" s="1">
        <v>5.3145107214754099E-6</v>
      </c>
      <c r="P63" s="1">
        <v>-1.3625697319066001E-5</v>
      </c>
      <c r="AE63">
        <v>100</v>
      </c>
      <c r="AJ63">
        <v>1</v>
      </c>
    </row>
    <row r="64" spans="1:36" x14ac:dyDescent="0.2">
      <c r="A64">
        <v>63</v>
      </c>
      <c r="B64">
        <v>752</v>
      </c>
      <c r="C64">
        <v>200</v>
      </c>
      <c r="D64">
        <v>0.37937911525142798</v>
      </c>
      <c r="E64">
        <v>8.2352991468789298</v>
      </c>
      <c r="F64">
        <v>0.46068504300701602</v>
      </c>
      <c r="G64">
        <v>-179.30734291340383</v>
      </c>
      <c r="H64">
        <v>-104.50995130314089</v>
      </c>
      <c r="I64">
        <v>72.966984689206399</v>
      </c>
      <c r="J64">
        <v>32.845581441427598</v>
      </c>
      <c r="K64">
        <v>17.876202563740499</v>
      </c>
      <c r="L64">
        <v>1.5435686892833395E-3</v>
      </c>
      <c r="M64">
        <v>3.3745925847954796E-4</v>
      </c>
      <c r="N64" s="1">
        <v>1.1479254793353701E-5</v>
      </c>
      <c r="O64" s="1">
        <v>7.4551309921735204E-6</v>
      </c>
      <c r="P64" s="1">
        <v>-1.92567104533148E-5</v>
      </c>
      <c r="AE64">
        <v>100</v>
      </c>
      <c r="AJ64">
        <v>1</v>
      </c>
    </row>
    <row r="65" spans="1:36" x14ac:dyDescent="0.2">
      <c r="A65">
        <v>64</v>
      </c>
      <c r="B65">
        <v>750</v>
      </c>
      <c r="C65">
        <v>200</v>
      </c>
      <c r="D65">
        <v>0.37802912573913899</v>
      </c>
      <c r="E65">
        <v>10.2175147047486</v>
      </c>
      <c r="F65">
        <v>0.46211104218689197</v>
      </c>
      <c r="G65">
        <v>-222.28518396648954</v>
      </c>
      <c r="H65">
        <v>-129.74679217344533</v>
      </c>
      <c r="I65">
        <v>90.450314110722303</v>
      </c>
      <c r="J65">
        <v>40.809977021110498</v>
      </c>
      <c r="K65">
        <v>22.1105184078598</v>
      </c>
      <c r="L65">
        <v>1.5470335856745737E-3</v>
      </c>
      <c r="M65">
        <v>3.3634119764314391E-4</v>
      </c>
      <c r="N65" s="1">
        <v>1.47908956005827E-5</v>
      </c>
      <c r="O65" s="1">
        <v>9.1935435583973906E-6</v>
      </c>
      <c r="P65" s="1">
        <v>-2.3924877405354101E-5</v>
      </c>
      <c r="AE65">
        <v>100</v>
      </c>
      <c r="AJ65">
        <v>1</v>
      </c>
    </row>
    <row r="66" spans="1:36" x14ac:dyDescent="0.2">
      <c r="A66">
        <v>65</v>
      </c>
      <c r="B66">
        <v>748</v>
      </c>
      <c r="C66">
        <v>200</v>
      </c>
      <c r="D66">
        <v>0.37667384811242399</v>
      </c>
      <c r="E66">
        <v>10.5165406385008</v>
      </c>
      <c r="F66">
        <v>0.46354465256962502</v>
      </c>
      <c r="G66">
        <v>-228.60447272104543</v>
      </c>
      <c r="H66">
        <v>-133.62803252774472</v>
      </c>
      <c r="I66">
        <v>93.015187194480404</v>
      </c>
      <c r="J66">
        <v>42.0645153790487</v>
      </c>
      <c r="K66">
        <v>22.687222428741698</v>
      </c>
      <c r="L66">
        <v>1.5504657884356863E-3</v>
      </c>
      <c r="M66">
        <v>3.3521234449100618E-4</v>
      </c>
      <c r="N66" s="1">
        <v>1.5794546546048299E-5</v>
      </c>
      <c r="O66" s="1">
        <v>9.4046029274458204E-6</v>
      </c>
      <c r="P66" s="1">
        <v>-2.4657874329391501E-5</v>
      </c>
      <c r="AE66">
        <v>100</v>
      </c>
      <c r="AJ66">
        <v>1</v>
      </c>
    </row>
    <row r="67" spans="1:36" x14ac:dyDescent="0.2">
      <c r="A67">
        <v>66</v>
      </c>
      <c r="B67">
        <v>766</v>
      </c>
      <c r="C67">
        <v>175</v>
      </c>
      <c r="D67">
        <v>0.41514747630275201</v>
      </c>
      <c r="E67">
        <v>5.71367656079659</v>
      </c>
      <c r="F67">
        <v>0.40922356621307199</v>
      </c>
      <c r="G67">
        <v>-125.4469344750561</v>
      </c>
      <c r="H67">
        <v>-71.976766771697342</v>
      </c>
      <c r="I67">
        <v>51.458824443003202</v>
      </c>
      <c r="J67">
        <v>22.660135226635301</v>
      </c>
      <c r="K67">
        <v>13.962237350283999</v>
      </c>
      <c r="L67">
        <v>1.6520271447197138E-3</v>
      </c>
      <c r="M67">
        <v>4.3648824607725814E-4</v>
      </c>
      <c r="N67" s="1">
        <v>1.2450986334396101E-6</v>
      </c>
      <c r="O67" s="1">
        <v>8.72683381704394E-6</v>
      </c>
      <c r="P67" s="1">
        <v>-1.7615054645254799E-5</v>
      </c>
      <c r="AE67">
        <v>100</v>
      </c>
      <c r="AJ67">
        <v>1</v>
      </c>
    </row>
    <row r="68" spans="1:36" x14ac:dyDescent="0.2">
      <c r="A68">
        <v>67</v>
      </c>
      <c r="B68">
        <v>764</v>
      </c>
      <c r="C68">
        <v>175</v>
      </c>
      <c r="D68">
        <v>0.41388468398978101</v>
      </c>
      <c r="E68">
        <v>5.7311688044098297</v>
      </c>
      <c r="F68">
        <v>0.41058006522061502</v>
      </c>
      <c r="G68">
        <v>-125.7277974475135</v>
      </c>
      <c r="H68">
        <v>-72.242621286284617</v>
      </c>
      <c r="I68">
        <v>51.572536169264602</v>
      </c>
      <c r="J68">
        <v>22.770384709917099</v>
      </c>
      <c r="K68">
        <v>13.958711807720899</v>
      </c>
      <c r="L68">
        <v>1.6573001620850661E-3</v>
      </c>
      <c r="M68">
        <v>4.3539960093590103E-4</v>
      </c>
      <c r="N68" s="1">
        <v>1.5878408370234701E-6</v>
      </c>
      <c r="O68" s="1">
        <v>8.7123208731187102E-6</v>
      </c>
      <c r="P68" s="1">
        <v>-1.7723584912921299E-5</v>
      </c>
      <c r="AE68">
        <v>100</v>
      </c>
      <c r="AJ68">
        <v>1</v>
      </c>
    </row>
    <row r="69" spans="1:36" x14ac:dyDescent="0.2">
      <c r="A69">
        <v>68</v>
      </c>
      <c r="B69">
        <v>762</v>
      </c>
      <c r="C69">
        <v>175</v>
      </c>
      <c r="D69">
        <v>0.41261701202724399</v>
      </c>
      <c r="E69">
        <v>5.9863547359100897</v>
      </c>
      <c r="F69">
        <v>0.411945399082977</v>
      </c>
      <c r="G69">
        <v>-131.21825958073995</v>
      </c>
      <c r="H69">
        <v>-75.506906404491588</v>
      </c>
      <c r="I69">
        <v>53.822903865171703</v>
      </c>
      <c r="J69">
        <v>23.827065289636401</v>
      </c>
      <c r="K69">
        <v>14.531913086627901</v>
      </c>
      <c r="L69">
        <v>1.6625582699135509E-3</v>
      </c>
      <c r="M69">
        <v>4.3429568703726645E-4</v>
      </c>
      <c r="N69" s="1">
        <v>2.01985368720995E-6</v>
      </c>
      <c r="O69" s="1">
        <v>9.0568348093582202E-6</v>
      </c>
      <c r="P69" s="1">
        <v>-1.8569477746956898E-5</v>
      </c>
      <c r="AE69">
        <v>100</v>
      </c>
      <c r="AJ69">
        <v>1</v>
      </c>
    </row>
    <row r="70" spans="1:36" x14ac:dyDescent="0.2">
      <c r="A70">
        <v>69</v>
      </c>
      <c r="B70">
        <v>760</v>
      </c>
      <c r="C70">
        <v>175</v>
      </c>
      <c r="D70">
        <v>0.41134443207665999</v>
      </c>
      <c r="E70">
        <v>6.2740196734359497</v>
      </c>
      <c r="F70">
        <v>0.41331961311145299</v>
      </c>
      <c r="G70">
        <v>-137.41097808051526</v>
      </c>
      <c r="H70">
        <v>-79.185262024051568</v>
      </c>
      <c r="I70">
        <v>56.3609412338864</v>
      </c>
      <c r="J70">
        <v>25.017010370292901</v>
      </c>
      <c r="K70">
        <v>15.179583727482401</v>
      </c>
      <c r="L70">
        <v>1.6678001359930624E-3</v>
      </c>
      <c r="M70">
        <v>4.3317635369420941E-4</v>
      </c>
      <c r="N70" s="1">
        <v>2.5032684532532599E-6</v>
      </c>
      <c r="O70" s="1">
        <v>9.4461837304321396E-6</v>
      </c>
      <c r="P70" s="1">
        <v>-1.9520913407866398E-5</v>
      </c>
      <c r="AE70">
        <v>100</v>
      </c>
      <c r="AJ70">
        <v>1</v>
      </c>
    </row>
    <row r="71" spans="1:36" x14ac:dyDescent="0.2">
      <c r="A71">
        <v>70</v>
      </c>
      <c r="B71">
        <v>758</v>
      </c>
      <c r="C71">
        <v>175</v>
      </c>
      <c r="D71">
        <v>0.41006691557969399</v>
      </c>
      <c r="E71">
        <v>7.4040974758112403</v>
      </c>
      <c r="F71">
        <v>0.41470275180371802</v>
      </c>
      <c r="G71">
        <v>-162.02850550032392</v>
      </c>
      <c r="H71">
        <v>-93.507228155076845</v>
      </c>
      <c r="I71">
        <v>66.4554278470507</v>
      </c>
      <c r="J71">
        <v>29.576272755043501</v>
      </c>
      <c r="K71">
        <v>17.853986846259499</v>
      </c>
      <c r="L71">
        <v>1.6730244002158934E-3</v>
      </c>
      <c r="M71">
        <v>4.3204145256789742E-4</v>
      </c>
      <c r="N71" s="1">
        <v>3.4192018670402001E-6</v>
      </c>
      <c r="O71" s="1">
        <v>1.10930704811151E-5</v>
      </c>
      <c r="P71" s="1">
        <v>-2.3106322871525799E-5</v>
      </c>
      <c r="AE71">
        <v>100</v>
      </c>
      <c r="AJ71">
        <v>1</v>
      </c>
    </row>
    <row r="72" spans="1:36" x14ac:dyDescent="0.2">
      <c r="A72">
        <v>71</v>
      </c>
      <c r="B72">
        <v>756</v>
      </c>
      <c r="C72">
        <v>175</v>
      </c>
      <c r="D72">
        <v>0.40878443375601398</v>
      </c>
      <c r="E72">
        <v>9.9916352377153803</v>
      </c>
      <c r="F72">
        <v>0.41609485880319902</v>
      </c>
      <c r="G72">
        <v>-218.47393385330659</v>
      </c>
      <c r="H72">
        <v>-126.26544719929605</v>
      </c>
      <c r="I72">
        <v>89.602297508866698</v>
      </c>
      <c r="J72">
        <v>39.984336309398898</v>
      </c>
      <c r="K72">
        <v>24.012878376949899</v>
      </c>
      <c r="L72">
        <v>1.678229674753767E-3</v>
      </c>
      <c r="M72">
        <v>4.3089083787200741E-4</v>
      </c>
      <c r="N72" s="1">
        <v>5.2540115998947E-6</v>
      </c>
      <c r="O72" s="1">
        <v>1.48955792990349E-5</v>
      </c>
      <c r="P72" s="1">
        <v>-3.1274216446159402E-5</v>
      </c>
      <c r="AE72">
        <v>100</v>
      </c>
      <c r="AJ72">
        <v>1</v>
      </c>
    </row>
    <row r="73" spans="1:36" x14ac:dyDescent="0.2">
      <c r="A73">
        <v>72</v>
      </c>
      <c r="B73">
        <v>754</v>
      </c>
      <c r="C73">
        <v>175</v>
      </c>
      <c r="D73">
        <v>0.40749695760112897</v>
      </c>
      <c r="E73">
        <v>10.4764557162668</v>
      </c>
      <c r="F73">
        <v>0.41749597685781797</v>
      </c>
      <c r="G73">
        <v>-228.88704649785606</v>
      </c>
      <c r="H73">
        <v>-132.47610402630755</v>
      </c>
      <c r="I73">
        <v>93.868410400464796</v>
      </c>
      <c r="J73">
        <v>42.0000487640012</v>
      </c>
      <c r="K73">
        <v>25.093548913010601</v>
      </c>
      <c r="L73">
        <v>1.6834145442753243E-3</v>
      </c>
      <c r="M73">
        <v>4.2972436658222473E-4</v>
      </c>
      <c r="N73" s="1">
        <v>6.1928450233977503E-6</v>
      </c>
      <c r="O73" s="1">
        <v>1.5539887241387102E-5</v>
      </c>
      <c r="P73" s="1">
        <v>-3.2888295600321003E-5</v>
      </c>
      <c r="AE73">
        <v>100</v>
      </c>
      <c r="AJ73">
        <v>1</v>
      </c>
    </row>
    <row r="74" spans="1:36" x14ac:dyDescent="0.2">
      <c r="A74">
        <v>73</v>
      </c>
      <c r="B74">
        <v>776</v>
      </c>
      <c r="C74">
        <v>150</v>
      </c>
      <c r="D74">
        <v>0.447600915026452</v>
      </c>
      <c r="E74">
        <v>6.1403409963291997</v>
      </c>
      <c r="F74">
        <v>0.35500396313718702</v>
      </c>
      <c r="G74">
        <v>-135.77399979815348</v>
      </c>
      <c r="H74">
        <v>-76.796759249205678</v>
      </c>
      <c r="I74">
        <v>56.217656606897002</v>
      </c>
      <c r="J74">
        <v>24.003440429982199</v>
      </c>
      <c r="K74">
        <v>17.296542106366001</v>
      </c>
      <c r="L74">
        <v>1.7449668098908988E-3</v>
      </c>
      <c r="M74">
        <v>5.7201298255247113E-4</v>
      </c>
      <c r="N74" s="1">
        <v>-1.06894565512619E-5</v>
      </c>
      <c r="O74" s="1">
        <v>1.6394744837258402E-5</v>
      </c>
      <c r="P74" s="1">
        <v>-2.47686336921434E-5</v>
      </c>
      <c r="AE74">
        <v>100</v>
      </c>
      <c r="AJ74">
        <v>1</v>
      </c>
    </row>
    <row r="75" spans="1:36" x14ac:dyDescent="0.2">
      <c r="A75">
        <v>74</v>
      </c>
      <c r="B75">
        <v>774</v>
      </c>
      <c r="C75">
        <v>150</v>
      </c>
      <c r="D75">
        <v>0.44641216635630598</v>
      </c>
      <c r="E75">
        <v>6.1559202746200503</v>
      </c>
      <c r="F75">
        <v>0.35624768027248299</v>
      </c>
      <c r="G75">
        <v>-136.00581105543878</v>
      </c>
      <c r="H75">
        <v>-77.039788528876329</v>
      </c>
      <c r="I75">
        <v>56.314324902984602</v>
      </c>
      <c r="J75">
        <v>24.1161944545754</v>
      </c>
      <c r="K75">
        <v>17.279888727728899</v>
      </c>
      <c r="L75">
        <v>1.7523037160198554E-3</v>
      </c>
      <c r="M75">
        <v>5.7113666056184315E-4</v>
      </c>
      <c r="N75" s="1">
        <v>-1.0425499420130599E-5</v>
      </c>
      <c r="O75" s="1">
        <v>1.6379574006852599E-5</v>
      </c>
      <c r="P75" s="1">
        <v>-2.4940034392008499E-5</v>
      </c>
      <c r="AE75">
        <v>100</v>
      </c>
      <c r="AJ75">
        <v>1</v>
      </c>
    </row>
    <row r="76" spans="1:36" x14ac:dyDescent="0.2">
      <c r="A76">
        <v>75</v>
      </c>
      <c r="B76">
        <v>772</v>
      </c>
      <c r="C76">
        <v>150</v>
      </c>
      <c r="D76">
        <v>0.44521886810505501</v>
      </c>
      <c r="E76">
        <v>6.2087282608405303</v>
      </c>
      <c r="F76">
        <v>0.35750100822311298</v>
      </c>
      <c r="G76">
        <v>-137.05897587763252</v>
      </c>
      <c r="H76">
        <v>-77.749365884174438</v>
      </c>
      <c r="I76">
        <v>56.750861607452002</v>
      </c>
      <c r="J76">
        <v>24.3757213292103</v>
      </c>
      <c r="K76">
        <v>17.367023079738299</v>
      </c>
      <c r="L76">
        <v>1.7596620566039769E-3</v>
      </c>
      <c r="M76">
        <v>5.7024290048188772E-4</v>
      </c>
      <c r="N76" s="1">
        <v>-1.02107726888E-5</v>
      </c>
      <c r="O76" s="1">
        <v>1.6462379618109801E-5</v>
      </c>
      <c r="P76" s="1">
        <v>-2.5264306883164799E-5</v>
      </c>
      <c r="AE76">
        <v>100</v>
      </c>
      <c r="AJ76">
        <v>1</v>
      </c>
    </row>
    <row r="77" spans="1:36" x14ac:dyDescent="0.2">
      <c r="A77">
        <v>76</v>
      </c>
      <c r="B77">
        <v>770</v>
      </c>
      <c r="C77">
        <v>150</v>
      </c>
      <c r="D77">
        <v>0.44402099410439499</v>
      </c>
      <c r="E77">
        <v>6.3743121647679599</v>
      </c>
      <c r="F77">
        <v>0.35876403269776902</v>
      </c>
      <c r="G77">
        <v>-140.59779440754193</v>
      </c>
      <c r="H77">
        <v>-79.873011393447896</v>
      </c>
      <c r="I77">
        <v>58.216393411246997</v>
      </c>
      <c r="J77">
        <v>25.080219642181898</v>
      </c>
      <c r="K77">
        <v>17.767422550235999</v>
      </c>
      <c r="L77">
        <v>1.7670407512394336E-3</v>
      </c>
      <c r="M77">
        <v>5.6933137529686657E-4</v>
      </c>
      <c r="N77" s="1">
        <v>-1.01597086572658E-5</v>
      </c>
      <c r="O77" s="1">
        <v>1.6841705822938901E-5</v>
      </c>
      <c r="P77" s="1">
        <v>-2.60522045623743E-5</v>
      </c>
      <c r="AE77">
        <v>100</v>
      </c>
      <c r="AJ77">
        <v>1</v>
      </c>
    </row>
    <row r="78" spans="1:36" x14ac:dyDescent="0.2">
      <c r="A78">
        <v>77</v>
      </c>
      <c r="B78">
        <v>768</v>
      </c>
      <c r="C78">
        <v>150</v>
      </c>
      <c r="D78">
        <v>0.442818517984921</v>
      </c>
      <c r="E78">
        <v>6.6210381776540297</v>
      </c>
      <c r="F78">
        <v>0.36003683949936399</v>
      </c>
      <c r="G78">
        <v>-145.91892478879731</v>
      </c>
      <c r="H78">
        <v>-83.016758592608085</v>
      </c>
      <c r="I78">
        <v>60.419685118198899</v>
      </c>
      <c r="J78">
        <v>26.1078633974595</v>
      </c>
      <c r="K78">
        <v>18.3898908424501</v>
      </c>
      <c r="L78">
        <v>1.7744386707893422E-3</v>
      </c>
      <c r="M78">
        <v>5.6840175416322618E-4</v>
      </c>
      <c r="N78" s="1">
        <v>-1.02052677799628E-5</v>
      </c>
      <c r="O78" s="1">
        <v>1.7431052377563E-5</v>
      </c>
      <c r="P78" s="1">
        <v>-2.7179968371870899E-5</v>
      </c>
      <c r="AE78">
        <v>100</v>
      </c>
      <c r="AJ78">
        <v>1</v>
      </c>
    </row>
    <row r="79" spans="1:36" x14ac:dyDescent="0.2">
      <c r="A79">
        <v>78</v>
      </c>
      <c r="B79">
        <v>766</v>
      </c>
      <c r="C79">
        <v>150</v>
      </c>
      <c r="D79">
        <v>0.44161141317423203</v>
      </c>
      <c r="E79">
        <v>6.9269746006868198</v>
      </c>
      <c r="F79">
        <v>0.36131951448594002</v>
      </c>
      <c r="G79">
        <v>-152.53498851728884</v>
      </c>
      <c r="H79">
        <v>-86.907378553419278</v>
      </c>
      <c r="I79">
        <v>63.158902953472598</v>
      </c>
      <c r="J79">
        <v>27.3741100777772</v>
      </c>
      <c r="K79">
        <v>19.1713271023903</v>
      </c>
      <c r="L79">
        <v>1.7818546362032702E-3</v>
      </c>
      <c r="M79">
        <v>5.6745370252813743E-4</v>
      </c>
      <c r="N79" s="1">
        <v>-1.03004734458409E-5</v>
      </c>
      <c r="O79" s="1">
        <v>1.81705207035421E-5</v>
      </c>
      <c r="P79" s="1">
        <v>-2.8561628373591099E-5</v>
      </c>
      <c r="AE79">
        <v>100</v>
      </c>
      <c r="AJ79">
        <v>1</v>
      </c>
    </row>
    <row r="80" spans="1:36" x14ac:dyDescent="0.2">
      <c r="A80">
        <v>79</v>
      </c>
      <c r="B80">
        <v>764</v>
      </c>
      <c r="C80">
        <v>150</v>
      </c>
      <c r="D80">
        <v>0.44039965289495597</v>
      </c>
      <c r="E80">
        <v>8.9120447496823996</v>
      </c>
      <c r="F80">
        <v>0.36261214352975601</v>
      </c>
      <c r="G80">
        <v>-196.08464619848382</v>
      </c>
      <c r="H80">
        <v>-111.88302924609199</v>
      </c>
      <c r="I80">
        <v>81.190490258554505</v>
      </c>
      <c r="J80">
        <v>35.296267219614201</v>
      </c>
      <c r="K80">
        <v>24.577347749389499</v>
      </c>
      <c r="L80">
        <v>1.7892874173430716E-3</v>
      </c>
      <c r="M80">
        <v>5.6648688226013024E-4</v>
      </c>
      <c r="N80" s="1">
        <v>-1.2751551695131099E-5</v>
      </c>
      <c r="O80" s="1">
        <v>2.3292086626365799E-5</v>
      </c>
      <c r="P80" s="1">
        <v>-3.6909448106300698E-5</v>
      </c>
      <c r="AE80">
        <v>100</v>
      </c>
      <c r="AJ80">
        <v>1</v>
      </c>
    </row>
    <row r="81" spans="1:36" x14ac:dyDescent="0.2">
      <c r="A81">
        <v>80</v>
      </c>
      <c r="B81">
        <v>762</v>
      </c>
      <c r="C81">
        <v>150</v>
      </c>
      <c r="D81">
        <v>0.439183210162781</v>
      </c>
      <c r="E81">
        <v>10.231014364227001</v>
      </c>
      <c r="F81">
        <v>0.363914812474528</v>
      </c>
      <c r="G81">
        <v>-224.91855273869055</v>
      </c>
      <c r="H81">
        <v>-128.52268385022512</v>
      </c>
      <c r="I81">
        <v>93.128265181993797</v>
      </c>
      <c r="J81">
        <v>40.609611672393498</v>
      </c>
      <c r="K81">
        <v>28.1137618297501</v>
      </c>
      <c r="L81">
        <v>1.7967357318186277E-3</v>
      </c>
      <c r="M81">
        <v>5.6550095179265546E-4</v>
      </c>
      <c r="N81" s="1">
        <v>-1.4044536249805399E-5</v>
      </c>
      <c r="O81" s="1">
        <v>2.6640199958972299E-5</v>
      </c>
      <c r="P81" s="1">
        <v>-4.2560183985588401E-5</v>
      </c>
      <c r="AE81">
        <v>100</v>
      </c>
      <c r="AJ81">
        <v>1</v>
      </c>
    </row>
    <row r="82" spans="1:36" x14ac:dyDescent="0.2">
      <c r="A82">
        <v>81</v>
      </c>
      <c r="B82">
        <v>760</v>
      </c>
      <c r="C82">
        <v>150</v>
      </c>
      <c r="D82">
        <v>0.43796205778444602</v>
      </c>
      <c r="E82">
        <v>10.535778379796801</v>
      </c>
      <c r="F82">
        <v>0.365227607090785</v>
      </c>
      <c r="G82">
        <v>-231.42675898368219</v>
      </c>
      <c r="H82">
        <v>-132.43488098928225</v>
      </c>
      <c r="I82">
        <v>95.821426911638895</v>
      </c>
      <c r="J82">
        <v>41.912067642979402</v>
      </c>
      <c r="K82">
        <v>28.847157704532101</v>
      </c>
      <c r="L82">
        <v>1.8041982438361383E-3</v>
      </c>
      <c r="M82">
        <v>5.6449556628087628E-4</v>
      </c>
      <c r="N82" s="1">
        <v>-1.3830615993314901E-5</v>
      </c>
      <c r="O82" s="1">
        <v>2.7330848911381201E-5</v>
      </c>
      <c r="P82" s="1">
        <v>-4.4022963504336299E-5</v>
      </c>
      <c r="AE82">
        <v>100</v>
      </c>
      <c r="AJ82">
        <v>1</v>
      </c>
    </row>
    <row r="83" spans="1:36" x14ac:dyDescent="0.2">
      <c r="A83">
        <v>82</v>
      </c>
      <c r="B83">
        <v>788</v>
      </c>
      <c r="C83">
        <v>125</v>
      </c>
      <c r="D83">
        <v>0.48055458700466802</v>
      </c>
      <c r="E83">
        <v>6.6040977758884196</v>
      </c>
      <c r="F83">
        <v>0.29456293014801499</v>
      </c>
      <c r="G83">
        <v>-147.27029486083245</v>
      </c>
      <c r="H83">
        <v>-81.851613939522338</v>
      </c>
      <c r="I83">
        <v>61.652415013518798</v>
      </c>
      <c r="J83">
        <v>24.930765903107702</v>
      </c>
      <c r="K83">
        <v>22.4199894147233</v>
      </c>
      <c r="L83">
        <v>1.7755161207574585E-3</v>
      </c>
      <c r="M83">
        <v>7.6194404098586799E-4</v>
      </c>
      <c r="N83" s="1">
        <v>-3.0106953161669001E-5</v>
      </c>
      <c r="O83" s="1">
        <v>3.28351496099056E-5</v>
      </c>
      <c r="P83" s="1">
        <v>-3.4420990962088001E-5</v>
      </c>
      <c r="AE83">
        <v>100</v>
      </c>
      <c r="AJ83">
        <v>1</v>
      </c>
    </row>
    <row r="84" spans="1:36" x14ac:dyDescent="0.2">
      <c r="A84">
        <v>83</v>
      </c>
      <c r="B84">
        <v>786</v>
      </c>
      <c r="C84">
        <v>125</v>
      </c>
      <c r="D84">
        <v>0.47944153330501299</v>
      </c>
      <c r="E84">
        <v>6.6396752344744101</v>
      </c>
      <c r="F84">
        <v>0.295613456641098</v>
      </c>
      <c r="G84">
        <v>-147.93974455205861</v>
      </c>
      <c r="H84">
        <v>-82.342752246385544</v>
      </c>
      <c r="I84">
        <v>61.9372061894585</v>
      </c>
      <c r="J84">
        <v>25.1240221632215</v>
      </c>
      <c r="K84">
        <v>22.4606664051006</v>
      </c>
      <c r="L84">
        <v>1.7845417502645997E-3</v>
      </c>
      <c r="M84">
        <v>7.6157270578989535E-4</v>
      </c>
      <c r="N84" s="1">
        <v>-3.02260479444296E-5</v>
      </c>
      <c r="O84" s="1">
        <v>3.2932577253378401E-5</v>
      </c>
      <c r="P84" s="1">
        <v>-3.4768800553710897E-5</v>
      </c>
      <c r="AE84">
        <v>100</v>
      </c>
      <c r="AJ84">
        <v>1</v>
      </c>
    </row>
    <row r="85" spans="1:36" x14ac:dyDescent="0.2">
      <c r="A85">
        <v>84</v>
      </c>
      <c r="B85">
        <v>784</v>
      </c>
      <c r="C85">
        <v>125</v>
      </c>
      <c r="D85">
        <v>0.47832426807926898</v>
      </c>
      <c r="E85">
        <v>6.6835582929223003</v>
      </c>
      <c r="F85">
        <v>0.29667310577810901</v>
      </c>
      <c r="G85">
        <v>-148.79286521401738</v>
      </c>
      <c r="H85">
        <v>-82.937613427691019</v>
      </c>
      <c r="I85">
        <v>62.298705508961902</v>
      </c>
      <c r="J85">
        <v>25.350047628109198</v>
      </c>
      <c r="K85">
        <v>22.528359203281202</v>
      </c>
      <c r="L85">
        <v>1.7936374498817905E-3</v>
      </c>
      <c r="M85">
        <v>7.6118820764652659E-4</v>
      </c>
      <c r="N85" s="1">
        <v>-3.0373903375704902E-5</v>
      </c>
      <c r="O85" s="1">
        <v>3.3069865801342802E-5</v>
      </c>
      <c r="P85" s="1">
        <v>-3.51644448281838E-5</v>
      </c>
      <c r="AE85">
        <v>100</v>
      </c>
      <c r="AJ85">
        <v>1</v>
      </c>
    </row>
    <row r="86" spans="1:36" x14ac:dyDescent="0.2">
      <c r="A86">
        <v>85</v>
      </c>
      <c r="B86">
        <v>782</v>
      </c>
      <c r="C86">
        <v>125</v>
      </c>
      <c r="D86">
        <v>0.47720276737904699</v>
      </c>
      <c r="E86">
        <v>6.72734935075239</v>
      </c>
      <c r="F86">
        <v>0.29774199049387401</v>
      </c>
      <c r="G86">
        <v>-149.64239917529517</v>
      </c>
      <c r="H86">
        <v>-83.532118624963104</v>
      </c>
      <c r="I86">
        <v>62.658513341929698</v>
      </c>
      <c r="J86">
        <v>25.577155459</v>
      </c>
      <c r="K86">
        <v>22.5945602754704</v>
      </c>
      <c r="L86">
        <v>1.8028033312655952E-3</v>
      </c>
      <c r="M86">
        <v>7.6079017585822491E-4</v>
      </c>
      <c r="N86" s="1">
        <v>-3.0511717761379801E-5</v>
      </c>
      <c r="O86" s="1">
        <v>3.3205247136394599E-5</v>
      </c>
      <c r="P86" s="1">
        <v>-3.5564231486922499E-5</v>
      </c>
      <c r="AE86">
        <v>100</v>
      </c>
      <c r="AJ86">
        <v>1</v>
      </c>
    </row>
    <row r="87" spans="1:36" x14ac:dyDescent="0.2">
      <c r="A87">
        <v>86</v>
      </c>
      <c r="B87">
        <v>780</v>
      </c>
      <c r="C87">
        <v>125</v>
      </c>
      <c r="D87">
        <v>0.47607700707401701</v>
      </c>
      <c r="E87">
        <v>6.8119824202128401</v>
      </c>
      <c r="F87">
        <v>0.29882022514210899</v>
      </c>
      <c r="G87">
        <v>-151.39812320387051</v>
      </c>
      <c r="H87">
        <v>-84.634850291954479</v>
      </c>
      <c r="I87">
        <v>63.397589276513699</v>
      </c>
      <c r="J87">
        <v>25.961364994810801</v>
      </c>
      <c r="K87">
        <v>22.7962562339054</v>
      </c>
      <c r="L87">
        <v>1.8120394749271236E-3</v>
      </c>
      <c r="M87">
        <v>7.6037822952778461E-4</v>
      </c>
      <c r="N87" s="1">
        <v>-3.0824178718616602E-5</v>
      </c>
      <c r="O87" s="1">
        <v>3.3540252105120302E-5</v>
      </c>
      <c r="P87" s="1">
        <v>-3.6185681793040698E-5</v>
      </c>
      <c r="AE87">
        <v>100</v>
      </c>
      <c r="AJ87">
        <v>1</v>
      </c>
    </row>
    <row r="88" spans="1:36" x14ac:dyDescent="0.2">
      <c r="A88">
        <v>87</v>
      </c>
      <c r="B88">
        <v>778</v>
      </c>
      <c r="C88">
        <v>125</v>
      </c>
      <c r="D88">
        <v>0.47494696285021398</v>
      </c>
      <c r="E88">
        <v>7.0228085948821999</v>
      </c>
      <c r="F88">
        <v>0.29990792549838502</v>
      </c>
      <c r="G88">
        <v>-155.9531225746145</v>
      </c>
      <c r="H88">
        <v>-87.307835387286175</v>
      </c>
      <c r="I88">
        <v>65.308762849884502</v>
      </c>
      <c r="J88">
        <v>26.829902954631098</v>
      </c>
      <c r="K88">
        <v>23.4165488731641</v>
      </c>
      <c r="L88">
        <v>1.8213459284321186E-3</v>
      </c>
      <c r="M88">
        <v>7.5995197731837339E-4</v>
      </c>
      <c r="N88" s="1">
        <v>-3.1694459201424903E-5</v>
      </c>
      <c r="O88" s="1">
        <v>3.449256669633E-5</v>
      </c>
      <c r="P88" s="1">
        <v>-3.7487660011661503E-5</v>
      </c>
      <c r="AE88">
        <v>100</v>
      </c>
      <c r="AJ88">
        <v>1</v>
      </c>
    </row>
    <row r="89" spans="1:36" x14ac:dyDescent="0.2">
      <c r="A89">
        <v>88</v>
      </c>
      <c r="B89">
        <v>776</v>
      </c>
      <c r="C89">
        <v>125</v>
      </c>
      <c r="D89">
        <v>0.47381261020826598</v>
      </c>
      <c r="E89">
        <v>7.2664346906970101</v>
      </c>
      <c r="F89">
        <v>0.30100520876195502</v>
      </c>
      <c r="G89">
        <v>-161.2281486047641</v>
      </c>
      <c r="H89">
        <v>-90.392193887960559</v>
      </c>
      <c r="I89">
        <v>67.521434510740804</v>
      </c>
      <c r="J89">
        <v>27.828668783718101</v>
      </c>
      <c r="K89">
        <v>24.140561289899502</v>
      </c>
      <c r="L89">
        <v>1.8307227045269467E-3</v>
      </c>
      <c r="M89">
        <v>7.5951101721206851E-4</v>
      </c>
      <c r="N89" s="1">
        <v>-3.2696474768173099E-5</v>
      </c>
      <c r="O89" s="1">
        <v>3.5599960374626798E-5</v>
      </c>
      <c r="P89" s="1">
        <v>-3.8979268305654401E-5</v>
      </c>
      <c r="AE89">
        <v>100</v>
      </c>
      <c r="AJ89">
        <v>1</v>
      </c>
    </row>
    <row r="90" spans="1:36" x14ac:dyDescent="0.2">
      <c r="A90">
        <v>89</v>
      </c>
      <c r="B90">
        <v>774</v>
      </c>
      <c r="C90">
        <v>125</v>
      </c>
      <c r="D90">
        <v>0.47267392446163797</v>
      </c>
      <c r="E90">
        <v>7.8288630403930002</v>
      </c>
      <c r="F90">
        <v>0.30211219355637597</v>
      </c>
      <c r="G90">
        <v>-173.56190912959039</v>
      </c>
      <c r="H90">
        <v>-97.44866730946643</v>
      </c>
      <c r="I90">
        <v>72.690370984388906</v>
      </c>
      <c r="J90">
        <v>30.056683506163399</v>
      </c>
      <c r="K90">
        <v>25.9137605411881</v>
      </c>
      <c r="L90">
        <v>1.8401697791886685E-3</v>
      </c>
      <c r="M90">
        <v>7.590549362673616E-4</v>
      </c>
      <c r="N90" s="1">
        <v>-3.5109993251660999E-5</v>
      </c>
      <c r="O90" s="1">
        <v>3.8258826296305398E-5</v>
      </c>
      <c r="P90" s="1">
        <v>-4.22052455384476E-5</v>
      </c>
      <c r="AE90">
        <v>100</v>
      </c>
      <c r="AJ90">
        <v>1</v>
      </c>
    </row>
    <row r="91" spans="1:36" x14ac:dyDescent="0.2">
      <c r="A91">
        <v>90</v>
      </c>
      <c r="B91">
        <v>772</v>
      </c>
      <c r="C91">
        <v>125</v>
      </c>
      <c r="D91">
        <v>0.47153088073482102</v>
      </c>
      <c r="E91">
        <v>9.5248449140607203</v>
      </c>
      <c r="F91">
        <v>0.30322899992881802</v>
      </c>
      <c r="G91">
        <v>-210.98415919341554</v>
      </c>
      <c r="H91">
        <v>-118.63238894021677</v>
      </c>
      <c r="I91">
        <v>88.367431425490196</v>
      </c>
      <c r="J91">
        <v>36.658955892592502</v>
      </c>
      <c r="K91">
        <v>31.411391774192499</v>
      </c>
      <c r="L91">
        <v>1.8496870895973504E-3</v>
      </c>
      <c r="M91">
        <v>7.5858331037610043E-4</v>
      </c>
      <c r="N91" s="1">
        <v>-4.2557921492490101E-5</v>
      </c>
      <c r="O91" s="1">
        <v>4.6428726411048599E-5</v>
      </c>
      <c r="P91" s="1">
        <v>-5.1606185235079703E-5</v>
      </c>
      <c r="AE91">
        <v>100</v>
      </c>
      <c r="AJ91">
        <v>1</v>
      </c>
    </row>
    <row r="92" spans="1:36" x14ac:dyDescent="0.2">
      <c r="A92">
        <v>91</v>
      </c>
      <c r="B92">
        <v>770</v>
      </c>
      <c r="C92">
        <v>125</v>
      </c>
      <c r="D92">
        <v>0.47038345396155901</v>
      </c>
      <c r="E92">
        <v>10.347118850422801</v>
      </c>
      <c r="F92">
        <v>0.30435574934801402</v>
      </c>
      <c r="G92">
        <v>-229.00637445614802</v>
      </c>
      <c r="H92">
        <v>-128.9535964309984</v>
      </c>
      <c r="I92">
        <v>95.919761570188001</v>
      </c>
      <c r="J92">
        <v>39.9236214905496</v>
      </c>
      <c r="K92">
        <v>33.996791164905702</v>
      </c>
      <c r="L92">
        <v>1.8592745320286446E-3</v>
      </c>
      <c r="M92">
        <v>7.5809570402031587E-4</v>
      </c>
      <c r="N92" s="1">
        <v>-4.6042867985779901E-5</v>
      </c>
      <c r="O92" s="1">
        <v>5.0307768566902603E-5</v>
      </c>
      <c r="P92" s="1">
        <v>-5.6345614190677799E-5</v>
      </c>
      <c r="AE92">
        <v>100</v>
      </c>
      <c r="AJ92">
        <v>1</v>
      </c>
    </row>
    <row r="93" spans="1:36" x14ac:dyDescent="0.2">
      <c r="A93">
        <v>92</v>
      </c>
      <c r="B93">
        <v>768</v>
      </c>
      <c r="C93">
        <v>125</v>
      </c>
      <c r="D93">
        <v>0.46923161888296799</v>
      </c>
      <c r="E93">
        <v>10.572413628524</v>
      </c>
      <c r="F93">
        <v>0.30549256470070202</v>
      </c>
      <c r="G93">
        <v>-233.79674602737728</v>
      </c>
      <c r="H93">
        <v>-131.84307860477301</v>
      </c>
      <c r="I93">
        <v>97.929902134085395</v>
      </c>
      <c r="J93">
        <v>40.896056625834703</v>
      </c>
      <c r="K93">
        <v>34.607760875889298</v>
      </c>
      <c r="L93">
        <v>1.8689319596645417E-3</v>
      </c>
      <c r="M93">
        <v>7.5759167002939129E-4</v>
      </c>
      <c r="N93" s="1">
        <v>-4.6833761087653001E-5</v>
      </c>
      <c r="O93" s="1">
        <v>5.12704471955511E-5</v>
      </c>
      <c r="P93" s="1">
        <v>-5.7867193910106403E-5</v>
      </c>
      <c r="AE93">
        <v>100</v>
      </c>
      <c r="AJ93">
        <v>1</v>
      </c>
    </row>
    <row r="94" spans="1:36" x14ac:dyDescent="0.2">
      <c r="A94">
        <v>93</v>
      </c>
      <c r="B94">
        <v>804</v>
      </c>
      <c r="C94">
        <v>100</v>
      </c>
      <c r="D94">
        <v>0.514840551455232</v>
      </c>
      <c r="E94">
        <v>7.12562551141587</v>
      </c>
      <c r="F94">
        <v>0.22945216523124601</v>
      </c>
      <c r="G94">
        <v>-160.66027374780751</v>
      </c>
      <c r="H94">
        <v>-87.305519004046246</v>
      </c>
      <c r="I94">
        <v>68.104565254832096</v>
      </c>
      <c r="J94">
        <v>25.261570039314599</v>
      </c>
      <c r="K94">
        <v>31.0549499684804</v>
      </c>
      <c r="L94">
        <v>1.7020397708502972E-3</v>
      </c>
      <c r="M94">
        <v>1.0280661530613887E-3</v>
      </c>
      <c r="N94" s="1">
        <v>-5.3840600743821401E-5</v>
      </c>
      <c r="O94" s="1">
        <v>7.2434006779457697E-5</v>
      </c>
      <c r="P94" s="1">
        <v>-4.8488984090647398E-5</v>
      </c>
      <c r="AE94">
        <v>100</v>
      </c>
      <c r="AJ94">
        <v>1</v>
      </c>
    </row>
    <row r="95" spans="1:36" x14ac:dyDescent="0.2">
      <c r="A95">
        <v>94</v>
      </c>
      <c r="B95">
        <v>802</v>
      </c>
      <c r="C95">
        <v>100</v>
      </c>
      <c r="D95">
        <v>0.51380784076640695</v>
      </c>
      <c r="E95">
        <v>7.1611502348337703</v>
      </c>
      <c r="F95">
        <v>0.23023670936889501</v>
      </c>
      <c r="G95">
        <v>-161.32440268328298</v>
      </c>
      <c r="H95">
        <v>-87.791610316733895</v>
      </c>
      <c r="I95">
        <v>68.396865940992797</v>
      </c>
      <c r="J95">
        <v>25.4432719461002</v>
      </c>
      <c r="K95">
        <v>31.1034250552975</v>
      </c>
      <c r="L95">
        <v>1.7113500245243777E-3</v>
      </c>
      <c r="M95">
        <v>1.0284419768289896E-3</v>
      </c>
      <c r="N95" s="1">
        <v>-5.44615998831362E-5</v>
      </c>
      <c r="O95" s="1">
        <v>7.2667905439290399E-5</v>
      </c>
      <c r="P95" s="1">
        <v>-4.8914189000051903E-5</v>
      </c>
      <c r="AE95">
        <v>100</v>
      </c>
      <c r="AJ95">
        <v>1</v>
      </c>
    </row>
    <row r="96" spans="1:36" x14ac:dyDescent="0.2">
      <c r="A96">
        <v>95</v>
      </c>
      <c r="B96">
        <v>800</v>
      </c>
      <c r="C96">
        <v>100</v>
      </c>
      <c r="D96">
        <v>0.51277128080883805</v>
      </c>
      <c r="E96">
        <v>7.1965983942409899</v>
      </c>
      <c r="F96">
        <v>0.23102826060898499</v>
      </c>
      <c r="G96">
        <v>-161.98554572763271</v>
      </c>
      <c r="H96">
        <v>-88.277379596044611</v>
      </c>
      <c r="I96">
        <v>68.6877738127112</v>
      </c>
      <c r="J96">
        <v>25.6260070408727</v>
      </c>
      <c r="K96">
        <v>31.150294666422599</v>
      </c>
      <c r="L96">
        <v>1.7207590212170441E-3</v>
      </c>
      <c r="M96">
        <v>1.0288156735918177E-3</v>
      </c>
      <c r="N96" s="1">
        <v>-5.50859469012788E-5</v>
      </c>
      <c r="O96" s="1">
        <v>7.2899701782848096E-5</v>
      </c>
      <c r="P96" s="1">
        <v>-4.9343780758714501E-5</v>
      </c>
      <c r="AE96">
        <v>100</v>
      </c>
      <c r="AJ96">
        <v>1</v>
      </c>
    </row>
    <row r="97" spans="1:36" x14ac:dyDescent="0.2">
      <c r="A97">
        <v>96</v>
      </c>
      <c r="B97">
        <v>798</v>
      </c>
      <c r="C97">
        <v>100</v>
      </c>
      <c r="D97">
        <v>0.51173085002101004</v>
      </c>
      <c r="E97">
        <v>7.2319183963420102</v>
      </c>
      <c r="F97">
        <v>0.231826918816084</v>
      </c>
      <c r="G97">
        <v>-162.6425487538516</v>
      </c>
      <c r="H97">
        <v>-88.762195159816912</v>
      </c>
      <c r="I97">
        <v>68.976793298633893</v>
      </c>
      <c r="J97">
        <v>25.809611772549498</v>
      </c>
      <c r="K97">
        <v>31.195335008007799</v>
      </c>
      <c r="L97">
        <v>1.7302680846730345E-3</v>
      </c>
      <c r="M97">
        <v>1.0291870748029344E-3</v>
      </c>
      <c r="N97" s="1">
        <v>-5.5713099409715601E-5</v>
      </c>
      <c r="O97" s="1">
        <v>7.3128874196427794E-5</v>
      </c>
      <c r="P97" s="1">
        <v>-4.9777516214354399E-5</v>
      </c>
      <c r="AE97">
        <v>100</v>
      </c>
      <c r="AJ97">
        <v>1</v>
      </c>
    </row>
    <row r="98" spans="1:36" x14ac:dyDescent="0.2">
      <c r="A98">
        <v>97</v>
      </c>
      <c r="B98">
        <v>796</v>
      </c>
      <c r="C98">
        <v>100</v>
      </c>
      <c r="D98">
        <v>0.51068652668007097</v>
      </c>
      <c r="E98">
        <v>7.2670621583717097</v>
      </c>
      <c r="F98">
        <v>0.23263278569757001</v>
      </c>
      <c r="G98">
        <v>-163.29434045945288</v>
      </c>
      <c r="H98">
        <v>-89.245467008734039</v>
      </c>
      <c r="I98">
        <v>69.263463601865595</v>
      </c>
      <c r="J98">
        <v>25.993933810943201</v>
      </c>
      <c r="K98">
        <v>31.2383404453537</v>
      </c>
      <c r="L98">
        <v>1.7398785537786595E-3</v>
      </c>
      <c r="M98">
        <v>1.0295560048744364E-3</v>
      </c>
      <c r="N98" s="1">
        <v>-5.6342520568658401E-5</v>
      </c>
      <c r="O98" s="1">
        <v>7.3354939958408298E-5</v>
      </c>
      <c r="P98" s="1">
        <v>-5.0215174168901699E-5</v>
      </c>
      <c r="AE98">
        <v>100</v>
      </c>
      <c r="AJ98">
        <v>1</v>
      </c>
    </row>
    <row r="99" spans="1:36" x14ac:dyDescent="0.2">
      <c r="A99">
        <v>98</v>
      </c>
      <c r="B99">
        <v>794</v>
      </c>
      <c r="C99">
        <v>100</v>
      </c>
      <c r="D99">
        <v>0.50963828890034402</v>
      </c>
      <c r="E99">
        <v>7.3019854388905596</v>
      </c>
      <c r="F99">
        <v>0.23344596484196101</v>
      </c>
      <c r="G99">
        <v>-163.93993945204107</v>
      </c>
      <c r="H99">
        <v>-89.726651009145868</v>
      </c>
      <c r="I99">
        <v>69.547361746105594</v>
      </c>
      <c r="J99">
        <v>26.178833323715001</v>
      </c>
      <c r="K99">
        <v>31.279124673814099</v>
      </c>
      <c r="L99">
        <v>1.7495917823615174E-3</v>
      </c>
      <c r="M99">
        <v>1.0299222808884132E-3</v>
      </c>
      <c r="N99" s="1">
        <v>-5.6973681891327703E-5</v>
      </c>
      <c r="O99" s="1">
        <v>7.3577458251239096E-5</v>
      </c>
      <c r="P99" s="1">
        <v>-5.06565580169343E-5</v>
      </c>
      <c r="AE99">
        <v>100</v>
      </c>
      <c r="AJ99">
        <v>1</v>
      </c>
    </row>
    <row r="100" spans="1:36" x14ac:dyDescent="0.2">
      <c r="A100">
        <v>99</v>
      </c>
      <c r="B100">
        <v>792</v>
      </c>
      <c r="C100">
        <v>100</v>
      </c>
      <c r="D100">
        <v>0.50858611463174297</v>
      </c>
      <c r="E100">
        <v>7.4201289735383797</v>
      </c>
      <c r="F100">
        <v>0.23426656175799099</v>
      </c>
      <c r="G100">
        <v>-166.4511342285254</v>
      </c>
      <c r="H100">
        <v>-91.231662830833756</v>
      </c>
      <c r="I100">
        <v>70.622651881085602</v>
      </c>
      <c r="J100">
        <v>26.664171853259798</v>
      </c>
      <c r="K100">
        <v>31.673871498586699</v>
      </c>
      <c r="L100">
        <v>1.7594091389562807E-3</v>
      </c>
      <c r="M100">
        <v>1.0302857122958349E-3</v>
      </c>
      <c r="N100" s="1">
        <v>-5.82615426777605E-5</v>
      </c>
      <c r="O100" s="1">
        <v>7.4635728881938901E-5</v>
      </c>
      <c r="P100" s="1">
        <v>-5.1682962105940602E-5</v>
      </c>
      <c r="AE100">
        <v>100</v>
      </c>
      <c r="AJ100">
        <v>1</v>
      </c>
    </row>
    <row r="101" spans="1:36" x14ac:dyDescent="0.2">
      <c r="A101">
        <v>100</v>
      </c>
      <c r="B101">
        <v>790</v>
      </c>
      <c r="C101">
        <v>100</v>
      </c>
      <c r="D101">
        <v>0.507529981658283</v>
      </c>
      <c r="E101">
        <v>7.6071589876238299</v>
      </c>
      <c r="F101">
        <v>0.23509468391441601</v>
      </c>
      <c r="G101">
        <v>-170.50190800946689</v>
      </c>
      <c r="H101">
        <v>-93.585963093124505</v>
      </c>
      <c r="I101">
        <v>72.351312796734305</v>
      </c>
      <c r="J101">
        <v>27.400450527282199</v>
      </c>
      <c r="K101">
        <v>32.357851998019299</v>
      </c>
      <c r="L101">
        <v>1.7693320065342221E-3</v>
      </c>
      <c r="M101">
        <v>1.0306461006029024E-3</v>
      </c>
      <c r="N101" s="1">
        <v>-6.0104970726687102E-5</v>
      </c>
      <c r="O101" s="1">
        <v>7.6381375026192202E-5</v>
      </c>
      <c r="P101" s="1">
        <v>-5.3201352063908599E-5</v>
      </c>
      <c r="AE101">
        <v>100</v>
      </c>
      <c r="AJ101">
        <v>1</v>
      </c>
    </row>
    <row r="102" spans="1:36" x14ac:dyDescent="0.2">
      <c r="A102">
        <v>101</v>
      </c>
      <c r="B102">
        <v>788</v>
      </c>
      <c r="C102">
        <v>100</v>
      </c>
      <c r="D102">
        <v>0.50646986759647905</v>
      </c>
      <c r="E102">
        <v>7.8298318291170101</v>
      </c>
      <c r="F102">
        <v>0.23593044078056399</v>
      </c>
      <c r="G102">
        <v>-175.34386692468905</v>
      </c>
      <c r="H102">
        <v>-96.381835039962482</v>
      </c>
      <c r="I102">
        <v>74.415975682331407</v>
      </c>
      <c r="J102">
        <v>28.269463827749899</v>
      </c>
      <c r="K102">
        <v>33.187035141427202</v>
      </c>
      <c r="L102">
        <v>1.779361782193686E-3</v>
      </c>
      <c r="M102">
        <v>1.0310032390443114E-3</v>
      </c>
      <c r="N102" s="1">
        <v>-6.2249621377317201E-5</v>
      </c>
      <c r="O102" s="1">
        <v>7.8477504862586904E-5</v>
      </c>
      <c r="P102" s="1">
        <v>-5.4984496706468701E-5</v>
      </c>
      <c r="AE102">
        <v>100</v>
      </c>
      <c r="AJ102">
        <v>1</v>
      </c>
    </row>
    <row r="103" spans="1:36" x14ac:dyDescent="0.2">
      <c r="A103">
        <v>102</v>
      </c>
      <c r="B103">
        <v>786</v>
      </c>
      <c r="C103">
        <v>100</v>
      </c>
      <c r="D103">
        <v>0.50540574989378495</v>
      </c>
      <c r="E103">
        <v>8.2204133592026505</v>
      </c>
      <c r="F103">
        <v>0.23677394386762701</v>
      </c>
      <c r="G103">
        <v>-183.93447982118943</v>
      </c>
      <c r="H103">
        <v>-101.24915472848394</v>
      </c>
      <c r="I103">
        <v>78.072066579824195</v>
      </c>
      <c r="J103">
        <v>29.750906198918202</v>
      </c>
      <c r="K103">
        <v>34.718403659308102</v>
      </c>
      <c r="L103">
        <v>1.7894998768088176E-3</v>
      </c>
      <c r="M103">
        <v>1.0313569122429196E-3</v>
      </c>
      <c r="N103" s="1">
        <v>-6.5758533623936599E-5</v>
      </c>
      <c r="O103" s="1">
        <v>8.2245523025491402E-5</v>
      </c>
      <c r="P103" s="1">
        <v>-5.7968616815560201E-5</v>
      </c>
      <c r="AE103">
        <v>100</v>
      </c>
      <c r="AJ103">
        <v>1</v>
      </c>
    </row>
    <row r="104" spans="1:36" x14ac:dyDescent="0.2">
      <c r="A104">
        <v>103</v>
      </c>
      <c r="B104">
        <v>784</v>
      </c>
      <c r="C104">
        <v>100</v>
      </c>
      <c r="D104">
        <v>0.50433760582698905</v>
      </c>
      <c r="E104">
        <v>9.41265926991146</v>
      </c>
      <c r="F104">
        <v>0.23762530677069199</v>
      </c>
      <c r="G104">
        <v>-210.4326521048398</v>
      </c>
      <c r="H104">
        <v>-116.00201859914269</v>
      </c>
      <c r="I104">
        <v>89.3307666909472</v>
      </c>
      <c r="J104">
        <v>34.148519610105701</v>
      </c>
      <c r="K104">
        <v>39.611350313772</v>
      </c>
      <c r="L104">
        <v>1.7997477146335333E-3</v>
      </c>
      <c r="M104">
        <v>1.0317068958552802E-3</v>
      </c>
      <c r="N104" s="1">
        <v>-7.5756782063414894E-5</v>
      </c>
      <c r="O104" s="1">
        <v>9.40058449967579E-5</v>
      </c>
      <c r="P104" s="1">
        <v>-6.6657238244386901E-5</v>
      </c>
      <c r="AE104">
        <v>100</v>
      </c>
      <c r="AJ104">
        <v>1</v>
      </c>
    </row>
    <row r="105" spans="1:36" x14ac:dyDescent="0.2">
      <c r="A105">
        <v>104</v>
      </c>
      <c r="B105">
        <v>782</v>
      </c>
      <c r="C105">
        <v>100</v>
      </c>
      <c r="D105">
        <v>0.50326541250059598</v>
      </c>
      <c r="E105">
        <v>10.2269119279857</v>
      </c>
      <c r="F105">
        <v>0.238484645211514</v>
      </c>
      <c r="G105">
        <v>-228.44231838073608</v>
      </c>
      <c r="H105">
        <v>-126.11119947601948</v>
      </c>
      <c r="I105">
        <v>96.988078824552005</v>
      </c>
      <c r="J105">
        <v>37.193647723657797</v>
      </c>
      <c r="K105">
        <v>42.882894699217999</v>
      </c>
      <c r="L105">
        <v>1.8101067328576415E-3</v>
      </c>
      <c r="M105">
        <v>1.0320529562025046E-3</v>
      </c>
      <c r="N105" s="1">
        <v>-8.2809396648291401E-5</v>
      </c>
      <c r="O105">
        <v>1.01955101165974E-4</v>
      </c>
      <c r="P105" s="1">
        <v>-7.27343980876017E-5</v>
      </c>
      <c r="AE105">
        <v>100</v>
      </c>
      <c r="AJ105">
        <v>1</v>
      </c>
    </row>
    <row r="106" spans="1:36" x14ac:dyDescent="0.2">
      <c r="A106">
        <v>105</v>
      </c>
      <c r="B106">
        <v>780</v>
      </c>
      <c r="C106">
        <v>100</v>
      </c>
      <c r="D106">
        <v>0.50218914684517901</v>
      </c>
      <c r="E106">
        <v>10.536790547188801</v>
      </c>
      <c r="F106">
        <v>0.239352077082018</v>
      </c>
      <c r="G106">
        <v>-235.16441088001173</v>
      </c>
      <c r="H106">
        <v>-130.00914427744593</v>
      </c>
      <c r="I106">
        <v>99.854053459763506</v>
      </c>
      <c r="J106">
        <v>38.415735263364802</v>
      </c>
      <c r="K106">
        <v>44.022139584684702</v>
      </c>
      <c r="L106">
        <v>1.8205783811116151E-3</v>
      </c>
      <c r="M106">
        <v>1.0323948498857497E-3</v>
      </c>
      <c r="N106" s="1">
        <v>-8.5830806319241501E-5</v>
      </c>
      <c r="O106">
        <v>1.04855856661097E-4</v>
      </c>
      <c r="P106" s="1">
        <v>-7.5264317042279504E-5</v>
      </c>
      <c r="AE106">
        <v>100</v>
      </c>
      <c r="AJ10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242C5-5D8C-4CDC-A5C7-300F59D6E8C6}">
  <sheetPr codeName="Sheet15"/>
  <dimension ref="A1:AU106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764</v>
      </c>
      <c r="C2">
        <v>300</v>
      </c>
      <c r="D2">
        <v>0.28130983946391902</v>
      </c>
      <c r="E2">
        <v>216.7351987842749</v>
      </c>
      <c r="F2">
        <v>64.968517890987599</v>
      </c>
      <c r="G2">
        <v>72.356622205876249</v>
      </c>
      <c r="H2">
        <v>67.775074821599731</v>
      </c>
      <c r="J2">
        <v>76.799176582661573</v>
      </c>
      <c r="L2">
        <v>7.9573937153472691</v>
      </c>
      <c r="M2">
        <v>14.384491835513918</v>
      </c>
      <c r="N2">
        <v>2.6704212931563407</v>
      </c>
      <c r="O2">
        <v>32.265515516926925</v>
      </c>
      <c r="P2">
        <v>13.05760111485576</v>
      </c>
      <c r="Q2">
        <v>1.7880192295554367</v>
      </c>
      <c r="R2">
        <v>17.965528010694559</v>
      </c>
      <c r="S2">
        <v>52.246588895303489</v>
      </c>
      <c r="U2">
        <v>2.4788696247005575</v>
      </c>
      <c r="V2">
        <v>50.319502431711385</v>
      </c>
      <c r="W2">
        <v>22.943540430774217</v>
      </c>
      <c r="X2">
        <v>51.19401912583993</v>
      </c>
      <c r="Y2">
        <v>9.8548409167561868</v>
      </c>
      <c r="Z2">
        <v>32.189332381647255</v>
      </c>
      <c r="AA2">
        <v>7.0028159386155533</v>
      </c>
      <c r="AB2">
        <v>37.709387909997098</v>
      </c>
      <c r="AC2">
        <v>1.5711590255147793E-2</v>
      </c>
      <c r="AD2">
        <v>8.6402530960281538</v>
      </c>
      <c r="AE2">
        <v>12.815806768147516</v>
      </c>
      <c r="AF2">
        <v>14.096194709761455</v>
      </c>
      <c r="AG2">
        <v>23.27924262366777</v>
      </c>
      <c r="AH2">
        <v>9.3196384242673975</v>
      </c>
      <c r="AI2">
        <v>2.6236498793398524</v>
      </c>
      <c r="AK2">
        <v>62.379634806818444</v>
      </c>
    </row>
    <row r="3" spans="1:47" x14ac:dyDescent="0.2">
      <c r="A3">
        <v>2</v>
      </c>
      <c r="B3">
        <v>762</v>
      </c>
      <c r="C3">
        <v>300</v>
      </c>
      <c r="D3">
        <v>0.27978602134956498</v>
      </c>
      <c r="E3">
        <v>216.52193351351519</v>
      </c>
      <c r="F3">
        <v>64.311830728763866</v>
      </c>
      <c r="G3">
        <v>72.246541114544826</v>
      </c>
      <c r="H3">
        <v>67.66005703894082</v>
      </c>
      <c r="J3">
        <v>76.658018562232897</v>
      </c>
      <c r="L3">
        <v>7.8010496961575448</v>
      </c>
      <c r="M3">
        <v>14.280345395457063</v>
      </c>
      <c r="N3">
        <v>2.6583565332645009</v>
      </c>
      <c r="O3">
        <v>31.526695192380213</v>
      </c>
      <c r="P3">
        <v>12.868272222829225</v>
      </c>
      <c r="Q3">
        <v>1.6865757537378185</v>
      </c>
      <c r="R3">
        <v>17.590275118797297</v>
      </c>
      <c r="S3">
        <v>51.506511558253429</v>
      </c>
      <c r="U3">
        <v>2.3483333798411929</v>
      </c>
      <c r="V3">
        <v>50.149585012393693</v>
      </c>
      <c r="W3">
        <v>22.596624315138619</v>
      </c>
      <c r="X3">
        <v>50.87660762175944</v>
      </c>
      <c r="Y3">
        <v>9.6939068113341467</v>
      </c>
      <c r="Z3">
        <v>31.828825238182176</v>
      </c>
      <c r="AA3">
        <v>6.8412393673869589</v>
      </c>
      <c r="AB3">
        <v>37.459870021055991</v>
      </c>
      <c r="AD3">
        <v>8.4386598263318362</v>
      </c>
      <c r="AE3">
        <v>12.651452057959519</v>
      </c>
      <c r="AF3">
        <v>13.973803471125114</v>
      </c>
      <c r="AG3">
        <v>22.983631461971282</v>
      </c>
      <c r="AH3">
        <v>9.0946733925981409</v>
      </c>
      <c r="AI3">
        <v>2.611019366229411</v>
      </c>
      <c r="AK3">
        <v>62.358023150417139</v>
      </c>
    </row>
    <row r="4" spans="1:47" x14ac:dyDescent="0.2">
      <c r="A4">
        <v>3</v>
      </c>
      <c r="B4">
        <v>760</v>
      </c>
      <c r="C4">
        <v>300</v>
      </c>
      <c r="D4">
        <v>0.27825630353772701</v>
      </c>
      <c r="E4">
        <v>216.27157805154789</v>
      </c>
      <c r="F4">
        <v>63.52471915997323</v>
      </c>
      <c r="G4">
        <v>72.117745288053413</v>
      </c>
      <c r="H4">
        <v>67.526376139032067</v>
      </c>
      <c r="J4">
        <v>76.448250428142927</v>
      </c>
      <c r="L4">
        <v>7.6248302049793271</v>
      </c>
      <c r="M4">
        <v>14.123829066098496</v>
      </c>
      <c r="N4">
        <v>2.6623001295857649</v>
      </c>
      <c r="O4">
        <v>30.735377883068754</v>
      </c>
      <c r="P4">
        <v>12.657552682365024</v>
      </c>
      <c r="Q4">
        <v>1.5445242931938374</v>
      </c>
      <c r="R4">
        <v>17.132368608115982</v>
      </c>
      <c r="S4">
        <v>50.5060420193537</v>
      </c>
      <c r="U4">
        <v>2.1728001663383658</v>
      </c>
      <c r="V4">
        <v>49.897215629607622</v>
      </c>
      <c r="W4">
        <v>22.149826794384051</v>
      </c>
      <c r="X4">
        <v>50.406930540096866</v>
      </c>
      <c r="Y4">
        <v>9.5056446383101498</v>
      </c>
      <c r="Z4">
        <v>31.388432636327401</v>
      </c>
      <c r="AA4">
        <v>6.6595809966045927</v>
      </c>
      <c r="AB4">
        <v>37.114141665152111</v>
      </c>
      <c r="AD4">
        <v>8.1864177252585506</v>
      </c>
      <c r="AE4">
        <v>12.45495420146548</v>
      </c>
      <c r="AF4">
        <v>13.815051728575638</v>
      </c>
      <c r="AG4">
        <v>22.607828134130767</v>
      </c>
      <c r="AH4">
        <v>8.8091822014296177</v>
      </c>
      <c r="AI4">
        <v>2.6143939298286387</v>
      </c>
      <c r="AK4">
        <v>62.31188375263487</v>
      </c>
    </row>
    <row r="5" spans="1:47" x14ac:dyDescent="0.2">
      <c r="A5">
        <v>4</v>
      </c>
      <c r="B5">
        <v>758</v>
      </c>
      <c r="C5">
        <v>300</v>
      </c>
      <c r="D5">
        <v>0.27672065169955901</v>
      </c>
      <c r="E5">
        <v>216.02190095103697</v>
      </c>
      <c r="F5">
        <v>62.740534801809027</v>
      </c>
      <c r="G5">
        <v>71.98930284346828</v>
      </c>
      <c r="H5">
        <v>67.393100403881178</v>
      </c>
      <c r="J5">
        <v>76.241015055803189</v>
      </c>
      <c r="L5">
        <v>7.4493137705040642</v>
      </c>
      <c r="M5">
        <v>13.967929661589034</v>
      </c>
      <c r="N5">
        <v>2.6662431955380317</v>
      </c>
      <c r="O5">
        <v>29.946624116423855</v>
      </c>
      <c r="P5">
        <v>12.447570019946891</v>
      </c>
      <c r="Q5">
        <v>1.4030010634286674</v>
      </c>
      <c r="R5">
        <v>16.676007618454928</v>
      </c>
      <c r="S5">
        <v>49.509494274261002</v>
      </c>
      <c r="U5">
        <v>1.9976097495447049</v>
      </c>
      <c r="V5">
        <v>49.645677291791046</v>
      </c>
      <c r="W5">
        <v>21.704193597619657</v>
      </c>
      <c r="X5">
        <v>49.939129609168589</v>
      </c>
      <c r="Y5">
        <v>9.3180496534512827</v>
      </c>
      <c r="Z5">
        <v>30.949196177083284</v>
      </c>
      <c r="AA5">
        <v>6.4786339822262304</v>
      </c>
      <c r="AB5">
        <v>36.769525529418218</v>
      </c>
      <c r="AD5">
        <v>7.9346268116900367</v>
      </c>
      <c r="AE5">
        <v>12.258940886514271</v>
      </c>
      <c r="AF5">
        <v>13.656917454015607</v>
      </c>
      <c r="AG5">
        <v>22.233146487334128</v>
      </c>
      <c r="AH5">
        <v>8.5246278055476914</v>
      </c>
      <c r="AI5">
        <v>2.6177646688573013</v>
      </c>
      <c r="AK5">
        <v>62.267079845272129</v>
      </c>
    </row>
    <row r="6" spans="1:47" x14ac:dyDescent="0.2">
      <c r="A6">
        <v>5</v>
      </c>
      <c r="B6">
        <v>756</v>
      </c>
      <c r="C6">
        <v>300</v>
      </c>
      <c r="D6">
        <v>0.27517903123937498</v>
      </c>
      <c r="E6">
        <v>215.77289886399313</v>
      </c>
      <c r="F6">
        <v>61.959262022725675</v>
      </c>
      <c r="G6">
        <v>71.86121240403331</v>
      </c>
      <c r="H6">
        <v>67.260228622311871</v>
      </c>
      <c r="J6">
        <v>76.036309023567142</v>
      </c>
      <c r="L6">
        <v>7.2744970878079842</v>
      </c>
      <c r="M6">
        <v>13.812642918754193</v>
      </c>
      <c r="N6">
        <v>2.6701857354245933</v>
      </c>
      <c r="O6">
        <v>29.160421866868436</v>
      </c>
      <c r="P6">
        <v>12.23832166628751</v>
      </c>
      <c r="Q6">
        <v>1.2619998210610266</v>
      </c>
      <c r="R6">
        <v>16.221182298867134</v>
      </c>
      <c r="S6">
        <v>48.516843993520858</v>
      </c>
      <c r="U6">
        <v>1.8227589564956654</v>
      </c>
      <c r="V6">
        <v>49.394964146680245</v>
      </c>
      <c r="W6">
        <v>21.259715689482579</v>
      </c>
      <c r="X6">
        <v>49.473192409802522</v>
      </c>
      <c r="Y6">
        <v>9.1311186055454545</v>
      </c>
      <c r="Z6">
        <v>30.51110555163179</v>
      </c>
      <c r="AA6">
        <v>6.298394871611694</v>
      </c>
      <c r="AB6">
        <v>36.426012365616941</v>
      </c>
      <c r="AD6">
        <v>7.683284953044315</v>
      </c>
      <c r="AE6">
        <v>12.063407051536148</v>
      </c>
      <c r="AF6">
        <v>13.499396433109325</v>
      </c>
      <c r="AG6">
        <v>21.859577324579089</v>
      </c>
      <c r="AH6">
        <v>8.2410067902380622</v>
      </c>
      <c r="AI6">
        <v>2.6211315729161342</v>
      </c>
      <c r="AK6">
        <v>62.223611127972731</v>
      </c>
    </row>
    <row r="7" spans="1:47" x14ac:dyDescent="0.2">
      <c r="A7">
        <v>6</v>
      </c>
      <c r="B7">
        <v>754</v>
      </c>
      <c r="C7">
        <v>300</v>
      </c>
      <c r="D7">
        <v>0.27363140729202201</v>
      </c>
      <c r="E7">
        <v>215.52456854288189</v>
      </c>
      <c r="F7">
        <v>61.18088558720369</v>
      </c>
      <c r="G7">
        <v>71.73347264167019</v>
      </c>
      <c r="H7">
        <v>67.1277596324706</v>
      </c>
      <c r="J7">
        <v>75.834129126981125</v>
      </c>
      <c r="L7">
        <v>7.1003770861021769</v>
      </c>
      <c r="M7">
        <v>13.657964653455474</v>
      </c>
      <c r="N7">
        <v>2.6741277535983343</v>
      </c>
      <c r="O7">
        <v>28.376759417448866</v>
      </c>
      <c r="P7">
        <v>12.029805150503336</v>
      </c>
      <c r="Q7">
        <v>1.1215143584450016</v>
      </c>
      <c r="R7">
        <v>15.767883025604737</v>
      </c>
      <c r="S7">
        <v>47.528067352370627</v>
      </c>
      <c r="U7">
        <v>1.6482447081117477</v>
      </c>
      <c r="V7">
        <v>49.145070371211233</v>
      </c>
      <c r="W7">
        <v>20.816384180842558</v>
      </c>
      <c r="X7">
        <v>49.009106794323962</v>
      </c>
      <c r="Y7">
        <v>8.9448483458598229</v>
      </c>
      <c r="Z7">
        <v>30.074150572275752</v>
      </c>
      <c r="AA7">
        <v>6.1188603032493116</v>
      </c>
      <c r="AB7">
        <v>36.08359305226508</v>
      </c>
      <c r="AD7">
        <v>7.4323900525223028</v>
      </c>
      <c r="AE7">
        <v>11.868347682236587</v>
      </c>
      <c r="AF7">
        <v>13.342484530806678</v>
      </c>
      <c r="AG7">
        <v>21.48711157596539</v>
      </c>
      <c r="AH7">
        <v>7.9583158650679655</v>
      </c>
      <c r="AI7">
        <v>2.6244946316498781</v>
      </c>
      <c r="AK7">
        <v>62.181477416882423</v>
      </c>
    </row>
    <row r="8" spans="1:47" x14ac:dyDescent="0.2">
      <c r="A8">
        <v>7</v>
      </c>
      <c r="B8">
        <v>752</v>
      </c>
      <c r="C8">
        <v>300</v>
      </c>
      <c r="D8">
        <v>0.27207774472028401</v>
      </c>
      <c r="E8">
        <v>215.27690683984363</v>
      </c>
      <c r="F8">
        <v>60.405390650156328</v>
      </c>
      <c r="G8">
        <v>71.606082276521306</v>
      </c>
      <c r="H8">
        <v>66.995692321370882</v>
      </c>
      <c r="J8">
        <v>75.634472377712271</v>
      </c>
      <c r="L8">
        <v>6.9268913100916798</v>
      </c>
      <c r="M8">
        <v>13.50389075918268</v>
      </c>
      <c r="N8">
        <v>2.6780692544207558</v>
      </c>
      <c r="O8">
        <v>27.595625355275359</v>
      </c>
      <c r="P8">
        <v>11.822018099171878</v>
      </c>
      <c r="Q8">
        <v>0.98153850081428295</v>
      </c>
      <c r="R8">
        <v>15.316100399188848</v>
      </c>
      <c r="S8">
        <v>46.543141023400693</v>
      </c>
      <c r="U8">
        <v>1.4740640182414337</v>
      </c>
      <c r="V8">
        <v>48.895990164428184</v>
      </c>
      <c r="W8">
        <v>20.374190325364012</v>
      </c>
      <c r="X8">
        <v>48.546860884410187</v>
      </c>
      <c r="Y8">
        <v>8.7592358272474176</v>
      </c>
      <c r="Z8">
        <v>29.638321167537875</v>
      </c>
      <c r="AA8">
        <v>5.9400270065807055</v>
      </c>
      <c r="AB8">
        <v>35.742258590714854</v>
      </c>
      <c r="AD8">
        <v>7.1819400477967958</v>
      </c>
      <c r="AE8">
        <v>11.67375780902897</v>
      </c>
      <c r="AF8">
        <v>13.186177689896795</v>
      </c>
      <c r="AG8">
        <v>21.11574029474016</v>
      </c>
      <c r="AH8">
        <v>7.6765518623458879</v>
      </c>
      <c r="AI8">
        <v>2.6278538347086289</v>
      </c>
      <c r="AK8">
        <v>62.140678644415125</v>
      </c>
    </row>
    <row r="9" spans="1:47" x14ac:dyDescent="0.2">
      <c r="A9">
        <v>8</v>
      </c>
      <c r="B9">
        <v>750</v>
      </c>
      <c r="C9">
        <v>300</v>
      </c>
      <c r="D9">
        <v>0.270518008112205</v>
      </c>
      <c r="E9">
        <v>215.02991070584699</v>
      </c>
      <c r="F9">
        <v>59.632762751261367</v>
      </c>
      <c r="G9">
        <v>71.479040076490804</v>
      </c>
      <c r="H9">
        <v>66.864025624438966</v>
      </c>
      <c r="J9">
        <v>75.437336002421901</v>
      </c>
      <c r="L9">
        <v>6.7541481138433115</v>
      </c>
      <c r="M9">
        <v>13.350417205601747</v>
      </c>
      <c r="N9">
        <v>2.6820102422169194</v>
      </c>
      <c r="O9">
        <v>26.817008567045548</v>
      </c>
      <c r="P9">
        <v>11.614958235366364</v>
      </c>
      <c r="Q9">
        <v>0.84201669703112836</v>
      </c>
      <c r="R9">
        <v>14.865825241397914</v>
      </c>
      <c r="S9">
        <v>45.562042169096259</v>
      </c>
      <c r="U9">
        <v>1.3002139926883052</v>
      </c>
      <c r="V9">
        <v>48.647717739833197</v>
      </c>
      <c r="W9">
        <v>19.933125516050911</v>
      </c>
      <c r="X9">
        <v>48.086443065647238</v>
      </c>
      <c r="Y9">
        <v>8.5742781032453674</v>
      </c>
      <c r="Z9">
        <v>29.2036073772862</v>
      </c>
      <c r="AA9">
        <v>5.7618918020326895</v>
      </c>
      <c r="AB9">
        <v>35.402000101246017</v>
      </c>
      <c r="AD9">
        <v>6.9319329096380686</v>
      </c>
      <c r="AE9">
        <v>11.479632504492544</v>
      </c>
      <c r="AF9">
        <v>13.030471929513277</v>
      </c>
      <c r="AG9">
        <v>20.745454653342581</v>
      </c>
      <c r="AH9">
        <v>7.395711735574527</v>
      </c>
      <c r="AI9">
        <v>2.6312091717025514</v>
      </c>
      <c r="AK9">
        <v>62.101214858943734</v>
      </c>
    </row>
    <row r="10" spans="1:47" x14ac:dyDescent="0.2">
      <c r="A10">
        <v>9</v>
      </c>
      <c r="B10">
        <v>748</v>
      </c>
      <c r="C10">
        <v>300</v>
      </c>
      <c r="D10">
        <v>0.26895216177838999</v>
      </c>
      <c r="E10">
        <v>214.78357718980035</v>
      </c>
      <c r="F10">
        <v>58.862987808907768</v>
      </c>
      <c r="G10">
        <v>71.352344856703738</v>
      </c>
      <c r="H10">
        <v>66.732758524978152</v>
      </c>
      <c r="J10">
        <v>75.242717441571997</v>
      </c>
      <c r="L10">
        <v>6.5820920670204321</v>
      </c>
      <c r="M10">
        <v>13.197540036821085</v>
      </c>
      <c r="N10">
        <v>2.6859507213844136</v>
      </c>
      <c r="O10">
        <v>26.040898234499981</v>
      </c>
      <c r="P10">
        <v>11.408623377699993</v>
      </c>
      <c r="Q10">
        <v>0.70303872361951014</v>
      </c>
      <c r="R10">
        <v>14.417048591975988</v>
      </c>
      <c r="S10">
        <v>44.584748433092535</v>
      </c>
      <c r="U10">
        <v>1.1266918280228626</v>
      </c>
      <c r="V10">
        <v>48.40024731685147</v>
      </c>
      <c r="W10">
        <v>19.493181281102363</v>
      </c>
      <c r="X10">
        <v>47.627841986323048</v>
      </c>
      <c r="Y10">
        <v>8.3899723271100228</v>
      </c>
      <c r="Z10">
        <v>28.769999347123793</v>
      </c>
      <c r="AA10">
        <v>5.5844516013110184</v>
      </c>
      <c r="AB10">
        <v>35.062808818386713</v>
      </c>
      <c r="AD10">
        <v>6.6823666400655277</v>
      </c>
      <c r="AE10">
        <v>11.285966880484962</v>
      </c>
      <c r="AF10">
        <v>12.875363343505546</v>
      </c>
      <c r="AG10">
        <v>20.376245938838785</v>
      </c>
      <c r="AH10">
        <v>7.1157925575734158</v>
      </c>
      <c r="AI10">
        <v>2.6345606323106132</v>
      </c>
      <c r="AK10">
        <v>62.063086224638994</v>
      </c>
    </row>
    <row r="11" spans="1:47" x14ac:dyDescent="0.2">
      <c r="A11">
        <v>10</v>
      </c>
      <c r="B11">
        <v>746</v>
      </c>
      <c r="C11">
        <v>300</v>
      </c>
      <c r="D11">
        <v>0.26738016974930101</v>
      </c>
      <c r="E11">
        <v>214.53790343802729</v>
      </c>
      <c r="F11">
        <v>58.096052115703593</v>
      </c>
      <c r="G11">
        <v>71.225995479235763</v>
      </c>
      <c r="H11">
        <v>66.601890053900291</v>
      </c>
      <c r="J11">
        <v>75.050614348982961</v>
      </c>
      <c r="L11">
        <v>6.4107211511383504</v>
      </c>
      <c r="M11">
        <v>13.045255370420913</v>
      </c>
      <c r="N11">
        <v>2.6898906961867168</v>
      </c>
      <c r="O11">
        <v>25.26728383051714</v>
      </c>
      <c r="P11">
        <v>11.203011439575729</v>
      </c>
      <c r="Q11">
        <v>0.56455185456260371</v>
      </c>
      <c r="R11">
        <v>13.969761706390708</v>
      </c>
      <c r="S11">
        <v>43.611237935224779</v>
      </c>
      <c r="U11">
        <v>0.95349481104683553</v>
      </c>
      <c r="V11">
        <v>48.153573112841116</v>
      </c>
      <c r="W11">
        <v>19.054349281420357</v>
      </c>
      <c r="X11">
        <v>47.171046553711932</v>
      </c>
      <c r="Y11">
        <v>8.2063157511868194</v>
      </c>
      <c r="Z11">
        <v>28.337487324278662</v>
      </c>
      <c r="AA11">
        <v>5.4077034080982846</v>
      </c>
      <c r="AB11">
        <v>34.724676087936004</v>
      </c>
      <c r="AD11">
        <v>6.4332392713343385</v>
      </c>
      <c r="AE11">
        <v>11.092756085928658</v>
      </c>
      <c r="AF11">
        <v>12.720848099268395</v>
      </c>
      <c r="AG11">
        <v>20.008105549740936</v>
      </c>
      <c r="AH11">
        <v>6.8367915195003421</v>
      </c>
      <c r="AI11">
        <v>2.6379082060760402</v>
      </c>
      <c r="AK11">
        <v>62.026293021379182</v>
      </c>
    </row>
    <row r="12" spans="1:47" x14ac:dyDescent="0.2">
      <c r="A12">
        <v>11</v>
      </c>
      <c r="B12">
        <v>744</v>
      </c>
      <c r="C12">
        <v>300</v>
      </c>
      <c r="D12">
        <v>0.26580199577250502</v>
      </c>
      <c r="E12">
        <v>214.29288669293575</v>
      </c>
      <c r="F12">
        <v>57.331942330886967</v>
      </c>
      <c r="G12">
        <v>71.099990852345584</v>
      </c>
      <c r="H12">
        <v>66.471419288962949</v>
      </c>
      <c r="J12">
        <v>74.861024589899316</v>
      </c>
      <c r="L12">
        <v>6.2399724350777612</v>
      </c>
      <c r="M12">
        <v>12.893559394969412</v>
      </c>
      <c r="N12">
        <v>2.6938301711220012</v>
      </c>
      <c r="O12">
        <v>24.496155114200313</v>
      </c>
      <c r="P12">
        <v>10.998120428035209</v>
      </c>
      <c r="Q12">
        <v>0.42655000821844713</v>
      </c>
      <c r="R12">
        <v>13.523956051514604</v>
      </c>
      <c r="S12">
        <v>42.641489259322448</v>
      </c>
      <c r="U12">
        <v>0.78062031703880774</v>
      </c>
      <c r="V12">
        <v>47.907689332310511</v>
      </c>
      <c r="W12">
        <v>18.616621305009357</v>
      </c>
      <c r="X12">
        <v>46.716045928902332</v>
      </c>
      <c r="Y12">
        <v>8.0233057256540086</v>
      </c>
      <c r="Z12">
        <v>27.90606165076008</v>
      </c>
      <c r="AA12">
        <v>5.231644318576044</v>
      </c>
      <c r="AB12">
        <v>34.387593360843219</v>
      </c>
      <c r="AD12">
        <v>6.1845488632250687</v>
      </c>
      <c r="AE12">
        <v>10.899995303409883</v>
      </c>
      <c r="AF12">
        <v>12.566922435622081</v>
      </c>
      <c r="AG12">
        <v>19.641024990256977</v>
      </c>
      <c r="AH12">
        <v>6.5587059281833575</v>
      </c>
      <c r="AI12">
        <v>2.6412518827743079</v>
      </c>
      <c r="AK12">
        <v>61.990835644404548</v>
      </c>
    </row>
    <row r="13" spans="1:47" x14ac:dyDescent="0.2">
      <c r="A13">
        <v>12</v>
      </c>
      <c r="B13">
        <v>742</v>
      </c>
      <c r="C13">
        <v>300</v>
      </c>
      <c r="D13">
        <v>0.264217603309855</v>
      </c>
      <c r="E13">
        <v>214.0485242933793</v>
      </c>
      <c r="F13">
        <v>56.570645478698083</v>
      </c>
      <c r="G13">
        <v>70.974329930596525</v>
      </c>
      <c r="H13">
        <v>66.341345354894173</v>
      </c>
      <c r="J13">
        <v>74.67394624222699</v>
      </c>
      <c r="L13">
        <v>6.0699542365864039</v>
      </c>
      <c r="M13">
        <v>12.74244837003531</v>
      </c>
      <c r="N13">
        <v>2.6977691504758634</v>
      </c>
      <c r="O13">
        <v>23.72750212823939</v>
      </c>
      <c r="P13">
        <v>10.79394844355617</v>
      </c>
      <c r="Q13">
        <v>0.28902711981227641</v>
      </c>
      <c r="R13">
        <v>13.079623305135094</v>
      </c>
      <c r="S13">
        <v>41.675481453366359</v>
      </c>
      <c r="U13">
        <v>0.60806581088891076</v>
      </c>
      <c r="V13">
        <v>47.662590159438338</v>
      </c>
      <c r="W13">
        <v>18.179989266208263</v>
      </c>
      <c r="X13">
        <v>46.262829527535978</v>
      </c>
      <c r="Y13">
        <v>7.8409396985133748</v>
      </c>
      <c r="Z13">
        <v>27.475712760382098</v>
      </c>
      <c r="AA13">
        <v>5.056271523011179</v>
      </c>
      <c r="AB13">
        <v>34.051552191777233</v>
      </c>
      <c r="AD13">
        <v>5.9362935027027426</v>
      </c>
      <c r="AE13">
        <v>10.707679747357277</v>
      </c>
      <c r="AF13">
        <v>12.413582662385535</v>
      </c>
      <c r="AG13">
        <v>19.274995868415211</v>
      </c>
      <c r="AH13">
        <v>6.2815332063051859</v>
      </c>
      <c r="AI13">
        <v>2.6445916519680845</v>
      </c>
      <c r="AK13">
        <v>61.956714605007463</v>
      </c>
    </row>
    <row r="14" spans="1:47" x14ac:dyDescent="0.2">
      <c r="A14">
        <v>13</v>
      </c>
      <c r="B14">
        <v>740</v>
      </c>
      <c r="C14">
        <v>300</v>
      </c>
      <c r="D14">
        <v>0.26262695553471999</v>
      </c>
      <c r="E14">
        <v>213.80481367348395</v>
      </c>
      <c r="F14">
        <v>55.812148941334456</v>
      </c>
      <c r="G14">
        <v>70.849011714183618</v>
      </c>
      <c r="H14">
        <v>66.21166742272618</v>
      </c>
      <c r="J14">
        <v>74.489377595003077</v>
      </c>
      <c r="L14">
        <v>5.900615224156085</v>
      </c>
      <c r="M14">
        <v>12.59191862388727</v>
      </c>
      <c r="N14">
        <v>2.7017076386326213</v>
      </c>
      <c r="O14">
        <v>22.961315194372094</v>
      </c>
      <c r="P14">
        <v>10.590493679030789</v>
      </c>
      <c r="Q14">
        <v>0.15197713722561093</v>
      </c>
      <c r="R14">
        <v>12.636755351977701</v>
      </c>
      <c r="S14">
        <v>40.713194018375106</v>
      </c>
      <c r="U14">
        <v>0.4358288416001222</v>
      </c>
      <c r="V14">
        <v>47.418269746368416</v>
      </c>
      <c r="W14">
        <v>17.744445200439607</v>
      </c>
      <c r="X14">
        <v>45.811387014744312</v>
      </c>
      <c r="Y14">
        <v>7.6592152144821162</v>
      </c>
      <c r="Z14">
        <v>27.046431172143606</v>
      </c>
      <c r="AA14">
        <v>4.8815823066628727</v>
      </c>
      <c r="AB14">
        <v>33.716544233326879</v>
      </c>
      <c r="AD14">
        <v>5.6884713012668033</v>
      </c>
      <c r="AE14">
        <v>10.515804660728563</v>
      </c>
      <c r="AF14">
        <v>12.260825158378685</v>
      </c>
      <c r="AG14">
        <v>18.910009890574837</v>
      </c>
      <c r="AH14">
        <v>6.005270889990828</v>
      </c>
      <c r="AI14">
        <v>2.6479275033168945</v>
      </c>
      <c r="AK14">
        <v>61.923930530343355</v>
      </c>
    </row>
    <row r="15" spans="1:47" x14ac:dyDescent="0.2">
      <c r="A15">
        <v>14</v>
      </c>
      <c r="B15">
        <v>738</v>
      </c>
      <c r="C15">
        <v>300</v>
      </c>
      <c r="D15">
        <v>0.26103001532908299</v>
      </c>
      <c r="E15">
        <v>213.56175236228776</v>
      </c>
      <c r="F15">
        <v>55.056440454769763</v>
      </c>
      <c r="G15">
        <v>70.724035248678433</v>
      </c>
      <c r="H15">
        <v>66.082384709539625</v>
      </c>
      <c r="J15">
        <v>74.307317148376995</v>
      </c>
      <c r="L15">
        <v>5.7318875238201947</v>
      </c>
      <c r="M15">
        <v>12.441966552348141</v>
      </c>
      <c r="N15">
        <v>2.7056456400194326</v>
      </c>
      <c r="O15">
        <v>22.197584909968988</v>
      </c>
      <c r="P15">
        <v>10.387754419202468</v>
      </c>
      <c r="Q15">
        <v>1.5394017534675185E-2</v>
      </c>
      <c r="R15">
        <v>12.195344281537515</v>
      </c>
      <c r="S15">
        <v>39.754606903051041</v>
      </c>
      <c r="U15">
        <v>0.26390704954821365</v>
      </c>
      <c r="V15">
        <v>47.174722202660682</v>
      </c>
      <c r="W15">
        <v>17.309981261188636</v>
      </c>
      <c r="X15">
        <v>45.361708302904475</v>
      </c>
      <c r="Y15">
        <v>7.4781299144811637</v>
      </c>
      <c r="Z15">
        <v>26.618207485342737</v>
      </c>
      <c r="AA15">
        <v>4.7075740512087574</v>
      </c>
      <c r="AB15">
        <v>33.382561232334545</v>
      </c>
      <c r="AD15">
        <v>5.4410803933458158</v>
      </c>
      <c r="AE15">
        <v>10.324365312400055</v>
      </c>
      <c r="AF15">
        <v>12.108646370228719</v>
      </c>
      <c r="AG15">
        <v>18.546058857714634</v>
      </c>
      <c r="AH15">
        <v>5.7299166277096667</v>
      </c>
      <c r="AI15">
        <v>2.6512594265238034</v>
      </c>
      <c r="AK15">
        <v>61.892484163768742</v>
      </c>
    </row>
    <row r="16" spans="1:47" x14ac:dyDescent="0.2">
      <c r="A16">
        <v>15</v>
      </c>
      <c r="B16">
        <v>736</v>
      </c>
      <c r="C16">
        <v>300</v>
      </c>
      <c r="D16">
        <v>0.25942674528068399</v>
      </c>
      <c r="E16">
        <v>212.72452875532599</v>
      </c>
      <c r="F16">
        <v>49.778658495359473</v>
      </c>
      <c r="G16">
        <v>70.000051781234504</v>
      </c>
      <c r="H16">
        <v>65.35414863467885</v>
      </c>
      <c r="J16">
        <v>71.963991215584144</v>
      </c>
      <c r="L16">
        <v>4.3765224746601703</v>
      </c>
      <c r="M16">
        <v>12.098318483120558</v>
      </c>
      <c r="N16">
        <v>2.7095524080329128</v>
      </c>
      <c r="O16">
        <v>17.07480947402636</v>
      </c>
      <c r="P16">
        <v>8.987002602013602</v>
      </c>
      <c r="R16">
        <v>9.8660782217491487</v>
      </c>
      <c r="S16">
        <v>35.69790087584645</v>
      </c>
      <c r="U16">
        <v>1.5599482073841103E-3</v>
      </c>
      <c r="V16">
        <v>46.559975451130292</v>
      </c>
      <c r="W16">
        <v>16.946106174090424</v>
      </c>
      <c r="X16">
        <v>44.636304832583214</v>
      </c>
      <c r="Y16">
        <v>6.0760144903653117</v>
      </c>
      <c r="Z16">
        <v>22.721935034696596</v>
      </c>
      <c r="AA16">
        <v>3.326362527722071</v>
      </c>
      <c r="AB16">
        <v>31.344227710011733</v>
      </c>
      <c r="AD16">
        <v>3.2321523364366418</v>
      </c>
      <c r="AE16">
        <v>8.5962308741138695</v>
      </c>
      <c r="AF16">
        <v>11.762741925621507</v>
      </c>
      <c r="AG16">
        <v>16.477736594469864</v>
      </c>
      <c r="AH16">
        <v>3.503117878191206</v>
      </c>
      <c r="AI16">
        <v>2.6545566602622643</v>
      </c>
      <c r="AK16">
        <v>60.475952082089307</v>
      </c>
    </row>
    <row r="17" spans="1:37" x14ac:dyDescent="0.2">
      <c r="A17">
        <v>16</v>
      </c>
      <c r="B17">
        <v>734</v>
      </c>
      <c r="C17">
        <v>300</v>
      </c>
      <c r="D17">
        <v>0.25781710768008598</v>
      </c>
      <c r="E17">
        <v>212.19443410230318</v>
      </c>
      <c r="F17">
        <v>44.557681010143718</v>
      </c>
      <c r="G17">
        <v>69.229733224746511</v>
      </c>
      <c r="H17">
        <v>64.579631283908824</v>
      </c>
      <c r="J17">
        <v>52.233218085799656</v>
      </c>
      <c r="L17">
        <v>1.6859054946126526</v>
      </c>
      <c r="M17">
        <v>11.57774440711483</v>
      </c>
      <c r="N17">
        <v>2.7134668024142425</v>
      </c>
      <c r="O17">
        <v>5.0358929976932227</v>
      </c>
      <c r="P17">
        <v>7.4936211043022558</v>
      </c>
      <c r="R17">
        <v>6.1541536796135095</v>
      </c>
      <c r="S17">
        <v>29.252588307221664</v>
      </c>
      <c r="V17">
        <v>46.58614040125606</v>
      </c>
      <c r="W17">
        <v>16.256361900401309</v>
      </c>
      <c r="X17">
        <v>44.703878731111644</v>
      </c>
      <c r="Y17">
        <v>3.5454340144410836</v>
      </c>
      <c r="Z17">
        <v>17.958480727199746</v>
      </c>
      <c r="AB17">
        <v>29.408148349399298</v>
      </c>
      <c r="AE17">
        <v>6.4496030682254517</v>
      </c>
      <c r="AF17">
        <v>11.239920722005518</v>
      </c>
      <c r="AG17">
        <v>14.51168669397372</v>
      </c>
      <c r="AI17">
        <v>2.6578580495509936</v>
      </c>
      <c r="AK17">
        <v>47.294066438478616</v>
      </c>
    </row>
    <row r="18" spans="1:37" x14ac:dyDescent="0.2">
      <c r="A18">
        <v>17</v>
      </c>
      <c r="B18">
        <v>732</v>
      </c>
      <c r="C18">
        <v>300</v>
      </c>
      <c r="D18">
        <v>0.256201064517732</v>
      </c>
      <c r="E18">
        <v>212.55463727666617</v>
      </c>
      <c r="F18">
        <v>45.632234080735941</v>
      </c>
      <c r="G18">
        <v>69.188302091062397</v>
      </c>
      <c r="H18">
        <v>64.534055342636407</v>
      </c>
      <c r="J18">
        <v>41.991244547190583</v>
      </c>
      <c r="L18">
        <v>1.7162255730351026</v>
      </c>
      <c r="M18">
        <v>10.734708719237492</v>
      </c>
      <c r="N18">
        <v>2.7174359246947155</v>
      </c>
      <c r="O18">
        <v>5.0643111678466575</v>
      </c>
      <c r="P18">
        <v>7.4581022436857882</v>
      </c>
      <c r="R18">
        <v>5.4597052503418544</v>
      </c>
      <c r="S18">
        <v>29.586830722800187</v>
      </c>
      <c r="V18">
        <v>47.515459834239756</v>
      </c>
      <c r="W18">
        <v>15.244542797220705</v>
      </c>
      <c r="X18">
        <v>44.771920236731468</v>
      </c>
      <c r="Y18">
        <v>3.1204123288588335</v>
      </c>
      <c r="Z18">
        <v>18.304527114303756</v>
      </c>
      <c r="AB18">
        <v>30.129331392863616</v>
      </c>
      <c r="AE18">
        <v>6.6311082218618997</v>
      </c>
      <c r="AF18">
        <v>10.39469430282511</v>
      </c>
      <c r="AG18">
        <v>15.202964550801434</v>
      </c>
      <c r="AI18">
        <v>2.6612106812006844</v>
      </c>
      <c r="AK18">
        <v>40.328182651664349</v>
      </c>
    </row>
    <row r="19" spans="1:37" x14ac:dyDescent="0.2">
      <c r="A19">
        <v>18</v>
      </c>
      <c r="B19">
        <v>764</v>
      </c>
      <c r="C19">
        <v>275</v>
      </c>
      <c r="D19">
        <v>0.30782480836908999</v>
      </c>
      <c r="E19">
        <v>202.15314260241161</v>
      </c>
      <c r="F19">
        <v>64.486834921428624</v>
      </c>
      <c r="G19">
        <v>72.361324172688043</v>
      </c>
      <c r="H19">
        <v>67.778670533894413</v>
      </c>
      <c r="J19">
        <v>76.3147059937465</v>
      </c>
      <c r="L19">
        <v>7.862334955476836</v>
      </c>
      <c r="M19">
        <v>14.364358932345013</v>
      </c>
      <c r="N19">
        <v>2.5797851404079979</v>
      </c>
      <c r="O19">
        <v>32.352296337592506</v>
      </c>
      <c r="P19">
        <v>12.835257475121999</v>
      </c>
      <c r="Q19">
        <v>1.5508719860190039</v>
      </c>
      <c r="R19">
        <v>18.016241939879656</v>
      </c>
      <c r="S19">
        <v>51.768870831493921</v>
      </c>
      <c r="U19">
        <v>2.3203939117487207</v>
      </c>
      <c r="V19">
        <v>49.802606802873349</v>
      </c>
      <c r="W19">
        <v>23.461548714688167</v>
      </c>
      <c r="X19">
        <v>49.718233980174546</v>
      </c>
      <c r="Y19">
        <v>9.6570108783431525</v>
      </c>
      <c r="Z19">
        <v>32.18571555356484</v>
      </c>
      <c r="AA19">
        <v>6.9354594450020377</v>
      </c>
      <c r="AB19">
        <v>37.743773268708566</v>
      </c>
      <c r="AC19">
        <v>1.6662084018606641E-2</v>
      </c>
      <c r="AD19">
        <v>8.6240191270091202</v>
      </c>
      <c r="AE19">
        <v>12.999704485067291</v>
      </c>
      <c r="AF19">
        <v>14.062517044087798</v>
      </c>
      <c r="AG19">
        <v>23.33082394105622</v>
      </c>
      <c r="AH19">
        <v>8.8450106843046683</v>
      </c>
      <c r="AI19">
        <v>2.5297379984506683</v>
      </c>
      <c r="AK19">
        <v>62.012258098396579</v>
      </c>
    </row>
    <row r="20" spans="1:37" x14ac:dyDescent="0.2">
      <c r="A20">
        <v>19</v>
      </c>
      <c r="B20">
        <v>762</v>
      </c>
      <c r="C20">
        <v>275</v>
      </c>
      <c r="D20">
        <v>0.306352219485102</v>
      </c>
      <c r="E20">
        <v>201.94282422683227</v>
      </c>
      <c r="F20">
        <v>63.841137345783096</v>
      </c>
      <c r="G20">
        <v>72.252571224735206</v>
      </c>
      <c r="H20">
        <v>67.664960532763601</v>
      </c>
      <c r="J20">
        <v>76.177506993145769</v>
      </c>
      <c r="L20">
        <v>7.7078143620119226</v>
      </c>
      <c r="M20">
        <v>14.264482147708835</v>
      </c>
      <c r="N20">
        <v>2.5667862841192575</v>
      </c>
      <c r="O20">
        <v>31.617221534443633</v>
      </c>
      <c r="P20">
        <v>12.647631104585628</v>
      </c>
      <c r="Q20">
        <v>1.453565452777305</v>
      </c>
      <c r="R20">
        <v>17.647945592359587</v>
      </c>
      <c r="S20">
        <v>51.048133324583226</v>
      </c>
      <c r="U20">
        <v>2.1927248320664683</v>
      </c>
      <c r="V20">
        <v>49.639415869684981</v>
      </c>
      <c r="W20">
        <v>23.121888354529805</v>
      </c>
      <c r="X20">
        <v>49.413635592498366</v>
      </c>
      <c r="Y20">
        <v>9.4980620677527803</v>
      </c>
      <c r="Z20">
        <v>31.832974758521669</v>
      </c>
      <c r="AA20">
        <v>6.7758038355207315</v>
      </c>
      <c r="AB20">
        <v>37.502247858677599</v>
      </c>
      <c r="AD20">
        <v>8.4273170688951407</v>
      </c>
      <c r="AE20">
        <v>12.838503251775874</v>
      </c>
      <c r="AF20">
        <v>13.943454271749982</v>
      </c>
      <c r="AG20">
        <v>23.04233692788759</v>
      </c>
      <c r="AH20">
        <v>8.624382382323919</v>
      </c>
      <c r="AI20">
        <v>2.516175644444901</v>
      </c>
      <c r="AK20">
        <v>61.99227949662891</v>
      </c>
    </row>
    <row r="21" spans="1:37" x14ac:dyDescent="0.2">
      <c r="A21">
        <v>20</v>
      </c>
      <c r="B21">
        <v>760</v>
      </c>
      <c r="C21">
        <v>275</v>
      </c>
      <c r="D21">
        <v>0.30487392924551299</v>
      </c>
      <c r="E21">
        <v>201.69278112265283</v>
      </c>
      <c r="F21">
        <v>63.057471031235679</v>
      </c>
      <c r="G21">
        <v>72.123966258822577</v>
      </c>
      <c r="H21">
        <v>67.531450141055146</v>
      </c>
      <c r="J21">
        <v>75.966474978679415</v>
      </c>
      <c r="L21">
        <v>7.5323606741119216</v>
      </c>
      <c r="M21">
        <v>14.10921711142065</v>
      </c>
      <c r="N21">
        <v>2.5707345924959588</v>
      </c>
      <c r="O21">
        <v>30.82732846439762</v>
      </c>
      <c r="P21">
        <v>12.437278316112639</v>
      </c>
      <c r="Q21">
        <v>1.3138885443605959</v>
      </c>
      <c r="R21">
        <v>17.192185931269442</v>
      </c>
      <c r="S21">
        <v>50.05192260261893</v>
      </c>
      <c r="U21">
        <v>2.01704851395679</v>
      </c>
      <c r="V21">
        <v>49.388422302518094</v>
      </c>
      <c r="W21">
        <v>22.676886600776754</v>
      </c>
      <c r="X21">
        <v>48.946705367655255</v>
      </c>
      <c r="Y21">
        <v>9.3102353975736705</v>
      </c>
      <c r="Z21">
        <v>31.397812836800568</v>
      </c>
      <c r="AA21">
        <v>6.5950223591327521</v>
      </c>
      <c r="AB21">
        <v>37.160062530394249</v>
      </c>
      <c r="AD21">
        <v>8.1780215226317097</v>
      </c>
      <c r="AE21">
        <v>12.644417811905855</v>
      </c>
      <c r="AF21">
        <v>13.785951465737691</v>
      </c>
      <c r="AG21">
        <v>22.670147105737431</v>
      </c>
      <c r="AH21">
        <v>8.3399289260591569</v>
      </c>
      <c r="AI21">
        <v>2.5195571756010247</v>
      </c>
      <c r="AK21">
        <v>61.94552659044799</v>
      </c>
    </row>
    <row r="22" spans="1:37" x14ac:dyDescent="0.2">
      <c r="A22">
        <v>21</v>
      </c>
      <c r="B22">
        <v>758</v>
      </c>
      <c r="C22">
        <v>275</v>
      </c>
      <c r="D22">
        <v>0.303389904475587</v>
      </c>
      <c r="E22">
        <v>201.44338470117577</v>
      </c>
      <c r="F22">
        <v>62.276640821917596</v>
      </c>
      <c r="G22">
        <v>71.995702225235988</v>
      </c>
      <c r="H22">
        <v>67.398332473995865</v>
      </c>
      <c r="J22">
        <v>75.757901960090351</v>
      </c>
      <c r="L22">
        <v>7.357587204785272</v>
      </c>
      <c r="M22">
        <v>13.954551160028965</v>
      </c>
      <c r="N22">
        <v>2.5746823757882198</v>
      </c>
      <c r="O22">
        <v>30.039931918374538</v>
      </c>
      <c r="P22">
        <v>12.227637499481869</v>
      </c>
      <c r="Q22">
        <v>1.1746762797058401</v>
      </c>
      <c r="R22">
        <v>16.737918268865471</v>
      </c>
      <c r="S22">
        <v>49.059506582945872</v>
      </c>
      <c r="U22">
        <v>1.8416825512315647</v>
      </c>
      <c r="V22">
        <v>49.138223077028108</v>
      </c>
      <c r="W22">
        <v>22.233027122850302</v>
      </c>
      <c r="X22">
        <v>48.48156801123217</v>
      </c>
      <c r="Y22">
        <v>9.1230506589513478</v>
      </c>
      <c r="Z22">
        <v>30.963813435140704</v>
      </c>
      <c r="AA22">
        <v>6.4149310674552105</v>
      </c>
      <c r="AB22">
        <v>36.818980549658022</v>
      </c>
      <c r="AD22">
        <v>7.9291703125132553</v>
      </c>
      <c r="AE22">
        <v>12.450826469650034</v>
      </c>
      <c r="AF22">
        <v>13.629048317184353</v>
      </c>
      <c r="AG22">
        <v>22.299070097294248</v>
      </c>
      <c r="AH22">
        <v>8.0563834608220013</v>
      </c>
      <c r="AI22">
        <v>2.5229348874711399</v>
      </c>
      <c r="AK22">
        <v>61.900065351976195</v>
      </c>
    </row>
    <row r="23" spans="1:37" x14ac:dyDescent="0.2">
      <c r="A23">
        <v>22</v>
      </c>
      <c r="B23">
        <v>756</v>
      </c>
      <c r="C23">
        <v>275</v>
      </c>
      <c r="D23">
        <v>0.30190011174270298</v>
      </c>
      <c r="E23">
        <v>201.19463152578615</v>
      </c>
      <c r="F23">
        <v>61.498631727395725</v>
      </c>
      <c r="G23">
        <v>71.867777753915533</v>
      </c>
      <c r="H23">
        <v>67.265606327105218</v>
      </c>
      <c r="J23">
        <v>75.551784051758233</v>
      </c>
      <c r="L23">
        <v>7.1834322607385186</v>
      </c>
      <c r="M23">
        <v>13.800480252187061</v>
      </c>
      <c r="N23">
        <v>2.5786296383656895</v>
      </c>
      <c r="O23">
        <v>29.255020465975505</v>
      </c>
      <c r="P23">
        <v>12.018706098893881</v>
      </c>
      <c r="Q23">
        <v>1.0360406343944488</v>
      </c>
      <c r="R23">
        <v>16.285133092058526</v>
      </c>
      <c r="S23">
        <v>48.070861789367783</v>
      </c>
      <c r="U23">
        <v>1.6666238244676661</v>
      </c>
      <c r="V23">
        <v>48.888812387308441</v>
      </c>
      <c r="W23">
        <v>21.790301646846466</v>
      </c>
      <c r="X23">
        <v>48.018211169289749</v>
      </c>
      <c r="Y23">
        <v>8.9365046421660708</v>
      </c>
      <c r="Z23">
        <v>30.530967723788756</v>
      </c>
      <c r="AA23">
        <v>6.2355266559101148</v>
      </c>
      <c r="AB23">
        <v>36.478993668864327</v>
      </c>
      <c r="AD23">
        <v>7.680762148996461</v>
      </c>
      <c r="AE23">
        <v>12.257724961576061</v>
      </c>
      <c r="AF23">
        <v>13.472740833647693</v>
      </c>
      <c r="AG23">
        <v>21.92909770625279</v>
      </c>
      <c r="AH23">
        <v>7.7737427755080608</v>
      </c>
      <c r="AI23">
        <v>2.5263087697223394</v>
      </c>
      <c r="AK23">
        <v>61.855895092612258</v>
      </c>
    </row>
    <row r="24" spans="1:37" x14ac:dyDescent="0.2">
      <c r="A24">
        <v>23</v>
      </c>
      <c r="B24">
        <v>754</v>
      </c>
      <c r="C24">
        <v>275</v>
      </c>
      <c r="D24">
        <v>0.30040451735384299</v>
      </c>
      <c r="E24">
        <v>200.94651824471964</v>
      </c>
      <c r="F24">
        <v>60.723429114662252</v>
      </c>
      <c r="G24">
        <v>71.74019151726344</v>
      </c>
      <c r="H24">
        <v>67.133270539011136</v>
      </c>
      <c r="J24">
        <v>75.348117545398495</v>
      </c>
      <c r="L24">
        <v>7.0100036672514108</v>
      </c>
      <c r="M24">
        <v>13.647000419325718</v>
      </c>
      <c r="N24">
        <v>2.5825763846965044</v>
      </c>
      <c r="O24">
        <v>28.472582957496378</v>
      </c>
      <c r="P24">
        <v>11.810481644565954</v>
      </c>
      <c r="Q24">
        <v>0.89792045692044853</v>
      </c>
      <c r="R24">
        <v>15.833821092689897</v>
      </c>
      <c r="S24">
        <v>47.085965198051014</v>
      </c>
      <c r="U24">
        <v>1.491869295667428</v>
      </c>
      <c r="V24">
        <v>48.64018444327224</v>
      </c>
      <c r="W24">
        <v>21.348702040839711</v>
      </c>
      <c r="X24">
        <v>47.556622723883891</v>
      </c>
      <c r="Y24">
        <v>8.7505942282631501</v>
      </c>
      <c r="Z24">
        <v>30.099267010844468</v>
      </c>
      <c r="AA24">
        <v>6.0568059041961675</v>
      </c>
      <c r="AB24">
        <v>36.140093771482199</v>
      </c>
      <c r="AD24">
        <v>7.4327957802514621</v>
      </c>
      <c r="AE24">
        <v>12.065109082690798</v>
      </c>
      <c r="AF24">
        <v>13.317025095762824</v>
      </c>
      <c r="AG24">
        <v>21.560221867780516</v>
      </c>
      <c r="AH24">
        <v>7.4920037713351011</v>
      </c>
      <c r="AI24">
        <v>2.5296788121147316</v>
      </c>
      <c r="AK24">
        <v>61.813015215983739</v>
      </c>
    </row>
    <row r="25" spans="1:37" x14ac:dyDescent="0.2">
      <c r="A25">
        <v>24</v>
      </c>
      <c r="B25">
        <v>752</v>
      </c>
      <c r="C25">
        <v>275</v>
      </c>
      <c r="D25">
        <v>0.29890308735307097</v>
      </c>
      <c r="E25">
        <v>200.69904158995723</v>
      </c>
      <c r="F25">
        <v>59.951018702602155</v>
      </c>
      <c r="G25">
        <v>71.612942229643281</v>
      </c>
      <c r="H25">
        <v>67.001323990946915</v>
      </c>
      <c r="J25">
        <v>75.146898908069375</v>
      </c>
      <c r="L25">
        <v>6.8372450768682498</v>
      </c>
      <c r="M25">
        <v>13.4941077644914</v>
      </c>
      <c r="N25">
        <v>2.5865226192026998</v>
      </c>
      <c r="O25">
        <v>27.692608519439002</v>
      </c>
      <c r="P25">
        <v>11.602961751605193</v>
      </c>
      <c r="Q25">
        <v>0.76031030138308775</v>
      </c>
      <c r="R25">
        <v>15.383973164643047</v>
      </c>
      <c r="S25">
        <v>46.10479423086241</v>
      </c>
      <c r="U25">
        <v>1.3174160073049759</v>
      </c>
      <c r="V25">
        <v>48.392333463616005</v>
      </c>
      <c r="W25">
        <v>20.908220312437219</v>
      </c>
      <c r="X25">
        <v>47.096790787920774</v>
      </c>
      <c r="Y25">
        <v>8.5653163880428931</v>
      </c>
      <c r="Z25">
        <v>29.668702739259121</v>
      </c>
      <c r="AA25">
        <v>5.8787656760815512</v>
      </c>
      <c r="AB25">
        <v>35.802272869482252</v>
      </c>
      <c r="AD25">
        <v>7.185269992036841</v>
      </c>
      <c r="AE25">
        <v>11.872974684913419</v>
      </c>
      <c r="AF25">
        <v>13.161897255936076</v>
      </c>
      <c r="AG25">
        <v>21.192434645804898</v>
      </c>
      <c r="AH25">
        <v>7.211163460465575</v>
      </c>
      <c r="AI25">
        <v>2.5330450043588311</v>
      </c>
      <c r="AK25">
        <v>61.771425216943157</v>
      </c>
    </row>
    <row r="26" spans="1:37" x14ac:dyDescent="0.2">
      <c r="A26">
        <v>25</v>
      </c>
      <c r="B26">
        <v>750</v>
      </c>
      <c r="C26">
        <v>275</v>
      </c>
      <c r="D26">
        <v>0.29739578751893703</v>
      </c>
      <c r="E26">
        <v>200.45219837611103</v>
      </c>
      <c r="F26">
        <v>59.181386556253898</v>
      </c>
      <c r="G26">
        <v>71.486028646809217</v>
      </c>
      <c r="H26">
        <v>66.86976560619118</v>
      </c>
      <c r="J26">
        <v>74.948124780130698</v>
      </c>
      <c r="L26">
        <v>6.6651537888976602</v>
      </c>
      <c r="M26">
        <v>13.341798460866841</v>
      </c>
      <c r="N26">
        <v>2.5904683462999096</v>
      </c>
      <c r="O26">
        <v>26.915086550182668</v>
      </c>
      <c r="P26">
        <v>11.396144118903505</v>
      </c>
      <c r="Q26">
        <v>0.62314296953378467</v>
      </c>
      <c r="R26">
        <v>14.935580400737001</v>
      </c>
      <c r="S26">
        <v>45.127326747325512</v>
      </c>
      <c r="U26">
        <v>1.1432610811197059</v>
      </c>
      <c r="V26">
        <v>48.145253667999924</v>
      </c>
      <c r="W26">
        <v>20.468848605523299</v>
      </c>
      <c r="X26">
        <v>46.638703701879052</v>
      </c>
      <c r="Y26">
        <v>8.3806681810138315</v>
      </c>
      <c r="Z26">
        <v>29.239266483055761</v>
      </c>
      <c r="AA26">
        <v>5.7014029194095999</v>
      </c>
      <c r="AB26">
        <v>35.465523099942445</v>
      </c>
      <c r="AD26">
        <v>6.9381836070522489</v>
      </c>
      <c r="AE26">
        <v>11.681317675161184</v>
      </c>
      <c r="AF26">
        <v>13.007353536907251</v>
      </c>
      <c r="AG26">
        <v>20.825728229651784</v>
      </c>
      <c r="AH26">
        <v>6.9312189643252413</v>
      </c>
      <c r="AI26">
        <v>2.5364073361551425</v>
      </c>
      <c r="AK26">
        <v>61.731124680714814</v>
      </c>
    </row>
    <row r="27" spans="1:37" x14ac:dyDescent="0.2">
      <c r="A27">
        <v>26</v>
      </c>
      <c r="B27">
        <v>748</v>
      </c>
      <c r="C27">
        <v>275</v>
      </c>
      <c r="D27">
        <v>0.29588258336189799</v>
      </c>
      <c r="E27">
        <v>200.20598549921499</v>
      </c>
      <c r="F27">
        <v>58.414519080826679</v>
      </c>
      <c r="G27">
        <v>71.359449565314989</v>
      </c>
      <c r="H27">
        <v>66.738594349474027</v>
      </c>
      <c r="J27">
        <v>74.751791973068137</v>
      </c>
      <c r="L27">
        <v>6.4937274735932515</v>
      </c>
      <c r="M27">
        <v>13.190068750243682</v>
      </c>
      <c r="N27">
        <v>2.5944135704346167</v>
      </c>
      <c r="O27">
        <v>26.140006715537101</v>
      </c>
      <c r="P27">
        <v>11.190026528002322</v>
      </c>
      <c r="Q27">
        <v>0.48652812799306955</v>
      </c>
      <c r="R27">
        <v>14.48863408946632</v>
      </c>
      <c r="S27">
        <v>44.153541036553321</v>
      </c>
      <c r="U27">
        <v>0.96940171687097043</v>
      </c>
      <c r="V27">
        <v>47.898939268573073</v>
      </c>
      <c r="W27">
        <v>20.030579196999962</v>
      </c>
      <c r="X27">
        <v>46.182350029117359</v>
      </c>
      <c r="Y27">
        <v>8.196646754304302</v>
      </c>
      <c r="Z27">
        <v>28.810949943592465</v>
      </c>
      <c r="AA27">
        <v>5.5247146661947628</v>
      </c>
      <c r="AB27">
        <v>35.129836721631548</v>
      </c>
      <c r="AD27">
        <v>6.6915354842171553</v>
      </c>
      <c r="AE27">
        <v>11.490134013485056</v>
      </c>
      <c r="AF27">
        <v>12.853390230260221</v>
      </c>
      <c r="AG27">
        <v>20.460094930678931</v>
      </c>
      <c r="AH27">
        <v>6.652167511851359</v>
      </c>
      <c r="AI27">
        <v>2.5397657972321079</v>
      </c>
      <c r="AK27">
        <v>61.69211328196446</v>
      </c>
    </row>
    <row r="28" spans="1:37" x14ac:dyDescent="0.2">
      <c r="A28">
        <v>27</v>
      </c>
      <c r="B28">
        <v>746</v>
      </c>
      <c r="C28">
        <v>275</v>
      </c>
      <c r="D28">
        <v>0.29436344012167098</v>
      </c>
      <c r="E28">
        <v>199.96039993578489</v>
      </c>
      <c r="F28">
        <v>57.65040301657784</v>
      </c>
      <c r="G28">
        <v>71.233203822023782</v>
      </c>
      <c r="H28">
        <v>66.607809226494368</v>
      </c>
      <c r="J28">
        <v>74.557897467793381</v>
      </c>
      <c r="L28">
        <v>6.3229018185457209</v>
      </c>
      <c r="M28">
        <v>13.038914941753308</v>
      </c>
      <c r="N28">
        <v>2.598358296082059</v>
      </c>
      <c r="O28">
        <v>25.36735894478581</v>
      </c>
      <c r="P28">
        <v>10.984606842120764</v>
      </c>
      <c r="Q28">
        <v>0.35040613375742941</v>
      </c>
      <c r="R28">
        <v>14.04312571229385</v>
      </c>
      <c r="S28">
        <v>43.183415810041737</v>
      </c>
      <c r="U28">
        <v>0.795835191317524</v>
      </c>
      <c r="V28">
        <v>47.653384461416422</v>
      </c>
      <c r="W28">
        <v>19.593404493915973</v>
      </c>
      <c r="X28">
        <v>45.727718552717199</v>
      </c>
      <c r="Y28">
        <v>8.0132493417583746</v>
      </c>
      <c r="Z28">
        <v>28.38374494607697</v>
      </c>
      <c r="AA28">
        <v>5.3487745447236597</v>
      </c>
      <c r="AB28">
        <v>34.795206111973229</v>
      </c>
      <c r="AD28">
        <v>6.4453245180584062</v>
      </c>
      <c r="AE28">
        <v>11.299419711280741</v>
      </c>
      <c r="AF28">
        <v>12.70000369515073</v>
      </c>
      <c r="AG28">
        <v>20.095527179233592</v>
      </c>
      <c r="AH28">
        <v>6.3740064380558472</v>
      </c>
      <c r="AI28">
        <v>2.5431203773441324</v>
      </c>
      <c r="AK28">
        <v>61.654390784093316</v>
      </c>
    </row>
    <row r="29" spans="1:37" x14ac:dyDescent="0.2">
      <c r="A29">
        <v>28</v>
      </c>
      <c r="B29">
        <v>744</v>
      </c>
      <c r="C29">
        <v>275</v>
      </c>
      <c r="D29">
        <v>0.29283832276459099</v>
      </c>
      <c r="E29">
        <v>199.71543874172241</v>
      </c>
      <c r="F29">
        <v>56.889025433377022</v>
      </c>
      <c r="G29">
        <v>71.107290293599917</v>
      </c>
      <c r="H29">
        <v>66.477409283417245</v>
      </c>
      <c r="J29">
        <v>74.366438412758697</v>
      </c>
      <c r="L29">
        <v>6.152788433408805</v>
      </c>
      <c r="M29">
        <v>12.888333410527368</v>
      </c>
      <c r="N29">
        <v>2.6023025277198024</v>
      </c>
      <c r="O29">
        <v>24.597133426586296</v>
      </c>
      <c r="P29">
        <v>10.779883005116281</v>
      </c>
      <c r="Q29">
        <v>0.21477173977298572</v>
      </c>
      <c r="R29">
        <v>13.599046940710377</v>
      </c>
      <c r="S29">
        <v>42.216930194704993</v>
      </c>
      <c r="U29">
        <v>0.62255885716231618</v>
      </c>
      <c r="V29">
        <v>47.408583417271167</v>
      </c>
      <c r="W29">
        <v>19.157317030614831</v>
      </c>
      <c r="X29">
        <v>45.274798272213239</v>
      </c>
      <c r="Y29">
        <v>7.8304732629704965</v>
      </c>
      <c r="Z29">
        <v>27.957643436218685</v>
      </c>
      <c r="AA29">
        <v>5.173425702346365</v>
      </c>
      <c r="AB29">
        <v>34.461623764058658</v>
      </c>
      <c r="AD29">
        <v>6.1995496380806445</v>
      </c>
      <c r="AE29">
        <v>11.109170829604857</v>
      </c>
      <c r="AF29">
        <v>12.547190356942016</v>
      </c>
      <c r="AG29">
        <v>19.732017521644806</v>
      </c>
      <c r="AH29">
        <v>6.0967331825302837</v>
      </c>
      <c r="AI29">
        <v>2.5464710662463181</v>
      </c>
      <c r="AK29">
        <v>61.617957038392454</v>
      </c>
    </row>
    <row r="30" spans="1:37" x14ac:dyDescent="0.2">
      <c r="A30">
        <v>29</v>
      </c>
      <c r="B30">
        <v>742</v>
      </c>
      <c r="C30">
        <v>275</v>
      </c>
      <c r="D30">
        <v>0.291307195980888</v>
      </c>
      <c r="E30">
        <v>199.47109905166451</v>
      </c>
      <c r="F30">
        <v>56.130373726526862</v>
      </c>
      <c r="G30">
        <v>70.981707896141202</v>
      </c>
      <c r="H30">
        <v>66.347393606503829</v>
      </c>
      <c r="J30">
        <v>74.177412122781675</v>
      </c>
      <c r="L30">
        <v>5.9833328064492601</v>
      </c>
      <c r="M30">
        <v>12.738320596685442</v>
      </c>
      <c r="N30">
        <v>2.6062462697876954</v>
      </c>
      <c r="O30">
        <v>23.82932060551629</v>
      </c>
      <c r="P30">
        <v>10.575853040716083</v>
      </c>
      <c r="Q30">
        <v>7.9556514627682193E-2</v>
      </c>
      <c r="R30">
        <v>13.156389634064981</v>
      </c>
      <c r="S30">
        <v>41.254063727366621</v>
      </c>
      <c r="U30">
        <v>0.44957014227163816</v>
      </c>
      <c r="V30">
        <v>47.164530272297405</v>
      </c>
      <c r="W30">
        <v>18.722309466319572</v>
      </c>
      <c r="X30">
        <v>44.823578400631895</v>
      </c>
      <c r="Y30">
        <v>7.6483159225889121</v>
      </c>
      <c r="Z30">
        <v>27.532637477004162</v>
      </c>
      <c r="AA30">
        <v>4.9987429325724948</v>
      </c>
      <c r="AB30">
        <v>34.129082283973311</v>
      </c>
      <c r="AD30">
        <v>5.9542098082103143</v>
      </c>
      <c r="AE30">
        <v>10.919383477467822</v>
      </c>
      <c r="AF30">
        <v>12.394946706158926</v>
      </c>
      <c r="AG30">
        <v>19.369558617512563</v>
      </c>
      <c r="AH30">
        <v>5.8203452883318025</v>
      </c>
      <c r="AI30">
        <v>2.5498178536555836</v>
      </c>
      <c r="AK30">
        <v>61.582811983621824</v>
      </c>
    </row>
    <row r="31" spans="1:37" x14ac:dyDescent="0.2">
      <c r="A31">
        <v>30</v>
      </c>
      <c r="B31">
        <v>740</v>
      </c>
      <c r="C31">
        <v>275</v>
      </c>
      <c r="D31">
        <v>0.28977002418201098</v>
      </c>
      <c r="E31">
        <v>198.6201762517706</v>
      </c>
      <c r="F31">
        <v>50.899526374727614</v>
      </c>
      <c r="G31">
        <v>70.228413945173514</v>
      </c>
      <c r="H31">
        <v>65.58971968211759</v>
      </c>
      <c r="J31">
        <v>72.028994323828115</v>
      </c>
      <c r="L31">
        <v>4.6100009207016734</v>
      </c>
      <c r="M31">
        <v>12.535799265165851</v>
      </c>
      <c r="N31">
        <v>2.610156070895866</v>
      </c>
      <c r="O31">
        <v>18.612680475425822</v>
      </c>
      <c r="P31">
        <v>9.1163983167258564</v>
      </c>
      <c r="R31">
        <v>10.977734690201167</v>
      </c>
      <c r="S31">
        <v>37.838121752868481</v>
      </c>
      <c r="U31">
        <v>0.27172311748960898</v>
      </c>
      <c r="V31">
        <v>46.775002317694828</v>
      </c>
      <c r="W31">
        <v>18.336339197149506</v>
      </c>
      <c r="X31">
        <v>44.359183371105246</v>
      </c>
      <c r="Y31">
        <v>6.199362906984482</v>
      </c>
      <c r="Z31">
        <v>23.905128008689768</v>
      </c>
      <c r="AA31">
        <v>3.5969449692964264</v>
      </c>
      <c r="AB31">
        <v>32.492148068159899</v>
      </c>
      <c r="AD31">
        <v>3.8705356179372719</v>
      </c>
      <c r="AE31">
        <v>9.3537400558210333</v>
      </c>
      <c r="AF31">
        <v>12.190162102515691</v>
      </c>
      <c r="AG31">
        <v>17.70268346127575</v>
      </c>
      <c r="AH31">
        <v>3.5684270243824443</v>
      </c>
      <c r="AI31">
        <v>2.5531272734573811</v>
      </c>
      <c r="AK31">
        <v>60.217456483374505</v>
      </c>
    </row>
    <row r="32" spans="1:37" x14ac:dyDescent="0.2">
      <c r="A32">
        <v>31</v>
      </c>
      <c r="B32">
        <v>738</v>
      </c>
      <c r="C32">
        <v>275</v>
      </c>
      <c r="D32">
        <v>0.28822677149780002</v>
      </c>
      <c r="E32">
        <v>197.96488792964715</v>
      </c>
      <c r="F32">
        <v>44.709572879667981</v>
      </c>
      <c r="G32">
        <v>69.480287712415503</v>
      </c>
      <c r="H32">
        <v>64.83726695348723</v>
      </c>
      <c r="J32">
        <v>54.970099923759172</v>
      </c>
      <c r="L32">
        <v>1.6713100809932184</v>
      </c>
      <c r="M32">
        <v>12.060952102340094</v>
      </c>
      <c r="N32">
        <v>2.6140843042973567</v>
      </c>
      <c r="O32">
        <v>5.1489093440645002</v>
      </c>
      <c r="P32">
        <v>7.6673299390345946</v>
      </c>
      <c r="R32">
        <v>7.2179093509322945</v>
      </c>
      <c r="S32">
        <v>32.218531650747309</v>
      </c>
      <c r="U32">
        <v>0.14801656710166447</v>
      </c>
      <c r="V32">
        <v>47.307081912351087</v>
      </c>
      <c r="W32">
        <v>17.759320996971052</v>
      </c>
      <c r="X32">
        <v>44.071651981875242</v>
      </c>
      <c r="Y32">
        <v>3.560020330702633</v>
      </c>
      <c r="Z32">
        <v>17.762286457385247</v>
      </c>
      <c r="AB32">
        <v>30.593724396106868</v>
      </c>
      <c r="AE32">
        <v>6.422152066023803</v>
      </c>
      <c r="AF32">
        <v>11.713071652016245</v>
      </c>
      <c r="AG32">
        <v>15.774347755385197</v>
      </c>
      <c r="AI32">
        <v>2.5564516841805442</v>
      </c>
      <c r="AK32">
        <v>48.543486318285758</v>
      </c>
    </row>
    <row r="33" spans="1:37" x14ac:dyDescent="0.2">
      <c r="A33">
        <v>32</v>
      </c>
      <c r="B33">
        <v>736</v>
      </c>
      <c r="C33">
        <v>275</v>
      </c>
      <c r="D33">
        <v>0.28667740177377199</v>
      </c>
      <c r="E33">
        <v>198.27538579440144</v>
      </c>
      <c r="F33">
        <v>45.683284236930433</v>
      </c>
      <c r="G33">
        <v>69.433552102179561</v>
      </c>
      <c r="H33">
        <v>64.786258497114133</v>
      </c>
      <c r="J33">
        <v>43.496263159658874</v>
      </c>
      <c r="L33">
        <v>1.7029201620461971</v>
      </c>
      <c r="M33">
        <v>11.189762219221359</v>
      </c>
      <c r="N33">
        <v>2.6180575599208278</v>
      </c>
      <c r="O33">
        <v>5.1491712102804952</v>
      </c>
      <c r="P33">
        <v>7.6211204964598531</v>
      </c>
      <c r="R33">
        <v>6.5462541884319778</v>
      </c>
      <c r="S33">
        <v>33.286311539817994</v>
      </c>
      <c r="U33">
        <v>8.9719935214946714E-2</v>
      </c>
      <c r="V33">
        <v>48.521510124244159</v>
      </c>
      <c r="W33">
        <v>16.747759630926428</v>
      </c>
      <c r="X33">
        <v>43.97291863201626</v>
      </c>
      <c r="Y33">
        <v>3.1068608761815293</v>
      </c>
      <c r="Z33">
        <v>18.128762658823206</v>
      </c>
      <c r="AB33">
        <v>31.747079069215651</v>
      </c>
      <c r="AE33">
        <v>6.6183649273680212</v>
      </c>
      <c r="AF33">
        <v>10.839685102186266</v>
      </c>
      <c r="AG33">
        <v>16.897845941196525</v>
      </c>
      <c r="AI33">
        <v>2.5598176610303383</v>
      </c>
      <c r="AK33">
        <v>40.618075213054396</v>
      </c>
    </row>
    <row r="34" spans="1:37" x14ac:dyDescent="0.2">
      <c r="A34">
        <v>33</v>
      </c>
      <c r="B34">
        <v>764</v>
      </c>
      <c r="C34">
        <v>250</v>
      </c>
      <c r="D34">
        <v>0.33433977727426201</v>
      </c>
      <c r="E34">
        <v>187.56926681434169</v>
      </c>
      <c r="F34">
        <v>63.997161302401835</v>
      </c>
      <c r="G34">
        <v>72.366316924990926</v>
      </c>
      <c r="H34">
        <v>67.782567549908379</v>
      </c>
      <c r="J34">
        <v>75.849213239801657</v>
      </c>
      <c r="L34">
        <v>7.7634781112336277</v>
      </c>
      <c r="M34">
        <v>14.344316239407359</v>
      </c>
      <c r="N34">
        <v>2.4876567231258906</v>
      </c>
      <c r="O34">
        <v>32.463807167110637</v>
      </c>
      <c r="P34">
        <v>12.612000917469244</v>
      </c>
      <c r="Q34">
        <v>1.2947458476535694</v>
      </c>
      <c r="R34">
        <v>18.062381780824861</v>
      </c>
      <c r="S34">
        <v>51.319157295102329</v>
      </c>
      <c r="U34">
        <v>2.1900100153623163</v>
      </c>
      <c r="V34">
        <v>49.281217489314187</v>
      </c>
      <c r="W34">
        <v>24.015205274281616</v>
      </c>
      <c r="X34">
        <v>48.234472877026498</v>
      </c>
      <c r="Y34">
        <v>9.457322987621108</v>
      </c>
      <c r="Z34">
        <v>32.171332635138135</v>
      </c>
      <c r="AA34">
        <v>6.8644520666569662</v>
      </c>
      <c r="AB34">
        <v>37.774778203717041</v>
      </c>
      <c r="AC34">
        <v>1.6120006794744929E-2</v>
      </c>
      <c r="AD34">
        <v>8.6028201093168644</v>
      </c>
      <c r="AE34">
        <v>13.180837171570287</v>
      </c>
      <c r="AF34">
        <v>14.027446529064257</v>
      </c>
      <c r="AG34">
        <v>23.377509855969642</v>
      </c>
      <c r="AH34">
        <v>8.367278507324686</v>
      </c>
      <c r="AI34">
        <v>2.4343932746885639</v>
      </c>
      <c r="AK34">
        <v>61.644239379633326</v>
      </c>
    </row>
    <row r="35" spans="1:37" x14ac:dyDescent="0.2">
      <c r="A35">
        <v>34</v>
      </c>
      <c r="B35">
        <v>762</v>
      </c>
      <c r="C35">
        <v>250</v>
      </c>
      <c r="D35">
        <v>0.33291841762063901</v>
      </c>
      <c r="E35">
        <v>187.35875150230169</v>
      </c>
      <c r="F35">
        <v>63.351089263001839</v>
      </c>
      <c r="G35">
        <v>72.257239890103307</v>
      </c>
      <c r="H35">
        <v>67.668513099992722</v>
      </c>
      <c r="J35">
        <v>75.709987292248385</v>
      </c>
      <c r="L35">
        <v>7.609103530352928</v>
      </c>
      <c r="M35">
        <v>14.244012398001111</v>
      </c>
      <c r="N35">
        <v>2.4752173192145261</v>
      </c>
      <c r="O35">
        <v>31.727839363941989</v>
      </c>
      <c r="P35">
        <v>12.424266260584004</v>
      </c>
      <c r="Q35">
        <v>1.1977426507693694</v>
      </c>
      <c r="R35">
        <v>17.693815335265604</v>
      </c>
      <c r="S35">
        <v>50.594402430673732</v>
      </c>
      <c r="U35">
        <v>2.0612460665192511</v>
      </c>
      <c r="V35">
        <v>49.117523427233337</v>
      </c>
      <c r="W35">
        <v>23.673568465644202</v>
      </c>
      <c r="X35">
        <v>47.929441339325265</v>
      </c>
      <c r="Y35">
        <v>9.2979942910220448</v>
      </c>
      <c r="Z35">
        <v>31.818855179622652</v>
      </c>
      <c r="AA35">
        <v>6.7050086336694443</v>
      </c>
      <c r="AB35">
        <v>37.532340540455031</v>
      </c>
      <c r="AD35">
        <v>8.4063697412486516</v>
      </c>
      <c r="AE35">
        <v>13.019682621514781</v>
      </c>
      <c r="AF35">
        <v>13.908509059608376</v>
      </c>
      <c r="AG35">
        <v>23.088735807962319</v>
      </c>
      <c r="AH35">
        <v>8.145581582312623</v>
      </c>
      <c r="AI35">
        <v>2.4213926285617475</v>
      </c>
      <c r="AK35">
        <v>61.623916091787741</v>
      </c>
    </row>
    <row r="36" spans="1:37" x14ac:dyDescent="0.2">
      <c r="A36">
        <v>35</v>
      </c>
      <c r="B36">
        <v>760</v>
      </c>
      <c r="C36">
        <v>250</v>
      </c>
      <c r="D36">
        <v>0.33149155495329902</v>
      </c>
      <c r="E36">
        <v>187.10946903351243</v>
      </c>
      <c r="F36">
        <v>62.571997659874761</v>
      </c>
      <c r="G36">
        <v>72.128965682751698</v>
      </c>
      <c r="H36">
        <v>67.535313114466817</v>
      </c>
      <c r="J36">
        <v>75.498508181732589</v>
      </c>
      <c r="L36">
        <v>7.4345964445330317</v>
      </c>
      <c r="M36">
        <v>14.090250722237698</v>
      </c>
      <c r="N36">
        <v>2.4791703561920762</v>
      </c>
      <c r="O36">
        <v>30.939831350273334</v>
      </c>
      <c r="P36">
        <v>12.214560140536543</v>
      </c>
      <c r="Q36">
        <v>1.0605094557997159</v>
      </c>
      <c r="R36">
        <v>17.240854743525276</v>
      </c>
      <c r="S36">
        <v>49.603807058936468</v>
      </c>
      <c r="U36">
        <v>1.8857497571815942</v>
      </c>
      <c r="V36">
        <v>48.868523897201648</v>
      </c>
      <c r="W36">
        <v>23.230530589865875</v>
      </c>
      <c r="X36">
        <v>47.466560460688406</v>
      </c>
      <c r="Y36">
        <v>9.1108573450164112</v>
      </c>
      <c r="Z36">
        <v>31.388750941827197</v>
      </c>
      <c r="AA36">
        <v>6.5254104704111375</v>
      </c>
      <c r="AB36">
        <v>37.193755391871626</v>
      </c>
      <c r="AD36">
        <v>8.1600449437396474</v>
      </c>
      <c r="AE36">
        <v>12.827822773206405</v>
      </c>
      <c r="AF36">
        <v>13.752507274132844</v>
      </c>
      <c r="AG36">
        <v>22.720216660128745</v>
      </c>
      <c r="AH36">
        <v>7.8624787327178636</v>
      </c>
      <c r="AI36">
        <v>2.4247811438200619</v>
      </c>
      <c r="AK36">
        <v>61.577092981039655</v>
      </c>
    </row>
    <row r="37" spans="1:37" x14ac:dyDescent="0.2">
      <c r="A37">
        <v>36</v>
      </c>
      <c r="B37">
        <v>758</v>
      </c>
      <c r="C37">
        <v>250</v>
      </c>
      <c r="D37">
        <v>0.330059157251614</v>
      </c>
      <c r="E37">
        <v>186.86080399437765</v>
      </c>
      <c r="F37">
        <v>61.795649691529249</v>
      </c>
      <c r="G37">
        <v>72.001020569103645</v>
      </c>
      <c r="H37">
        <v>67.402494024438184</v>
      </c>
      <c r="J37">
        <v>75.289422633910206</v>
      </c>
      <c r="L37">
        <v>7.2608024149225061</v>
      </c>
      <c r="M37">
        <v>13.937069029370155</v>
      </c>
      <c r="N37">
        <v>2.4831228729804495</v>
      </c>
      <c r="O37">
        <v>30.154249712708701</v>
      </c>
      <c r="P37">
        <v>12.005542307567254</v>
      </c>
      <c r="Q37">
        <v>0.94722920451566683</v>
      </c>
      <c r="R37">
        <v>16.789332209665574</v>
      </c>
      <c r="S37">
        <v>48.616876387139108</v>
      </c>
      <c r="U37">
        <v>1.7105316341835604</v>
      </c>
      <c r="V37">
        <v>48.620283231745624</v>
      </c>
      <c r="W37">
        <v>22.788607346256036</v>
      </c>
      <c r="X37">
        <v>47.005392596145043</v>
      </c>
      <c r="Y37">
        <v>8.9243377484193314</v>
      </c>
      <c r="Z37">
        <v>30.959801378772852</v>
      </c>
      <c r="AA37">
        <v>6.3464027168158941</v>
      </c>
      <c r="AB37">
        <v>36.856255625897163</v>
      </c>
      <c r="AD37">
        <v>7.914149385359659</v>
      </c>
      <c r="AE37">
        <v>12.636458530023003</v>
      </c>
      <c r="AF37">
        <v>13.597086073149148</v>
      </c>
      <c r="AG37">
        <v>22.352792365957821</v>
      </c>
      <c r="AH37">
        <v>7.5802539872903454</v>
      </c>
      <c r="AI37">
        <v>2.4281658446878644</v>
      </c>
      <c r="AK37">
        <v>61.531523551587135</v>
      </c>
    </row>
    <row r="38" spans="1:37" x14ac:dyDescent="0.2">
      <c r="A38">
        <v>37</v>
      </c>
      <c r="B38">
        <v>756</v>
      </c>
      <c r="C38">
        <v>250</v>
      </c>
      <c r="D38">
        <v>0.32862119224602798</v>
      </c>
      <c r="E38">
        <v>186.61275298784258</v>
      </c>
      <c r="F38">
        <v>61.022031237050108</v>
      </c>
      <c r="G38">
        <v>71.873403231912519</v>
      </c>
      <c r="H38">
        <v>67.270054678241962</v>
      </c>
      <c r="J38">
        <v>75.082726652926993</v>
      </c>
      <c r="L38">
        <v>7.0876616576976597</v>
      </c>
      <c r="M38">
        <v>13.784463524720229</v>
      </c>
      <c r="N38">
        <v>2.4870748740735116</v>
      </c>
      <c r="O38">
        <v>29.371083756125117</v>
      </c>
      <c r="P38">
        <v>11.797210311655151</v>
      </c>
      <c r="Q38">
        <v>0.81069600414263598</v>
      </c>
      <c r="R38">
        <v>16.339238696127179</v>
      </c>
      <c r="S38">
        <v>47.633588094666443</v>
      </c>
      <c r="U38">
        <v>1.535588737539161</v>
      </c>
      <c r="V38">
        <v>48.372795787906377</v>
      </c>
      <c r="W38">
        <v>22.347791192872918</v>
      </c>
      <c r="X38">
        <v>46.545925737175068</v>
      </c>
      <c r="Y38">
        <v>8.7384324160689992</v>
      </c>
      <c r="Z38">
        <v>30.531998849192618</v>
      </c>
      <c r="AA38">
        <v>6.1680603241612841</v>
      </c>
      <c r="AB38">
        <v>36.519833859739201</v>
      </c>
      <c r="AD38">
        <v>7.6686825327910908</v>
      </c>
      <c r="AE38">
        <v>12.44558626023832</v>
      </c>
      <c r="AF38">
        <v>13.442241711005718</v>
      </c>
      <c r="AG38">
        <v>21.98645559408244</v>
      </c>
      <c r="AH38">
        <v>7.2989044055925332</v>
      </c>
      <c r="AI38">
        <v>2.4315467209561148</v>
      </c>
      <c r="AK38">
        <v>61.487206948652982</v>
      </c>
    </row>
    <row r="39" spans="1:37" x14ac:dyDescent="0.2">
      <c r="A39">
        <v>38</v>
      </c>
      <c r="B39">
        <v>754</v>
      </c>
      <c r="C39">
        <v>250</v>
      </c>
      <c r="D39">
        <v>0.32717762741566497</v>
      </c>
      <c r="E39">
        <v>186.36531268986363</v>
      </c>
      <c r="F39">
        <v>60.251128498820961</v>
      </c>
      <c r="G39">
        <v>71.746112391492019</v>
      </c>
      <c r="H39">
        <v>67.137993962415166</v>
      </c>
      <c r="J39">
        <v>74.878416391512175</v>
      </c>
      <c r="L39">
        <v>6.9151712078976271</v>
      </c>
      <c r="M39">
        <v>13.632430480386889</v>
      </c>
      <c r="N39">
        <v>2.4910263639512724</v>
      </c>
      <c r="O39">
        <v>28.590323039950221</v>
      </c>
      <c r="P39">
        <v>11.589561778877385</v>
      </c>
      <c r="Q39">
        <v>0.65210636417778234</v>
      </c>
      <c r="R39">
        <v>15.890565350797591</v>
      </c>
      <c r="S39">
        <v>46.653920267655046</v>
      </c>
      <c r="U39">
        <v>1.3609181791115732</v>
      </c>
      <c r="V39">
        <v>48.126055928579071</v>
      </c>
      <c r="W39">
        <v>21.90807472295559</v>
      </c>
      <c r="X39">
        <v>46.088148080477382</v>
      </c>
      <c r="Y39">
        <v>8.5531383440138455</v>
      </c>
      <c r="Z39">
        <v>30.105335854861821</v>
      </c>
      <c r="AA39">
        <v>5.9903802602452485</v>
      </c>
      <c r="AB39">
        <v>36.18448283991458</v>
      </c>
      <c r="AD39">
        <v>7.4236438852915407</v>
      </c>
      <c r="AE39">
        <v>12.255202395054752</v>
      </c>
      <c r="AF39">
        <v>13.287970509019591</v>
      </c>
      <c r="AG39">
        <v>21.621199142729711</v>
      </c>
      <c r="AH39">
        <v>7.0184271487162473</v>
      </c>
      <c r="AI39">
        <v>2.4349237623970277</v>
      </c>
      <c r="AK39">
        <v>61.444142392520916</v>
      </c>
    </row>
    <row r="40" spans="1:37" x14ac:dyDescent="0.2">
      <c r="A40">
        <v>39</v>
      </c>
      <c r="B40">
        <v>752</v>
      </c>
      <c r="C40">
        <v>250</v>
      </c>
      <c r="D40">
        <v>0.32572842998585799</v>
      </c>
      <c r="E40">
        <v>186.11847984819082</v>
      </c>
      <c r="F40">
        <v>59.482927997010201</v>
      </c>
      <c r="G40">
        <v>71.619146805138243</v>
      </c>
      <c r="H40">
        <v>67.006310801125039</v>
      </c>
      <c r="J40">
        <v>74.676488148514309</v>
      </c>
      <c r="L40">
        <v>6.7433283212996464</v>
      </c>
      <c r="M40">
        <v>13.480966233897082</v>
      </c>
      <c r="N40">
        <v>2.4949773470816354</v>
      </c>
      <c r="O40">
        <v>27.811957373927772</v>
      </c>
      <c r="P40">
        <v>11.382594410280014</v>
      </c>
      <c r="Q40">
        <v>0.51695765009932393</v>
      </c>
      <c r="R40">
        <v>15.443303504007268</v>
      </c>
      <c r="S40">
        <v>45.677851391421463</v>
      </c>
      <c r="U40">
        <v>1.1865171414283504</v>
      </c>
      <c r="V40">
        <v>47.880058015261305</v>
      </c>
      <c r="W40">
        <v>21.46945066220395</v>
      </c>
      <c r="X40">
        <v>45.632048024191185</v>
      </c>
      <c r="Y40">
        <v>8.3684526084436843</v>
      </c>
      <c r="Z40">
        <v>29.679805037870246</v>
      </c>
      <c r="AA40">
        <v>5.8133595709428478</v>
      </c>
      <c r="AB40">
        <v>35.8501954395688</v>
      </c>
      <c r="AD40">
        <v>7.179032975057317</v>
      </c>
      <c r="AE40">
        <v>12.065303427247922</v>
      </c>
      <c r="AF40">
        <v>13.134268854121817</v>
      </c>
      <c r="AG40">
        <v>21.25701593704763</v>
      </c>
      <c r="AH40">
        <v>6.7388194777206323</v>
      </c>
      <c r="AI40">
        <v>2.4382969587667529</v>
      </c>
      <c r="AK40">
        <v>61.402329177353657</v>
      </c>
    </row>
    <row r="41" spans="1:37" x14ac:dyDescent="0.2">
      <c r="A41">
        <v>40</v>
      </c>
      <c r="B41">
        <v>750</v>
      </c>
      <c r="C41">
        <v>250</v>
      </c>
      <c r="D41">
        <v>0.324273566925672</v>
      </c>
      <c r="E41">
        <v>185.87225128101096</v>
      </c>
      <c r="F41">
        <v>58.717416563582049</v>
      </c>
      <c r="G41">
        <v>71.492505266467148</v>
      </c>
      <c r="H41">
        <v>66.875004155511078</v>
      </c>
      <c r="J41">
        <v>74.476938366234464</v>
      </c>
      <c r="L41">
        <v>6.5720729517072938</v>
      </c>
      <c r="M41">
        <v>13.330067186655997</v>
      </c>
      <c r="N41">
        <v>2.4989278280334366</v>
      </c>
      <c r="O41">
        <v>27.035976813848642</v>
      </c>
      <c r="P41">
        <v>11.176305980655405</v>
      </c>
      <c r="Q41">
        <v>0.40380414051974117</v>
      </c>
      <c r="R41">
        <v>14.997444665251534</v>
      </c>
      <c r="S41">
        <v>44.705360341804649</v>
      </c>
      <c r="U41">
        <v>1.012382876310558</v>
      </c>
      <c r="V41">
        <v>47.634796400025671</v>
      </c>
      <c r="W41">
        <v>21.031911865560282</v>
      </c>
      <c r="X41">
        <v>45.17761416334946</v>
      </c>
      <c r="Y41">
        <v>8.1843723645177882</v>
      </c>
      <c r="Z41">
        <v>29.255399177436988</v>
      </c>
      <c r="AA41">
        <v>5.636995380138476</v>
      </c>
      <c r="AB41">
        <v>35.51696465527926</v>
      </c>
      <c r="AD41">
        <v>6.9348493671903135</v>
      </c>
      <c r="AE41">
        <v>11.875885909617539</v>
      </c>
      <c r="AF41">
        <v>12.981133197429493</v>
      </c>
      <c r="AG41">
        <v>20.893899026014697</v>
      </c>
      <c r="AH41">
        <v>6.4600787517642084</v>
      </c>
      <c r="AI41">
        <v>2.4416662999192305</v>
      </c>
      <c r="AK41">
        <v>61.361766669977577</v>
      </c>
    </row>
    <row r="42" spans="1:37" x14ac:dyDescent="0.2">
      <c r="A42">
        <v>41</v>
      </c>
      <c r="B42">
        <v>748</v>
      </c>
      <c r="C42">
        <v>250</v>
      </c>
      <c r="D42">
        <v>0.32281300494540499</v>
      </c>
      <c r="E42">
        <v>185.62662387642629</v>
      </c>
      <c r="F42">
        <v>57.954581339172222</v>
      </c>
      <c r="G42">
        <v>71.366186605172061</v>
      </c>
      <c r="H42">
        <v>66.744073023443406</v>
      </c>
      <c r="J42">
        <v>74.279763629293058</v>
      </c>
      <c r="L42">
        <v>6.4015098851170986</v>
      </c>
      <c r="M42">
        <v>13.179729803495395</v>
      </c>
      <c r="N42">
        <v>2.5028778112377923</v>
      </c>
      <c r="O42">
        <v>26.262371658371819</v>
      </c>
      <c r="P42">
        <v>10.970694337836534</v>
      </c>
      <c r="Q42">
        <v>0.26914097799799558</v>
      </c>
      <c r="R42">
        <v>14.552980521675504</v>
      </c>
      <c r="S42">
        <v>43.736426382129572</v>
      </c>
      <c r="U42">
        <v>0.83851270446294002</v>
      </c>
      <c r="V42">
        <v>47.390265418796425</v>
      </c>
      <c r="W42">
        <v>20.595451316144903</v>
      </c>
      <c r="X42">
        <v>44.724835288510143</v>
      </c>
      <c r="Y42">
        <v>8.0008948457997153</v>
      </c>
      <c r="Z42">
        <v>28.832111188423113</v>
      </c>
      <c r="AA42">
        <v>5.4612848901549658</v>
      </c>
      <c r="AB42">
        <v>35.184783605915804</v>
      </c>
      <c r="AD42">
        <v>6.6910926606292715</v>
      </c>
      <c r="AE42">
        <v>11.686946454116967</v>
      </c>
      <c r="AF42">
        <v>12.828560053549374</v>
      </c>
      <c r="AG42">
        <v>20.531841581073213</v>
      </c>
      <c r="AH42">
        <v>6.1822024275708047</v>
      </c>
      <c r="AI42">
        <v>2.445031775567303</v>
      </c>
      <c r="AK42">
        <v>61.322454309243838</v>
      </c>
    </row>
    <row r="43" spans="1:37" x14ac:dyDescent="0.2">
      <c r="A43">
        <v>42</v>
      </c>
      <c r="B43">
        <v>746</v>
      </c>
      <c r="C43">
        <v>250</v>
      </c>
      <c r="D43">
        <v>0.32134671049404001</v>
      </c>
      <c r="E43">
        <v>185.3815945904297</v>
      </c>
      <c r="F43">
        <v>57.194409765073694</v>
      </c>
      <c r="G43">
        <v>71.240189686085287</v>
      </c>
      <c r="H43">
        <v>66.61351643859102</v>
      </c>
      <c r="J43">
        <v>74.084960660746574</v>
      </c>
      <c r="L43">
        <v>6.2315858581798311</v>
      </c>
      <c r="M43">
        <v>13.029950610363207</v>
      </c>
      <c r="N43">
        <v>2.506827301294388</v>
      </c>
      <c r="O43">
        <v>25.491132444053701</v>
      </c>
      <c r="P43">
        <v>10.765757401132118</v>
      </c>
      <c r="Q43">
        <v>0.1348910933017187</v>
      </c>
      <c r="R43">
        <v>14.109902933515972</v>
      </c>
      <c r="S43">
        <v>42.771029150877652</v>
      </c>
      <c r="U43">
        <v>0.66490401347234429</v>
      </c>
      <c r="V43">
        <v>47.146459380959861</v>
      </c>
      <c r="W43">
        <v>20.160062120786581</v>
      </c>
      <c r="X43">
        <v>44.273700378532389</v>
      </c>
      <c r="Y43">
        <v>7.8180173626693819</v>
      </c>
      <c r="Z43">
        <v>28.409934117367122</v>
      </c>
      <c r="AA43">
        <v>5.286225381461132</v>
      </c>
      <c r="AB43">
        <v>34.853645528324492</v>
      </c>
      <c r="AD43">
        <v>6.4477624873509747</v>
      </c>
      <c r="AE43">
        <v>11.498481730068693</v>
      </c>
      <c r="AF43">
        <v>12.676545998579019</v>
      </c>
      <c r="AG43">
        <v>20.170836892119468</v>
      </c>
      <c r="AH43">
        <v>5.9051880567134516</v>
      </c>
      <c r="AI43">
        <v>2.4483933755899399</v>
      </c>
      <c r="AK43">
        <v>61.2843916042318</v>
      </c>
    </row>
    <row r="44" spans="1:37" x14ac:dyDescent="0.2">
      <c r="A44">
        <v>43</v>
      </c>
      <c r="B44">
        <v>744</v>
      </c>
      <c r="C44">
        <v>250</v>
      </c>
      <c r="D44">
        <v>0.31987464975667701</v>
      </c>
      <c r="E44">
        <v>185.13716044665375</v>
      </c>
      <c r="F44">
        <v>56.436889580987526</v>
      </c>
      <c r="G44">
        <v>71.114513409032341</v>
      </c>
      <c r="H44">
        <v>66.483333470277813</v>
      </c>
      <c r="J44">
        <v>73.892526321469148</v>
      </c>
      <c r="L44">
        <v>6.0622992097376267</v>
      </c>
      <c r="M44">
        <v>12.880726194087929</v>
      </c>
      <c r="N44">
        <v>2.5107763027299184</v>
      </c>
      <c r="O44">
        <v>24.722249942681088</v>
      </c>
      <c r="P44">
        <v>10.561493160795772</v>
      </c>
      <c r="Q44">
        <v>1.0442440772771989E-3</v>
      </c>
      <c r="R44">
        <v>13.668203933101939</v>
      </c>
      <c r="S44">
        <v>41.809148659789123</v>
      </c>
      <c r="U44">
        <v>0.49155425757342852</v>
      </c>
      <c r="V44">
        <v>46.903372562004797</v>
      </c>
      <c r="W44">
        <v>19.725737509225326</v>
      </c>
      <c r="X44">
        <v>43.824198601679903</v>
      </c>
      <c r="Y44">
        <v>7.635737301944058</v>
      </c>
      <c r="Z44">
        <v>27.988861141136496</v>
      </c>
      <c r="AA44">
        <v>5.1118142132974755</v>
      </c>
      <c r="AB44">
        <v>34.523543776417462</v>
      </c>
      <c r="AD44">
        <v>6.2048585132275846</v>
      </c>
      <c r="AE44">
        <v>11.310488463314261</v>
      </c>
      <c r="AF44">
        <v>12.525087669629263</v>
      </c>
      <c r="AG44">
        <v>19.810878366351222</v>
      </c>
      <c r="AH44">
        <v>5.6290332853420031</v>
      </c>
      <c r="AI44">
        <v>2.4517510897913701</v>
      </c>
      <c r="AK44">
        <v>61.247578133925934</v>
      </c>
    </row>
    <row r="45" spans="1:37" x14ac:dyDescent="0.2">
      <c r="A45">
        <v>44</v>
      </c>
      <c r="B45">
        <v>742</v>
      </c>
      <c r="C45">
        <v>250</v>
      </c>
      <c r="D45">
        <v>0.318396788651924</v>
      </c>
      <c r="E45">
        <v>183.95314226154568</v>
      </c>
      <c r="F45">
        <v>45.372825113149723</v>
      </c>
      <c r="G45">
        <v>69.744954620472171</v>
      </c>
      <c r="H45">
        <v>65.109321135128397</v>
      </c>
      <c r="J45">
        <v>54.480242891413191</v>
      </c>
      <c r="L45">
        <v>1.6438633539582552</v>
      </c>
      <c r="M45">
        <v>12.505341127420818</v>
      </c>
      <c r="N45">
        <v>2.5146760262164176</v>
      </c>
      <c r="O45">
        <v>5.4264416397654651</v>
      </c>
      <c r="P45">
        <v>7.869446707536448</v>
      </c>
      <c r="R45">
        <v>8.0049543636636766</v>
      </c>
      <c r="S45">
        <v>32.98868119929142</v>
      </c>
      <c r="U45">
        <v>0.50861383661937731</v>
      </c>
      <c r="V45">
        <v>47.21568244572132</v>
      </c>
      <c r="W45">
        <v>19.170482252316265</v>
      </c>
      <c r="X45">
        <v>43.960982694796186</v>
      </c>
      <c r="Y45">
        <v>3.5250786821783149</v>
      </c>
      <c r="Z45">
        <v>17.641546714284175</v>
      </c>
      <c r="AB45">
        <v>30.590585089347872</v>
      </c>
      <c r="AE45">
        <v>6.4268361266289284</v>
      </c>
      <c r="AF45">
        <v>12.147420896086265</v>
      </c>
      <c r="AG45">
        <v>15.848024002668305</v>
      </c>
      <c r="AI45">
        <v>2.4550561141208167</v>
      </c>
      <c r="AK45">
        <v>48.033139806686144</v>
      </c>
    </row>
    <row r="46" spans="1:37" x14ac:dyDescent="0.2">
      <c r="A46">
        <v>45</v>
      </c>
      <c r="B46">
        <v>740</v>
      </c>
      <c r="C46">
        <v>250</v>
      </c>
      <c r="D46">
        <v>0.31691309282929903</v>
      </c>
      <c r="E46">
        <v>184.27521560523556</v>
      </c>
      <c r="F46">
        <v>46.376975583435865</v>
      </c>
      <c r="G46">
        <v>69.697802161562279</v>
      </c>
      <c r="H46">
        <v>65.057768445136986</v>
      </c>
      <c r="J46">
        <v>43.195280138798871</v>
      </c>
      <c r="L46">
        <v>1.6740811179976154</v>
      </c>
      <c r="M46">
        <v>11.630215850847577</v>
      </c>
      <c r="N46">
        <v>2.5186526346859077</v>
      </c>
      <c r="O46">
        <v>5.4172723341383096</v>
      </c>
      <c r="P46">
        <v>7.822322074771396</v>
      </c>
      <c r="R46">
        <v>7.3127986705113628</v>
      </c>
      <c r="S46">
        <v>33.905127896937742</v>
      </c>
      <c r="U46">
        <v>0.45981340005573423</v>
      </c>
      <c r="V46">
        <v>48.385264778793278</v>
      </c>
      <c r="W46">
        <v>18.146705563828707</v>
      </c>
      <c r="X46">
        <v>43.891333077693133</v>
      </c>
      <c r="Y46">
        <v>3.0526833802139417</v>
      </c>
      <c r="Z46">
        <v>18.023287773551342</v>
      </c>
      <c r="AB46">
        <v>31.675875431608954</v>
      </c>
      <c r="AE46">
        <v>6.6318136906650764</v>
      </c>
      <c r="AF46">
        <v>11.27009232753573</v>
      </c>
      <c r="AG46">
        <v>16.903505977882396</v>
      </c>
      <c r="AI46">
        <v>2.4584345967853927</v>
      </c>
      <c r="AK46">
        <v>40.260209294750553</v>
      </c>
    </row>
    <row r="47" spans="1:37" x14ac:dyDescent="0.2">
      <c r="A47">
        <v>46</v>
      </c>
      <c r="B47">
        <v>764</v>
      </c>
      <c r="C47">
        <v>225</v>
      </c>
      <c r="D47">
        <v>0.36085474617943802</v>
      </c>
      <c r="E47">
        <v>172.97637474045732</v>
      </c>
      <c r="F47">
        <v>63.48055946299705</v>
      </c>
      <c r="G47">
        <v>72.369822546405658</v>
      </c>
      <c r="H47">
        <v>67.7849879799126</v>
      </c>
      <c r="J47">
        <v>75.39392613595335</v>
      </c>
      <c r="L47">
        <v>7.6561142044173724</v>
      </c>
      <c r="M47">
        <v>14.32115650843371</v>
      </c>
      <c r="N47">
        <v>2.3930556789576856</v>
      </c>
      <c r="O47">
        <v>32.594874359962191</v>
      </c>
      <c r="P47">
        <v>12.38329542660254</v>
      </c>
      <c r="Q47">
        <v>0.90529391859347474</v>
      </c>
      <c r="R47">
        <v>18.093260136164535</v>
      </c>
      <c r="S47">
        <v>50.88406175424447</v>
      </c>
      <c r="U47">
        <v>2.088176146417823</v>
      </c>
      <c r="V47">
        <v>48.746188585025386</v>
      </c>
      <c r="W47">
        <v>24.608140980458817</v>
      </c>
      <c r="X47">
        <v>46.722679681623468</v>
      </c>
      <c r="Y47">
        <v>9.2517469293140557</v>
      </c>
      <c r="Z47">
        <v>32.148153772164271</v>
      </c>
      <c r="AA47">
        <v>6.7854328149440768</v>
      </c>
      <c r="AB47">
        <v>37.802843374558329</v>
      </c>
      <c r="AC47">
        <v>1.3105415947580317E-2</v>
      </c>
      <c r="AD47">
        <v>8.5765803116824433</v>
      </c>
      <c r="AE47">
        <v>13.361954031102481</v>
      </c>
      <c r="AF47">
        <v>13.986796056252606</v>
      </c>
      <c r="AG47">
        <v>23.418761137797095</v>
      </c>
      <c r="AH47">
        <v>7.8821204679299282</v>
      </c>
      <c r="AI47">
        <v>2.3366354984466065</v>
      </c>
      <c r="AK47">
        <v>61.267188847832486</v>
      </c>
    </row>
    <row r="48" spans="1:37" x14ac:dyDescent="0.2">
      <c r="A48">
        <v>47</v>
      </c>
      <c r="B48">
        <v>762</v>
      </c>
      <c r="C48">
        <v>225</v>
      </c>
      <c r="D48">
        <v>0.35948461575617302</v>
      </c>
      <c r="E48">
        <v>172.76009065073558</v>
      </c>
      <c r="F48">
        <v>62.814932485368487</v>
      </c>
      <c r="G48">
        <v>72.257615311668332</v>
      </c>
      <c r="H48">
        <v>67.667782968296748</v>
      </c>
      <c r="J48">
        <v>75.241953607056047</v>
      </c>
      <c r="L48">
        <v>7.4990584035070933</v>
      </c>
      <c r="M48">
        <v>14.212581600745981</v>
      </c>
      <c r="N48">
        <v>2.3836491309203649</v>
      </c>
      <c r="O48">
        <v>31.850493345950685</v>
      </c>
      <c r="P48">
        <v>12.192313765339645</v>
      </c>
      <c r="Q48">
        <v>0.79135309575512092</v>
      </c>
      <c r="R48">
        <v>17.712223651176426</v>
      </c>
      <c r="S48">
        <v>50.116199181141077</v>
      </c>
      <c r="U48">
        <v>1.951473204819157</v>
      </c>
      <c r="V48">
        <v>48.569565275484052</v>
      </c>
      <c r="W48">
        <v>24.249370695039978</v>
      </c>
      <c r="X48">
        <v>46.394306349770858</v>
      </c>
      <c r="Y48">
        <v>9.0880421011966419</v>
      </c>
      <c r="Z48">
        <v>31.784519066325306</v>
      </c>
      <c r="AA48">
        <v>6.6233425844743543</v>
      </c>
      <c r="AB48">
        <v>37.545262528891051</v>
      </c>
      <c r="AD48">
        <v>8.3731389432056158</v>
      </c>
      <c r="AE48">
        <v>13.196280904001679</v>
      </c>
      <c r="AF48">
        <v>13.862613283662988</v>
      </c>
      <c r="AG48">
        <v>23.117942529273286</v>
      </c>
      <c r="AH48">
        <v>7.6503845140238882</v>
      </c>
      <c r="AI48">
        <v>2.3266699636954091</v>
      </c>
      <c r="AK48">
        <v>61.242698659051314</v>
      </c>
    </row>
    <row r="49" spans="1:37" x14ac:dyDescent="0.2">
      <c r="A49">
        <v>48</v>
      </c>
      <c r="B49">
        <v>760</v>
      </c>
      <c r="C49">
        <v>225</v>
      </c>
      <c r="D49">
        <v>0.35810918066108399</v>
      </c>
      <c r="E49">
        <v>172.51205109639631</v>
      </c>
      <c r="F49">
        <v>62.041719863084531</v>
      </c>
      <c r="G49">
        <v>72.129823564383742</v>
      </c>
      <c r="H49">
        <v>67.535045090459363</v>
      </c>
      <c r="J49">
        <v>75.030841374323543</v>
      </c>
      <c r="L49">
        <v>7.3258950422107265</v>
      </c>
      <c r="M49">
        <v>14.060625850929716</v>
      </c>
      <c r="N49">
        <v>2.3876069161395419</v>
      </c>
      <c r="O49">
        <v>31.064909335100253</v>
      </c>
      <c r="P49">
        <v>11.98355784058699</v>
      </c>
      <c r="Q49">
        <v>0.64657549228668143</v>
      </c>
      <c r="R49">
        <v>17.262813972055749</v>
      </c>
      <c r="S49">
        <v>49.13277929955256</v>
      </c>
      <c r="U49">
        <v>1.7764984248676623</v>
      </c>
      <c r="V49">
        <v>48.323249494999835</v>
      </c>
      <c r="W49">
        <v>23.808528188079652</v>
      </c>
      <c r="X49">
        <v>45.936920720700762</v>
      </c>
      <c r="Y49">
        <v>8.9018791220901434</v>
      </c>
      <c r="Z49">
        <v>31.359453067362676</v>
      </c>
      <c r="AA49">
        <v>6.4450414632846371</v>
      </c>
      <c r="AB49">
        <v>37.21045344071144</v>
      </c>
      <c r="AD49">
        <v>8.1299044814307315</v>
      </c>
      <c r="AE49">
        <v>13.006531214758759</v>
      </c>
      <c r="AF49">
        <v>13.708415103788415</v>
      </c>
      <c r="AG49">
        <v>22.753269956099636</v>
      </c>
      <c r="AH49">
        <v>7.3690048617447461</v>
      </c>
      <c r="AI49">
        <v>2.3300654826969249</v>
      </c>
      <c r="AK49">
        <v>61.196353057111722</v>
      </c>
    </row>
    <row r="50" spans="1:37" x14ac:dyDescent="0.2">
      <c r="A50">
        <v>49</v>
      </c>
      <c r="B50">
        <v>758</v>
      </c>
      <c r="C50">
        <v>225</v>
      </c>
      <c r="D50">
        <v>0.356728410027642</v>
      </c>
      <c r="E50">
        <v>172.26460103929605</v>
      </c>
      <c r="F50">
        <v>61.271154572816712</v>
      </c>
      <c r="G50">
        <v>72.002349268701593</v>
      </c>
      <c r="H50">
        <v>67.402676475489713</v>
      </c>
      <c r="J50">
        <v>74.82206273071084</v>
      </c>
      <c r="L50">
        <v>7.1533643253420482</v>
      </c>
      <c r="M50">
        <v>13.909229345983196</v>
      </c>
      <c r="N50">
        <v>2.3915641857416374</v>
      </c>
      <c r="O50">
        <v>30.281676896866262</v>
      </c>
      <c r="P50">
        <v>11.775466910781017</v>
      </c>
      <c r="Q50">
        <v>0.50211297195872262</v>
      </c>
      <c r="R50">
        <v>16.814786638408314</v>
      </c>
      <c r="S50">
        <v>48.15288804193505</v>
      </c>
      <c r="U50">
        <v>1.6017686161462059</v>
      </c>
      <c r="V50">
        <v>48.077657193378464</v>
      </c>
      <c r="W50">
        <v>23.36876681851194</v>
      </c>
      <c r="X50">
        <v>45.481169081384884</v>
      </c>
      <c r="Y50">
        <v>8.7163088743200046</v>
      </c>
      <c r="Z50">
        <v>30.935521411375284</v>
      </c>
      <c r="AA50">
        <v>6.2673861109177089</v>
      </c>
      <c r="AB50">
        <v>36.876703252883466</v>
      </c>
      <c r="AD50">
        <v>7.8870761636955091</v>
      </c>
      <c r="AE50">
        <v>12.817271575647647</v>
      </c>
      <c r="AF50">
        <v>13.55477679908757</v>
      </c>
      <c r="AG50">
        <v>22.389665758904371</v>
      </c>
      <c r="AH50">
        <v>7.0884717216866573</v>
      </c>
      <c r="AI50">
        <v>2.3334571918799085</v>
      </c>
      <c r="AK50">
        <v>61.151227247063183</v>
      </c>
    </row>
    <row r="51" spans="1:37" x14ac:dyDescent="0.2">
      <c r="A51">
        <v>50</v>
      </c>
      <c r="B51">
        <v>756</v>
      </c>
      <c r="C51">
        <v>225</v>
      </c>
      <c r="D51">
        <v>0.35534227274935698</v>
      </c>
      <c r="E51">
        <v>172.01773721181686</v>
      </c>
      <c r="F51">
        <v>60.503223536636128</v>
      </c>
      <c r="G51">
        <v>71.875191194353846</v>
      </c>
      <c r="H51">
        <v>67.270676058700985</v>
      </c>
      <c r="J51">
        <v>74.615613824701867</v>
      </c>
      <c r="L51">
        <v>6.9814633825945096</v>
      </c>
      <c r="M51">
        <v>13.758388557749866</v>
      </c>
      <c r="N51">
        <v>2.3955209442748826</v>
      </c>
      <c r="O51">
        <v>29.50078619623228</v>
      </c>
      <c r="P51">
        <v>11.568038699936524</v>
      </c>
      <c r="Q51">
        <v>0.35801618219973053</v>
      </c>
      <c r="R51">
        <v>16.368133195108218</v>
      </c>
      <c r="S51">
        <v>47.176504484720539</v>
      </c>
      <c r="U51">
        <v>1.4272810594022949</v>
      </c>
      <c r="V51">
        <v>47.832782968647891</v>
      </c>
      <c r="W51">
        <v>22.930079767707678</v>
      </c>
      <c r="X51">
        <v>45.027039960666762</v>
      </c>
      <c r="Y51">
        <v>8.5313284614104159</v>
      </c>
      <c r="Z51">
        <v>30.51271745049343</v>
      </c>
      <c r="AA51">
        <v>6.0903736527768269</v>
      </c>
      <c r="AB51">
        <v>36.544005363068614</v>
      </c>
      <c r="AD51">
        <v>7.6446541845616389</v>
      </c>
      <c r="AE51">
        <v>12.628498878016609</v>
      </c>
      <c r="AF51">
        <v>13.401694890487859</v>
      </c>
      <c r="AG51">
        <v>22.027123386827604</v>
      </c>
      <c r="AH51">
        <v>6.8087824817124689</v>
      </c>
      <c r="AI51">
        <v>2.3368450810898</v>
      </c>
      <c r="AK51">
        <v>61.107320364431594</v>
      </c>
    </row>
    <row r="52" spans="1:37" x14ac:dyDescent="0.2">
      <c r="A52">
        <v>51</v>
      </c>
      <c r="B52">
        <v>754</v>
      </c>
      <c r="C52">
        <v>225</v>
      </c>
      <c r="D52">
        <v>0.35395073747748601</v>
      </c>
      <c r="E52">
        <v>171.7714564095163</v>
      </c>
      <c r="F52">
        <v>59.737913967330151</v>
      </c>
      <c r="G52">
        <v>71.748348144341605</v>
      </c>
      <c r="H52">
        <v>67.139042809318639</v>
      </c>
      <c r="J52">
        <v>74.411490930795694</v>
      </c>
      <c r="L52">
        <v>6.8101895317244816</v>
      </c>
      <c r="M52">
        <v>13.608100018350006</v>
      </c>
      <c r="N52">
        <v>2.399477196302874</v>
      </c>
      <c r="O52">
        <v>28.72222762750663</v>
      </c>
      <c r="P52">
        <v>11.361270999619931</v>
      </c>
      <c r="Q52">
        <v>0.21416976143760194</v>
      </c>
      <c r="R52">
        <v>15.922845353892123</v>
      </c>
      <c r="S52">
        <v>46.203608066817026</v>
      </c>
      <c r="U52">
        <v>1.2530330988800094</v>
      </c>
      <c r="V52">
        <v>47.588621415924237</v>
      </c>
      <c r="W52">
        <v>22.492460342478068</v>
      </c>
      <c r="X52">
        <v>44.574522066472703</v>
      </c>
      <c r="Y52">
        <v>8.3469350596863467</v>
      </c>
      <c r="Z52">
        <v>30.091034676776363</v>
      </c>
      <c r="AA52">
        <v>5.914001285859726</v>
      </c>
      <c r="AB52">
        <v>36.212353291432912</v>
      </c>
      <c r="AD52">
        <v>7.4026387591007499</v>
      </c>
      <c r="AE52">
        <v>12.440210076035473</v>
      </c>
      <c r="AF52">
        <v>13.249165959407957</v>
      </c>
      <c r="AG52">
        <v>21.665636411828764</v>
      </c>
      <c r="AH52">
        <v>6.5299346205814031</v>
      </c>
      <c r="AI52">
        <v>2.340229140182402</v>
      </c>
      <c r="AK52">
        <v>61.064631606887211</v>
      </c>
    </row>
    <row r="53" spans="1:37" x14ac:dyDescent="0.2">
      <c r="A53">
        <v>52</v>
      </c>
      <c r="B53">
        <v>752</v>
      </c>
      <c r="C53">
        <v>225</v>
      </c>
      <c r="D53">
        <v>0.35255377261864101</v>
      </c>
      <c r="E53">
        <v>171.52575549012764</v>
      </c>
      <c r="F53">
        <v>58.975213363991955</v>
      </c>
      <c r="G53">
        <v>71.621818954484439</v>
      </c>
      <c r="H53">
        <v>67.007775730032833</v>
      </c>
      <c r="J53">
        <v>74.209690447392788</v>
      </c>
      <c r="L53">
        <v>6.6394761709362102</v>
      </c>
      <c r="M53">
        <v>13.458360319253117</v>
      </c>
      <c r="N53">
        <v>2.4034329463272757</v>
      </c>
      <c r="O53">
        <v>27.945991810725513</v>
      </c>
      <c r="P53">
        <v>11.155161667979076</v>
      </c>
      <c r="Q53">
        <v>7.0634503257966968E-2</v>
      </c>
      <c r="R53">
        <v>15.47891499104993</v>
      </c>
      <c r="S53">
        <v>45.234178584012319</v>
      </c>
      <c r="U53">
        <v>1.0790221414779637</v>
      </c>
      <c r="V53">
        <v>47.345167120817322</v>
      </c>
      <c r="W53">
        <v>22.055901973235716</v>
      </c>
      <c r="X53">
        <v>44.123604282752346</v>
      </c>
      <c r="Y53">
        <v>8.1631259173956217</v>
      </c>
      <c r="Z53">
        <v>29.670466720476973</v>
      </c>
      <c r="AA53">
        <v>5.7382662786538203</v>
      </c>
      <c r="AB53">
        <v>35.881740678880668</v>
      </c>
      <c r="AD53">
        <v>7.1610301244848289</v>
      </c>
      <c r="AE53">
        <v>12.25240218580317</v>
      </c>
      <c r="AF53">
        <v>13.097186646758258</v>
      </c>
      <c r="AG53">
        <v>21.305198526848887</v>
      </c>
      <c r="AH53">
        <v>6.2519257069117424</v>
      </c>
      <c r="AI53">
        <v>2.3436093589477411</v>
      </c>
      <c r="AK53">
        <v>61.023160233151287</v>
      </c>
    </row>
    <row r="54" spans="1:37" x14ac:dyDescent="0.2">
      <c r="A54">
        <v>53</v>
      </c>
      <c r="B54">
        <v>750</v>
      </c>
      <c r="C54">
        <v>225</v>
      </c>
      <c r="D54">
        <v>0.35115134633240402</v>
      </c>
      <c r="E54">
        <v>171.17013472116275</v>
      </c>
      <c r="F54">
        <v>57.486036727608784</v>
      </c>
      <c r="G54">
        <v>71.369965975259106</v>
      </c>
      <c r="H54">
        <v>66.751237338843438</v>
      </c>
      <c r="J54">
        <v>73.875666963666475</v>
      </c>
      <c r="L54">
        <v>6.2571871358526403</v>
      </c>
      <c r="M54">
        <v>13.408132758395107</v>
      </c>
      <c r="N54">
        <v>2.4073794846696615</v>
      </c>
      <c r="O54">
        <v>26.345859786406983</v>
      </c>
      <c r="P54">
        <v>10.698426879311002</v>
      </c>
      <c r="R54">
        <v>14.882467693272805</v>
      </c>
      <c r="S54">
        <v>44.467608299365729</v>
      </c>
      <c r="U54">
        <v>0.96883120553261681</v>
      </c>
      <c r="V54">
        <v>47.296643132394074</v>
      </c>
      <c r="W54">
        <v>21.613021468061607</v>
      </c>
      <c r="X54">
        <v>43.87118164143191</v>
      </c>
      <c r="Y54">
        <v>7.7337118348331968</v>
      </c>
      <c r="Z54">
        <v>28.864825669715177</v>
      </c>
      <c r="AA54">
        <v>5.3415805906919704</v>
      </c>
      <c r="AB54">
        <v>35.6774801947615</v>
      </c>
      <c r="AD54">
        <v>6.6814083346499586</v>
      </c>
      <c r="AE54">
        <v>11.933919788402282</v>
      </c>
      <c r="AF54">
        <v>13.044711585937442</v>
      </c>
      <c r="AG54">
        <v>21.0711137393921</v>
      </c>
      <c r="AH54">
        <v>5.617628113775524</v>
      </c>
      <c r="AI54">
        <v>2.3469770129922614</v>
      </c>
      <c r="AK54">
        <v>60.807723377423486</v>
      </c>
    </row>
    <row r="55" spans="1:37" x14ac:dyDescent="0.2">
      <c r="A55">
        <v>54</v>
      </c>
      <c r="B55">
        <v>748</v>
      </c>
      <c r="C55">
        <v>225</v>
      </c>
      <c r="D55">
        <v>0.34974342652891699</v>
      </c>
      <c r="E55">
        <v>169.94796099681398</v>
      </c>
      <c r="F55">
        <v>49.573660074452079</v>
      </c>
      <c r="G55">
        <v>70.180194322951564</v>
      </c>
      <c r="H55">
        <v>65.556832920213651</v>
      </c>
      <c r="J55">
        <v>70.707416112576794</v>
      </c>
      <c r="L55">
        <v>4.0843367835056492</v>
      </c>
      <c r="M55">
        <v>13.379738623441021</v>
      </c>
      <c r="N55">
        <v>2.4112753526660349</v>
      </c>
      <c r="O55">
        <v>18.196867877165126</v>
      </c>
      <c r="P55">
        <v>8.3658355915654585</v>
      </c>
      <c r="R55">
        <v>11.750984857852169</v>
      </c>
      <c r="S55">
        <v>40.094070717494205</v>
      </c>
      <c r="U55">
        <v>0.94035534377300189</v>
      </c>
      <c r="V55">
        <v>47.014050082625033</v>
      </c>
      <c r="W55">
        <v>21.232395561561923</v>
      </c>
      <c r="X55">
        <v>43.865289459280255</v>
      </c>
      <c r="Y55">
        <v>5.420107199156452</v>
      </c>
      <c r="Z55">
        <v>23.620995507807869</v>
      </c>
      <c r="AA55">
        <v>3.1343202569605344</v>
      </c>
      <c r="AB55">
        <v>33.614224352923998</v>
      </c>
      <c r="AD55">
        <v>3.6233711572333558</v>
      </c>
      <c r="AE55">
        <v>9.7391724256513523</v>
      </c>
      <c r="AF55">
        <v>13.014020651291498</v>
      </c>
      <c r="AG55">
        <v>18.977993152783569</v>
      </c>
      <c r="AH55">
        <v>2.0819213047705358</v>
      </c>
      <c r="AI55">
        <v>2.3502906289339265</v>
      </c>
      <c r="AK55">
        <v>58.696918156253304</v>
      </c>
    </row>
    <row r="56" spans="1:37" x14ac:dyDescent="0.2">
      <c r="A56">
        <v>55</v>
      </c>
      <c r="B56">
        <v>746</v>
      </c>
      <c r="C56">
        <v>225</v>
      </c>
      <c r="D56">
        <v>0.34832998086640898</v>
      </c>
      <c r="E56">
        <v>169.99373568517601</v>
      </c>
      <c r="F56">
        <v>46.170638085622713</v>
      </c>
      <c r="G56">
        <v>70.009636614584565</v>
      </c>
      <c r="H56">
        <v>65.381695260003411</v>
      </c>
      <c r="J56">
        <v>52.198063528649975</v>
      </c>
      <c r="L56">
        <v>1.6185010306217482</v>
      </c>
      <c r="M56">
        <v>12.854657861519424</v>
      </c>
      <c r="N56">
        <v>2.4152488364047477</v>
      </c>
      <c r="O56">
        <v>5.7959477710438643</v>
      </c>
      <c r="P56">
        <v>8.0717815099450725</v>
      </c>
      <c r="R56">
        <v>8.7134433311624502</v>
      </c>
      <c r="S56">
        <v>33.886386070690591</v>
      </c>
      <c r="U56">
        <v>0.9131916222738965</v>
      </c>
      <c r="V56">
        <v>47.240557619550891</v>
      </c>
      <c r="W56">
        <v>20.541862837562341</v>
      </c>
      <c r="X56">
        <v>43.859155689513393</v>
      </c>
      <c r="Y56">
        <v>3.4308248078271122</v>
      </c>
      <c r="Z56">
        <v>17.573123023098127</v>
      </c>
      <c r="AB56">
        <v>30.692670301401833</v>
      </c>
      <c r="AE56">
        <v>6.4600573629326092</v>
      </c>
      <c r="AF56">
        <v>12.486722121586689</v>
      </c>
      <c r="AG56">
        <v>16.02666224959664</v>
      </c>
      <c r="AI56">
        <v>2.3536784781400222</v>
      </c>
      <c r="AK56">
        <v>46.283186133523628</v>
      </c>
    </row>
    <row r="57" spans="1:37" x14ac:dyDescent="0.2">
      <c r="A57">
        <v>56</v>
      </c>
      <c r="B57">
        <v>744</v>
      </c>
      <c r="C57">
        <v>225</v>
      </c>
      <c r="D57">
        <v>0.34691097674876298</v>
      </c>
      <c r="E57">
        <v>170.31491455022004</v>
      </c>
      <c r="F57">
        <v>47.170723788656666</v>
      </c>
      <c r="G57">
        <v>69.962618855961466</v>
      </c>
      <c r="H57">
        <v>65.330150533513958</v>
      </c>
      <c r="J57">
        <v>42.393927143149831</v>
      </c>
      <c r="L57">
        <v>1.6466089790636216</v>
      </c>
      <c r="M57">
        <v>11.998104537806054</v>
      </c>
      <c r="N57">
        <v>2.4192285357680876</v>
      </c>
      <c r="O57">
        <v>5.7731194545896702</v>
      </c>
      <c r="P57">
        <v>8.0248454320413689</v>
      </c>
      <c r="R57">
        <v>8.0205659980421835</v>
      </c>
      <c r="S57">
        <v>34.653685777008349</v>
      </c>
      <c r="U57">
        <v>0.87200157771164821</v>
      </c>
      <c r="V57">
        <v>48.342774007562575</v>
      </c>
      <c r="W57">
        <v>19.52879833537451</v>
      </c>
      <c r="X57">
        <v>43.813498671169462</v>
      </c>
      <c r="Y57">
        <v>2.9580708108989353</v>
      </c>
      <c r="Z57">
        <v>17.950249357350344</v>
      </c>
      <c r="AB57">
        <v>31.690738849741017</v>
      </c>
      <c r="AE57">
        <v>6.6625806246036801</v>
      </c>
      <c r="AF57">
        <v>11.627958707636115</v>
      </c>
      <c r="AG57">
        <v>16.994970488017039</v>
      </c>
      <c r="AI57">
        <v>2.3570691457709536</v>
      </c>
      <c r="AK57">
        <v>39.526791996862919</v>
      </c>
    </row>
    <row r="58" spans="1:37" x14ac:dyDescent="0.2">
      <c r="A58">
        <v>57</v>
      </c>
      <c r="B58">
        <v>764</v>
      </c>
      <c r="C58">
        <v>200</v>
      </c>
      <c r="D58">
        <v>0.38736971508460899</v>
      </c>
      <c r="E58">
        <v>158.36532134922538</v>
      </c>
      <c r="F58">
        <v>62.912645750651066</v>
      </c>
      <c r="G58">
        <v>72.36967242832219</v>
      </c>
      <c r="H58">
        <v>67.783763241946389</v>
      </c>
      <c r="J58">
        <v>74.939009973476686</v>
      </c>
      <c r="L58">
        <v>7.5342861961479572</v>
      </c>
      <c r="M58">
        <v>14.290784350377587</v>
      </c>
      <c r="N58">
        <v>2.294602896985817</v>
      </c>
      <c r="O58">
        <v>32.739850232389259</v>
      </c>
      <c r="P58">
        <v>12.143424853228536</v>
      </c>
      <c r="Q58">
        <v>0.47695747406821465</v>
      </c>
      <c r="R58">
        <v>18.095069360361034</v>
      </c>
      <c r="S58">
        <v>50.448043818894035</v>
      </c>
      <c r="U58">
        <v>2.0166217133461197</v>
      </c>
      <c r="V58">
        <v>48.185890972403065</v>
      </c>
      <c r="W58">
        <v>25.246319871216897</v>
      </c>
      <c r="X58">
        <v>45.157196840493178</v>
      </c>
      <c r="Y58">
        <v>9.0351355423840936</v>
      </c>
      <c r="Z58">
        <v>32.117995761190798</v>
      </c>
      <c r="AA58">
        <v>6.6924281383898201</v>
      </c>
      <c r="AB58">
        <v>37.82832234671649</v>
      </c>
      <c r="AC58">
        <v>6.2396202763637309E-3</v>
      </c>
      <c r="AD58">
        <v>8.5448896819587699</v>
      </c>
      <c r="AE58">
        <v>13.54622446312395</v>
      </c>
      <c r="AF58">
        <v>13.935091627869927</v>
      </c>
      <c r="AG58">
        <v>23.453552713308774</v>
      </c>
      <c r="AH58">
        <v>7.3840661623413304</v>
      </c>
      <c r="AI58">
        <v>2.2350857115528644</v>
      </c>
      <c r="AK58">
        <v>60.870692604386342</v>
      </c>
    </row>
    <row r="59" spans="1:37" x14ac:dyDescent="0.2">
      <c r="A59">
        <v>58</v>
      </c>
      <c r="B59">
        <v>762</v>
      </c>
      <c r="C59">
        <v>200</v>
      </c>
      <c r="D59">
        <v>0.38605081389170998</v>
      </c>
      <c r="E59">
        <v>158.13428618632247</v>
      </c>
      <c r="F59">
        <v>62.197503564361632</v>
      </c>
      <c r="G59">
        <v>72.249926836389875</v>
      </c>
      <c r="H59">
        <v>67.65899951128597</v>
      </c>
      <c r="J59">
        <v>74.756908341641818</v>
      </c>
      <c r="L59">
        <v>7.3701656181869879</v>
      </c>
      <c r="M59">
        <v>14.161713684438338</v>
      </c>
      <c r="N59">
        <v>2.2920812095831837</v>
      </c>
      <c r="O59">
        <v>31.97572275916318</v>
      </c>
      <c r="P59">
        <v>11.944231982255653</v>
      </c>
      <c r="Q59">
        <v>0.34864698940367567</v>
      </c>
      <c r="R59">
        <v>17.682473810632043</v>
      </c>
      <c r="S59">
        <v>49.576137808996783</v>
      </c>
      <c r="U59">
        <v>1.8610925669834524</v>
      </c>
      <c r="V59">
        <v>47.97661926867319</v>
      </c>
      <c r="W59">
        <v>24.847039996741689</v>
      </c>
      <c r="X59">
        <v>44.769004198719301</v>
      </c>
      <c r="Y59">
        <v>8.8608157290274807</v>
      </c>
      <c r="Z59">
        <v>31.726548762146038</v>
      </c>
      <c r="AA59">
        <v>6.5232786359338348</v>
      </c>
      <c r="AB59">
        <v>37.534063316503847</v>
      </c>
      <c r="AD59">
        <v>8.3237016707594726</v>
      </c>
      <c r="AE59">
        <v>13.369557542059692</v>
      </c>
      <c r="AF59">
        <v>13.79729086493764</v>
      </c>
      <c r="AG59">
        <v>23.123006546889492</v>
      </c>
      <c r="AH59">
        <v>7.1283872810603972</v>
      </c>
      <c r="AI59">
        <v>2.2320072929378125</v>
      </c>
      <c r="AK59">
        <v>60.835600034008834</v>
      </c>
    </row>
    <row r="60" spans="1:37" x14ac:dyDescent="0.2">
      <c r="A60">
        <v>59</v>
      </c>
      <c r="B60">
        <v>760</v>
      </c>
      <c r="C60">
        <v>200</v>
      </c>
      <c r="D60">
        <v>0.38472680636887402</v>
      </c>
      <c r="E60">
        <v>157.88802740371403</v>
      </c>
      <c r="F60">
        <v>61.431715118488448</v>
      </c>
      <c r="G60">
        <v>72.122788116579713</v>
      </c>
      <c r="H60">
        <v>67.526894308543604</v>
      </c>
      <c r="J60">
        <v>74.547001501016766</v>
      </c>
      <c r="L60">
        <v>7.1986224818320332</v>
      </c>
      <c r="M60">
        <v>14.011932637568172</v>
      </c>
      <c r="N60">
        <v>2.2960437674631491</v>
      </c>
      <c r="O60">
        <v>31.193198105472938</v>
      </c>
      <c r="P60">
        <v>11.736767516539523</v>
      </c>
      <c r="Q60">
        <v>0.20555140170371225</v>
      </c>
      <c r="R60">
        <v>17.237502993900605</v>
      </c>
      <c r="S60">
        <v>48.601724915947443</v>
      </c>
      <c r="U60">
        <v>1.6870134766530338</v>
      </c>
      <c r="V60">
        <v>47.733780916030256</v>
      </c>
      <c r="W60">
        <v>24.408693151824</v>
      </c>
      <c r="X60">
        <v>44.318770295480533</v>
      </c>
      <c r="Y60">
        <v>8.6759543659495257</v>
      </c>
      <c r="Z60">
        <v>31.306665796788025</v>
      </c>
      <c r="AA60">
        <v>6.3466753666149893</v>
      </c>
      <c r="AB60">
        <v>37.203341937165312</v>
      </c>
      <c r="AD60">
        <v>8.083787730094075</v>
      </c>
      <c r="AE60">
        <v>13.181875741826259</v>
      </c>
      <c r="AF60">
        <v>13.645265092081088</v>
      </c>
      <c r="AG60">
        <v>22.762492221233266</v>
      </c>
      <c r="AH60">
        <v>6.8491812175601448</v>
      </c>
      <c r="AI60">
        <v>2.2354098401015747</v>
      </c>
      <c r="AK60">
        <v>60.790305823265676</v>
      </c>
    </row>
    <row r="61" spans="1:37" x14ac:dyDescent="0.2">
      <c r="A61">
        <v>60</v>
      </c>
      <c r="B61">
        <v>758</v>
      </c>
      <c r="C61">
        <v>200</v>
      </c>
      <c r="D61">
        <v>0.383397662803666</v>
      </c>
      <c r="E61">
        <v>157.64233087017914</v>
      </c>
      <c r="F61">
        <v>60.668472328673971</v>
      </c>
      <c r="G61">
        <v>71.995955125978867</v>
      </c>
      <c r="H61">
        <v>67.395146655748789</v>
      </c>
      <c r="J61">
        <v>74.339371832543733</v>
      </c>
      <c r="L61">
        <v>7.0276252461637085</v>
      </c>
      <c r="M61">
        <v>13.862688261908318</v>
      </c>
      <c r="N61">
        <v>2.3000058140281614</v>
      </c>
      <c r="O61">
        <v>30.412944301623579</v>
      </c>
      <c r="P61">
        <v>11.529944592697662</v>
      </c>
      <c r="Q61">
        <v>6.2719651893648004E-2</v>
      </c>
      <c r="R61">
        <v>16.793856215988058</v>
      </c>
      <c r="S61">
        <v>47.630696379186638</v>
      </c>
      <c r="U61">
        <v>1.5131438777386568</v>
      </c>
      <c r="V61">
        <v>47.491630208422116</v>
      </c>
      <c r="W61">
        <v>23.971387830285238</v>
      </c>
      <c r="X61">
        <v>43.870090839968732</v>
      </c>
      <c r="Y61">
        <v>8.491660591538956</v>
      </c>
      <c r="Z61">
        <v>30.887885541407492</v>
      </c>
      <c r="AA61">
        <v>6.1706938074960922</v>
      </c>
      <c r="AB61">
        <v>36.873644787818499</v>
      </c>
      <c r="AD61">
        <v>7.8442486506083249</v>
      </c>
      <c r="AE61">
        <v>12.994671936458214</v>
      </c>
      <c r="AF61">
        <v>13.493776649179097</v>
      </c>
      <c r="AG61">
        <v>22.403011605496584</v>
      </c>
      <c r="AH61">
        <v>6.5707879626634611</v>
      </c>
      <c r="AI61">
        <v>2.2388085817490495</v>
      </c>
      <c r="AK61">
        <v>60.746200522719981</v>
      </c>
    </row>
    <row r="62" spans="1:37" x14ac:dyDescent="0.2">
      <c r="A62">
        <v>61</v>
      </c>
      <c r="B62">
        <v>756</v>
      </c>
      <c r="C62">
        <v>200</v>
      </c>
      <c r="D62">
        <v>0.38206335325268598</v>
      </c>
      <c r="E62">
        <v>157.28236289059595</v>
      </c>
      <c r="F62">
        <v>59.142506105075505</v>
      </c>
      <c r="G62">
        <v>71.737258879530572</v>
      </c>
      <c r="H62">
        <v>67.131587733423672</v>
      </c>
      <c r="J62">
        <v>73.998629195385305</v>
      </c>
      <c r="L62">
        <v>6.6338031248388649</v>
      </c>
      <c r="M62">
        <v>13.820239251760603</v>
      </c>
      <c r="N62">
        <v>2.3039583601791569</v>
      </c>
      <c r="O62">
        <v>28.763900930207456</v>
      </c>
      <c r="P62">
        <v>11.059416431543101</v>
      </c>
      <c r="R62">
        <v>16.191212284878844</v>
      </c>
      <c r="S62">
        <v>46.883125480846218</v>
      </c>
      <c r="U62">
        <v>1.4087420741338319</v>
      </c>
      <c r="V62">
        <v>47.457971751420118</v>
      </c>
      <c r="W62">
        <v>23.525795704745455</v>
      </c>
      <c r="X62">
        <v>43.637600252942399</v>
      </c>
      <c r="Y62">
        <v>8.0487721174156857</v>
      </c>
      <c r="Z62">
        <v>30.062199339093134</v>
      </c>
      <c r="AA62">
        <v>5.7622147639509347</v>
      </c>
      <c r="AB62">
        <v>36.678971906672302</v>
      </c>
      <c r="AD62">
        <v>7.3539546601622163</v>
      </c>
      <c r="AE62">
        <v>12.668869112060879</v>
      </c>
      <c r="AF62">
        <v>13.449075285968297</v>
      </c>
      <c r="AG62">
        <v>22.178555795720847</v>
      </c>
      <c r="AH62">
        <v>5.918106061981371</v>
      </c>
      <c r="AI62">
        <v>2.2421945140782666</v>
      </c>
      <c r="AK62">
        <v>60.522001864034792</v>
      </c>
    </row>
    <row r="63" spans="1:37" x14ac:dyDescent="0.2">
      <c r="A63">
        <v>62</v>
      </c>
      <c r="B63">
        <v>754</v>
      </c>
      <c r="C63">
        <v>200</v>
      </c>
      <c r="D63">
        <v>0.38072384753930699</v>
      </c>
      <c r="E63">
        <v>156.81196032284856</v>
      </c>
      <c r="F63">
        <v>56.83552626159895</v>
      </c>
      <c r="G63">
        <v>71.342553483365222</v>
      </c>
      <c r="H63">
        <v>66.732071813923895</v>
      </c>
      <c r="J63">
        <v>73.437452037584322</v>
      </c>
      <c r="L63">
        <v>6.0001100005801709</v>
      </c>
      <c r="M63">
        <v>13.870894883918876</v>
      </c>
      <c r="N63">
        <v>2.3079002591900584</v>
      </c>
      <c r="O63">
        <v>26.218821502177818</v>
      </c>
      <c r="P63">
        <v>10.316890279639237</v>
      </c>
      <c r="R63">
        <v>15.357978478390743</v>
      </c>
      <c r="S63">
        <v>46.076257027441812</v>
      </c>
      <c r="U63">
        <v>1.3751146743171467</v>
      </c>
      <c r="V63">
        <v>47.533232666692847</v>
      </c>
      <c r="W63">
        <v>23.083013139498945</v>
      </c>
      <c r="X63">
        <v>43.622331482793648</v>
      </c>
      <c r="Y63">
        <v>7.3386310881483166</v>
      </c>
      <c r="Z63">
        <v>28.801249842799013</v>
      </c>
      <c r="AA63">
        <v>5.1099398007412091</v>
      </c>
      <c r="AB63">
        <v>36.478665199365309</v>
      </c>
      <c r="AD63">
        <v>6.5946545050012952</v>
      </c>
      <c r="AE63">
        <v>12.190943092459237</v>
      </c>
      <c r="AF63">
        <v>13.497469177253466</v>
      </c>
      <c r="AG63">
        <v>21.94846559804941</v>
      </c>
      <c r="AH63">
        <v>4.8741310181536894</v>
      </c>
      <c r="AI63">
        <v>2.2455664756552371</v>
      </c>
      <c r="AK63">
        <v>60.101874345187206</v>
      </c>
    </row>
    <row r="64" spans="1:37" x14ac:dyDescent="0.2">
      <c r="A64">
        <v>63</v>
      </c>
      <c r="B64">
        <v>752</v>
      </c>
      <c r="C64">
        <v>200</v>
      </c>
      <c r="D64">
        <v>0.37937911525142798</v>
      </c>
      <c r="E64">
        <v>155.59192935045718</v>
      </c>
      <c r="F64">
        <v>47.449536552972305</v>
      </c>
      <c r="G64">
        <v>70.067711660193439</v>
      </c>
      <c r="H64">
        <v>65.452471786831197</v>
      </c>
      <c r="J64">
        <v>65.176339421962979</v>
      </c>
      <c r="L64">
        <v>2.6800670505478372</v>
      </c>
      <c r="M64">
        <v>13.746273436022987</v>
      </c>
      <c r="N64">
        <v>2.3118039160797328</v>
      </c>
      <c r="O64">
        <v>12.357930568430382</v>
      </c>
      <c r="P64">
        <v>7.8140841694630705</v>
      </c>
      <c r="R64">
        <v>10.797626246791419</v>
      </c>
      <c r="S64">
        <v>37.984206305659427</v>
      </c>
      <c r="U64">
        <v>1.3853501780276614</v>
      </c>
      <c r="V64">
        <v>46.86337416176702</v>
      </c>
      <c r="W64">
        <v>22.705608392326859</v>
      </c>
      <c r="X64">
        <v>43.727420415189599</v>
      </c>
      <c r="Y64">
        <v>4.2180876912596013</v>
      </c>
      <c r="Z64">
        <v>21.315170144031491</v>
      </c>
      <c r="AA64">
        <v>1.5911226412962569</v>
      </c>
      <c r="AB64">
        <v>32.805344288574375</v>
      </c>
      <c r="AD64">
        <v>2.2983783263618043</v>
      </c>
      <c r="AE64">
        <v>8.773722036097908</v>
      </c>
      <c r="AF64">
        <v>13.370549050630457</v>
      </c>
      <c r="AG64">
        <v>18.245333087710737</v>
      </c>
      <c r="AI64">
        <v>2.2488968567873076</v>
      </c>
      <c r="AK64">
        <v>54.726229893761818</v>
      </c>
    </row>
    <row r="65" spans="1:37" x14ac:dyDescent="0.2">
      <c r="A65">
        <v>64</v>
      </c>
      <c r="B65">
        <v>750</v>
      </c>
      <c r="C65">
        <v>200</v>
      </c>
      <c r="D65">
        <v>0.37802912573913899</v>
      </c>
      <c r="E65">
        <v>156.12644934673028</v>
      </c>
      <c r="F65">
        <v>47.20301291375948</v>
      </c>
      <c r="G65">
        <v>70.273897118138422</v>
      </c>
      <c r="H65">
        <v>65.653951527790909</v>
      </c>
      <c r="J65">
        <v>47.905260540721443</v>
      </c>
      <c r="L65">
        <v>1.5967147793994081</v>
      </c>
      <c r="M65">
        <v>13.038423098378642</v>
      </c>
      <c r="N65">
        <v>2.3158035327256981</v>
      </c>
      <c r="O65">
        <v>6.2843755072160787</v>
      </c>
      <c r="P65">
        <v>8.27345990218158</v>
      </c>
      <c r="R65">
        <v>9.2808024183049529</v>
      </c>
      <c r="S65">
        <v>34.935930237366918</v>
      </c>
      <c r="U65">
        <v>1.3778702471409769</v>
      </c>
      <c r="V65">
        <v>47.452939007416909</v>
      </c>
      <c r="W65">
        <v>21.815240396632696</v>
      </c>
      <c r="X65">
        <v>43.780305862843981</v>
      </c>
      <c r="Y65">
        <v>3.2290077090800646</v>
      </c>
      <c r="Z65">
        <v>17.59602271960032</v>
      </c>
      <c r="AB65">
        <v>30.954994115863538</v>
      </c>
      <c r="AE65">
        <v>6.5435633500081147</v>
      </c>
      <c r="AF65">
        <v>12.660497343424385</v>
      </c>
      <c r="AG65">
        <v>16.365277455980728</v>
      </c>
      <c r="AI65">
        <v>2.2523198446368657</v>
      </c>
      <c r="AK65">
        <v>43.131794565776524</v>
      </c>
    </row>
    <row r="66" spans="1:37" x14ac:dyDescent="0.2">
      <c r="A66">
        <v>65</v>
      </c>
      <c r="B66">
        <v>748</v>
      </c>
      <c r="C66">
        <v>200</v>
      </c>
      <c r="D66">
        <v>0.37667384811242399</v>
      </c>
      <c r="E66">
        <v>156.42643624577815</v>
      </c>
      <c r="F66">
        <v>48.143777467867039</v>
      </c>
      <c r="G66">
        <v>70.227532984286483</v>
      </c>
      <c r="H66">
        <v>65.602934332067548</v>
      </c>
      <c r="J66">
        <v>40.71284072102123</v>
      </c>
      <c r="L66">
        <v>1.6220313298879956</v>
      </c>
      <c r="M66">
        <v>12.230417172642712</v>
      </c>
      <c r="N66">
        <v>2.3197863310611795</v>
      </c>
      <c r="O66">
        <v>6.2409622277865511</v>
      </c>
      <c r="P66">
        <v>8.2277511379724224</v>
      </c>
      <c r="R66">
        <v>8.6178752963860461</v>
      </c>
      <c r="S66">
        <v>35.603754380811537</v>
      </c>
      <c r="U66">
        <v>1.3383572982775409</v>
      </c>
      <c r="V66">
        <v>48.476041027805252</v>
      </c>
      <c r="W66">
        <v>20.84588709480834</v>
      </c>
      <c r="X66">
        <v>43.74200765703322</v>
      </c>
      <c r="Y66">
        <v>2.7827297979550356</v>
      </c>
      <c r="Z66">
        <v>17.939481239839267</v>
      </c>
      <c r="AB66">
        <v>31.864557023198184</v>
      </c>
      <c r="AE66">
        <v>6.7274132102040003</v>
      </c>
      <c r="AF66">
        <v>11.850274624571341</v>
      </c>
      <c r="AG66">
        <v>17.245128314899119</v>
      </c>
      <c r="AI66">
        <v>2.2557226464190978</v>
      </c>
      <c r="AK66">
        <v>38.141024620897312</v>
      </c>
    </row>
    <row r="67" spans="1:37" x14ac:dyDescent="0.2">
      <c r="A67">
        <v>66</v>
      </c>
      <c r="B67">
        <v>766</v>
      </c>
      <c r="C67">
        <v>175</v>
      </c>
      <c r="D67">
        <v>0.41514747630275201</v>
      </c>
      <c r="E67">
        <v>143.92532824527615</v>
      </c>
      <c r="F67">
        <v>62.876929034199257</v>
      </c>
      <c r="G67">
        <v>72.468914758804146</v>
      </c>
      <c r="H67">
        <v>67.887031552266691</v>
      </c>
      <c r="J67">
        <v>74.602226604252877</v>
      </c>
      <c r="L67">
        <v>7.5384158154798424</v>
      </c>
      <c r="M67">
        <v>14.337967665283793</v>
      </c>
      <c r="N67">
        <v>2.20403947607721</v>
      </c>
      <c r="O67">
        <v>33.620283313774358</v>
      </c>
      <c r="P67">
        <v>12.067456325935186</v>
      </c>
      <c r="Q67">
        <v>0.10852098313900697</v>
      </c>
      <c r="R67">
        <v>18.399190768673954</v>
      </c>
      <c r="S67">
        <v>50.673537515298783</v>
      </c>
      <c r="U67">
        <v>2.1008302740201268</v>
      </c>
      <c r="V67">
        <v>47.730570746560254</v>
      </c>
      <c r="W67">
        <v>26.268208883581039</v>
      </c>
      <c r="X67">
        <v>43.773038365832988</v>
      </c>
      <c r="Y67">
        <v>8.9545724876453683</v>
      </c>
      <c r="Z67">
        <v>32.420448162681204</v>
      </c>
      <c r="AA67">
        <v>6.7313403042454887</v>
      </c>
      <c r="AB67">
        <v>38.078451576414821</v>
      </c>
      <c r="AC67">
        <v>1.123140908989417E-2</v>
      </c>
      <c r="AD67">
        <v>8.6925876147396082</v>
      </c>
      <c r="AE67">
        <v>13.893761057783271</v>
      </c>
      <c r="AF67">
        <v>13.975059353051186</v>
      </c>
      <c r="AG67">
        <v>23.754572190853352</v>
      </c>
      <c r="AH67">
        <v>7.0776765010717639</v>
      </c>
      <c r="AI67">
        <v>2.1420363765186843</v>
      </c>
      <c r="AK67">
        <v>60.455271037280646</v>
      </c>
    </row>
    <row r="68" spans="1:37" x14ac:dyDescent="0.2">
      <c r="A68">
        <v>67</v>
      </c>
      <c r="B68">
        <v>764</v>
      </c>
      <c r="C68">
        <v>175</v>
      </c>
      <c r="D68">
        <v>0.41388468398978101</v>
      </c>
      <c r="E68">
        <v>143.69959341253821</v>
      </c>
      <c r="F68">
        <v>62.149517415782363</v>
      </c>
      <c r="G68">
        <v>72.345325443758426</v>
      </c>
      <c r="H68">
        <v>67.758352235678373</v>
      </c>
      <c r="J68">
        <v>74.434333951006266</v>
      </c>
      <c r="L68">
        <v>7.3644907695966939</v>
      </c>
      <c r="M68">
        <v>14.235885719633277</v>
      </c>
      <c r="N68">
        <v>2.1965444882636764</v>
      </c>
      <c r="O68">
        <v>32.804942250068656</v>
      </c>
      <c r="P68">
        <v>11.855553232309887</v>
      </c>
      <c r="R68">
        <v>18.004939279709163</v>
      </c>
      <c r="S68">
        <v>49.911393022420661</v>
      </c>
      <c r="U68">
        <v>1.9666678824604662</v>
      </c>
      <c r="V68">
        <v>47.569124771944118</v>
      </c>
      <c r="W68">
        <v>25.900391028496376</v>
      </c>
      <c r="X68">
        <v>43.459285490665749</v>
      </c>
      <c r="Y68">
        <v>8.7696530487352753</v>
      </c>
      <c r="Z68">
        <v>32.02281113481444</v>
      </c>
      <c r="AA68">
        <v>6.5516237182981421</v>
      </c>
      <c r="AB68">
        <v>37.82771129539244</v>
      </c>
      <c r="AD68">
        <v>8.4691951767770153</v>
      </c>
      <c r="AE68">
        <v>13.715902274401863</v>
      </c>
      <c r="AF68">
        <v>13.859265811544553</v>
      </c>
      <c r="AG68">
        <v>23.462627340965028</v>
      </c>
      <c r="AH68">
        <v>6.813303598643059</v>
      </c>
      <c r="AI68">
        <v>2.133990177806012</v>
      </c>
      <c r="AK68">
        <v>60.415993417226794</v>
      </c>
    </row>
    <row r="69" spans="1:37" x14ac:dyDescent="0.2">
      <c r="A69">
        <v>68</v>
      </c>
      <c r="B69">
        <v>762</v>
      </c>
      <c r="C69">
        <v>175</v>
      </c>
      <c r="D69">
        <v>0.41261701202724399</v>
      </c>
      <c r="E69">
        <v>143.25934558878981</v>
      </c>
      <c r="F69">
        <v>60.061744479097818</v>
      </c>
      <c r="G69">
        <v>71.988258929609827</v>
      </c>
      <c r="H69">
        <v>67.396247220951182</v>
      </c>
      <c r="J69">
        <v>73.979784658649251</v>
      </c>
      <c r="L69">
        <v>6.8020383789597325</v>
      </c>
      <c r="M69">
        <v>14.273733986529137</v>
      </c>
      <c r="N69">
        <v>2.2004966790794871</v>
      </c>
      <c r="O69">
        <v>30.502409188102973</v>
      </c>
      <c r="P69">
        <v>11.188173144057213</v>
      </c>
      <c r="R69">
        <v>17.2717723196916</v>
      </c>
      <c r="S69">
        <v>49.279314471481264</v>
      </c>
      <c r="U69">
        <v>1.9188001656893683</v>
      </c>
      <c r="V69">
        <v>47.673424688099153</v>
      </c>
      <c r="W69">
        <v>25.447949657632325</v>
      </c>
      <c r="X69">
        <v>43.403948870472895</v>
      </c>
      <c r="Y69">
        <v>8.1336413068826072</v>
      </c>
      <c r="Z69">
        <v>30.89096042414759</v>
      </c>
      <c r="AA69">
        <v>5.9690548291600427</v>
      </c>
      <c r="AB69">
        <v>37.704680034884092</v>
      </c>
      <c r="AD69">
        <v>7.7925838316778906</v>
      </c>
      <c r="AE69">
        <v>13.284218852865166</v>
      </c>
      <c r="AF69">
        <v>13.894850766940449</v>
      </c>
      <c r="AG69">
        <v>23.309848588483462</v>
      </c>
      <c r="AH69">
        <v>5.8821219313594426</v>
      </c>
      <c r="AI69">
        <v>2.1373878929109789</v>
      </c>
      <c r="AK69">
        <v>60.05829041587198</v>
      </c>
    </row>
    <row r="70" spans="1:37" x14ac:dyDescent="0.2">
      <c r="A70">
        <v>69</v>
      </c>
      <c r="B70">
        <v>760</v>
      </c>
      <c r="C70">
        <v>175</v>
      </c>
      <c r="D70">
        <v>0.41134443207665999</v>
      </c>
      <c r="E70">
        <v>142.79324928565106</v>
      </c>
      <c r="F70">
        <v>57.745240856831344</v>
      </c>
      <c r="G70">
        <v>71.590494562613145</v>
      </c>
      <c r="H70">
        <v>66.993496018643796</v>
      </c>
      <c r="J70">
        <v>73.383670640765175</v>
      </c>
      <c r="L70">
        <v>6.1589275598821223</v>
      </c>
      <c r="M70">
        <v>14.324465241726568</v>
      </c>
      <c r="N70">
        <v>2.2044445366980416</v>
      </c>
      <c r="O70">
        <v>27.931069801385675</v>
      </c>
      <c r="P70">
        <v>10.439423419937819</v>
      </c>
      <c r="R70">
        <v>16.410355292933765</v>
      </c>
      <c r="S70">
        <v>48.363008485787581</v>
      </c>
      <c r="U70">
        <v>1.891760438600754</v>
      </c>
      <c r="V70">
        <v>47.714049906646402</v>
      </c>
      <c r="W70">
        <v>25.00766827559768</v>
      </c>
      <c r="X70">
        <v>43.410511657083326</v>
      </c>
      <c r="Y70">
        <v>7.4170352024051489</v>
      </c>
      <c r="Z70">
        <v>29.613106583409763</v>
      </c>
      <c r="AA70">
        <v>5.3097490345243425</v>
      </c>
      <c r="AB70">
        <v>37.445187999509578</v>
      </c>
      <c r="AD70">
        <v>7.0250320505545529</v>
      </c>
      <c r="AE70">
        <v>12.797577143186011</v>
      </c>
      <c r="AF70">
        <v>13.94331552730122</v>
      </c>
      <c r="AG70">
        <v>23.020614672544006</v>
      </c>
      <c r="AH70">
        <v>4.8288572556764828</v>
      </c>
      <c r="AI70">
        <v>2.1407779953147892</v>
      </c>
      <c r="AK70">
        <v>59.633231583724829</v>
      </c>
    </row>
    <row r="71" spans="1:37" x14ac:dyDescent="0.2">
      <c r="A71">
        <v>70</v>
      </c>
      <c r="B71">
        <v>758</v>
      </c>
      <c r="C71">
        <v>175</v>
      </c>
      <c r="D71">
        <v>0.41006691557969399</v>
      </c>
      <c r="E71">
        <v>141.51854845600101</v>
      </c>
      <c r="F71">
        <v>49.252101769965762</v>
      </c>
      <c r="G71">
        <v>70.302909309943672</v>
      </c>
      <c r="H71">
        <v>65.700975760872481</v>
      </c>
      <c r="J71">
        <v>69.727404612348494</v>
      </c>
      <c r="L71">
        <v>3.7780271268557697</v>
      </c>
      <c r="M71">
        <v>14.28742265881373</v>
      </c>
      <c r="N71">
        <v>2.2083491243967828</v>
      </c>
      <c r="O71">
        <v>19.111643621143454</v>
      </c>
      <c r="P71">
        <v>7.9110192366428205</v>
      </c>
      <c r="R71">
        <v>12.879611101515572</v>
      </c>
      <c r="S71">
        <v>42.886364295430305</v>
      </c>
      <c r="U71">
        <v>1.9026356315404975</v>
      </c>
      <c r="V71">
        <v>47.144818345090862</v>
      </c>
      <c r="W71">
        <v>24.642360020827038</v>
      </c>
      <c r="X71">
        <v>43.522202967794499</v>
      </c>
      <c r="Y71">
        <v>4.9060652526380526</v>
      </c>
      <c r="Z71">
        <v>23.97383748834282</v>
      </c>
      <c r="AA71">
        <v>2.9086612355655235</v>
      </c>
      <c r="AB71">
        <v>34.826212853831542</v>
      </c>
      <c r="AD71">
        <v>3.7315391369469961</v>
      </c>
      <c r="AE71">
        <v>10.421031186523855</v>
      </c>
      <c r="AF71">
        <v>13.903964373829012</v>
      </c>
      <c r="AG71">
        <v>20.371864367625733</v>
      </c>
      <c r="AH71">
        <v>1.0014974427142811</v>
      </c>
      <c r="AI71">
        <v>2.1441215335974513</v>
      </c>
      <c r="AK71">
        <v>57.324464316723045</v>
      </c>
    </row>
    <row r="72" spans="1:37" x14ac:dyDescent="0.2">
      <c r="A72">
        <v>71</v>
      </c>
      <c r="B72">
        <v>756</v>
      </c>
      <c r="C72">
        <v>175</v>
      </c>
      <c r="D72">
        <v>0.40878443375601398</v>
      </c>
      <c r="E72">
        <v>142.02075357877479</v>
      </c>
      <c r="F72">
        <v>47.746606087190948</v>
      </c>
      <c r="G72">
        <v>70.542990494766627</v>
      </c>
      <c r="H72">
        <v>65.936173936383213</v>
      </c>
      <c r="J72">
        <v>52.357328437987917</v>
      </c>
      <c r="L72">
        <v>1.5507971020090481</v>
      </c>
      <c r="M72">
        <v>13.817711436290832</v>
      </c>
      <c r="N72">
        <v>2.2123507001856053</v>
      </c>
      <c r="O72">
        <v>7.0336402216445038</v>
      </c>
      <c r="P72">
        <v>8.4380756785678255</v>
      </c>
      <c r="R72">
        <v>10.30725803479562</v>
      </c>
      <c r="S72">
        <v>35.767097124552848</v>
      </c>
      <c r="U72">
        <v>1.9467297583268137</v>
      </c>
      <c r="V72">
        <v>46.954519223116861</v>
      </c>
      <c r="W72">
        <v>23.948728567757819</v>
      </c>
      <c r="X72">
        <v>43.725543683520726</v>
      </c>
      <c r="Y72">
        <v>3.3384354605780384</v>
      </c>
      <c r="Z72">
        <v>18.048073779332789</v>
      </c>
      <c r="AB72">
        <v>31.016961810248976</v>
      </c>
      <c r="AD72">
        <v>0.60368891672883929</v>
      </c>
      <c r="AE72">
        <v>6.8950961605244201</v>
      </c>
      <c r="AF72">
        <v>13.432042807566862</v>
      </c>
      <c r="AG72">
        <v>16.532945191066077</v>
      </c>
      <c r="AI72">
        <v>2.1475587510659535</v>
      </c>
      <c r="AK72">
        <v>45.886606239044248</v>
      </c>
    </row>
    <row r="73" spans="1:37" x14ac:dyDescent="0.2">
      <c r="A73">
        <v>72</v>
      </c>
      <c r="B73">
        <v>754</v>
      </c>
      <c r="C73">
        <v>175</v>
      </c>
      <c r="D73">
        <v>0.40749695760112897</v>
      </c>
      <c r="E73">
        <v>142.38412618261486</v>
      </c>
      <c r="F73">
        <v>48.547845462300039</v>
      </c>
      <c r="G73">
        <v>70.53752271234444</v>
      </c>
      <c r="H73">
        <v>65.925875306662306</v>
      </c>
      <c r="J73">
        <v>42.675199971190594</v>
      </c>
      <c r="L73">
        <v>1.5797281241874115</v>
      </c>
      <c r="M73">
        <v>12.989135506109635</v>
      </c>
      <c r="N73">
        <v>2.2163410592106709</v>
      </c>
      <c r="O73">
        <v>6.920620408706438</v>
      </c>
      <c r="P73">
        <v>8.474053912437963</v>
      </c>
      <c r="R73">
        <v>9.652810589871434</v>
      </c>
      <c r="S73">
        <v>36.245887717704377</v>
      </c>
      <c r="U73">
        <v>1.9186886539403498</v>
      </c>
      <c r="V73">
        <v>47.950554234861755</v>
      </c>
      <c r="W73">
        <v>22.946699667214592</v>
      </c>
      <c r="X73">
        <v>43.722380327226844</v>
      </c>
      <c r="Y73">
        <v>2.8787297503607512</v>
      </c>
      <c r="Z73">
        <v>17.733073013318865</v>
      </c>
      <c r="AB73">
        <v>31.464779772027935</v>
      </c>
      <c r="AE73">
        <v>6.6902030362383345</v>
      </c>
      <c r="AF73">
        <v>12.601246600350054</v>
      </c>
      <c r="AG73">
        <v>16.951093888509849</v>
      </c>
      <c r="AI73">
        <v>2.150981428158663</v>
      </c>
      <c r="AK73">
        <v>39.261894486452611</v>
      </c>
    </row>
    <row r="74" spans="1:37" x14ac:dyDescent="0.2">
      <c r="A74">
        <v>73</v>
      </c>
      <c r="B74">
        <v>776</v>
      </c>
      <c r="C74">
        <v>150</v>
      </c>
      <c r="D74">
        <v>0.447600915026452</v>
      </c>
      <c r="E74">
        <v>130.23601153490438</v>
      </c>
      <c r="F74">
        <v>65.159674816099169</v>
      </c>
      <c r="G74">
        <v>72.981696380264069</v>
      </c>
      <c r="H74">
        <v>68.425098962432187</v>
      </c>
      <c r="J74">
        <v>74.776787099270578</v>
      </c>
      <c r="L74">
        <v>8.0976605443336016</v>
      </c>
      <c r="M74">
        <v>14.723418010468695</v>
      </c>
      <c r="N74">
        <v>2.1559448361398954</v>
      </c>
      <c r="O74">
        <v>37.42072256850053</v>
      </c>
      <c r="P74">
        <v>12.690513368257388</v>
      </c>
      <c r="Q74">
        <v>6.9807633839385347E-2</v>
      </c>
      <c r="R74">
        <v>20.018293976280088</v>
      </c>
      <c r="S74">
        <v>53.586533290849424</v>
      </c>
      <c r="U74">
        <v>2.7096293210734728</v>
      </c>
      <c r="V74">
        <v>47.784707853796</v>
      </c>
      <c r="W74">
        <v>28.69022032904665</v>
      </c>
      <c r="X74">
        <v>43.303520581968129</v>
      </c>
      <c r="Y74">
        <v>9.4599579327153265</v>
      </c>
      <c r="Z74">
        <v>34.071599643031284</v>
      </c>
      <c r="AA74">
        <v>7.3469277827091286</v>
      </c>
      <c r="AB74">
        <v>39.239199307791722</v>
      </c>
      <c r="AC74">
        <v>7.4597448798462057E-2</v>
      </c>
      <c r="AD74">
        <v>9.5662735747834766</v>
      </c>
      <c r="AE74">
        <v>14.881587012756967</v>
      </c>
      <c r="AF74">
        <v>14.420698653623429</v>
      </c>
      <c r="AG74">
        <v>25.143248726022467</v>
      </c>
      <c r="AH74">
        <v>7.5887239492051819</v>
      </c>
      <c r="AI74">
        <v>2.0936587072735255</v>
      </c>
      <c r="AK74">
        <v>60.046582119030944</v>
      </c>
    </row>
    <row r="75" spans="1:37" x14ac:dyDescent="0.2">
      <c r="A75">
        <v>74</v>
      </c>
      <c r="B75">
        <v>774</v>
      </c>
      <c r="C75">
        <v>150</v>
      </c>
      <c r="D75">
        <v>0.44641216635630598</v>
      </c>
      <c r="E75">
        <v>130.03208986102933</v>
      </c>
      <c r="F75">
        <v>64.468583207166702</v>
      </c>
      <c r="G75">
        <v>72.861132845933156</v>
      </c>
      <c r="H75">
        <v>68.299169945619141</v>
      </c>
      <c r="J75">
        <v>74.650875637705255</v>
      </c>
      <c r="L75">
        <v>7.9206305128894163</v>
      </c>
      <c r="M75">
        <v>14.671383951406558</v>
      </c>
      <c r="N75">
        <v>2.136701022192808</v>
      </c>
      <c r="O75">
        <v>36.565724433895568</v>
      </c>
      <c r="P75">
        <v>12.472745453772928</v>
      </c>
      <c r="R75">
        <v>19.676395951130058</v>
      </c>
      <c r="S75">
        <v>53.045916258335211</v>
      </c>
      <c r="U75">
        <v>2.6192217653235472</v>
      </c>
      <c r="V75">
        <v>47.709778061561529</v>
      </c>
      <c r="W75">
        <v>28.394240001794525</v>
      </c>
      <c r="X75">
        <v>43.135637497724538</v>
      </c>
      <c r="Y75">
        <v>9.2740977567903755</v>
      </c>
      <c r="Z75">
        <v>33.69142972983019</v>
      </c>
      <c r="AA75">
        <v>7.1630263187351231</v>
      </c>
      <c r="AB75">
        <v>39.069737364146924</v>
      </c>
      <c r="AC75">
        <v>5.1379033847335089E-2</v>
      </c>
      <c r="AD75">
        <v>9.3584177061958655</v>
      </c>
      <c r="AE75">
        <v>14.711145457072535</v>
      </c>
      <c r="AF75">
        <v>14.343192061481496</v>
      </c>
      <c r="AG75">
        <v>24.920850347076811</v>
      </c>
      <c r="AH75">
        <v>7.3382053165372083</v>
      </c>
      <c r="AI75">
        <v>2.0738820418402044</v>
      </c>
      <c r="AK75">
        <v>60.012750786667759</v>
      </c>
    </row>
    <row r="76" spans="1:37" x14ac:dyDescent="0.2">
      <c r="A76">
        <v>75</v>
      </c>
      <c r="B76">
        <v>772</v>
      </c>
      <c r="C76">
        <v>150</v>
      </c>
      <c r="D76">
        <v>0.44521886810505501</v>
      </c>
      <c r="E76">
        <v>129.82119480093851</v>
      </c>
      <c r="F76">
        <v>63.599478130917937</v>
      </c>
      <c r="G76">
        <v>72.706182204329266</v>
      </c>
      <c r="H76">
        <v>68.138904519860489</v>
      </c>
      <c r="J76">
        <v>74.54614071346181</v>
      </c>
      <c r="L76">
        <v>7.6736033196190148</v>
      </c>
      <c r="M76">
        <v>14.711308307151175</v>
      </c>
      <c r="N76">
        <v>2.1026711104608444</v>
      </c>
      <c r="O76">
        <v>35.412794217881718</v>
      </c>
      <c r="P76">
        <v>12.171446563111509</v>
      </c>
      <c r="R76">
        <v>19.348370108565057</v>
      </c>
      <c r="S76">
        <v>52.836268055600108</v>
      </c>
      <c r="U76">
        <v>2.6013368836715176</v>
      </c>
      <c r="V76">
        <v>47.796016052674389</v>
      </c>
      <c r="W76">
        <v>28.185001008349346</v>
      </c>
      <c r="X76">
        <v>43.206125272224533</v>
      </c>
      <c r="Y76">
        <v>9.0113904675427321</v>
      </c>
      <c r="Z76">
        <v>33.213165534782362</v>
      </c>
      <c r="AA76">
        <v>6.9055653540842465</v>
      </c>
      <c r="AB76">
        <v>39.035346653599355</v>
      </c>
      <c r="AC76">
        <v>1.3375123602298753E-2</v>
      </c>
      <c r="AD76">
        <v>9.0929401242334436</v>
      </c>
      <c r="AE76">
        <v>14.509345344740666</v>
      </c>
      <c r="AF76">
        <v>14.342858698516347</v>
      </c>
      <c r="AG76">
        <v>24.81874677432705</v>
      </c>
      <c r="AH76">
        <v>6.9958047256557387</v>
      </c>
      <c r="AI76">
        <v>2.0393160871677871</v>
      </c>
      <c r="AK76">
        <v>59.937410467038006</v>
      </c>
    </row>
    <row r="77" spans="1:37" x14ac:dyDescent="0.2">
      <c r="A77">
        <v>76</v>
      </c>
      <c r="B77">
        <v>770</v>
      </c>
      <c r="C77">
        <v>150</v>
      </c>
      <c r="D77">
        <v>0.44402099410439499</v>
      </c>
      <c r="E77">
        <v>129.46847380120192</v>
      </c>
      <c r="F77">
        <v>61.963420074351298</v>
      </c>
      <c r="G77">
        <v>72.422981953902976</v>
      </c>
      <c r="H77">
        <v>67.850440344784744</v>
      </c>
      <c r="J77">
        <v>74.207040544219879</v>
      </c>
      <c r="L77">
        <v>7.2249475284394391</v>
      </c>
      <c r="M77">
        <v>14.749624516716089</v>
      </c>
      <c r="N77">
        <v>2.0930319914257351</v>
      </c>
      <c r="O77">
        <v>33.528328265209915</v>
      </c>
      <c r="P77">
        <v>11.638068756934414</v>
      </c>
      <c r="R77">
        <v>18.753195344764247</v>
      </c>
      <c r="S77">
        <v>52.312721018453232</v>
      </c>
      <c r="U77">
        <v>2.5674128940328984</v>
      </c>
      <c r="V77">
        <v>47.877670109554209</v>
      </c>
      <c r="W77">
        <v>27.820656827998167</v>
      </c>
      <c r="X77">
        <v>43.206994952674229</v>
      </c>
      <c r="Y77">
        <v>8.5118293242152774</v>
      </c>
      <c r="Z77">
        <v>32.318780812442846</v>
      </c>
      <c r="AA77">
        <v>6.441675391810044</v>
      </c>
      <c r="AB77">
        <v>38.919706260097513</v>
      </c>
      <c r="AD77">
        <v>8.5671254426258798</v>
      </c>
      <c r="AE77">
        <v>14.160185757134695</v>
      </c>
      <c r="AF77">
        <v>14.365308937372134</v>
      </c>
      <c r="AG77">
        <v>24.659794027107807</v>
      </c>
      <c r="AH77">
        <v>6.2801853103281005</v>
      </c>
      <c r="AI77">
        <v>2.0291377190816648</v>
      </c>
      <c r="AK77">
        <v>59.683643334654242</v>
      </c>
    </row>
    <row r="78" spans="1:37" x14ac:dyDescent="0.2">
      <c r="A78">
        <v>77</v>
      </c>
      <c r="B78">
        <v>768</v>
      </c>
      <c r="C78">
        <v>150</v>
      </c>
      <c r="D78">
        <v>0.442818517984921</v>
      </c>
      <c r="E78">
        <v>129.02000734705643</v>
      </c>
      <c r="F78">
        <v>59.749939120148241</v>
      </c>
      <c r="G78">
        <v>72.041496976673486</v>
      </c>
      <c r="H78">
        <v>67.463742464207925</v>
      </c>
      <c r="J78">
        <v>73.642288946937654</v>
      </c>
      <c r="L78">
        <v>6.6108147159563595</v>
      </c>
      <c r="M78">
        <v>14.795504524871333</v>
      </c>
      <c r="N78">
        <v>2.0969879365391662</v>
      </c>
      <c r="O78">
        <v>31.059079756395203</v>
      </c>
      <c r="P78">
        <v>10.921746244959964</v>
      </c>
      <c r="R78">
        <v>17.924082880963748</v>
      </c>
      <c r="S78">
        <v>51.418721382221875</v>
      </c>
      <c r="U78">
        <v>2.538630117036671</v>
      </c>
      <c r="V78">
        <v>47.912653488888097</v>
      </c>
      <c r="W78">
        <v>27.378468586802363</v>
      </c>
      <c r="X78">
        <v>43.210758719587659</v>
      </c>
      <c r="Y78">
        <v>7.8272181991449203</v>
      </c>
      <c r="Z78">
        <v>31.096630450259127</v>
      </c>
      <c r="AA78">
        <v>5.8120944439736926</v>
      </c>
      <c r="AB78">
        <v>38.664585460315521</v>
      </c>
      <c r="AD78">
        <v>7.8364965967158788</v>
      </c>
      <c r="AE78">
        <v>13.692732379719386</v>
      </c>
      <c r="AF78">
        <v>14.408919037617233</v>
      </c>
      <c r="AG78">
        <v>24.374965698735597</v>
      </c>
      <c r="AH78">
        <v>5.2761671052270831</v>
      </c>
      <c r="AI78">
        <v>2.0325511943694998</v>
      </c>
      <c r="AK78">
        <v>59.286357229667793</v>
      </c>
    </row>
    <row r="79" spans="1:37" x14ac:dyDescent="0.2">
      <c r="A79">
        <v>78</v>
      </c>
      <c r="B79">
        <v>766</v>
      </c>
      <c r="C79">
        <v>150</v>
      </c>
      <c r="D79">
        <v>0.44161141317423203</v>
      </c>
      <c r="E79">
        <v>128.51768473329014</v>
      </c>
      <c r="F79">
        <v>57.078260489033006</v>
      </c>
      <c r="G79">
        <v>71.584413485554421</v>
      </c>
      <c r="H79">
        <v>67.001497253461181</v>
      </c>
      <c r="J79">
        <v>72.799362576895135</v>
      </c>
      <c r="L79">
        <v>5.8478450832308297</v>
      </c>
      <c r="M79">
        <v>14.853232493535707</v>
      </c>
      <c r="N79">
        <v>2.100937374870921</v>
      </c>
      <c r="O79">
        <v>28.078972776675606</v>
      </c>
      <c r="P79">
        <v>10.054250057273789</v>
      </c>
      <c r="R79">
        <v>16.85863537525568</v>
      </c>
      <c r="S79">
        <v>49.982845265384363</v>
      </c>
      <c r="U79">
        <v>2.5369805102601073</v>
      </c>
      <c r="V79">
        <v>47.832721966015995</v>
      </c>
      <c r="W79">
        <v>26.950967470494678</v>
      </c>
      <c r="X79">
        <v>43.294769668011796</v>
      </c>
      <c r="Y79">
        <v>6.9918765754084955</v>
      </c>
      <c r="Z79">
        <v>29.568473419327432</v>
      </c>
      <c r="AA79">
        <v>5.0376559708854183</v>
      </c>
      <c r="AB79">
        <v>38.142072631348924</v>
      </c>
      <c r="AD79">
        <v>6.9216589443402281</v>
      </c>
      <c r="AE79">
        <v>13.101576107373814</v>
      </c>
      <c r="AF79">
        <v>14.464371633778514</v>
      </c>
      <c r="AG79">
        <v>23.822748640849067</v>
      </c>
      <c r="AH79">
        <v>4.0430917062516709</v>
      </c>
      <c r="AI79">
        <v>2.035954927429021</v>
      </c>
      <c r="AK79">
        <v>58.751370438180018</v>
      </c>
    </row>
    <row r="80" spans="1:37" x14ac:dyDescent="0.2">
      <c r="A80">
        <v>79</v>
      </c>
      <c r="B80">
        <v>764</v>
      </c>
      <c r="C80">
        <v>150</v>
      </c>
      <c r="D80">
        <v>0.44039965289495597</v>
      </c>
      <c r="E80">
        <v>127.65276494978266</v>
      </c>
      <c r="F80">
        <v>49.329161731250053</v>
      </c>
      <c r="G80">
        <v>70.599240621105238</v>
      </c>
      <c r="H80">
        <v>66.011214016147832</v>
      </c>
      <c r="J80">
        <v>63.548034351408511</v>
      </c>
      <c r="L80">
        <v>2.704543181055644</v>
      </c>
      <c r="M80">
        <v>14.71196975495489</v>
      </c>
      <c r="N80">
        <v>2.1048683700039179</v>
      </c>
      <c r="O80">
        <v>14.422688642603104</v>
      </c>
      <c r="P80">
        <v>8.1305867147306827</v>
      </c>
      <c r="R80">
        <v>12.541540952683519</v>
      </c>
      <c r="S80">
        <v>40.996952936148737</v>
      </c>
      <c r="U80">
        <v>2.6023189187567093</v>
      </c>
      <c r="V80">
        <v>46.818819240709786</v>
      </c>
      <c r="W80">
        <v>26.546890271605164</v>
      </c>
      <c r="X80">
        <v>43.561790814161476</v>
      </c>
      <c r="Y80">
        <v>4.186650783781519</v>
      </c>
      <c r="Z80">
        <v>22.633708328005884</v>
      </c>
      <c r="AA80">
        <v>1.659381533251697</v>
      </c>
      <c r="AB80">
        <v>33.955785079125157</v>
      </c>
      <c r="AD80">
        <v>2.9999239949840115</v>
      </c>
      <c r="AE80">
        <v>9.7424727207160391</v>
      </c>
      <c r="AF80">
        <v>14.320816165425301</v>
      </c>
      <c r="AG80">
        <v>19.606748268720743</v>
      </c>
      <c r="AI80">
        <v>2.0393369671643375</v>
      </c>
      <c r="AK80">
        <v>52.909248830572807</v>
      </c>
    </row>
    <row r="81" spans="1:37" x14ac:dyDescent="0.2">
      <c r="A81">
        <v>80</v>
      </c>
      <c r="B81">
        <v>762</v>
      </c>
      <c r="C81">
        <v>150</v>
      </c>
      <c r="D81">
        <v>0.439183210162781</v>
      </c>
      <c r="E81">
        <v>128.20423628762973</v>
      </c>
      <c r="F81">
        <v>48.667848111137452</v>
      </c>
      <c r="G81">
        <v>70.858740704448152</v>
      </c>
      <c r="H81">
        <v>66.265655237061623</v>
      </c>
      <c r="J81">
        <v>49.433339942937366</v>
      </c>
      <c r="L81">
        <v>1.5216168251646558</v>
      </c>
      <c r="M81">
        <v>14.150823288030075</v>
      </c>
      <c r="N81">
        <v>2.1088766999343904</v>
      </c>
      <c r="O81">
        <v>7.9504974113510452</v>
      </c>
      <c r="P81">
        <v>8.6963768146970271</v>
      </c>
      <c r="R81">
        <v>11.011133122221684</v>
      </c>
      <c r="S81">
        <v>36.976726013898144</v>
      </c>
      <c r="U81">
        <v>2.6298798374616918</v>
      </c>
      <c r="V81">
        <v>46.988723028299859</v>
      </c>
      <c r="W81">
        <v>25.766728158651322</v>
      </c>
      <c r="X81">
        <v>43.720209586521015</v>
      </c>
      <c r="Y81">
        <v>3.1901795505156807</v>
      </c>
      <c r="Z81">
        <v>17.933121118070158</v>
      </c>
      <c r="AB81">
        <v>31.063006795411066</v>
      </c>
      <c r="AD81">
        <v>0.5458745248716691</v>
      </c>
      <c r="AE81">
        <v>6.9041721398789768</v>
      </c>
      <c r="AF81">
        <v>13.757455433389115</v>
      </c>
      <c r="AG81">
        <v>16.684344398163077</v>
      </c>
      <c r="AI81">
        <v>2.042793076885308</v>
      </c>
      <c r="AK81">
        <v>43.56714002328286</v>
      </c>
    </row>
    <row r="82" spans="1:37" x14ac:dyDescent="0.2">
      <c r="A82">
        <v>81</v>
      </c>
      <c r="B82">
        <v>760</v>
      </c>
      <c r="C82">
        <v>150</v>
      </c>
      <c r="D82">
        <v>0.43796205778444602</v>
      </c>
      <c r="E82">
        <v>128.54179216942461</v>
      </c>
      <c r="F82">
        <v>49.451440766625275</v>
      </c>
      <c r="G82">
        <v>70.846713535082131</v>
      </c>
      <c r="H82">
        <v>66.248620880005959</v>
      </c>
      <c r="J82">
        <v>41.649141436467325</v>
      </c>
      <c r="L82">
        <v>1.547470755123435</v>
      </c>
      <c r="M82">
        <v>13.359788020012513</v>
      </c>
      <c r="N82">
        <v>2.1128714945225671</v>
      </c>
      <c r="O82">
        <v>7.8289462715016445</v>
      </c>
      <c r="P82">
        <v>8.719129264135022</v>
      </c>
      <c r="R82">
        <v>10.376677009270958</v>
      </c>
      <c r="S82">
        <v>37.414672482114518</v>
      </c>
      <c r="U82">
        <v>2.6005907646840392</v>
      </c>
      <c r="V82">
        <v>47.936389069429268</v>
      </c>
      <c r="W82">
        <v>24.797617383682105</v>
      </c>
      <c r="X82">
        <v>43.716074964290414</v>
      </c>
      <c r="Y82">
        <v>2.7434238311829979</v>
      </c>
      <c r="Z82">
        <v>17.708232374996303</v>
      </c>
      <c r="AB82">
        <v>31.529503427567494</v>
      </c>
      <c r="AE82">
        <v>6.7531907550626311</v>
      </c>
      <c r="AF82">
        <v>12.9641935389167</v>
      </c>
      <c r="AG82">
        <v>17.121211852740082</v>
      </c>
      <c r="AI82">
        <v>2.0462323717603152</v>
      </c>
      <c r="AK82">
        <v>38.221233058493731</v>
      </c>
    </row>
    <row r="83" spans="1:37" x14ac:dyDescent="0.2">
      <c r="A83">
        <v>82</v>
      </c>
      <c r="B83">
        <v>788</v>
      </c>
      <c r="C83">
        <v>125</v>
      </c>
      <c r="D83">
        <v>0.48055458700466802</v>
      </c>
      <c r="E83">
        <v>116.65837154444532</v>
      </c>
      <c r="F83">
        <v>67.821734796221563</v>
      </c>
      <c r="G83">
        <v>73.585786087363459</v>
      </c>
      <c r="H83">
        <v>69.061639615871911</v>
      </c>
      <c r="J83">
        <v>75.089340156829437</v>
      </c>
      <c r="L83">
        <v>8.7406703803348353</v>
      </c>
      <c r="M83">
        <v>15.162117130563944</v>
      </c>
      <c r="N83">
        <v>2.0998885933701672</v>
      </c>
      <c r="O83">
        <v>41.971536800813276</v>
      </c>
      <c r="P83">
        <v>13.446730585869526</v>
      </c>
      <c r="Q83">
        <v>1.8686392349919416E-2</v>
      </c>
      <c r="R83">
        <v>21.8493283189122</v>
      </c>
      <c r="S83">
        <v>57.130826369697061</v>
      </c>
      <c r="U83">
        <v>3.4869826101329564</v>
      </c>
      <c r="V83">
        <v>47.865074012060973</v>
      </c>
      <c r="W83">
        <v>31.581352682711778</v>
      </c>
      <c r="X83">
        <v>42.83540880536502</v>
      </c>
      <c r="Y83">
        <v>10.072244942403097</v>
      </c>
      <c r="Z83">
        <v>36.059838542489906</v>
      </c>
      <c r="AA83">
        <v>8.0543106579365418</v>
      </c>
      <c r="AB83">
        <v>40.635293408072386</v>
      </c>
      <c r="AC83">
        <v>0.13404499981152121</v>
      </c>
      <c r="AD83">
        <v>10.588407784015349</v>
      </c>
      <c r="AE83">
        <v>16.05152131176472</v>
      </c>
      <c r="AF83">
        <v>14.917971757159792</v>
      </c>
      <c r="AG83">
        <v>26.792556637333725</v>
      </c>
      <c r="AH83">
        <v>8.2672376716446401</v>
      </c>
      <c r="AI83">
        <v>2.037789399452929</v>
      </c>
      <c r="AK83">
        <v>59.578930092653302</v>
      </c>
    </row>
    <row r="84" spans="1:37" x14ac:dyDescent="0.2">
      <c r="A84">
        <v>83</v>
      </c>
      <c r="B84">
        <v>786</v>
      </c>
      <c r="C84">
        <v>125</v>
      </c>
      <c r="D84">
        <v>0.47944153330501299</v>
      </c>
      <c r="E84">
        <v>116.45156113095258</v>
      </c>
      <c r="F84">
        <v>67.00893771398016</v>
      </c>
      <c r="G84">
        <v>73.441311941730433</v>
      </c>
      <c r="H84">
        <v>68.911478672863552</v>
      </c>
      <c r="J84">
        <v>74.974350945147293</v>
      </c>
      <c r="L84">
        <v>8.517091690762026</v>
      </c>
      <c r="M84">
        <v>15.174630233177798</v>
      </c>
      <c r="N84">
        <v>2.0708954795541379</v>
      </c>
      <c r="O84">
        <v>40.905831061838953</v>
      </c>
      <c r="P84">
        <v>13.171200834621596</v>
      </c>
      <c r="R84">
        <v>21.520837780709375</v>
      </c>
      <c r="S84">
        <v>56.824706311127734</v>
      </c>
      <c r="U84">
        <v>3.4498079137683093</v>
      </c>
      <c r="V84">
        <v>47.906797919521054</v>
      </c>
      <c r="W84">
        <v>31.341468392516475</v>
      </c>
      <c r="X84">
        <v>42.840237867214313</v>
      </c>
      <c r="Y84">
        <v>9.8339772836529953</v>
      </c>
      <c r="Z84">
        <v>35.608297232385588</v>
      </c>
      <c r="AA84">
        <v>7.8206358721771689</v>
      </c>
      <c r="AB84">
        <v>40.559388232514557</v>
      </c>
      <c r="AC84">
        <v>0.10106924356747418</v>
      </c>
      <c r="AD84">
        <v>10.343228347139174</v>
      </c>
      <c r="AE84">
        <v>15.856703927584922</v>
      </c>
      <c r="AF84">
        <v>14.895251066814863</v>
      </c>
      <c r="AG84">
        <v>26.653974394823909</v>
      </c>
      <c r="AH84">
        <v>7.9545012112911699</v>
      </c>
      <c r="AI84">
        <v>2.0082845311198056</v>
      </c>
      <c r="AK84">
        <v>59.515606777368163</v>
      </c>
    </row>
    <row r="85" spans="1:37" x14ac:dyDescent="0.2">
      <c r="A85">
        <v>84</v>
      </c>
      <c r="B85">
        <v>784</v>
      </c>
      <c r="C85">
        <v>125</v>
      </c>
      <c r="D85">
        <v>0.47832426807926898</v>
      </c>
      <c r="E85">
        <v>116.24473649737195</v>
      </c>
      <c r="F85">
        <v>66.154724898582046</v>
      </c>
      <c r="G85">
        <v>73.288289710870828</v>
      </c>
      <c r="H85">
        <v>68.752819398139948</v>
      </c>
      <c r="J85">
        <v>74.862757315353107</v>
      </c>
      <c r="L85">
        <v>8.2750082967444438</v>
      </c>
      <c r="M85">
        <v>15.21135977351863</v>
      </c>
      <c r="N85">
        <v>2.037985923366437</v>
      </c>
      <c r="O85">
        <v>39.764932056935152</v>
      </c>
      <c r="P85">
        <v>12.874686773469152</v>
      </c>
      <c r="R85">
        <v>21.193188427247975</v>
      </c>
      <c r="S85">
        <v>56.59139879886623</v>
      </c>
      <c r="U85">
        <v>3.4327466045026389</v>
      </c>
      <c r="V85">
        <v>47.985025350408051</v>
      </c>
      <c r="W85">
        <v>31.126058941560785</v>
      </c>
      <c r="X85">
        <v>42.911545083005606</v>
      </c>
      <c r="Y85">
        <v>9.5762989868365889</v>
      </c>
      <c r="Z85">
        <v>35.132089684108074</v>
      </c>
      <c r="AA85">
        <v>7.5681545826004584</v>
      </c>
      <c r="AB85">
        <v>40.510695089762628</v>
      </c>
      <c r="AC85">
        <v>6.4177668417387063E-2</v>
      </c>
      <c r="AD85">
        <v>10.083060252786478</v>
      </c>
      <c r="AE85">
        <v>15.653952361599194</v>
      </c>
      <c r="AF85">
        <v>14.892831053279092</v>
      </c>
      <c r="AG85">
        <v>26.538697150001092</v>
      </c>
      <c r="AH85">
        <v>7.6185580419539729</v>
      </c>
      <c r="AI85">
        <v>1.974860116698828</v>
      </c>
      <c r="AK85">
        <v>59.442680367998832</v>
      </c>
    </row>
    <row r="86" spans="1:37" x14ac:dyDescent="0.2">
      <c r="A86">
        <v>85</v>
      </c>
      <c r="B86">
        <v>782</v>
      </c>
      <c r="C86">
        <v>125</v>
      </c>
      <c r="D86">
        <v>0.47720276737904699</v>
      </c>
      <c r="E86">
        <v>116.03975117979911</v>
      </c>
      <c r="F86">
        <v>65.30509574178042</v>
      </c>
      <c r="G86">
        <v>73.135482631086504</v>
      </c>
      <c r="H86">
        <v>68.594425185546413</v>
      </c>
      <c r="J86">
        <v>74.74745662434853</v>
      </c>
      <c r="L86">
        <v>8.0319317357960092</v>
      </c>
      <c r="M86">
        <v>15.248717221124441</v>
      </c>
      <c r="N86">
        <v>2.0049613861196347</v>
      </c>
      <c r="O86">
        <v>38.625263214281233</v>
      </c>
      <c r="P86">
        <v>12.578516504052072</v>
      </c>
      <c r="R86">
        <v>20.861859423341663</v>
      </c>
      <c r="S86">
        <v>56.341719605782046</v>
      </c>
      <c r="U86">
        <v>3.4172725402152548</v>
      </c>
      <c r="V86">
        <v>48.056909749482934</v>
      </c>
      <c r="W86">
        <v>30.913543465497078</v>
      </c>
      <c r="X86">
        <v>42.988470618618997</v>
      </c>
      <c r="Y86">
        <v>9.318732589197424</v>
      </c>
      <c r="Z86">
        <v>34.65688443572806</v>
      </c>
      <c r="AA86">
        <v>7.3155630586775082</v>
      </c>
      <c r="AB86">
        <v>40.452816235261103</v>
      </c>
      <c r="AC86">
        <v>2.717173218975287E-2</v>
      </c>
      <c r="AD86">
        <v>9.8226953397582388</v>
      </c>
      <c r="AE86">
        <v>15.451666075012996</v>
      </c>
      <c r="AF86">
        <v>14.89092468939883</v>
      </c>
      <c r="AG86">
        <v>26.414128662880298</v>
      </c>
      <c r="AH86">
        <v>7.2824950676945237</v>
      </c>
      <c r="AI86">
        <v>1.9413176029050161</v>
      </c>
      <c r="AK86">
        <v>59.370348504459542</v>
      </c>
    </row>
    <row r="87" spans="1:37" x14ac:dyDescent="0.2">
      <c r="A87">
        <v>86</v>
      </c>
      <c r="B87">
        <v>780</v>
      </c>
      <c r="C87">
        <v>125</v>
      </c>
      <c r="D87">
        <v>0.47607700707401701</v>
      </c>
      <c r="E87">
        <v>115.77866759642647</v>
      </c>
      <c r="F87">
        <v>64.146476167787753</v>
      </c>
      <c r="G87">
        <v>72.930609656656657</v>
      </c>
      <c r="H87">
        <v>68.384015147502097</v>
      </c>
      <c r="J87">
        <v>74.532533043019498</v>
      </c>
      <c r="L87">
        <v>7.7056238227931022</v>
      </c>
      <c r="M87">
        <v>15.286237424780026</v>
      </c>
      <c r="N87">
        <v>1.9815352944421141</v>
      </c>
      <c r="O87">
        <v>37.187108906468261</v>
      </c>
      <c r="P87">
        <v>12.187841530198238</v>
      </c>
      <c r="R87">
        <v>20.417975004042461</v>
      </c>
      <c r="S87">
        <v>55.946957609403569</v>
      </c>
      <c r="U87">
        <v>3.3968424591209483</v>
      </c>
      <c r="V87">
        <v>48.120552554900087</v>
      </c>
      <c r="W87">
        <v>30.640734117523699</v>
      </c>
      <c r="X87">
        <v>43.042893272674149</v>
      </c>
      <c r="Y87">
        <v>8.9645841841761253</v>
      </c>
      <c r="Z87">
        <v>34.013002259549815</v>
      </c>
      <c r="AA87">
        <v>6.9783951933431672</v>
      </c>
      <c r="AB87">
        <v>40.352283610443649</v>
      </c>
      <c r="AD87">
        <v>9.4564722384978843</v>
      </c>
      <c r="AE87">
        <v>15.189562211203157</v>
      </c>
      <c r="AF87">
        <v>14.89878029277034</v>
      </c>
      <c r="AG87">
        <v>26.256514345049649</v>
      </c>
      <c r="AH87">
        <v>6.7948323958123602</v>
      </c>
      <c r="AI87">
        <v>1.9173704017593083</v>
      </c>
      <c r="AK87">
        <v>59.225730898337495</v>
      </c>
    </row>
    <row r="88" spans="1:37" x14ac:dyDescent="0.2">
      <c r="A88">
        <v>87</v>
      </c>
      <c r="B88">
        <v>778</v>
      </c>
      <c r="C88">
        <v>125</v>
      </c>
      <c r="D88">
        <v>0.47494696285021398</v>
      </c>
      <c r="E88">
        <v>115.34415593863991</v>
      </c>
      <c r="F88">
        <v>62.004340646167236</v>
      </c>
      <c r="G88">
        <v>72.560076937430821</v>
      </c>
      <c r="H88">
        <v>68.007995592598618</v>
      </c>
      <c r="J88">
        <v>73.978843128134059</v>
      </c>
      <c r="L88">
        <v>7.1105379365384902</v>
      </c>
      <c r="M88">
        <v>15.328506980287484</v>
      </c>
      <c r="N88">
        <v>1.9854993359277877</v>
      </c>
      <c r="O88">
        <v>34.783556645355979</v>
      </c>
      <c r="P88">
        <v>11.493266008758733</v>
      </c>
      <c r="R88">
        <v>19.605769070752153</v>
      </c>
      <c r="S88">
        <v>55.040130668623085</v>
      </c>
      <c r="U88">
        <v>3.3687316565066689</v>
      </c>
      <c r="V88">
        <v>48.143281450008729</v>
      </c>
      <c r="W88">
        <v>30.197408911733877</v>
      </c>
      <c r="X88">
        <v>43.050495101677285</v>
      </c>
      <c r="Y88">
        <v>8.3015094454793239</v>
      </c>
      <c r="Z88">
        <v>32.825791247409207</v>
      </c>
      <c r="AA88">
        <v>6.368672635766023</v>
      </c>
      <c r="AB88">
        <v>40.084508052142169</v>
      </c>
      <c r="AD88">
        <v>8.7512934443355572</v>
      </c>
      <c r="AE88">
        <v>14.73297280233016</v>
      </c>
      <c r="AF88">
        <v>14.938776189166566</v>
      </c>
      <c r="AG88">
        <v>25.95905676473307</v>
      </c>
      <c r="AH88">
        <v>5.8247327949336425</v>
      </c>
      <c r="AI88">
        <v>1.9208101862360645</v>
      </c>
      <c r="AK88">
        <v>58.846042608098195</v>
      </c>
    </row>
    <row r="89" spans="1:37" x14ac:dyDescent="0.2">
      <c r="A89">
        <v>88</v>
      </c>
      <c r="B89">
        <v>776</v>
      </c>
      <c r="C89">
        <v>125</v>
      </c>
      <c r="D89">
        <v>0.47381261020826598</v>
      </c>
      <c r="E89">
        <v>114.87593849126729</v>
      </c>
      <c r="F89">
        <v>59.564687474919658</v>
      </c>
      <c r="G89">
        <v>72.139429542032957</v>
      </c>
      <c r="H89">
        <v>67.581911748804572</v>
      </c>
      <c r="J89">
        <v>73.236961784773925</v>
      </c>
      <c r="L89">
        <v>6.41601912692055</v>
      </c>
      <c r="M89">
        <v>15.380134502716469</v>
      </c>
      <c r="N89">
        <v>1.9894585039489958</v>
      </c>
      <c r="O89">
        <v>32.042551335633604</v>
      </c>
      <c r="P89">
        <v>10.698485240840677</v>
      </c>
      <c r="R89">
        <v>18.634075135357318</v>
      </c>
      <c r="S89">
        <v>53.752669679461185</v>
      </c>
      <c r="U89">
        <v>3.361185347758386</v>
      </c>
      <c r="V89">
        <v>48.08290358765484</v>
      </c>
      <c r="W89">
        <v>29.766897098282229</v>
      </c>
      <c r="X89">
        <v>43.119264157902606</v>
      </c>
      <c r="Y89">
        <v>7.5385032769922073</v>
      </c>
      <c r="Z89">
        <v>31.440355217771259</v>
      </c>
      <c r="AA89">
        <v>5.6627620500677001</v>
      </c>
      <c r="AB89">
        <v>39.628602460427743</v>
      </c>
      <c r="AD89">
        <v>7.9260764001635913</v>
      </c>
      <c r="AE89">
        <v>14.196606152674534</v>
      </c>
      <c r="AF89">
        <v>14.988126029595476</v>
      </c>
      <c r="AG89">
        <v>25.473473859446383</v>
      </c>
      <c r="AH89">
        <v>4.7027917824350078</v>
      </c>
      <c r="AI89">
        <v>1.9242419350798063</v>
      </c>
      <c r="AK89">
        <v>58.376862709133022</v>
      </c>
    </row>
    <row r="90" spans="1:37" x14ac:dyDescent="0.2">
      <c r="A90">
        <v>89</v>
      </c>
      <c r="B90">
        <v>774</v>
      </c>
      <c r="C90">
        <v>125</v>
      </c>
      <c r="D90">
        <v>0.47267392446163797</v>
      </c>
      <c r="E90">
        <v>114.0392957828392</v>
      </c>
      <c r="F90">
        <v>54.240358265993827</v>
      </c>
      <c r="G90">
        <v>71.294438195331239</v>
      </c>
      <c r="H90">
        <v>66.731534500941848</v>
      </c>
      <c r="J90">
        <v>70.958624327218672</v>
      </c>
      <c r="L90">
        <v>4.8890890152863102</v>
      </c>
      <c r="M90">
        <v>15.394218098614004</v>
      </c>
      <c r="N90">
        <v>1.993395409737476</v>
      </c>
      <c r="O90">
        <v>26.340662219503486</v>
      </c>
      <c r="P90">
        <v>9.0550234588311707</v>
      </c>
      <c r="R90">
        <v>16.351039704190288</v>
      </c>
      <c r="S90">
        <v>49.945768033870721</v>
      </c>
      <c r="U90">
        <v>3.3908087924955077</v>
      </c>
      <c r="V90">
        <v>47.606369902676185</v>
      </c>
      <c r="W90">
        <v>29.373779701361951</v>
      </c>
      <c r="X90">
        <v>43.293064722328104</v>
      </c>
      <c r="Y90">
        <v>5.9205832767625974</v>
      </c>
      <c r="Z90">
        <v>28.049786008203853</v>
      </c>
      <c r="AA90">
        <v>4.127078185753664</v>
      </c>
      <c r="AB90">
        <v>37.885424137970269</v>
      </c>
      <c r="AD90">
        <v>5.9413769102026475</v>
      </c>
      <c r="AE90">
        <v>12.785465187049708</v>
      </c>
      <c r="AF90">
        <v>14.999910574599607</v>
      </c>
      <c r="AG90">
        <v>23.700605587438709</v>
      </c>
      <c r="AH90">
        <v>2.2718699675858827</v>
      </c>
      <c r="AI90">
        <v>1.9276482448836274</v>
      </c>
      <c r="AK90">
        <v>57.020736202542743</v>
      </c>
    </row>
    <row r="91" spans="1:37" x14ac:dyDescent="0.2">
      <c r="A91">
        <v>90</v>
      </c>
      <c r="B91">
        <v>772</v>
      </c>
      <c r="C91">
        <v>125</v>
      </c>
      <c r="D91">
        <v>0.47153088073482102</v>
      </c>
      <c r="E91">
        <v>113.87658607144191</v>
      </c>
      <c r="F91">
        <v>50.213688347788469</v>
      </c>
      <c r="G91">
        <v>70.961755619955838</v>
      </c>
      <c r="H91">
        <v>66.393516732203892</v>
      </c>
      <c r="J91">
        <v>60.129288378717</v>
      </c>
      <c r="L91">
        <v>2.135627835070776</v>
      </c>
      <c r="M91">
        <v>15.199903703118544</v>
      </c>
      <c r="N91">
        <v>1.9973674464787907</v>
      </c>
      <c r="O91">
        <v>13.035677707110768</v>
      </c>
      <c r="P91">
        <v>8.4362436735331627</v>
      </c>
      <c r="R91">
        <v>12.846455339206749</v>
      </c>
      <c r="S91">
        <v>40.948796940953585</v>
      </c>
      <c r="U91">
        <v>3.4782917720785922</v>
      </c>
      <c r="V91">
        <v>46.598756281574268</v>
      </c>
      <c r="W91">
        <v>28.901966403453777</v>
      </c>
      <c r="X91">
        <v>43.625190409277089</v>
      </c>
      <c r="Y91">
        <v>3.778204920508208</v>
      </c>
      <c r="Z91">
        <v>22.567936577237244</v>
      </c>
      <c r="AA91">
        <v>1.040802686949275</v>
      </c>
      <c r="AB91">
        <v>33.894047614388469</v>
      </c>
      <c r="AD91">
        <v>2.9323231370486393</v>
      </c>
      <c r="AE91">
        <v>9.7870955288341559</v>
      </c>
      <c r="AF91">
        <v>14.803333195455108</v>
      </c>
      <c r="AG91">
        <v>19.679583916143319</v>
      </c>
      <c r="AI91">
        <v>1.9310864941859469</v>
      </c>
      <c r="AK91">
        <v>50.184106520560661</v>
      </c>
    </row>
    <row r="92" spans="1:37" x14ac:dyDescent="0.2">
      <c r="A92">
        <v>91</v>
      </c>
      <c r="B92">
        <v>770</v>
      </c>
      <c r="C92">
        <v>125</v>
      </c>
      <c r="D92">
        <v>0.47038345396155901</v>
      </c>
      <c r="E92">
        <v>114.39335982543082</v>
      </c>
      <c r="F92">
        <v>49.693708512776475</v>
      </c>
      <c r="G92">
        <v>71.180372333735804</v>
      </c>
      <c r="H92">
        <v>66.606849121598174</v>
      </c>
      <c r="J92">
        <v>48.184173078771245</v>
      </c>
      <c r="L92">
        <v>1.4823812478376386</v>
      </c>
      <c r="M92">
        <v>14.617611232032862</v>
      </c>
      <c r="N92">
        <v>2.0013797675168359</v>
      </c>
      <c r="O92">
        <v>9.3293199673966818</v>
      </c>
      <c r="P92">
        <v>8.920132247254454</v>
      </c>
      <c r="R92">
        <v>11.806798849552774</v>
      </c>
      <c r="S92">
        <v>38.462121972770866</v>
      </c>
      <c r="U92">
        <v>3.5008979612774858</v>
      </c>
      <c r="V92">
        <v>46.894031045852593</v>
      </c>
      <c r="W92">
        <v>28.096389301708484</v>
      </c>
      <c r="X92">
        <v>43.771278320208246</v>
      </c>
      <c r="Y92">
        <v>3.0687257335927622</v>
      </c>
      <c r="Z92">
        <v>18.43075152315037</v>
      </c>
      <c r="AB92">
        <v>31.398288407171215</v>
      </c>
      <c r="AD92">
        <v>0.79005799120589448</v>
      </c>
      <c r="AE92">
        <v>7.2824449374461633</v>
      </c>
      <c r="AF92">
        <v>14.218819004458107</v>
      </c>
      <c r="AG92">
        <v>17.154229561296564</v>
      </c>
      <c r="AI92">
        <v>1.9345618216744374</v>
      </c>
      <c r="AK92">
        <v>42.269495897439427</v>
      </c>
    </row>
    <row r="93" spans="1:37" x14ac:dyDescent="0.2">
      <c r="A93">
        <v>92</v>
      </c>
      <c r="B93">
        <v>768</v>
      </c>
      <c r="C93">
        <v>125</v>
      </c>
      <c r="D93">
        <v>0.46923161888296799</v>
      </c>
      <c r="E93">
        <v>114.74013304549098</v>
      </c>
      <c r="F93">
        <v>50.270088281604167</v>
      </c>
      <c r="G93">
        <v>71.200416004784415</v>
      </c>
      <c r="H93">
        <v>66.621659499034294</v>
      </c>
      <c r="J93">
        <v>41.393007225763405</v>
      </c>
      <c r="L93">
        <v>1.5083658148756875</v>
      </c>
      <c r="M93">
        <v>13.875078689752005</v>
      </c>
      <c r="N93">
        <v>2.0053826183307333</v>
      </c>
      <c r="O93">
        <v>9.1443687311129569</v>
      </c>
      <c r="P93">
        <v>9.0068949359573764</v>
      </c>
      <c r="R93">
        <v>11.23542077759396</v>
      </c>
      <c r="S93">
        <v>38.79303336226991</v>
      </c>
      <c r="U93">
        <v>3.4725017497640902</v>
      </c>
      <c r="V93">
        <v>47.772955402518846</v>
      </c>
      <c r="W93">
        <v>27.168719275354633</v>
      </c>
      <c r="X93">
        <v>43.771511740757425</v>
      </c>
      <c r="Y93">
        <v>2.6581274544975964</v>
      </c>
      <c r="Z93">
        <v>17.661283656870545</v>
      </c>
      <c r="AB93">
        <v>31.483336228792858</v>
      </c>
      <c r="AE93">
        <v>6.809867199081471</v>
      </c>
      <c r="AF93">
        <v>13.474056294829772</v>
      </c>
      <c r="AG93">
        <v>17.209682526043657</v>
      </c>
      <c r="AI93">
        <v>1.9380244581643142</v>
      </c>
      <c r="AK93">
        <v>37.607795248476918</v>
      </c>
    </row>
    <row r="94" spans="1:37" x14ac:dyDescent="0.2">
      <c r="A94">
        <v>93</v>
      </c>
      <c r="B94">
        <v>804</v>
      </c>
      <c r="C94">
        <v>100</v>
      </c>
      <c r="D94">
        <v>0.514840551455232</v>
      </c>
      <c r="E94">
        <v>103.34860607842661</v>
      </c>
      <c r="F94">
        <v>71.351220688808681</v>
      </c>
      <c r="G94">
        <v>74.379661949256985</v>
      </c>
      <c r="H94">
        <v>69.902159431163312</v>
      </c>
      <c r="J94">
        <v>75.720719502757987</v>
      </c>
      <c r="L94">
        <v>9.5790392532131481</v>
      </c>
      <c r="M94">
        <v>15.733449987615829</v>
      </c>
      <c r="N94">
        <v>2.035637396102953</v>
      </c>
      <c r="O94">
        <v>48.029719957026785</v>
      </c>
      <c r="P94">
        <v>14.491189633084822</v>
      </c>
      <c r="R94">
        <v>24.17597194202347</v>
      </c>
      <c r="S94">
        <v>62.034325842531871</v>
      </c>
      <c r="U94">
        <v>4.5761494416118467</v>
      </c>
      <c r="V94">
        <v>48.070275408966175</v>
      </c>
      <c r="W94">
        <v>35.380274394671417</v>
      </c>
      <c r="X94">
        <v>42.519620191239625</v>
      </c>
      <c r="Y94">
        <v>10.918222349478837</v>
      </c>
      <c r="Z94">
        <v>38.718347377870003</v>
      </c>
      <c r="AA94">
        <v>8.9714355199876152</v>
      </c>
      <c r="AB94">
        <v>42.512233822041949</v>
      </c>
      <c r="AC94">
        <v>0.19335817817197665</v>
      </c>
      <c r="AD94">
        <v>11.848181415028053</v>
      </c>
      <c r="AE94">
        <v>17.570086743101708</v>
      </c>
      <c r="AF94">
        <v>15.552311699384145</v>
      </c>
      <c r="AG94">
        <v>28.981418744512826</v>
      </c>
      <c r="AH94">
        <v>9.3002427822588789</v>
      </c>
      <c r="AI94">
        <v>1.9746205733681055</v>
      </c>
      <c r="AK94">
        <v>59.040607382357138</v>
      </c>
    </row>
    <row r="95" spans="1:37" x14ac:dyDescent="0.2">
      <c r="A95">
        <v>94</v>
      </c>
      <c r="B95">
        <v>802</v>
      </c>
      <c r="C95">
        <v>100</v>
      </c>
      <c r="D95">
        <v>0.51380784076640695</v>
      </c>
      <c r="E95">
        <v>103.14328661217007</v>
      </c>
      <c r="F95">
        <v>70.503803719201329</v>
      </c>
      <c r="G95">
        <v>74.227857198310417</v>
      </c>
      <c r="H95">
        <v>69.74425490446562</v>
      </c>
      <c r="J95">
        <v>75.60264042052593</v>
      </c>
      <c r="L95">
        <v>9.3426089006467006</v>
      </c>
      <c r="M95">
        <v>15.766415859809747</v>
      </c>
      <c r="N95">
        <v>2.0039366076775433</v>
      </c>
      <c r="O95">
        <v>46.895247329442583</v>
      </c>
      <c r="P95">
        <v>14.198051834277036</v>
      </c>
      <c r="R95">
        <v>23.852219824200375</v>
      </c>
      <c r="S95">
        <v>61.79348777284752</v>
      </c>
      <c r="U95">
        <v>4.559353359481972</v>
      </c>
      <c r="V95">
        <v>48.147567743775397</v>
      </c>
      <c r="W95">
        <v>35.154496092530707</v>
      </c>
      <c r="X95">
        <v>42.585658087177507</v>
      </c>
      <c r="Y95">
        <v>10.664709865781324</v>
      </c>
      <c r="Z95">
        <v>38.241954903940574</v>
      </c>
      <c r="AA95">
        <v>8.7235756991064548</v>
      </c>
      <c r="AB95">
        <v>42.45927273148979</v>
      </c>
      <c r="AC95">
        <v>0.15766528181329606</v>
      </c>
      <c r="AD95">
        <v>11.596917394144196</v>
      </c>
      <c r="AE95">
        <v>17.365433591864534</v>
      </c>
      <c r="AF95">
        <v>15.547324566114945</v>
      </c>
      <c r="AG95">
        <v>28.863064945961806</v>
      </c>
      <c r="AH95">
        <v>8.9705557005519196</v>
      </c>
      <c r="AI95">
        <v>1.9424345916071279</v>
      </c>
      <c r="AK95">
        <v>58.967516995864941</v>
      </c>
    </row>
    <row r="96" spans="1:37" x14ac:dyDescent="0.2">
      <c r="A96">
        <v>95</v>
      </c>
      <c r="B96">
        <v>800</v>
      </c>
      <c r="C96">
        <v>100</v>
      </c>
      <c r="D96">
        <v>0.51277128080883805</v>
      </c>
      <c r="E96">
        <v>102.93969109596711</v>
      </c>
      <c r="F96">
        <v>69.660883162685636</v>
      </c>
      <c r="G96">
        <v>74.07627384829847</v>
      </c>
      <c r="H96">
        <v>69.586620302438732</v>
      </c>
      <c r="J96">
        <v>75.48143410623365</v>
      </c>
      <c r="L96">
        <v>9.1052053356393525</v>
      </c>
      <c r="M96">
        <v>15.799932718730433</v>
      </c>
      <c r="N96">
        <v>1.9721552502948743</v>
      </c>
      <c r="O96">
        <v>45.762256219347854</v>
      </c>
      <c r="P96">
        <v>13.90530324815861</v>
      </c>
      <c r="R96">
        <v>23.525086810499698</v>
      </c>
      <c r="S96">
        <v>61.537978971309272</v>
      </c>
      <c r="U96">
        <v>4.5439473706863271</v>
      </c>
      <c r="V96">
        <v>48.219170100930647</v>
      </c>
      <c r="W96">
        <v>34.93126874294672</v>
      </c>
      <c r="X96">
        <v>42.656806649409376</v>
      </c>
      <c r="Y96">
        <v>10.411362435401157</v>
      </c>
      <c r="Z96">
        <v>37.766657440495408</v>
      </c>
      <c r="AA96">
        <v>8.4755348166521873</v>
      </c>
      <c r="AB96">
        <v>42.398066340771791</v>
      </c>
      <c r="AC96">
        <v>0.12189246764527153</v>
      </c>
      <c r="AD96">
        <v>11.345807195451625</v>
      </c>
      <c r="AE96">
        <v>17.16130358638614</v>
      </c>
      <c r="AF96">
        <v>15.542808227011717</v>
      </c>
      <c r="AG96">
        <v>28.736394348944998</v>
      </c>
      <c r="AH96">
        <v>8.6406962671531051</v>
      </c>
      <c r="AI96">
        <v>1.9101650535075878</v>
      </c>
      <c r="AK96">
        <v>58.895112750485559</v>
      </c>
    </row>
    <row r="97" spans="1:37" x14ac:dyDescent="0.2">
      <c r="A97">
        <v>96</v>
      </c>
      <c r="B97">
        <v>798</v>
      </c>
      <c r="C97">
        <v>100</v>
      </c>
      <c r="D97">
        <v>0.51173085002101004</v>
      </c>
      <c r="E97">
        <v>102.73781759407711</v>
      </c>
      <c r="F97">
        <v>68.822648422270746</v>
      </c>
      <c r="G97">
        <v>73.924974794769327</v>
      </c>
      <c r="H97">
        <v>69.429318673516292</v>
      </c>
      <c r="J97">
        <v>75.357140043959831</v>
      </c>
      <c r="L97">
        <v>8.8671436960669663</v>
      </c>
      <c r="M97">
        <v>15.833906805248365</v>
      </c>
      <c r="N97">
        <v>1.9403057899758287</v>
      </c>
      <c r="O97">
        <v>44.631146828709078</v>
      </c>
      <c r="P97">
        <v>13.613082292502265</v>
      </c>
      <c r="R97">
        <v>23.194866017666101</v>
      </c>
      <c r="S97">
        <v>61.267751676766395</v>
      </c>
      <c r="U97">
        <v>4.5298213026767069</v>
      </c>
      <c r="V97">
        <v>48.285092478396727</v>
      </c>
      <c r="W97">
        <v>34.710542610978521</v>
      </c>
      <c r="X97">
        <v>42.732733907179501</v>
      </c>
      <c r="Y97">
        <v>10.158304031628592</v>
      </c>
      <c r="Z97">
        <v>37.292514064759821</v>
      </c>
      <c r="AA97">
        <v>8.2275814024543941</v>
      </c>
      <c r="AB97">
        <v>42.328560600121797</v>
      </c>
      <c r="AC97">
        <v>8.6052198247082698E-2</v>
      </c>
      <c r="AD97">
        <v>11.094937071718567</v>
      </c>
      <c r="AE97">
        <v>16.957676167423369</v>
      </c>
      <c r="AF97">
        <v>15.538681429463917</v>
      </c>
      <c r="AG97">
        <v>28.601365410892289</v>
      </c>
      <c r="AH97">
        <v>8.3108496809780465</v>
      </c>
      <c r="AI97">
        <v>1.877824410594797</v>
      </c>
      <c r="AK97">
        <v>58.823432651668817</v>
      </c>
    </row>
    <row r="98" spans="1:37" x14ac:dyDescent="0.2">
      <c r="A98">
        <v>97</v>
      </c>
      <c r="B98">
        <v>796</v>
      </c>
      <c r="C98">
        <v>100</v>
      </c>
      <c r="D98">
        <v>0.51068652668007097</v>
      </c>
      <c r="E98">
        <v>102.53766021469379</v>
      </c>
      <c r="F98">
        <v>67.989270372657543</v>
      </c>
      <c r="G98">
        <v>73.774020023964141</v>
      </c>
      <c r="H98">
        <v>69.272410157394859</v>
      </c>
      <c r="J98">
        <v>75.229820924089267</v>
      </c>
      <c r="L98">
        <v>8.6285198088275354</v>
      </c>
      <c r="M98">
        <v>15.868244967876832</v>
      </c>
      <c r="N98">
        <v>1.908400487870811</v>
      </c>
      <c r="O98">
        <v>43.502301352105071</v>
      </c>
      <c r="P98">
        <v>13.321521362466285</v>
      </c>
      <c r="R98">
        <v>22.861845257616924</v>
      </c>
      <c r="S98">
        <v>60.982856332581335</v>
      </c>
      <c r="U98">
        <v>4.5168640678707312</v>
      </c>
      <c r="V98">
        <v>48.345374863935326</v>
      </c>
      <c r="W98">
        <v>34.49226298969802</v>
      </c>
      <c r="X98">
        <v>42.813105482205074</v>
      </c>
      <c r="Y98">
        <v>9.9056534572908745</v>
      </c>
      <c r="Z98">
        <v>36.819576905421563</v>
      </c>
      <c r="AA98">
        <v>7.9796782903984713</v>
      </c>
      <c r="AB98">
        <v>42.250754037432195</v>
      </c>
      <c r="AC98">
        <v>5.0156731323007991E-2</v>
      </c>
      <c r="AD98">
        <v>10.844388896714111</v>
      </c>
      <c r="AE98">
        <v>16.754529295785581</v>
      </c>
      <c r="AF98">
        <v>15.534863323820067</v>
      </c>
      <c r="AG98">
        <v>28.457988962272182</v>
      </c>
      <c r="AH98">
        <v>7.9811936556751757</v>
      </c>
      <c r="AI98">
        <v>1.8454249095102022</v>
      </c>
      <c r="AK98">
        <v>58.752512151939825</v>
      </c>
    </row>
    <row r="99" spans="1:37" x14ac:dyDescent="0.2">
      <c r="A99">
        <v>98</v>
      </c>
      <c r="B99">
        <v>794</v>
      </c>
      <c r="C99">
        <v>100</v>
      </c>
      <c r="D99">
        <v>0.50963828890034402</v>
      </c>
      <c r="E99">
        <v>102.33920949059915</v>
      </c>
      <c r="F99">
        <v>67.160900527536612</v>
      </c>
      <c r="G99">
        <v>73.623466168144063</v>
      </c>
      <c r="H99">
        <v>69.115951540366098</v>
      </c>
      <c r="J99">
        <v>75.099559267849514</v>
      </c>
      <c r="L99">
        <v>8.3894908615628552</v>
      </c>
      <c r="M99">
        <v>15.902855518271345</v>
      </c>
      <c r="N99">
        <v>1.8764512314827944</v>
      </c>
      <c r="O99">
        <v>42.37608072588975</v>
      </c>
      <c r="P99">
        <v>13.030745772469595</v>
      </c>
      <c r="R99">
        <v>22.526303907846813</v>
      </c>
      <c r="S99">
        <v>60.683430547761773</v>
      </c>
      <c r="U99">
        <v>4.5049649178009146</v>
      </c>
      <c r="V99">
        <v>48.400083239833378</v>
      </c>
      <c r="W99">
        <v>34.276371435327732</v>
      </c>
      <c r="X99">
        <v>42.897588398218645</v>
      </c>
      <c r="Y99">
        <v>9.6535233871777795</v>
      </c>
      <c r="Z99">
        <v>36.347890632188964</v>
      </c>
      <c r="AA99">
        <v>7.7320155664065968</v>
      </c>
      <c r="AB99">
        <v>42.164692190349861</v>
      </c>
      <c r="AC99">
        <v>1.4217950923374755E-2</v>
      </c>
      <c r="AD99">
        <v>10.594239538419467</v>
      </c>
      <c r="AE99">
        <v>16.55183952988288</v>
      </c>
      <c r="AF99">
        <v>15.531274150107064</v>
      </c>
      <c r="AG99">
        <v>28.306322469917593</v>
      </c>
      <c r="AH99">
        <v>7.6518971919682661</v>
      </c>
      <c r="AI99">
        <v>1.8129784232339652</v>
      </c>
      <c r="AK99">
        <v>58.682383782397061</v>
      </c>
    </row>
    <row r="100" spans="1:37" x14ac:dyDescent="0.2">
      <c r="A100">
        <v>99</v>
      </c>
      <c r="B100">
        <v>792</v>
      </c>
      <c r="C100">
        <v>100</v>
      </c>
      <c r="D100">
        <v>0.50858611463174297</v>
      </c>
      <c r="E100">
        <v>102.0087239046763</v>
      </c>
      <c r="F100">
        <v>65.595233576633476</v>
      </c>
      <c r="G100">
        <v>73.348867448392383</v>
      </c>
      <c r="H100">
        <v>68.835497198120279</v>
      </c>
      <c r="J100">
        <v>74.724444873491066</v>
      </c>
      <c r="L100">
        <v>7.9509512638207163</v>
      </c>
      <c r="M100">
        <v>15.939711125293176</v>
      </c>
      <c r="N100">
        <v>1.8659708435719324</v>
      </c>
      <c r="O100">
        <v>40.531060426954852</v>
      </c>
      <c r="P100">
        <v>12.513376950711553</v>
      </c>
      <c r="R100">
        <v>21.918983078358682</v>
      </c>
      <c r="S100">
        <v>60.019161064185234</v>
      </c>
      <c r="U100">
        <v>4.4838106152268438</v>
      </c>
      <c r="V100">
        <v>48.429917360528336</v>
      </c>
      <c r="W100">
        <v>33.923334915294937</v>
      </c>
      <c r="X100">
        <v>42.937648992031903</v>
      </c>
      <c r="Y100">
        <v>9.1704610741886334</v>
      </c>
      <c r="Z100">
        <v>35.472729870276837</v>
      </c>
      <c r="AA100">
        <v>7.2816706162826161</v>
      </c>
      <c r="AB100">
        <v>41.965391386600501</v>
      </c>
      <c r="AD100">
        <v>10.092336286254353</v>
      </c>
      <c r="AE100">
        <v>16.205096065529968</v>
      </c>
      <c r="AF100">
        <v>15.551399441000779</v>
      </c>
      <c r="AG100">
        <v>28.06289512625337</v>
      </c>
      <c r="AH100">
        <v>6.9631681333808695</v>
      </c>
      <c r="AI100">
        <v>1.801997759989342</v>
      </c>
      <c r="AK100">
        <v>58.4386023355788</v>
      </c>
    </row>
    <row r="101" spans="1:37" x14ac:dyDescent="0.2">
      <c r="A101">
        <v>100</v>
      </c>
      <c r="B101">
        <v>790</v>
      </c>
      <c r="C101">
        <v>100</v>
      </c>
      <c r="D101">
        <v>0.507529981658283</v>
      </c>
      <c r="E101">
        <v>101.57338912952962</v>
      </c>
      <c r="F101">
        <v>63.388002849886156</v>
      </c>
      <c r="G101">
        <v>72.965678047538219</v>
      </c>
      <c r="H101">
        <v>68.446501468674697</v>
      </c>
      <c r="J101">
        <v>74.08959127930548</v>
      </c>
      <c r="L101">
        <v>7.3283172831355223</v>
      </c>
      <c r="M101">
        <v>15.983803928722054</v>
      </c>
      <c r="N101">
        <v>1.8699411151760579</v>
      </c>
      <c r="O101">
        <v>38.034220165488129</v>
      </c>
      <c r="P101">
        <v>11.793305218047346</v>
      </c>
      <c r="R101">
        <v>21.048160390162295</v>
      </c>
      <c r="S101">
        <v>58.91089671736777</v>
      </c>
      <c r="U101">
        <v>4.4681672959915097</v>
      </c>
      <c r="V101">
        <v>48.399119546179541</v>
      </c>
      <c r="W101">
        <v>33.485890963523282</v>
      </c>
      <c r="X101">
        <v>42.982602024907642</v>
      </c>
      <c r="Y101">
        <v>8.4820435373823635</v>
      </c>
      <c r="Z101">
        <v>34.230293245042247</v>
      </c>
      <c r="AA101">
        <v>6.6467399563705838</v>
      </c>
      <c r="AB101">
        <v>41.592116110811766</v>
      </c>
      <c r="AD101">
        <v>9.3643960067344629</v>
      </c>
      <c r="AE101">
        <v>15.723334536050094</v>
      </c>
      <c r="AF101">
        <v>15.593213168560997</v>
      </c>
      <c r="AG101">
        <v>27.659953249143442</v>
      </c>
      <c r="AH101">
        <v>5.9566880992709903</v>
      </c>
      <c r="AI101">
        <v>1.8054646962652769</v>
      </c>
      <c r="AK101">
        <v>58.034500750628347</v>
      </c>
    </row>
    <row r="102" spans="1:37" x14ac:dyDescent="0.2">
      <c r="A102">
        <v>101</v>
      </c>
      <c r="B102">
        <v>788</v>
      </c>
      <c r="C102">
        <v>100</v>
      </c>
      <c r="D102">
        <v>0.50646986759647905</v>
      </c>
      <c r="E102">
        <v>101.09422654329686</v>
      </c>
      <c r="F102">
        <v>60.799178309636154</v>
      </c>
      <c r="G102">
        <v>72.520334791526878</v>
      </c>
      <c r="H102">
        <v>67.995401333746258</v>
      </c>
      <c r="J102">
        <v>73.215386983621698</v>
      </c>
      <c r="L102">
        <v>6.582564442244311</v>
      </c>
      <c r="M102">
        <v>16.034311773615084</v>
      </c>
      <c r="N102">
        <v>1.8739057248200741</v>
      </c>
      <c r="O102">
        <v>35.114627246847689</v>
      </c>
      <c r="P102">
        <v>10.948948069938155</v>
      </c>
      <c r="R102">
        <v>19.978980682947544</v>
      </c>
      <c r="S102">
        <v>57.327256229721904</v>
      </c>
      <c r="U102">
        <v>4.47348364584444</v>
      </c>
      <c r="V102">
        <v>48.267461857400889</v>
      </c>
      <c r="W102">
        <v>33.061829396715318</v>
      </c>
      <c r="X102">
        <v>43.089838360559753</v>
      </c>
      <c r="Y102">
        <v>7.6692396406878816</v>
      </c>
      <c r="Z102">
        <v>32.729909720076776</v>
      </c>
      <c r="AA102">
        <v>5.8916069697971976</v>
      </c>
      <c r="AB102">
        <v>40.981204940234136</v>
      </c>
      <c r="AD102">
        <v>8.4978708371373592</v>
      </c>
      <c r="AE102">
        <v>15.13408409029606</v>
      </c>
      <c r="AF102">
        <v>15.64143689779565</v>
      </c>
      <c r="AG102">
        <v>27.019379136824522</v>
      </c>
      <c r="AH102">
        <v>4.7612171486863586</v>
      </c>
      <c r="AI102">
        <v>1.8089228960246297</v>
      </c>
      <c r="AK102">
        <v>57.514067255431833</v>
      </c>
    </row>
    <row r="103" spans="1:37" x14ac:dyDescent="0.2">
      <c r="A103">
        <v>102</v>
      </c>
      <c r="B103">
        <v>786</v>
      </c>
      <c r="C103">
        <v>100</v>
      </c>
      <c r="D103">
        <v>0.50540574989378495</v>
      </c>
      <c r="E103">
        <v>100.38961859840903</v>
      </c>
      <c r="F103">
        <v>56.387111924831714</v>
      </c>
      <c r="G103">
        <v>71.801366382094926</v>
      </c>
      <c r="H103">
        <v>67.270725651429871</v>
      </c>
      <c r="J103">
        <v>71.300241536639447</v>
      </c>
      <c r="L103">
        <v>5.2975136679923525</v>
      </c>
      <c r="M103">
        <v>16.061805091313442</v>
      </c>
      <c r="N103">
        <v>1.8778537284249555</v>
      </c>
      <c r="O103">
        <v>30.2954386525155</v>
      </c>
      <c r="P103">
        <v>9.5573521317208527</v>
      </c>
      <c r="R103">
        <v>18.040914641342166</v>
      </c>
      <c r="S103">
        <v>53.902780270195876</v>
      </c>
      <c r="U103">
        <v>4.5152512318102929</v>
      </c>
      <c r="V103">
        <v>47.788050470050514</v>
      </c>
      <c r="W103">
        <v>32.664063598926511</v>
      </c>
      <c r="X103">
        <v>43.300930569436822</v>
      </c>
      <c r="Y103">
        <v>6.3055549517173173</v>
      </c>
      <c r="Z103">
        <v>29.967369204558697</v>
      </c>
      <c r="AA103">
        <v>4.6012493542091981</v>
      </c>
      <c r="AB103">
        <v>39.435482559179945</v>
      </c>
      <c r="AD103">
        <v>6.892684934529032</v>
      </c>
      <c r="AE103">
        <v>13.993367351491587</v>
      </c>
      <c r="AF103">
        <v>15.666630157582926</v>
      </c>
      <c r="AG103">
        <v>25.44398657225446</v>
      </c>
      <c r="AH103">
        <v>2.7251866896473769</v>
      </c>
      <c r="AI103">
        <v>1.8123614006139919</v>
      </c>
      <c r="AK103">
        <v>56.427311672434264</v>
      </c>
    </row>
    <row r="104" spans="1:37" x14ac:dyDescent="0.2">
      <c r="A104">
        <v>103</v>
      </c>
      <c r="B104">
        <v>784</v>
      </c>
      <c r="C104">
        <v>100</v>
      </c>
      <c r="D104">
        <v>0.50433760582698905</v>
      </c>
      <c r="E104">
        <v>99.988235719273717</v>
      </c>
      <c r="F104">
        <v>51.526703405926661</v>
      </c>
      <c r="G104">
        <v>71.256787862751793</v>
      </c>
      <c r="H104">
        <v>66.720489622185639</v>
      </c>
      <c r="J104">
        <v>63.097248675590841</v>
      </c>
      <c r="L104">
        <v>2.9555714322428104</v>
      </c>
      <c r="M104">
        <v>15.922749729955688</v>
      </c>
      <c r="N104">
        <v>1.8818171814439832</v>
      </c>
      <c r="O104">
        <v>19.550602429164158</v>
      </c>
      <c r="P104">
        <v>8.5145797127124769</v>
      </c>
      <c r="R104">
        <v>14.802836962518285</v>
      </c>
      <c r="S104">
        <v>46.024382085557519</v>
      </c>
      <c r="U104">
        <v>4.6033863326991176</v>
      </c>
      <c r="V104">
        <v>46.697021637365154</v>
      </c>
      <c r="W104">
        <v>32.230811218198205</v>
      </c>
      <c r="X104">
        <v>43.634699160454048</v>
      </c>
      <c r="Y104">
        <v>4.3268198863628724</v>
      </c>
      <c r="Z104">
        <v>24.799832583408151</v>
      </c>
      <c r="AA104">
        <v>2.0331738627265588</v>
      </c>
      <c r="AB104">
        <v>35.606694375291063</v>
      </c>
      <c r="AD104">
        <v>4.0863625567551924</v>
      </c>
      <c r="AE104">
        <v>11.274633714525383</v>
      </c>
      <c r="AF104">
        <v>15.525290893319523</v>
      </c>
      <c r="AG104">
        <v>21.585553061516276</v>
      </c>
      <c r="AI104">
        <v>1.8158122509012011</v>
      </c>
      <c r="AK104">
        <v>51.383520960090749</v>
      </c>
    </row>
    <row r="105" spans="1:37" x14ac:dyDescent="0.2">
      <c r="A105">
        <v>104</v>
      </c>
      <c r="B105">
        <v>782</v>
      </c>
      <c r="C105">
        <v>100</v>
      </c>
      <c r="D105">
        <v>0.50326541250059598</v>
      </c>
      <c r="E105">
        <v>100.42266836190937</v>
      </c>
      <c r="F105">
        <v>50.9532111209272</v>
      </c>
      <c r="G105">
        <v>71.461033169143406</v>
      </c>
      <c r="H105">
        <v>66.919127339202021</v>
      </c>
      <c r="J105">
        <v>52.451231415930664</v>
      </c>
      <c r="L105">
        <v>1.4166861199473351</v>
      </c>
      <c r="M105">
        <v>15.538202311781584</v>
      </c>
      <c r="N105">
        <v>1.8858336386284236</v>
      </c>
      <c r="O105">
        <v>11.583771408938286</v>
      </c>
      <c r="P105">
        <v>8.9695364067082277</v>
      </c>
      <c r="R105">
        <v>12.920342553009915</v>
      </c>
      <c r="S105">
        <v>40.580042971293636</v>
      </c>
      <c r="U105">
        <v>4.6564285119573841</v>
      </c>
      <c r="V105">
        <v>46.400212941549789</v>
      </c>
      <c r="W105">
        <v>31.588225758715289</v>
      </c>
      <c r="X105">
        <v>43.86790777178264</v>
      </c>
      <c r="Y105">
        <v>3.1220222000400937</v>
      </c>
      <c r="Z105">
        <v>21.008222116544314</v>
      </c>
      <c r="AB105">
        <v>32.820076390950305</v>
      </c>
      <c r="AD105">
        <v>2.0868466683252187</v>
      </c>
      <c r="AE105">
        <v>8.9245834921015241</v>
      </c>
      <c r="AF105">
        <v>15.138513323992248</v>
      </c>
      <c r="AG105">
        <v>18.76935220500177</v>
      </c>
      <c r="AI105">
        <v>1.8193129870400908</v>
      </c>
      <c r="AK105">
        <v>44.486386531900699</v>
      </c>
    </row>
    <row r="106" spans="1:37" x14ac:dyDescent="0.2">
      <c r="A106">
        <v>105</v>
      </c>
      <c r="B106">
        <v>780</v>
      </c>
      <c r="C106">
        <v>100</v>
      </c>
      <c r="D106">
        <v>0.50218914684517901</v>
      </c>
      <c r="E106">
        <v>100.86348233213663</v>
      </c>
      <c r="F106">
        <v>50.888802559919846</v>
      </c>
      <c r="G106">
        <v>71.592650774708758</v>
      </c>
      <c r="H106">
        <v>67.045187434059372</v>
      </c>
      <c r="J106">
        <v>44.263499907166747</v>
      </c>
      <c r="L106">
        <v>1.4487701253729319</v>
      </c>
      <c r="M106">
        <v>14.871976495520556</v>
      </c>
      <c r="N106">
        <v>1.889851349674216</v>
      </c>
      <c r="O106">
        <v>11.242394854119073</v>
      </c>
      <c r="P106">
        <v>9.2792675789502077</v>
      </c>
      <c r="R106">
        <v>12.482818012366678</v>
      </c>
      <c r="S106">
        <v>40.469853275530468</v>
      </c>
      <c r="U106">
        <v>4.6487757160598218</v>
      </c>
      <c r="V106">
        <v>47.079941233563012</v>
      </c>
      <c r="W106">
        <v>30.713690511987011</v>
      </c>
      <c r="X106">
        <v>43.926736167153152</v>
      </c>
      <c r="Y106">
        <v>2.7903117478009785</v>
      </c>
      <c r="Z106">
        <v>18.299188978360633</v>
      </c>
      <c r="AB106">
        <v>31.517715180505597</v>
      </c>
      <c r="AD106">
        <v>0.66454904760705313</v>
      </c>
      <c r="AE106">
        <v>7.2887104145969568</v>
      </c>
      <c r="AF106">
        <v>14.47005940020944</v>
      </c>
      <c r="AG106">
        <v>17.437418870282148</v>
      </c>
      <c r="AI106">
        <v>1.8228118441191543</v>
      </c>
      <c r="AK106">
        <v>38.971268602496117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9E49-D79E-4D9C-BD1F-C527C770375A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76.62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7.9000000000000001E-2</v>
      </c>
      <c r="D3" t="s">
        <v>23</v>
      </c>
      <c r="E3">
        <v>2</v>
      </c>
    </row>
    <row r="4" spans="1:8" x14ac:dyDescent="0.2">
      <c r="A4" t="s">
        <v>4</v>
      </c>
      <c r="B4">
        <v>12.48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0.62</v>
      </c>
      <c r="D7" t="s">
        <v>26</v>
      </c>
      <c r="E7">
        <v>25</v>
      </c>
    </row>
    <row r="8" spans="1:8" x14ac:dyDescent="0.2">
      <c r="A8" t="s">
        <v>8</v>
      </c>
      <c r="B8">
        <v>2.5999999999999999E-2</v>
      </c>
    </row>
    <row r="9" spans="1:8" x14ac:dyDescent="0.2">
      <c r="A9" t="s">
        <v>9</v>
      </c>
      <c r="B9">
        <v>0.06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0.53</v>
      </c>
    </row>
    <row r="13" spans="1:8" x14ac:dyDescent="0.2">
      <c r="A13" t="s">
        <v>13</v>
      </c>
      <c r="B13">
        <v>3.98</v>
      </c>
    </row>
    <row r="14" spans="1:8" x14ac:dyDescent="0.2">
      <c r="A14" t="s">
        <v>14</v>
      </c>
      <c r="B14">
        <v>4.46</v>
      </c>
    </row>
    <row r="15" spans="1:8" x14ac:dyDescent="0.2">
      <c r="A15" t="s">
        <v>15</v>
      </c>
      <c r="B15">
        <v>4.0000000000000001E-3</v>
      </c>
    </row>
    <row r="16" spans="1:8" x14ac:dyDescent="0.2">
      <c r="A16" t="s">
        <v>16</v>
      </c>
      <c r="B16">
        <v>10.87405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leucite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2025-06-09T21:19:40Z</dcterms:created>
  <dcterms:modified xsi:type="dcterms:W3CDTF">2025-06-09T21:27:04Z</dcterms:modified>
</cp:coreProperties>
</file>