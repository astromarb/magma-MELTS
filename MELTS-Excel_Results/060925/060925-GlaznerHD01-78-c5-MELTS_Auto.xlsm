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C7E82E7A-EB4A-4CF8-90A7-CFB3778A4C4B}" xr6:coauthVersionLast="47" xr6:coauthVersionMax="47" xr10:uidLastSave="{00000000-0000-0000-0000-000000000000}"/>
  <bookViews>
    <workbookView xWindow="28680" yWindow="4920" windowWidth="29040" windowHeight="15720" activeTab="1" xr2:uid="{44C12FA5-F158-4819-86AB-53598B0A2A2F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B1" i="17"/>
  <c r="C2" i="13"/>
  <c r="O2" i="13"/>
  <c r="G3" i="13"/>
  <c r="S3" i="13"/>
  <c r="K4" i="13"/>
  <c r="C5" i="13"/>
  <c r="O5" i="13"/>
  <c r="G6" i="13"/>
  <c r="S6" i="13"/>
  <c r="K7" i="13"/>
  <c r="C8" i="13"/>
  <c r="O8" i="13"/>
  <c r="G9" i="13"/>
  <c r="S9" i="13"/>
  <c r="K10" i="13"/>
  <c r="T6" i="13"/>
  <c r="D8" i="13"/>
  <c r="H9" i="13"/>
  <c r="L10" i="13"/>
  <c r="U6" i="13"/>
  <c r="I9" i="13"/>
  <c r="N7" i="13"/>
  <c r="V9" i="13"/>
  <c r="C10" i="13"/>
  <c r="T2" i="13"/>
  <c r="H5" i="13"/>
  <c r="D7" i="13"/>
  <c r="L9" i="13"/>
  <c r="U2" i="13"/>
  <c r="U5" i="13"/>
  <c r="I8" i="13"/>
  <c r="Q10" i="13"/>
  <c r="N3" i="13"/>
  <c r="N6" i="13"/>
  <c r="V8" i="13"/>
  <c r="R10" i="13"/>
  <c r="G4" i="13"/>
  <c r="O6" i="13"/>
  <c r="C9" i="13"/>
  <c r="L2" i="13"/>
  <c r="T4" i="13"/>
  <c r="H7" i="13"/>
  <c r="P9" i="13"/>
  <c r="Q3" i="13"/>
  <c r="E6" i="13"/>
  <c r="M8" i="13"/>
  <c r="U10" i="13"/>
  <c r="R3" i="13"/>
  <c r="N5" i="13"/>
  <c r="V7" i="13"/>
  <c r="J10" i="13"/>
  <c r="D2" i="13"/>
  <c r="P2" i="13"/>
  <c r="H3" i="13"/>
  <c r="T3" i="13"/>
  <c r="L4" i="13"/>
  <c r="D5" i="13"/>
  <c r="P5" i="13"/>
  <c r="H6" i="13"/>
  <c r="L7" i="13"/>
  <c r="P8" i="13"/>
  <c r="T9" i="13"/>
  <c r="I6" i="13"/>
  <c r="Q8" i="13"/>
  <c r="M10" i="13"/>
  <c r="J9" i="13"/>
  <c r="K9" i="13"/>
  <c r="E2" i="13"/>
  <c r="Q2" i="13"/>
  <c r="I3" i="13"/>
  <c r="M4" i="13"/>
  <c r="E5" i="13"/>
  <c r="Q5" i="13"/>
  <c r="M7" i="13"/>
  <c r="E8" i="13"/>
  <c r="U9" i="13"/>
  <c r="R8" i="13"/>
  <c r="G8" i="13"/>
  <c r="H2" i="13"/>
  <c r="T5" i="13"/>
  <c r="H8" i="13"/>
  <c r="P10" i="13"/>
  <c r="E4" i="13"/>
  <c r="E7" i="13"/>
  <c r="M9" i="13"/>
  <c r="V2" i="13"/>
  <c r="J5" i="13"/>
  <c r="J8" i="13"/>
  <c r="K2" i="13"/>
  <c r="S4" i="13"/>
  <c r="G7" i="13"/>
  <c r="O9" i="13"/>
  <c r="P3" i="13"/>
  <c r="P6" i="13"/>
  <c r="D9" i="13"/>
  <c r="M2" i="13"/>
  <c r="U4" i="13"/>
  <c r="I7" i="13"/>
  <c r="Q9" i="13"/>
  <c r="F3" i="13"/>
  <c r="F6" i="13"/>
  <c r="N8" i="13"/>
  <c r="V10" i="13"/>
  <c r="F2" i="13"/>
  <c r="R2" i="13"/>
  <c r="J3" i="13"/>
  <c r="N4" i="13"/>
  <c r="F5" i="13"/>
  <c r="R5" i="13"/>
  <c r="J6" i="13"/>
  <c r="V6" i="13"/>
  <c r="F8" i="13"/>
  <c r="N10" i="13"/>
  <c r="O10" i="13"/>
  <c r="D4" i="13"/>
  <c r="P7" i="13"/>
  <c r="D10" i="13"/>
  <c r="M3" i="13"/>
  <c r="M6" i="13"/>
  <c r="U8" i="13"/>
  <c r="J2" i="13"/>
  <c r="R4" i="13"/>
  <c r="F7" i="13"/>
  <c r="N9" i="13"/>
  <c r="C3" i="13"/>
  <c r="K5" i="13"/>
  <c r="S7" i="13"/>
  <c r="G10" i="13"/>
  <c r="D3" i="13"/>
  <c r="L5" i="13"/>
  <c r="T7" i="13"/>
  <c r="H10" i="13"/>
  <c r="E3" i="13"/>
  <c r="M5" i="13"/>
  <c r="U7" i="13"/>
  <c r="I10" i="13"/>
  <c r="J4" i="13"/>
  <c r="R6" i="13"/>
  <c r="F9" i="13"/>
  <c r="G2" i="13"/>
  <c r="S2" i="13"/>
  <c r="K3" i="13"/>
  <c r="C4" i="13"/>
  <c r="O4" i="13"/>
  <c r="G5" i="13"/>
  <c r="S5" i="13"/>
  <c r="K6" i="13"/>
  <c r="C7" i="13"/>
  <c r="O7" i="13"/>
  <c r="S8" i="13"/>
  <c r="L3" i="13"/>
  <c r="P4" i="13"/>
  <c r="L6" i="13"/>
  <c r="T8" i="13"/>
  <c r="I2" i="13"/>
  <c r="I5" i="13"/>
  <c r="Q7" i="13"/>
  <c r="E10" i="13"/>
  <c r="F4" i="13"/>
  <c r="V5" i="13"/>
  <c r="R7" i="13"/>
  <c r="F10" i="13"/>
  <c r="O3" i="13"/>
  <c r="C6" i="13"/>
  <c r="K8" i="13"/>
  <c r="S10" i="13"/>
  <c r="H4" i="13"/>
  <c r="D6" i="13"/>
  <c r="L8" i="13"/>
  <c r="T10" i="13"/>
  <c r="I4" i="13"/>
  <c r="Q6" i="13"/>
  <c r="E9" i="13"/>
  <c r="N2" i="13"/>
  <c r="V4" i="13"/>
  <c r="J7" i="13"/>
  <c r="R9" i="13"/>
  <c r="Q4" i="13"/>
  <c r="B10" i="13"/>
  <c r="B9" i="13"/>
  <c r="B8" i="13"/>
  <c r="B7" i="13"/>
  <c r="B6" i="13"/>
  <c r="B5" i="13"/>
  <c r="B4" i="13"/>
  <c r="B3" i="13"/>
  <c r="B2" i="13"/>
  <c r="J4" i="17" l="1"/>
  <c r="Q3" i="17"/>
  <c r="L2" i="17"/>
  <c r="D3" i="17"/>
  <c r="K2" i="17"/>
  <c r="C3" i="17"/>
  <c r="R4" i="17"/>
  <c r="Q4" i="17"/>
  <c r="T2" i="17"/>
  <c r="L3" i="17"/>
  <c r="S2" i="17"/>
  <c r="O4" i="17"/>
  <c r="C4" i="17"/>
  <c r="K3" i="17"/>
  <c r="R3" i="17"/>
  <c r="U4" i="17"/>
  <c r="T4" i="17"/>
  <c r="S4" i="17"/>
  <c r="F4" i="17"/>
  <c r="U2" i="17"/>
  <c r="M3" i="17"/>
  <c r="P4" i="17"/>
  <c r="F2" i="17"/>
  <c r="V3" i="17"/>
  <c r="J3" i="17"/>
  <c r="N2" i="17"/>
  <c r="F3" i="17"/>
  <c r="I4" i="17"/>
  <c r="P3" i="17"/>
  <c r="G4" i="17"/>
  <c r="J2" i="17"/>
  <c r="E4" i="17"/>
  <c r="H2" i="17"/>
  <c r="G2" i="17"/>
  <c r="R2" i="17"/>
  <c r="E2" i="17"/>
  <c r="M4" i="17"/>
  <c r="Q2" i="17"/>
  <c r="I3" i="17"/>
  <c r="P2" i="17"/>
  <c r="L4" i="17"/>
  <c r="H3" i="17"/>
  <c r="V4" i="17"/>
  <c r="M2" i="17"/>
  <c r="E3" i="17"/>
  <c r="H4" i="17"/>
  <c r="O3" i="17"/>
  <c r="V2" i="17"/>
  <c r="N3" i="17"/>
  <c r="I2" i="17"/>
  <c r="D4" i="17"/>
  <c r="N4" i="17"/>
  <c r="U3" i="17"/>
  <c r="D2" i="17"/>
  <c r="T3" i="17"/>
  <c r="O2" i="17"/>
  <c r="C2" i="17"/>
  <c r="K4" i="17"/>
  <c r="S3" i="17"/>
  <c r="G3" i="17"/>
  <c r="B4" i="17"/>
  <c r="B3" i="17"/>
  <c r="B2" i="17"/>
  <c r="G6" i="17" l="1"/>
  <c r="G7" i="17"/>
  <c r="U6" i="17"/>
  <c r="U7" i="17"/>
  <c r="T6" i="17"/>
  <c r="T7" i="17"/>
  <c r="D7" i="17"/>
  <c r="D6" i="17"/>
  <c r="V6" i="17"/>
  <c r="V7" i="17"/>
  <c r="F7" i="17"/>
  <c r="F6" i="17"/>
  <c r="K7" i="17"/>
  <c r="K6" i="17"/>
  <c r="O6" i="17"/>
  <c r="O7" i="17"/>
  <c r="J7" i="17"/>
  <c r="J6" i="17"/>
  <c r="P7" i="17"/>
  <c r="P6" i="17"/>
  <c r="E7" i="17"/>
  <c r="E6" i="17"/>
  <c r="S6" i="17"/>
  <c r="S7" i="17"/>
  <c r="H6" i="17"/>
  <c r="H7" i="17"/>
  <c r="M7" i="17"/>
  <c r="M6" i="17"/>
  <c r="L6" i="17"/>
  <c r="L7" i="17"/>
  <c r="I6" i="17"/>
  <c r="I7" i="17"/>
  <c r="Q7" i="17"/>
  <c r="Q6" i="17"/>
  <c r="N6" i="17"/>
  <c r="N7" i="17"/>
  <c r="R7" i="17"/>
  <c r="R6" i="17"/>
  <c r="C6" i="17"/>
  <c r="C7" i="17"/>
  <c r="B6" i="17"/>
  <c r="B7" i="17"/>
  <c r="X6" i="17" l="1"/>
  <c r="B13" i="17" s="1"/>
  <c r="X7" i="17"/>
  <c r="Z6" i="17" l="1"/>
  <c r="AB6" i="17" s="1" a="1"/>
  <c r="AD6" i="17" s="1"/>
  <c r="Y6" i="17"/>
  <c r="Z7" i="17"/>
  <c r="Y7" i="17"/>
  <c r="AB7" i="17" a="1"/>
  <c r="AC6" i="17" l="1"/>
  <c r="B9" i="17"/>
  <c r="AB6" i="17"/>
  <c r="AC7" i="17"/>
  <c r="C9" i="17"/>
  <c r="O9" i="17"/>
  <c r="T9" i="17"/>
  <c r="D9" i="17"/>
  <c r="P9" i="17"/>
  <c r="H9" i="17"/>
  <c r="J9" i="17"/>
  <c r="E9" i="17"/>
  <c r="Q9" i="17"/>
  <c r="U9" i="17"/>
  <c r="L9" i="17"/>
  <c r="F9" i="17"/>
  <c r="R9" i="17"/>
  <c r="G9" i="17"/>
  <c r="S9" i="17"/>
  <c r="M9" i="17"/>
  <c r="I9" i="17"/>
  <c r="V9" i="17"/>
  <c r="K9" i="17"/>
  <c r="N9" i="17"/>
  <c r="AD7" i="17"/>
  <c r="AB7" i="17"/>
  <c r="C13" i="17"/>
  <c r="G10" i="17" l="1"/>
  <c r="S10" i="17"/>
  <c r="H10" i="17"/>
  <c r="T10" i="17"/>
  <c r="L10" i="17"/>
  <c r="D10" i="17"/>
  <c r="I10" i="17"/>
  <c r="U10" i="17"/>
  <c r="O10" i="17"/>
  <c r="P10" i="17"/>
  <c r="F10" i="17"/>
  <c r="J10" i="17"/>
  <c r="V10" i="17"/>
  <c r="C10" i="17"/>
  <c r="Q10" i="17"/>
  <c r="K10" i="17"/>
  <c r="M10" i="17"/>
  <c r="N10" i="17"/>
  <c r="E10" i="17"/>
  <c r="R10" i="17"/>
  <c r="B14" i="17"/>
  <c r="C14" i="17" s="1"/>
  <c r="B10" i="17"/>
</calcChain>
</file>

<file path=xl/sharedStrings.xml><?xml version="1.0" encoding="utf-8"?>
<sst xmlns="http://schemas.openxmlformats.org/spreadsheetml/2006/main" count="824" uniqueCount="150">
  <si>
    <t xml:space="preserve"> </t>
  </si>
  <si>
    <t>060925-GlaznerHD01-78-c5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</si>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</sst>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Phase_Data!$B$2:$V$2</c:f>
              <c:numCache>
                <c:formatCode>General</c:formatCode>
                <c:ptCount val="21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760</c:v>
                </c:pt>
                <c:pt idx="7">
                  <c:v>760</c:v>
                </c:pt>
                <c:pt idx="8">
                  <c:v>760</c:v>
                </c:pt>
                <c:pt idx="9">
                  <c:v>760</c:v>
                </c:pt>
                <c:pt idx="10">
                  <c:v>760</c:v>
                </c:pt>
                <c:pt idx="11">
                  <c:v>762</c:v>
                </c:pt>
                <c:pt idx="12">
                  <c:v>764</c:v>
                </c:pt>
                <c:pt idx="13">
                  <c:v>768</c:v>
                </c:pt>
                <c:pt idx="14">
                  <c:v>772</c:v>
                </c:pt>
                <c:pt idx="15">
                  <c:v>776</c:v>
                </c:pt>
                <c:pt idx="16">
                  <c:v>782</c:v>
                </c:pt>
                <c:pt idx="17">
                  <c:v>786</c:v>
                </c:pt>
                <c:pt idx="18">
                  <c:v>792</c:v>
                </c:pt>
                <c:pt idx="19">
                  <c:v>798</c:v>
                </c:pt>
                <c:pt idx="20">
                  <c:v>806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8-4851-AF1E-1FC75B77AB18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Phase_Data!$B$3:$V$3</c:f>
              <c:numCache>
                <c:formatCode>General</c:formatCode>
                <c:ptCount val="21"/>
                <c:pt idx="0">
                  <c:v>732</c:v>
                </c:pt>
                <c:pt idx="1">
                  <c:v>734</c:v>
                </c:pt>
                <c:pt idx="2">
                  <c:v>736</c:v>
                </c:pt>
                <c:pt idx="3">
                  <c:v>736</c:v>
                </c:pt>
                <c:pt idx="4">
                  <c:v>738</c:v>
                </c:pt>
                <c:pt idx="5">
                  <c:v>738</c:v>
                </c:pt>
                <c:pt idx="6">
                  <c:v>740</c:v>
                </c:pt>
                <c:pt idx="7">
                  <c:v>742</c:v>
                </c:pt>
                <c:pt idx="8">
                  <c:v>742</c:v>
                </c:pt>
                <c:pt idx="9">
                  <c:v>744</c:v>
                </c:pt>
                <c:pt idx="10">
                  <c:v>744</c:v>
                </c:pt>
                <c:pt idx="11">
                  <c:v>746</c:v>
                </c:pt>
                <c:pt idx="12">
                  <c:v>748</c:v>
                </c:pt>
                <c:pt idx="13">
                  <c:v>748</c:v>
                </c:pt>
                <c:pt idx="14">
                  <c:v>750</c:v>
                </c:pt>
                <c:pt idx="15">
                  <c:v>752</c:v>
                </c:pt>
                <c:pt idx="16">
                  <c:v>754</c:v>
                </c:pt>
                <c:pt idx="17">
                  <c:v>754</c:v>
                </c:pt>
                <c:pt idx="18">
                  <c:v>756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8-4851-AF1E-1FC75B77AB18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Phase_Data!$B$4:$V$4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744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756</c:v>
                </c:pt>
                <c:pt idx="14">
                  <c:v>760</c:v>
                </c:pt>
                <c:pt idx="15">
                  <c:v>762</c:v>
                </c:pt>
                <c:pt idx="16">
                  <c:v>766</c:v>
                </c:pt>
                <c:pt idx="17">
                  <c:v>768</c:v>
                </c:pt>
                <c:pt idx="18">
                  <c:v>772</c:v>
                </c:pt>
                <c:pt idx="19">
                  <c:v>776</c:v>
                </c:pt>
                <c:pt idx="20">
                  <c:v>782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E8-4851-AF1E-1FC75B77AB18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Phase_Data!$B$5:$V$5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744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756</c:v>
                </c:pt>
                <c:pt idx="14">
                  <c:v>758</c:v>
                </c:pt>
                <c:pt idx="15">
                  <c:v>762</c:v>
                </c:pt>
                <c:pt idx="16">
                  <c:v>764</c:v>
                </c:pt>
                <c:pt idx="17">
                  <c:v>768</c:v>
                </c:pt>
                <c:pt idx="18">
                  <c:v>772</c:v>
                </c:pt>
                <c:pt idx="19">
                  <c:v>776</c:v>
                </c:pt>
                <c:pt idx="20">
                  <c:v>780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E8-4851-AF1E-1FC75B77AB18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Phase_Data!$B$6:$V$6</c:f>
              <c:numCache>
                <c:formatCode>General</c:formatCode>
                <c:ptCount val="21"/>
                <c:pt idx="0">
                  <c:v>736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742</c:v>
                </c:pt>
                <c:pt idx="5">
                  <c:v>744</c:v>
                </c:pt>
                <c:pt idx="6">
                  <c:v>746</c:v>
                </c:pt>
                <c:pt idx="7">
                  <c:v>748</c:v>
                </c:pt>
                <c:pt idx="8">
                  <c:v>750</c:v>
                </c:pt>
                <c:pt idx="9">
                  <c:v>754</c:v>
                </c:pt>
                <c:pt idx="10">
                  <c:v>756</c:v>
                </c:pt>
                <c:pt idx="11">
                  <c:v>758</c:v>
                </c:pt>
                <c:pt idx="12">
                  <c:v>762</c:v>
                </c:pt>
                <c:pt idx="13">
                  <c:v>766</c:v>
                </c:pt>
                <c:pt idx="14">
                  <c:v>770</c:v>
                </c:pt>
                <c:pt idx="15">
                  <c:v>774</c:v>
                </c:pt>
                <c:pt idx="16">
                  <c:v>780</c:v>
                </c:pt>
                <c:pt idx="17">
                  <c:v>784</c:v>
                </c:pt>
                <c:pt idx="18">
                  <c:v>790</c:v>
                </c:pt>
                <c:pt idx="19">
                  <c:v>796</c:v>
                </c:pt>
                <c:pt idx="20">
                  <c:v>804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E8-4851-AF1E-1FC75B77AB18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Phase_Data!$B$7:$V$7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746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758</c:v>
                </c:pt>
                <c:pt idx="14">
                  <c:v>760</c:v>
                </c:pt>
                <c:pt idx="15">
                  <c:v>762</c:v>
                </c:pt>
                <c:pt idx="16">
                  <c:v>766</c:v>
                </c:pt>
                <c:pt idx="17">
                  <c:v>768</c:v>
                </c:pt>
                <c:pt idx="18">
                  <c:v>772</c:v>
                </c:pt>
                <c:pt idx="19">
                  <c:v>778</c:v>
                </c:pt>
                <c:pt idx="20">
                  <c:v>782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9E8-4851-AF1E-1FC75B77AB18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Phase_Data!$B$8:$V$8</c:f>
              <c:numCache>
                <c:formatCode>General</c:formatCode>
                <c:ptCount val="21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758</c:v>
                </c:pt>
                <c:pt idx="9">
                  <c:v>758</c:v>
                </c:pt>
                <c:pt idx="10">
                  <c:v>758</c:v>
                </c:pt>
                <c:pt idx="11">
                  <c:v>760</c:v>
                </c:pt>
                <c:pt idx="12">
                  <c:v>760</c:v>
                </c:pt>
                <c:pt idx="13">
                  <c:v>764</c:v>
                </c:pt>
                <c:pt idx="14">
                  <c:v>766</c:v>
                </c:pt>
                <c:pt idx="15">
                  <c:v>768</c:v>
                </c:pt>
                <c:pt idx="16">
                  <c:v>772</c:v>
                </c:pt>
                <c:pt idx="17">
                  <c:v>776</c:v>
                </c:pt>
                <c:pt idx="18">
                  <c:v>780</c:v>
                </c:pt>
                <c:pt idx="19">
                  <c:v>784</c:v>
                </c:pt>
                <c:pt idx="20">
                  <c:v>790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9E8-4851-AF1E-1FC75B77AB18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Phase_Data!$B$9:$V$9</c:f>
              <c:numCache>
                <c:formatCode>General</c:formatCode>
                <c:ptCount val="21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760</c:v>
                </c:pt>
                <c:pt idx="7">
                  <c:v>760</c:v>
                </c:pt>
                <c:pt idx="8">
                  <c:v>760</c:v>
                </c:pt>
                <c:pt idx="9">
                  <c:v>760</c:v>
                </c:pt>
                <c:pt idx="10">
                  <c:v>760</c:v>
                </c:pt>
                <c:pt idx="11">
                  <c:v>762</c:v>
                </c:pt>
                <c:pt idx="12">
                  <c:v>764</c:v>
                </c:pt>
                <c:pt idx="13">
                  <c:v>768</c:v>
                </c:pt>
                <c:pt idx="14">
                  <c:v>772</c:v>
                </c:pt>
                <c:pt idx="15">
                  <c:v>776</c:v>
                </c:pt>
                <c:pt idx="16">
                  <c:v>782</c:v>
                </c:pt>
                <c:pt idx="17">
                  <c:v>786</c:v>
                </c:pt>
                <c:pt idx="18">
                  <c:v>792</c:v>
                </c:pt>
                <c:pt idx="19">
                  <c:v>798</c:v>
                </c:pt>
                <c:pt idx="20">
                  <c:v>806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E8-4851-AF1E-1FC75B77A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85647"/>
        <c:axId val="936386127"/>
      </c:scatterChart>
      <c:valAx>
        <c:axId val="936385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936386127"/>
        <c:crosses val="autoZero"/>
        <c:crossBetween val="midCat"/>
      </c:valAx>
      <c:valAx>
        <c:axId val="936386127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936385647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758</c:v>
                </c:pt>
                <c:pt idx="9">
                  <c:v>758</c:v>
                </c:pt>
                <c:pt idx="10">
                  <c:v>758</c:v>
                </c:pt>
                <c:pt idx="11">
                  <c:v>760</c:v>
                </c:pt>
                <c:pt idx="12">
                  <c:v>760</c:v>
                </c:pt>
                <c:pt idx="13">
                  <c:v>764</c:v>
                </c:pt>
                <c:pt idx="14">
                  <c:v>766</c:v>
                </c:pt>
                <c:pt idx="15">
                  <c:v>768</c:v>
                </c:pt>
                <c:pt idx="16">
                  <c:v>772</c:v>
                </c:pt>
                <c:pt idx="17">
                  <c:v>776</c:v>
                </c:pt>
                <c:pt idx="18">
                  <c:v>780</c:v>
                </c:pt>
                <c:pt idx="19">
                  <c:v>784</c:v>
                </c:pt>
                <c:pt idx="20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1-4AF3-BFE6-2818580CA16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736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742</c:v>
                </c:pt>
                <c:pt idx="5">
                  <c:v>744</c:v>
                </c:pt>
                <c:pt idx="6">
                  <c:v>746</c:v>
                </c:pt>
                <c:pt idx="7">
                  <c:v>748</c:v>
                </c:pt>
                <c:pt idx="8">
                  <c:v>750</c:v>
                </c:pt>
                <c:pt idx="9">
                  <c:v>754</c:v>
                </c:pt>
                <c:pt idx="10">
                  <c:v>756</c:v>
                </c:pt>
                <c:pt idx="11">
                  <c:v>758</c:v>
                </c:pt>
                <c:pt idx="12">
                  <c:v>762</c:v>
                </c:pt>
                <c:pt idx="13">
                  <c:v>766</c:v>
                </c:pt>
                <c:pt idx="14">
                  <c:v>770</c:v>
                </c:pt>
                <c:pt idx="15">
                  <c:v>774</c:v>
                </c:pt>
                <c:pt idx="16">
                  <c:v>780</c:v>
                </c:pt>
                <c:pt idx="17">
                  <c:v>784</c:v>
                </c:pt>
                <c:pt idx="18">
                  <c:v>790</c:v>
                </c:pt>
                <c:pt idx="19">
                  <c:v>796</c:v>
                </c:pt>
                <c:pt idx="2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1-4AF3-BFE6-2818580CA16B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P_Calc!$B$4:$V$4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746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758</c:v>
                </c:pt>
                <c:pt idx="14">
                  <c:v>760</c:v>
                </c:pt>
                <c:pt idx="15">
                  <c:v>762</c:v>
                </c:pt>
                <c:pt idx="16">
                  <c:v>766</c:v>
                </c:pt>
                <c:pt idx="17">
                  <c:v>768</c:v>
                </c:pt>
                <c:pt idx="18">
                  <c:v>772</c:v>
                </c:pt>
                <c:pt idx="19">
                  <c:v>778</c:v>
                </c:pt>
                <c:pt idx="20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1-4AF3-BFE6-2818580CA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88847"/>
        <c:axId val="1264091727"/>
      </c:scatterChart>
      <c:valAx>
        <c:axId val="12640888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4091727"/>
        <c:crosses val="autoZero"/>
        <c:crossBetween val="midCat"/>
      </c:valAx>
      <c:valAx>
        <c:axId val="126409172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408884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758</c:v>
                </c:pt>
                <c:pt idx="9">
                  <c:v>758</c:v>
                </c:pt>
                <c:pt idx="10">
                  <c:v>758</c:v>
                </c:pt>
                <c:pt idx="11">
                  <c:v>760</c:v>
                </c:pt>
                <c:pt idx="12">
                  <c:v>760</c:v>
                </c:pt>
                <c:pt idx="13">
                  <c:v>764</c:v>
                </c:pt>
                <c:pt idx="14">
                  <c:v>766</c:v>
                </c:pt>
                <c:pt idx="15">
                  <c:v>768</c:v>
                </c:pt>
                <c:pt idx="16">
                  <c:v>772</c:v>
                </c:pt>
                <c:pt idx="17">
                  <c:v>776</c:v>
                </c:pt>
                <c:pt idx="18">
                  <c:v>780</c:v>
                </c:pt>
                <c:pt idx="19">
                  <c:v>784</c:v>
                </c:pt>
                <c:pt idx="20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5-4540-8974-5278A442E5F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736</c:v>
                </c:pt>
                <c:pt idx="1">
                  <c:v>736</c:v>
                </c:pt>
                <c:pt idx="2">
                  <c:v>736</c:v>
                </c:pt>
                <c:pt idx="3">
                  <c:v>738</c:v>
                </c:pt>
                <c:pt idx="4">
                  <c:v>742</c:v>
                </c:pt>
                <c:pt idx="5">
                  <c:v>744</c:v>
                </c:pt>
                <c:pt idx="6">
                  <c:v>746</c:v>
                </c:pt>
                <c:pt idx="7">
                  <c:v>748</c:v>
                </c:pt>
                <c:pt idx="8">
                  <c:v>750</c:v>
                </c:pt>
                <c:pt idx="9">
                  <c:v>754</c:v>
                </c:pt>
                <c:pt idx="10">
                  <c:v>756</c:v>
                </c:pt>
                <c:pt idx="11">
                  <c:v>758</c:v>
                </c:pt>
                <c:pt idx="12">
                  <c:v>762</c:v>
                </c:pt>
                <c:pt idx="13">
                  <c:v>766</c:v>
                </c:pt>
                <c:pt idx="14">
                  <c:v>770</c:v>
                </c:pt>
                <c:pt idx="15">
                  <c:v>774</c:v>
                </c:pt>
                <c:pt idx="16">
                  <c:v>780</c:v>
                </c:pt>
                <c:pt idx="17">
                  <c:v>784</c:v>
                </c:pt>
                <c:pt idx="18">
                  <c:v>790</c:v>
                </c:pt>
                <c:pt idx="19">
                  <c:v>796</c:v>
                </c:pt>
                <c:pt idx="2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5-4540-8974-5278A442E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091311"/>
        <c:axId val="1213281375"/>
      </c:scatterChart>
      <c:valAx>
        <c:axId val="9270913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3281375"/>
        <c:crosses val="autoZero"/>
        <c:crossBetween val="midCat"/>
      </c:valAx>
      <c:valAx>
        <c:axId val="121328137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2709131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P_Calc!$B$6:$V$6</c:f>
              <c:numCache>
                <c:formatCode>General</c:formatCode>
                <c:ptCount val="21"/>
                <c:pt idx="0">
                  <c:v>24</c:v>
                </c:pt>
                <c:pt idx="1">
                  <c:v>22</c:v>
                </c:pt>
                <c:pt idx="2">
                  <c:v>22</c:v>
                </c:pt>
                <c:pt idx="3">
                  <c:v>20</c:v>
                </c:pt>
                <c:pt idx="4">
                  <c:v>18</c:v>
                </c:pt>
                <c:pt idx="5">
                  <c:v>16</c:v>
                </c:pt>
                <c:pt idx="6">
                  <c:v>14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18</c:v>
                </c:pt>
                <c:pt idx="20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F7-45B2-8430-52C843626BC8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P_Calc!$B$9:$V$9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F7-45B2-8430-52C843626BC8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F7-45B2-8430-52C843626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901583"/>
        <c:axId val="1263903023"/>
      </c:scatterChart>
      <c:valAx>
        <c:axId val="12639015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3903023"/>
        <c:crosses val="autoZero"/>
        <c:crossBetween val="midCat"/>
      </c:valAx>
      <c:valAx>
        <c:axId val="126390302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39015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P_Calc!$B$7:$V$7</c:f>
              <c:numCache>
                <c:formatCode>General</c:formatCode>
                <c:ptCount val="2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20</c:v>
                </c:pt>
                <c:pt idx="4">
                  <c:v>16</c:v>
                </c:pt>
                <c:pt idx="5">
                  <c:v>14</c:v>
                </c:pt>
                <c:pt idx="6">
                  <c:v>12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12</c:v>
                </c:pt>
                <c:pt idx="2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3-4F55-8A8E-5C68701BC34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P_Calc!$B$10:$V$10</c:f>
              <c:numCache>
                <c:formatCode>General</c:formatCode>
                <c:ptCount val="21"/>
                <c:pt idx="0">
                  <c:v>87.599999999864622</c:v>
                </c:pt>
                <c:pt idx="1">
                  <c:v>72.628571428480427</c:v>
                </c:pt>
                <c:pt idx="2">
                  <c:v>59.085714285661879</c:v>
                </c:pt>
                <c:pt idx="3">
                  <c:v>46.971428571409206</c:v>
                </c:pt>
                <c:pt idx="4">
                  <c:v>36.285714285722236</c:v>
                </c:pt>
                <c:pt idx="5">
                  <c:v>27.028571428601026</c:v>
                </c:pt>
                <c:pt idx="6">
                  <c:v>19.20000000004552</c:v>
                </c:pt>
                <c:pt idx="7">
                  <c:v>12.800000000055775</c:v>
                </c:pt>
                <c:pt idx="8">
                  <c:v>7.8285714286317329</c:v>
                </c:pt>
                <c:pt idx="9">
                  <c:v>4.2857142857734516</c:v>
                </c:pt>
                <c:pt idx="10">
                  <c:v>2.1714285714809307</c:v>
                </c:pt>
                <c:pt idx="11">
                  <c:v>1.4857142857541135</c:v>
                </c:pt>
                <c:pt idx="12">
                  <c:v>2.2285714285930567</c:v>
                </c:pt>
                <c:pt idx="13">
                  <c:v>4.3999999999977604</c:v>
                </c:pt>
                <c:pt idx="14">
                  <c:v>7.9999999999681677</c:v>
                </c:pt>
                <c:pt idx="15">
                  <c:v>13.028571428504335</c:v>
                </c:pt>
                <c:pt idx="16">
                  <c:v>19.485714285606207</c:v>
                </c:pt>
                <c:pt idx="17">
                  <c:v>27.371428571273839</c:v>
                </c:pt>
                <c:pt idx="18">
                  <c:v>36.685714285507231</c:v>
                </c:pt>
                <c:pt idx="19">
                  <c:v>47.428571428306327</c:v>
                </c:pt>
                <c:pt idx="20">
                  <c:v>59.599999999671184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3-4F55-8A8E-5C68701BC34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190.19999999989329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1.4854285714687308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3-4F55-8A8E-5C68701BC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924287"/>
        <c:axId val="931924767"/>
      </c:scatterChart>
      <c:valAx>
        <c:axId val="9319242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31924767"/>
        <c:crosses val="autoZero"/>
        <c:crossBetween val="midCat"/>
      </c:valAx>
      <c:valAx>
        <c:axId val="93192476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93192428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4E415C-1ED8-46E0-85B2-B63109DB0C16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22DDC1-7789-2B3D-D1C6-71988C4658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46CEE7-B381-19F1-1AAC-DF26C5223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7ED24E-FC9A-9356-8830-1FBEBA0FB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AF0E13-C007-5D47-18B3-853372323F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B600FF-25B3-2652-BA6C-281D96215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F0A13-9E96-4DCF-BC58-18FA46866704}">
  <dimension ref="A1:AD14"/>
  <sheetViews>
    <sheetView tabSelected="1" workbookViewId="0"/>
  </sheetViews>
  <sheetFormatPr defaultRowHeight="15" x14ac:dyDescent="0.2"/>
  <sheetData>
    <row r="1" spans="1:30" x14ac:dyDescent="0.2">
      <c r="A1" t="s">
        <v>135</v>
      </c>
      <c r="B1">
        <f>Phase_Data!B1</f>
        <v>300</v>
      </c>
      <c r="C1">
        <f>Phase_Data!C1</f>
        <v>290</v>
      </c>
      <c r="D1">
        <f>Phase_Data!D1</f>
        <v>280</v>
      </c>
      <c r="E1">
        <f>Phase_Data!E1</f>
        <v>270</v>
      </c>
      <c r="F1">
        <f>Phase_Data!F1</f>
        <v>260</v>
      </c>
      <c r="G1">
        <f>Phase_Data!G1</f>
        <v>250</v>
      </c>
      <c r="H1">
        <f>Phase_Data!H1</f>
        <v>240</v>
      </c>
      <c r="I1">
        <f>Phase_Data!I1</f>
        <v>230</v>
      </c>
      <c r="J1">
        <f>Phase_Data!J1</f>
        <v>220</v>
      </c>
      <c r="K1">
        <f>Phase_Data!K1</f>
        <v>210</v>
      </c>
      <c r="L1">
        <f>Phase_Data!L1</f>
        <v>200</v>
      </c>
      <c r="M1">
        <f>Phase_Data!M1</f>
        <v>190</v>
      </c>
      <c r="N1">
        <f>Phase_Data!N1</f>
        <v>180</v>
      </c>
      <c r="O1">
        <f>Phase_Data!O1</f>
        <v>170</v>
      </c>
      <c r="P1">
        <f>Phase_Data!P1</f>
        <v>160</v>
      </c>
      <c r="Q1">
        <f>Phase_Data!Q1</f>
        <v>150</v>
      </c>
      <c r="R1">
        <f>Phase_Data!R1</f>
        <v>140</v>
      </c>
      <c r="S1">
        <f>Phase_Data!S1</f>
        <v>130</v>
      </c>
      <c r="T1">
        <f>Phase_Data!T1</f>
        <v>120</v>
      </c>
      <c r="U1">
        <f>Phase_Data!U1</f>
        <v>110</v>
      </c>
      <c r="V1">
        <f>Phase_Data!V1</f>
        <v>100</v>
      </c>
      <c r="X1" t="s">
        <v>142</v>
      </c>
      <c r="Y1" t="s">
        <v>143</v>
      </c>
      <c r="Z1" t="s">
        <v>144</v>
      </c>
      <c r="AB1" t="s">
        <v>145</v>
      </c>
      <c r="AC1" t="s">
        <v>146</v>
      </c>
      <c r="AD1" t="s">
        <v>147</v>
      </c>
    </row>
    <row r="2" spans="1:30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758</v>
      </c>
      <c r="F2">
        <f ca="1">IFERROR(VLOOKUP($A2,Phase_Data!$1:$1048576,COLUMN(),0),"-")</f>
        <v>758</v>
      </c>
      <c r="G2">
        <f ca="1">IFERROR(VLOOKUP($A2,Phase_Data!$1:$1048576,COLUMN(),0),"-")</f>
        <v>758</v>
      </c>
      <c r="H2">
        <f ca="1">IFERROR(VLOOKUP($A2,Phase_Data!$1:$1048576,COLUMN(),0),"-")</f>
        <v>758</v>
      </c>
      <c r="I2">
        <f ca="1">IFERROR(VLOOKUP($A2,Phase_Data!$1:$1048576,COLUMN(),0),"-")</f>
        <v>758</v>
      </c>
      <c r="J2">
        <f ca="1">IFERROR(VLOOKUP($A2,Phase_Data!$1:$1048576,COLUMN(),0),"-")</f>
        <v>758</v>
      </c>
      <c r="K2">
        <f ca="1">IFERROR(VLOOKUP($A2,Phase_Data!$1:$1048576,COLUMN(),0),"-")</f>
        <v>758</v>
      </c>
      <c r="L2">
        <f ca="1">IFERROR(VLOOKUP($A2,Phase_Data!$1:$1048576,COLUMN(),0),"-")</f>
        <v>758</v>
      </c>
      <c r="M2">
        <f ca="1">IFERROR(VLOOKUP($A2,Phase_Data!$1:$1048576,COLUMN(),0),"-")</f>
        <v>760</v>
      </c>
      <c r="N2">
        <f ca="1">IFERROR(VLOOKUP($A2,Phase_Data!$1:$1048576,COLUMN(),0),"-")</f>
        <v>760</v>
      </c>
      <c r="O2">
        <f ca="1">IFERROR(VLOOKUP($A2,Phase_Data!$1:$1048576,COLUMN(),0),"-")</f>
        <v>764</v>
      </c>
      <c r="P2">
        <f ca="1">IFERROR(VLOOKUP($A2,Phase_Data!$1:$1048576,COLUMN(),0),"-")</f>
        <v>766</v>
      </c>
      <c r="Q2">
        <f ca="1">IFERROR(VLOOKUP($A2,Phase_Data!$1:$1048576,COLUMN(),0),"-")</f>
        <v>768</v>
      </c>
      <c r="R2">
        <f ca="1">IFERROR(VLOOKUP($A2,Phase_Data!$1:$1048576,COLUMN(),0),"-")</f>
        <v>772</v>
      </c>
      <c r="S2">
        <f ca="1">IFERROR(VLOOKUP($A2,Phase_Data!$1:$1048576,COLUMN(),0),"-")</f>
        <v>776</v>
      </c>
      <c r="T2">
        <f ca="1">IFERROR(VLOOKUP($A2,Phase_Data!$1:$1048576,COLUMN(),0),"-")</f>
        <v>780</v>
      </c>
      <c r="U2">
        <f ca="1">IFERROR(VLOOKUP($A2,Phase_Data!$1:$1048576,COLUMN(),0),"-")</f>
        <v>784</v>
      </c>
      <c r="V2">
        <f ca="1">IFERROR(VLOOKUP($A2,Phase_Data!$1:$1048576,COLUMN(),0),"-")</f>
        <v>790</v>
      </c>
    </row>
    <row r="3" spans="1:30" x14ac:dyDescent="0.2">
      <c r="A3" t="s">
        <v>133</v>
      </c>
      <c r="B3">
        <f ca="1">IFERROR(VLOOKUP($A3,Phase_Data!$1:$1048576,COLUMN(),0),"-")</f>
        <v>736</v>
      </c>
      <c r="C3">
        <f ca="1">IFERROR(VLOOKUP($A3,Phase_Data!$1:$1048576,COLUMN(),0),"-")</f>
        <v>736</v>
      </c>
      <c r="D3">
        <f ca="1">IFERROR(VLOOKUP($A3,Phase_Data!$1:$1048576,COLUMN(),0),"-")</f>
        <v>736</v>
      </c>
      <c r="E3">
        <f ca="1">IFERROR(VLOOKUP($A3,Phase_Data!$1:$1048576,COLUMN(),0),"-")</f>
        <v>738</v>
      </c>
      <c r="F3">
        <f ca="1">IFERROR(VLOOKUP($A3,Phase_Data!$1:$1048576,COLUMN(),0),"-")</f>
        <v>742</v>
      </c>
      <c r="G3">
        <f ca="1">IFERROR(VLOOKUP($A3,Phase_Data!$1:$1048576,COLUMN(),0),"-")</f>
        <v>744</v>
      </c>
      <c r="H3">
        <f ca="1">IFERROR(VLOOKUP($A3,Phase_Data!$1:$1048576,COLUMN(),0),"-")</f>
        <v>746</v>
      </c>
      <c r="I3">
        <f ca="1">IFERROR(VLOOKUP($A3,Phase_Data!$1:$1048576,COLUMN(),0),"-")</f>
        <v>748</v>
      </c>
      <c r="J3">
        <f ca="1">IFERROR(VLOOKUP($A3,Phase_Data!$1:$1048576,COLUMN(),0),"-")</f>
        <v>750</v>
      </c>
      <c r="K3">
        <f ca="1">IFERROR(VLOOKUP($A3,Phase_Data!$1:$1048576,COLUMN(),0),"-")</f>
        <v>754</v>
      </c>
      <c r="L3">
        <f ca="1">IFERROR(VLOOKUP($A3,Phase_Data!$1:$1048576,COLUMN(),0),"-")</f>
        <v>756</v>
      </c>
      <c r="M3">
        <f ca="1">IFERROR(VLOOKUP($A3,Phase_Data!$1:$1048576,COLUMN(),0),"-")</f>
        <v>758</v>
      </c>
      <c r="N3">
        <f ca="1">IFERROR(VLOOKUP($A3,Phase_Data!$1:$1048576,COLUMN(),0),"-")</f>
        <v>762</v>
      </c>
      <c r="O3">
        <f ca="1">IFERROR(VLOOKUP($A3,Phase_Data!$1:$1048576,COLUMN(),0),"-")</f>
        <v>766</v>
      </c>
      <c r="P3">
        <f ca="1">IFERROR(VLOOKUP($A3,Phase_Data!$1:$1048576,COLUMN(),0),"-")</f>
        <v>770</v>
      </c>
      <c r="Q3">
        <f ca="1">IFERROR(VLOOKUP($A3,Phase_Data!$1:$1048576,COLUMN(),0),"-")</f>
        <v>774</v>
      </c>
      <c r="R3">
        <f ca="1">IFERROR(VLOOKUP($A3,Phase_Data!$1:$1048576,COLUMN(),0),"-")</f>
        <v>780</v>
      </c>
      <c r="S3">
        <f ca="1">IFERROR(VLOOKUP($A3,Phase_Data!$1:$1048576,COLUMN(),0),"-")</f>
        <v>784</v>
      </c>
      <c r="T3">
        <f ca="1">IFERROR(VLOOKUP($A3,Phase_Data!$1:$1048576,COLUMN(),0),"-")</f>
        <v>790</v>
      </c>
      <c r="U3">
        <f ca="1">IFERROR(VLOOKUP($A3,Phase_Data!$1:$1048576,COLUMN(),0),"-")</f>
        <v>796</v>
      </c>
      <c r="V3">
        <f ca="1">IFERROR(VLOOKUP($A3,Phase_Data!$1:$1048576,COLUMN(),0),"-")</f>
        <v>804</v>
      </c>
    </row>
    <row r="4" spans="1:30" x14ac:dyDescent="0.2">
      <c r="A4" t="s">
        <v>134</v>
      </c>
      <c r="B4">
        <f ca="1">IFERROR(VLOOKUP($A4,Phase_Data!$1:$1048576,COLUMN(),0),"-")</f>
        <v>734</v>
      </c>
      <c r="C4">
        <f ca="1">IFERROR(VLOOKUP($A4,Phase_Data!$1:$1048576,COLUMN(),0),"-")</f>
        <v>736</v>
      </c>
      <c r="D4">
        <f ca="1">IFERROR(VLOOKUP($A4,Phase_Data!$1:$1048576,COLUMN(),0),"-")</f>
        <v>736</v>
      </c>
      <c r="E4">
        <f ca="1">IFERROR(VLOOKUP($A4,Phase_Data!$1:$1048576,COLUMN(),0),"-")</f>
        <v>738</v>
      </c>
      <c r="F4">
        <f ca="1">IFERROR(VLOOKUP($A4,Phase_Data!$1:$1048576,COLUMN(),0),"-")</f>
        <v>740</v>
      </c>
      <c r="G4">
        <f ca="1">IFERROR(VLOOKUP($A4,Phase_Data!$1:$1048576,COLUMN(),0),"-")</f>
        <v>742</v>
      </c>
      <c r="H4">
        <f ca="1">IFERROR(VLOOKUP($A4,Phase_Data!$1:$1048576,COLUMN(),0),"-")</f>
        <v>744</v>
      </c>
      <c r="I4">
        <f ca="1">IFERROR(VLOOKUP($A4,Phase_Data!$1:$1048576,COLUMN(),0),"-")</f>
        <v>746</v>
      </c>
      <c r="J4">
        <f ca="1">IFERROR(VLOOKUP($A4,Phase_Data!$1:$1048576,COLUMN(),0),"-")</f>
        <v>746</v>
      </c>
      <c r="K4">
        <f ca="1">IFERROR(VLOOKUP($A4,Phase_Data!$1:$1048576,COLUMN(),0),"-")</f>
        <v>748</v>
      </c>
      <c r="L4">
        <f ca="1">IFERROR(VLOOKUP($A4,Phase_Data!$1:$1048576,COLUMN(),0),"-")</f>
        <v>750</v>
      </c>
      <c r="M4">
        <f ca="1">IFERROR(VLOOKUP($A4,Phase_Data!$1:$1048576,COLUMN(),0),"-")</f>
        <v>752</v>
      </c>
      <c r="N4">
        <f ca="1">IFERROR(VLOOKUP($A4,Phase_Data!$1:$1048576,COLUMN(),0),"-")</f>
        <v>754</v>
      </c>
      <c r="O4">
        <f ca="1">IFERROR(VLOOKUP($A4,Phase_Data!$1:$1048576,COLUMN(),0),"-")</f>
        <v>758</v>
      </c>
      <c r="P4">
        <f ca="1">IFERROR(VLOOKUP($A4,Phase_Data!$1:$1048576,COLUMN(),0),"-")</f>
        <v>760</v>
      </c>
      <c r="Q4">
        <f ca="1">IFERROR(VLOOKUP($A4,Phase_Data!$1:$1048576,COLUMN(),0),"-")</f>
        <v>762</v>
      </c>
      <c r="R4">
        <f ca="1">IFERROR(VLOOKUP($A4,Phase_Data!$1:$1048576,COLUMN(),0),"-")</f>
        <v>766</v>
      </c>
      <c r="S4">
        <f ca="1">IFERROR(VLOOKUP($A4,Phase_Data!$1:$1048576,COLUMN(),0),"-")</f>
        <v>768</v>
      </c>
      <c r="T4">
        <f ca="1">IFERROR(VLOOKUP($A4,Phase_Data!$1:$1048576,COLUMN(),0),"-")</f>
        <v>772</v>
      </c>
      <c r="U4">
        <f ca="1">IFERROR(VLOOKUP($A4,Phase_Data!$1:$1048576,COLUMN(),0),"-")</f>
        <v>778</v>
      </c>
      <c r="V4">
        <f ca="1">IFERROR(VLOOKUP($A4,Phase_Data!$1:$1048576,COLUMN(),0),"-")</f>
        <v>782</v>
      </c>
    </row>
    <row r="6" spans="1:30" x14ac:dyDescent="0.2">
      <c r="A6" t="s">
        <v>136</v>
      </c>
      <c r="B6">
        <f ca="1">IF(AND(B2&lt;&gt;0,B3&lt;&gt;0,B4&lt;&gt;0),MAX(B2:B4)-MIN(B2:B4),"-")</f>
        <v>24</v>
      </c>
      <c r="C6">
        <f t="shared" ref="C6:V6" ca="1" si="0">IF(AND(C2&lt;&gt;0,C3&lt;&gt;0,C4&lt;&gt;0),MAX(C2:C4)-MIN(C2:C4),"-")</f>
        <v>22</v>
      </c>
      <c r="D6">
        <f t="shared" ca="1" si="0"/>
        <v>22</v>
      </c>
      <c r="E6">
        <f t="shared" ca="1" si="0"/>
        <v>20</v>
      </c>
      <c r="F6">
        <f t="shared" ca="1" si="0"/>
        <v>18</v>
      </c>
      <c r="G6">
        <f t="shared" ca="1" si="0"/>
        <v>16</v>
      </c>
      <c r="H6">
        <f t="shared" ca="1" si="0"/>
        <v>14</v>
      </c>
      <c r="I6">
        <f t="shared" ca="1" si="0"/>
        <v>12</v>
      </c>
      <c r="J6">
        <f t="shared" ca="1" si="0"/>
        <v>12</v>
      </c>
      <c r="K6">
        <f t="shared" ca="1" si="0"/>
        <v>10</v>
      </c>
      <c r="L6">
        <f t="shared" ca="1" si="0"/>
        <v>8</v>
      </c>
      <c r="M6">
        <f t="shared" ca="1" si="0"/>
        <v>8</v>
      </c>
      <c r="N6">
        <f t="shared" ca="1" si="0"/>
        <v>8</v>
      </c>
      <c r="O6">
        <f t="shared" ca="1" si="0"/>
        <v>8</v>
      </c>
      <c r="P6">
        <f t="shared" ca="1" si="0"/>
        <v>10</v>
      </c>
      <c r="Q6">
        <f t="shared" ca="1" si="0"/>
        <v>12</v>
      </c>
      <c r="R6">
        <f t="shared" ca="1" si="0"/>
        <v>14</v>
      </c>
      <c r="S6">
        <f t="shared" ca="1" si="0"/>
        <v>16</v>
      </c>
      <c r="T6">
        <f t="shared" ca="1" si="0"/>
        <v>18</v>
      </c>
      <c r="U6">
        <f t="shared" ca="1" si="0"/>
        <v>18</v>
      </c>
      <c r="V6">
        <f t="shared" ca="1" si="0"/>
        <v>22</v>
      </c>
      <c r="X6">
        <f ca="1">MIN(B6:V6)</f>
        <v>8</v>
      </c>
      <c r="Y6" t="str">
        <f ca="1">IF(X6&lt;=5,INDEX(B$1:V$1,1,MATCH(X6,B6:V6,0)),"-")</f>
        <v>-</v>
      </c>
      <c r="Z6" t="str">
        <f ca="1">IF(X6&lt;=5,MATCH(X6,B6:V6,0),"-")</f>
        <v>-</v>
      </c>
      <c r="AB6" t="str">
        <f t="array" aca="1" ref="AB6:AD6" ca="1">IF(Z6="-","-",TRANSPOSE(MMULT(MINVERSE(MMULT(TRANSPOSE(generate_matrix(TRANSPOSE(INDEX(B$1:V$1,1,MAX(Z6-2,1)):INDEX(B$1:V$1,1,MIN(Z6+2,COUNT(B$1:V$1)))))),generate_matrix(TRANSPOSE(INDEX(B$1:V$1,1,MAX(Z6-2,1)):INDEX(B$1:V$1,1,MIN(Z6+2,COUNT(B$1:V$1))))))),MMULT(TRANSPOSE(generate_matrix(TRANSPOSE(INDEX(B$1:V$1,1,MAX(Z6-2,1)):INDEX(B$1:V$1,1,MIN(Z6+2,COUNT(B$1:V$1)))))),TRANSPOSE(INDEX(B6:V6,1,MAX(Z6-2,1)):INDEX(B6:V6,1,MIN(Z6+2,COUNT(B$1:V$1))))))))</f>
        <v>-</v>
      </c>
      <c r="AC6" t="str">
        <f ca="1"/>
        <v>-</v>
      </c>
      <c r="AD6" t="str">
        <f ca="1"/>
        <v>-</v>
      </c>
    </row>
    <row r="7" spans="1:30" x14ac:dyDescent="0.2">
      <c r="A7" t="s">
        <v>137</v>
      </c>
      <c r="B7">
        <f ca="1">IF(AND(MAX(B2:B4)&lt;&gt;0,LARGE(B2:B4,2)&lt;&gt;0),MAX(B2:B4)-LARGE(B2:B4,2),"-")</f>
        <v>22</v>
      </c>
      <c r="C7">
        <f t="shared" ref="C7:V7" ca="1" si="1">IF(AND(MAX(C2:C4)&lt;&gt;0,LARGE(C2:C4,2)&lt;&gt;0),MAX(C2:C4)-LARGE(C2:C4,2),"-")</f>
        <v>22</v>
      </c>
      <c r="D7">
        <f t="shared" ca="1" si="1"/>
        <v>22</v>
      </c>
      <c r="E7">
        <f t="shared" ca="1" si="1"/>
        <v>20</v>
      </c>
      <c r="F7">
        <f t="shared" ca="1" si="1"/>
        <v>16</v>
      </c>
      <c r="G7">
        <f t="shared" ca="1" si="1"/>
        <v>14</v>
      </c>
      <c r="H7">
        <f t="shared" ca="1" si="1"/>
        <v>12</v>
      </c>
      <c r="I7">
        <f t="shared" ca="1" si="1"/>
        <v>10</v>
      </c>
      <c r="J7">
        <f t="shared" ca="1" si="1"/>
        <v>8</v>
      </c>
      <c r="K7">
        <f t="shared" ca="1" si="1"/>
        <v>4</v>
      </c>
      <c r="L7">
        <f t="shared" ca="1" si="1"/>
        <v>2</v>
      </c>
      <c r="M7">
        <f t="shared" ca="1" si="1"/>
        <v>2</v>
      </c>
      <c r="N7">
        <f t="shared" ca="1" si="1"/>
        <v>2</v>
      </c>
      <c r="O7">
        <f t="shared" ca="1" si="1"/>
        <v>2</v>
      </c>
      <c r="P7">
        <f t="shared" ca="1" si="1"/>
        <v>4</v>
      </c>
      <c r="Q7">
        <f t="shared" ca="1" si="1"/>
        <v>6</v>
      </c>
      <c r="R7">
        <f t="shared" ca="1" si="1"/>
        <v>8</v>
      </c>
      <c r="S7">
        <f t="shared" ca="1" si="1"/>
        <v>8</v>
      </c>
      <c r="T7">
        <f t="shared" ca="1" si="1"/>
        <v>10</v>
      </c>
      <c r="U7">
        <f t="shared" ca="1" si="1"/>
        <v>12</v>
      </c>
      <c r="V7">
        <f t="shared" ca="1" si="1"/>
        <v>14</v>
      </c>
      <c r="X7">
        <f ca="1">MIN(B7:V7)</f>
        <v>2</v>
      </c>
      <c r="Y7">
        <f ca="1">IF(X7&lt;=5,INDEX(B$1:V$1,1,MATCH(X7,B7:V7,0)),"-")</f>
        <v>200</v>
      </c>
      <c r="Z7">
        <f ca="1">IF(X7&lt;=5,MATCH(X7,B7:V7,0),"-")</f>
        <v>11</v>
      </c>
      <c r="AB7">
        <f t="array" aca="1" ref="AB7:AD7" ca="1">IF(Z7="-","-",TRANSPOSE(MMULT(MINVERSE(MMULT(TRANSPOSE(generate_matrix(TRANSPOSE(INDEX(B$1:V$1,1,MAX(Z7-2,1)):INDEX(B$1:V$1,1,MIN(Z7+2,COUNT(B$1:V$1)))))),generate_matrix(TRANSPOSE(INDEX(B$1:V$1,1,MAX(Z7-2,1)):INDEX(B$1:V$1,1,MIN(Z7+2,COUNT(B$1:V$1))))))),MMULT(TRANSPOSE(generate_matrix(TRANSPOSE(INDEX(B$1:V$1,1,MAX(Z7-2,1)):INDEX(B$1:V$1,1,MIN(Z7+2,COUNT(B$1:V$1)))))),TRANSPOSE(INDEX(B7:V7,1,MAX(Z7-2,1)):INDEX(B7:V7,1,MIN(Z7+2,COUNT(B$1:V$1))))))))</f>
        <v>259.88571428443538</v>
      </c>
      <c r="AC7">
        <f ca="1"/>
        <v>-2.7171428571305114</v>
      </c>
      <c r="AD7">
        <f ca="1"/>
        <v>7.1428571428286958E-3</v>
      </c>
    </row>
    <row r="9" spans="1:30" x14ac:dyDescent="0.2">
      <c r="A9" t="s">
        <v>138</v>
      </c>
      <c r="B9" t="str">
        <f ca="1">IFERROR(IF($AD6&gt;0,$AD6*B$1^2+$AC6*B$1+$AB6,"-"),"-")</f>
        <v>-</v>
      </c>
      <c r="C9" t="str">
        <f ca="1">IFERROR(IF($AD6&gt;0,$AD6*C$1^2+$AC6*C$1+$AB6,"-"),"-")</f>
        <v>-</v>
      </c>
      <c r="D9" t="str">
        <f ca="1">IFERROR(IF($AD6&gt;0,$AD6*D$1^2+$AC6*D$1+$AB6,"-"),"-")</f>
        <v>-</v>
      </c>
      <c r="E9" t="str">
        <f ca="1">IFERROR(IF($AD6&gt;0,$AD6*E$1^2+$AC6*E$1+$AB6,"-"),"-")</f>
        <v>-</v>
      </c>
      <c r="F9" t="str">
        <f ca="1">IFERROR(IF($AD6&gt;0,$AD6*F$1^2+$AC6*F$1+$AB6,"-"),"-")</f>
        <v>-</v>
      </c>
      <c r="G9" t="str">
        <f ca="1">IFERROR(IF($AD6&gt;0,$AD6*G$1^2+$AC6*G$1+$AB6,"-"),"-")</f>
        <v>-</v>
      </c>
      <c r="H9" t="str">
        <f ca="1">IFERROR(IF($AD6&gt;0,$AD6*H$1^2+$AC6*H$1+$AB6,"-"),"-")</f>
        <v>-</v>
      </c>
      <c r="I9" t="str">
        <f ca="1">IFERROR(IF($AD6&gt;0,$AD6*I$1^2+$AC6*I$1+$AB6,"-"),"-")</f>
        <v>-</v>
      </c>
      <c r="J9" t="str">
        <f ca="1">IFERROR(IF($AD6&gt;0,$AD6*J$1^2+$AC6*J$1+$AB6,"-"),"-")</f>
        <v>-</v>
      </c>
      <c r="K9" t="str">
        <f ca="1">IFERROR(IF($AD6&gt;0,$AD6*K$1^2+$AC6*K$1+$AB6,"-"),"-")</f>
        <v>-</v>
      </c>
      <c r="L9" t="str">
        <f ca="1">IFERROR(IF($AD6&gt;0,$AD6*L$1^2+$AC6*L$1+$AB6,"-"),"-")</f>
        <v>-</v>
      </c>
      <c r="M9" t="str">
        <f ca="1">IFERROR(IF($AD6&gt;0,$AD6*M$1^2+$AC6*M$1+$AB6,"-"),"-")</f>
        <v>-</v>
      </c>
      <c r="N9" t="str">
        <f ca="1">IFERROR(IF($AD6&gt;0,$AD6*N$1^2+$AC6*N$1+$AB6,"-"),"-")</f>
        <v>-</v>
      </c>
      <c r="O9" t="str">
        <f ca="1">IFERROR(IF($AD6&gt;0,$AD6*O$1^2+$AC6*O$1+$AB6,"-"),"-")</f>
        <v>-</v>
      </c>
      <c r="P9" t="str">
        <f ca="1">IFERROR(IF($AD6&gt;0,$AD6*P$1^2+$AC6*P$1+$AB6,"-"),"-")</f>
        <v>-</v>
      </c>
      <c r="Q9" t="str">
        <f ca="1">IFERROR(IF($AD6&gt;0,$AD6*Q$1^2+$AC6*Q$1+$AB6,"-"),"-")</f>
        <v>-</v>
      </c>
      <c r="R9" t="str">
        <f ca="1">IFERROR(IF($AD6&gt;0,$AD6*R$1^2+$AC6*R$1+$AB6,"-"),"-")</f>
        <v>-</v>
      </c>
      <c r="S9" t="str">
        <f ca="1">IFERROR(IF($AD6&gt;0,$AD6*S$1^2+$AC6*S$1+$AB6,"-"),"-")</f>
        <v>-</v>
      </c>
      <c r="T9" t="str">
        <f ca="1">IFERROR(IF($AD6&gt;0,$AD6*T$1^2+$AC6*T$1+$AB6,"-"),"-")</f>
        <v>-</v>
      </c>
      <c r="U9" t="str">
        <f ca="1">IFERROR(IF($AD6&gt;0,$AD6*U$1^2+$AC6*U$1+$AB6,"-"),"-")</f>
        <v>-</v>
      </c>
      <c r="V9" t="str">
        <f ca="1">IFERROR(IF($AD6&gt;0,$AD6*V$1^2+$AC6*V$1+$AB6,"-"),"-")</f>
        <v>-</v>
      </c>
    </row>
    <row r="10" spans="1:30" x14ac:dyDescent="0.2">
      <c r="A10" t="s">
        <v>139</v>
      </c>
      <c r="B10">
        <f ca="1">IFERROR(IF($AD7&gt;0,$AD7*B$1^2+$AC7*B$1+$AB7,"-"),"-")</f>
        <v>87.599999999864622</v>
      </c>
      <c r="C10">
        <f ca="1">IFERROR(IF($AD7&gt;0,$AD7*C$1^2+$AC7*C$1+$AB7,"-"),"-")</f>
        <v>72.628571428480427</v>
      </c>
      <c r="D10">
        <f ca="1">IFERROR(IF($AD7&gt;0,$AD7*D$1^2+$AC7*D$1+$AB7,"-"),"-")</f>
        <v>59.085714285661879</v>
      </c>
      <c r="E10">
        <f ca="1">IFERROR(IF($AD7&gt;0,$AD7*E$1^2+$AC7*E$1+$AB7,"-"),"-")</f>
        <v>46.971428571409206</v>
      </c>
      <c r="F10">
        <f ca="1">IFERROR(IF($AD7&gt;0,$AD7*F$1^2+$AC7*F$1+$AB7,"-"),"-")</f>
        <v>36.285714285722236</v>
      </c>
      <c r="G10">
        <f ca="1">IFERROR(IF($AD7&gt;0,$AD7*G$1^2+$AC7*G$1+$AB7,"-"),"-")</f>
        <v>27.028571428601026</v>
      </c>
      <c r="H10">
        <f ca="1">IFERROR(IF($AD7&gt;0,$AD7*H$1^2+$AC7*H$1+$AB7,"-"),"-")</f>
        <v>19.20000000004552</v>
      </c>
      <c r="I10">
        <f ca="1">IFERROR(IF($AD7&gt;0,$AD7*I$1^2+$AC7*I$1+$AB7,"-"),"-")</f>
        <v>12.800000000055775</v>
      </c>
      <c r="J10">
        <f ca="1">IFERROR(IF($AD7&gt;0,$AD7*J$1^2+$AC7*J$1+$AB7,"-"),"-")</f>
        <v>7.8285714286317329</v>
      </c>
      <c r="K10">
        <f ca="1">IFERROR(IF($AD7&gt;0,$AD7*K$1^2+$AC7*K$1+$AB7,"-"),"-")</f>
        <v>4.2857142857734516</v>
      </c>
      <c r="L10">
        <f ca="1">IFERROR(IF($AD7&gt;0,$AD7*L$1^2+$AC7*L$1+$AB7,"-"),"-")</f>
        <v>2.1714285714809307</v>
      </c>
      <c r="M10">
        <f ca="1">IFERROR(IF($AD7&gt;0,$AD7*M$1^2+$AC7*M$1+$AB7,"-"),"-")</f>
        <v>1.4857142857541135</v>
      </c>
      <c r="N10">
        <f ca="1">IFERROR(IF($AD7&gt;0,$AD7*N$1^2+$AC7*N$1+$AB7,"-"),"-")</f>
        <v>2.2285714285930567</v>
      </c>
      <c r="O10">
        <f ca="1">IFERROR(IF($AD7&gt;0,$AD7*O$1^2+$AC7*O$1+$AB7,"-"),"-")</f>
        <v>4.3999999999977604</v>
      </c>
      <c r="P10">
        <f ca="1">IFERROR(IF($AD7&gt;0,$AD7*P$1^2+$AC7*P$1+$AB7,"-"),"-")</f>
        <v>7.9999999999681677</v>
      </c>
      <c r="Q10">
        <f ca="1">IFERROR(IF($AD7&gt;0,$AD7*Q$1^2+$AC7*Q$1+$AB7,"-"),"-")</f>
        <v>13.028571428504335</v>
      </c>
      <c r="R10">
        <f ca="1">IFERROR(IF($AD7&gt;0,$AD7*R$1^2+$AC7*R$1+$AB7,"-"),"-")</f>
        <v>19.485714285606207</v>
      </c>
      <c r="S10">
        <f ca="1">IFERROR(IF($AD7&gt;0,$AD7*S$1^2+$AC7*S$1+$AB7,"-"),"-")</f>
        <v>27.371428571273839</v>
      </c>
      <c r="T10">
        <f ca="1">IFERROR(IF($AD7&gt;0,$AD7*T$1^2+$AC7*T$1+$AB7,"-"),"-")</f>
        <v>36.685714285507231</v>
      </c>
      <c r="U10">
        <f ca="1">IFERROR(IF($AD7&gt;0,$AD7*U$1^2+$AC7*U$1+$AB7,"-"),"-")</f>
        <v>47.428571428306327</v>
      </c>
      <c r="V10">
        <f ca="1">IFERROR(IF($AD7&gt;0,$AD7*V$1^2+$AC7*V$1+$AB7,"-"),"-")</f>
        <v>59.599999999671184</v>
      </c>
    </row>
    <row r="12" spans="1:30" x14ac:dyDescent="0.2">
      <c r="B12" t="s">
        <v>148</v>
      </c>
      <c r="C12" t="s">
        <v>149</v>
      </c>
    </row>
    <row r="13" spans="1:30" x14ac:dyDescent="0.2">
      <c r="A13" t="s">
        <v>140</v>
      </c>
      <c r="B13" s="2" t="str">
        <f ca="1">IFERROR(IF($X6&lt;=5,IF($AD6&gt;0,-$AC6/(2*$AD6),"-"),"-"),"-")</f>
        <v>-</v>
      </c>
      <c r="C13" s="2" t="str">
        <f ca="1">IFERROR(IF($AD6&gt;0,$AD6*B13^2+$AC6*B13+$AB6,"-"),"-")</f>
        <v>-</v>
      </c>
    </row>
    <row r="14" spans="1:30" x14ac:dyDescent="0.2">
      <c r="A14" t="s">
        <v>141</v>
      </c>
      <c r="B14" s="2">
        <f ca="1">IFERROR(IF($X7&lt;=5,IF($AD7&gt;0,-$AC7/(2*$AD7),"-"),"-"),"-")</f>
        <v>190.19999999989329</v>
      </c>
      <c r="C14" s="2">
        <f ca="1">IFERROR(IF($AD7&gt;0,$AD7*B14^2+$AC7*B14+$AB7,"-"),"-")</f>
        <v>1.4854285714687308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3635B-2690-4CD0-9126-4DFF98B5410D}">
  <sheetPr codeName="Sheet2"/>
  <dimension ref="A1:V10"/>
  <sheetViews>
    <sheetView workbookViewId="0"/>
  </sheetViews>
  <sheetFormatPr defaultRowHeight="15" x14ac:dyDescent="0.2"/>
  <sheetData>
    <row r="1" spans="1:22" x14ac:dyDescent="0.2">
      <c r="A1">
        <v>300</v>
      </c>
      <c r="B1">
        <v>300</v>
      </c>
      <c r="C1">
        <v>290</v>
      </c>
      <c r="D1">
        <v>280</v>
      </c>
      <c r="E1">
        <v>270</v>
      </c>
      <c r="F1">
        <v>260</v>
      </c>
      <c r="G1">
        <v>250</v>
      </c>
      <c r="H1">
        <v>240</v>
      </c>
      <c r="I1">
        <v>230</v>
      </c>
      <c r="J1">
        <v>220</v>
      </c>
      <c r="K1">
        <v>210</v>
      </c>
      <c r="L1">
        <v>200</v>
      </c>
      <c r="M1">
        <v>190</v>
      </c>
      <c r="N1">
        <v>180</v>
      </c>
      <c r="O1">
        <v>170</v>
      </c>
      <c r="P1">
        <v>160</v>
      </c>
      <c r="Q1">
        <v>150</v>
      </c>
      <c r="R1">
        <v>140</v>
      </c>
      <c r="S1">
        <v>130</v>
      </c>
      <c r="T1">
        <v>120</v>
      </c>
      <c r="U1">
        <v>110</v>
      </c>
      <c r="V1">
        <v>100</v>
      </c>
    </row>
    <row r="2" spans="1:22" x14ac:dyDescent="0.2">
      <c r="A2" t="s">
        <v>132</v>
      </c>
      <c r="B2">
        <f ca="1">_xlfn.IFNA(INDEX(INDIRECT("'"&amp;$A2&amp;"'!$B:$B"),MATCH(B$1,INDIRECT("'"&amp;$A2&amp;"'!$c:$c"),0)),"")</f>
        <v>760</v>
      </c>
      <c r="C2">
        <f t="shared" ref="C2:V10" ca="1" si="0">_xlfn.IFNA(INDEX(INDIRECT("'"&amp;$A2&amp;"'!$B:$B"),MATCH(C$1,INDIRECT("'"&amp;$A2&amp;"'!$c:$c"),0)),"")</f>
        <v>760</v>
      </c>
      <c r="D2">
        <f t="shared" ca="1" si="0"/>
        <v>760</v>
      </c>
      <c r="E2">
        <f t="shared" ca="1" si="0"/>
        <v>760</v>
      </c>
      <c r="F2">
        <f t="shared" ca="1" si="0"/>
        <v>760</v>
      </c>
      <c r="G2">
        <f t="shared" ca="1" si="0"/>
        <v>760</v>
      </c>
      <c r="H2">
        <f t="shared" ca="1" si="0"/>
        <v>760</v>
      </c>
      <c r="I2">
        <f t="shared" ca="1" si="0"/>
        <v>760</v>
      </c>
      <c r="J2">
        <f t="shared" ca="1" si="0"/>
        <v>760</v>
      </c>
      <c r="K2">
        <f t="shared" ca="1" si="0"/>
        <v>760</v>
      </c>
      <c r="L2">
        <f t="shared" ca="1" si="0"/>
        <v>760</v>
      </c>
      <c r="M2">
        <f t="shared" ca="1" si="0"/>
        <v>762</v>
      </c>
      <c r="N2">
        <f t="shared" ca="1" si="0"/>
        <v>764</v>
      </c>
      <c r="O2">
        <f t="shared" ca="1" si="0"/>
        <v>768</v>
      </c>
      <c r="P2">
        <f t="shared" ca="1" si="0"/>
        <v>772</v>
      </c>
      <c r="Q2">
        <f t="shared" ca="1" si="0"/>
        <v>776</v>
      </c>
      <c r="R2">
        <f t="shared" ca="1" si="0"/>
        <v>782</v>
      </c>
      <c r="S2">
        <f t="shared" ca="1" si="0"/>
        <v>786</v>
      </c>
      <c r="T2">
        <f t="shared" ca="1" si="0"/>
        <v>792</v>
      </c>
      <c r="U2">
        <f t="shared" ca="1" si="0"/>
        <v>798</v>
      </c>
      <c r="V2">
        <f t="shared" ca="1" si="0"/>
        <v>806</v>
      </c>
    </row>
    <row r="3" spans="1:22" x14ac:dyDescent="0.2">
      <c r="A3" t="s">
        <v>97</v>
      </c>
      <c r="B3">
        <f ca="1">_xlfn.IFNA(INDEX(INDIRECT("'"&amp;$A3&amp;"'!$B:$B"),MATCH(B$1,INDIRECT("'"&amp;$A3&amp;"'!$c:$c"),0)),"")</f>
        <v>732</v>
      </c>
      <c r="C3">
        <f t="shared" ca="1" si="0"/>
        <v>734</v>
      </c>
      <c r="D3">
        <f t="shared" ca="1" si="0"/>
        <v>736</v>
      </c>
      <c r="E3">
        <f t="shared" ca="1" si="0"/>
        <v>736</v>
      </c>
      <c r="F3">
        <f t="shared" ca="1" si="0"/>
        <v>738</v>
      </c>
      <c r="G3">
        <f t="shared" ca="1" si="0"/>
        <v>738</v>
      </c>
      <c r="H3">
        <f t="shared" ca="1" si="0"/>
        <v>740</v>
      </c>
      <c r="I3">
        <f t="shared" ca="1" si="0"/>
        <v>742</v>
      </c>
      <c r="J3">
        <f t="shared" ca="1" si="0"/>
        <v>742</v>
      </c>
      <c r="K3">
        <f t="shared" ca="1" si="0"/>
        <v>744</v>
      </c>
      <c r="L3">
        <f t="shared" ca="1" si="0"/>
        <v>744</v>
      </c>
      <c r="M3">
        <f t="shared" ca="1" si="0"/>
        <v>746</v>
      </c>
      <c r="N3">
        <f t="shared" ca="1" si="0"/>
        <v>748</v>
      </c>
      <c r="O3">
        <f t="shared" ca="1" si="0"/>
        <v>748</v>
      </c>
      <c r="P3">
        <f t="shared" ca="1" si="0"/>
        <v>750</v>
      </c>
      <c r="Q3">
        <f t="shared" ca="1" si="0"/>
        <v>752</v>
      </c>
      <c r="R3">
        <f t="shared" ca="1" si="0"/>
        <v>754</v>
      </c>
      <c r="S3">
        <f t="shared" ca="1" si="0"/>
        <v>754</v>
      </c>
      <c r="T3">
        <f t="shared" ca="1" si="0"/>
        <v>756</v>
      </c>
    </row>
    <row r="4" spans="1:2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736</v>
      </c>
      <c r="E4">
        <f t="shared" ca="1" si="0"/>
        <v>738</v>
      </c>
      <c r="F4">
        <f t="shared" ca="1" si="0"/>
        <v>740</v>
      </c>
      <c r="G4">
        <f t="shared" ca="1" si="0"/>
        <v>742</v>
      </c>
      <c r="H4">
        <f t="shared" ca="1" si="0"/>
        <v>744</v>
      </c>
      <c r="I4">
        <f t="shared" ca="1" si="0"/>
        <v>744</v>
      </c>
      <c r="J4">
        <f t="shared" ca="1" si="0"/>
        <v>746</v>
      </c>
      <c r="K4">
        <f t="shared" ca="1" si="0"/>
        <v>748</v>
      </c>
      <c r="L4">
        <f t="shared" ca="1" si="0"/>
        <v>750</v>
      </c>
      <c r="M4">
        <f t="shared" ca="1" si="0"/>
        <v>752</v>
      </c>
      <c r="N4">
        <f t="shared" ca="1" si="0"/>
        <v>754</v>
      </c>
      <c r="O4">
        <f t="shared" ca="1" si="0"/>
        <v>756</v>
      </c>
      <c r="P4">
        <f t="shared" ca="1" si="0"/>
        <v>760</v>
      </c>
      <c r="Q4">
        <f t="shared" ca="1" si="0"/>
        <v>762</v>
      </c>
      <c r="R4">
        <f t="shared" ca="1" si="0"/>
        <v>766</v>
      </c>
      <c r="S4">
        <f t="shared" ca="1" si="0"/>
        <v>768</v>
      </c>
      <c r="T4">
        <f t="shared" ca="1" si="0"/>
        <v>772</v>
      </c>
      <c r="U4">
        <f t="shared" ca="1" si="0"/>
        <v>776</v>
      </c>
      <c r="V4">
        <f t="shared" ca="1" si="0"/>
        <v>782</v>
      </c>
    </row>
    <row r="5" spans="1:2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736</v>
      </c>
      <c r="E5">
        <f t="shared" ca="1" si="0"/>
        <v>738</v>
      </c>
      <c r="F5">
        <f t="shared" ca="1" si="0"/>
        <v>740</v>
      </c>
      <c r="G5">
        <f t="shared" ca="1" si="0"/>
        <v>742</v>
      </c>
      <c r="H5">
        <f t="shared" ca="1" si="0"/>
        <v>744</v>
      </c>
      <c r="I5">
        <f t="shared" ca="1" si="0"/>
        <v>744</v>
      </c>
      <c r="J5">
        <f t="shared" ca="1" si="0"/>
        <v>746</v>
      </c>
      <c r="K5">
        <f t="shared" ca="1" si="0"/>
        <v>748</v>
      </c>
      <c r="L5">
        <f t="shared" ca="1" si="0"/>
        <v>750</v>
      </c>
      <c r="M5">
        <f t="shared" ca="1" si="0"/>
        <v>752</v>
      </c>
      <c r="N5">
        <f t="shared" ca="1" si="0"/>
        <v>754</v>
      </c>
      <c r="O5">
        <f t="shared" ca="1" si="0"/>
        <v>756</v>
      </c>
      <c r="P5">
        <f t="shared" ca="1" si="0"/>
        <v>758</v>
      </c>
      <c r="Q5">
        <f t="shared" ca="1" si="0"/>
        <v>762</v>
      </c>
      <c r="R5">
        <f t="shared" ca="1" si="0"/>
        <v>764</v>
      </c>
      <c r="S5">
        <f t="shared" ca="1" si="0"/>
        <v>768</v>
      </c>
      <c r="T5">
        <f t="shared" ca="1" si="0"/>
        <v>772</v>
      </c>
      <c r="U5">
        <f t="shared" ca="1" si="0"/>
        <v>776</v>
      </c>
      <c r="V5">
        <f t="shared" ca="1" si="0"/>
        <v>780</v>
      </c>
    </row>
    <row r="6" spans="1:22" x14ac:dyDescent="0.2">
      <c r="A6" t="s">
        <v>133</v>
      </c>
      <c r="B6">
        <f ca="1">_xlfn.IFNA(INDEX(INDIRECT("'"&amp;$A6&amp;"'!$B:$B"),MATCH(B$1,INDIRECT("'"&amp;$A6&amp;"'!$c:$c"),0)),"")</f>
        <v>736</v>
      </c>
      <c r="C6">
        <f t="shared" ca="1" si="0"/>
        <v>736</v>
      </c>
      <c r="D6">
        <f t="shared" ca="1" si="0"/>
        <v>736</v>
      </c>
      <c r="E6">
        <f t="shared" ca="1" si="0"/>
        <v>738</v>
      </c>
      <c r="F6">
        <f t="shared" ca="1" si="0"/>
        <v>742</v>
      </c>
      <c r="G6">
        <f t="shared" ca="1" si="0"/>
        <v>744</v>
      </c>
      <c r="H6">
        <f t="shared" ca="1" si="0"/>
        <v>746</v>
      </c>
      <c r="I6">
        <f t="shared" ca="1" si="0"/>
        <v>748</v>
      </c>
      <c r="J6">
        <f t="shared" ca="1" si="0"/>
        <v>750</v>
      </c>
      <c r="K6">
        <f t="shared" ca="1" si="0"/>
        <v>754</v>
      </c>
      <c r="L6">
        <f t="shared" ca="1" si="0"/>
        <v>756</v>
      </c>
      <c r="M6">
        <f t="shared" ca="1" si="0"/>
        <v>758</v>
      </c>
      <c r="N6">
        <f t="shared" ca="1" si="0"/>
        <v>762</v>
      </c>
      <c r="O6">
        <f t="shared" ca="1" si="0"/>
        <v>766</v>
      </c>
      <c r="P6">
        <f t="shared" ca="1" si="0"/>
        <v>770</v>
      </c>
      <c r="Q6">
        <f t="shared" ca="1" si="0"/>
        <v>774</v>
      </c>
      <c r="R6">
        <f t="shared" ca="1" si="0"/>
        <v>780</v>
      </c>
      <c r="S6">
        <f t="shared" ca="1" si="0"/>
        <v>784</v>
      </c>
      <c r="T6">
        <f t="shared" ca="1" si="0"/>
        <v>790</v>
      </c>
      <c r="U6">
        <f t="shared" ca="1" si="0"/>
        <v>796</v>
      </c>
      <c r="V6">
        <f t="shared" ca="1" si="0"/>
        <v>804</v>
      </c>
    </row>
    <row r="7" spans="1:22" x14ac:dyDescent="0.2">
      <c r="A7" t="s">
        <v>134</v>
      </c>
      <c r="B7">
        <f ca="1">_xlfn.IFNA(INDEX(INDIRECT("'"&amp;$A7&amp;"'!$B:$B"),MATCH(B$1,INDIRECT("'"&amp;$A7&amp;"'!$c:$c"),0)),"")</f>
        <v>734</v>
      </c>
      <c r="C7">
        <f t="shared" ca="1" si="0"/>
        <v>736</v>
      </c>
      <c r="D7">
        <f t="shared" ca="1" si="0"/>
        <v>736</v>
      </c>
      <c r="E7">
        <f t="shared" ca="1" si="0"/>
        <v>738</v>
      </c>
      <c r="F7">
        <f t="shared" ca="1" si="0"/>
        <v>740</v>
      </c>
      <c r="G7">
        <f t="shared" ca="1" si="0"/>
        <v>742</v>
      </c>
      <c r="H7">
        <f t="shared" ca="1" si="0"/>
        <v>744</v>
      </c>
      <c r="I7">
        <f t="shared" ca="1" si="0"/>
        <v>746</v>
      </c>
      <c r="J7">
        <f t="shared" ca="1" si="0"/>
        <v>746</v>
      </c>
      <c r="K7">
        <f t="shared" ca="1" si="0"/>
        <v>748</v>
      </c>
      <c r="L7">
        <f t="shared" ca="1" si="0"/>
        <v>750</v>
      </c>
      <c r="M7">
        <f t="shared" ca="1" si="0"/>
        <v>752</v>
      </c>
      <c r="N7">
        <f t="shared" ca="1" si="0"/>
        <v>754</v>
      </c>
      <c r="O7">
        <f t="shared" ca="1" si="0"/>
        <v>758</v>
      </c>
      <c r="P7">
        <f t="shared" ca="1" si="0"/>
        <v>760</v>
      </c>
      <c r="Q7">
        <f t="shared" ca="1" si="0"/>
        <v>762</v>
      </c>
      <c r="R7">
        <f t="shared" ca="1" si="0"/>
        <v>766</v>
      </c>
      <c r="S7">
        <f t="shared" ca="1" si="0"/>
        <v>768</v>
      </c>
      <c r="T7">
        <f t="shared" ca="1" si="0"/>
        <v>772</v>
      </c>
      <c r="U7">
        <f t="shared" ca="1" si="0"/>
        <v>778</v>
      </c>
      <c r="V7">
        <f t="shared" ca="1" si="0"/>
        <v>782</v>
      </c>
    </row>
    <row r="8" spans="1:22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758</v>
      </c>
      <c r="F8">
        <f t="shared" ca="1" si="0"/>
        <v>758</v>
      </c>
      <c r="G8">
        <f t="shared" ca="1" si="0"/>
        <v>758</v>
      </c>
      <c r="H8">
        <f t="shared" ca="1" si="0"/>
        <v>758</v>
      </c>
      <c r="I8">
        <f t="shared" ca="1" si="0"/>
        <v>758</v>
      </c>
      <c r="J8">
        <f t="shared" ca="1" si="0"/>
        <v>758</v>
      </c>
      <c r="K8">
        <f t="shared" ca="1" si="0"/>
        <v>758</v>
      </c>
      <c r="L8">
        <f t="shared" ca="1" si="0"/>
        <v>758</v>
      </c>
      <c r="M8">
        <f t="shared" ca="1" si="0"/>
        <v>760</v>
      </c>
      <c r="N8">
        <f t="shared" ca="1" si="0"/>
        <v>760</v>
      </c>
      <c r="O8">
        <f t="shared" ca="1" si="0"/>
        <v>764</v>
      </c>
      <c r="P8">
        <f t="shared" ca="1" si="0"/>
        <v>766</v>
      </c>
      <c r="Q8">
        <f t="shared" ca="1" si="0"/>
        <v>768</v>
      </c>
      <c r="R8">
        <f t="shared" ca="1" si="0"/>
        <v>772</v>
      </c>
      <c r="S8">
        <f t="shared" ca="1" si="0"/>
        <v>776</v>
      </c>
      <c r="T8">
        <f t="shared" ca="1" si="0"/>
        <v>780</v>
      </c>
      <c r="U8">
        <f t="shared" ca="1" si="0"/>
        <v>784</v>
      </c>
      <c r="V8">
        <f t="shared" ca="1" si="0"/>
        <v>790</v>
      </c>
    </row>
    <row r="9" spans="1:22" x14ac:dyDescent="0.2">
      <c r="A9" t="s">
        <v>71</v>
      </c>
      <c r="B9">
        <f ca="1">_xlfn.IFNA(INDEX(INDIRECT("'"&amp;$A9&amp;"'!$B:$B"),MATCH(B$1,INDIRECT("'"&amp;$A9&amp;"'!$c:$c"),0)),"")</f>
        <v>760</v>
      </c>
      <c r="C9">
        <f t="shared" ca="1" si="0"/>
        <v>760</v>
      </c>
      <c r="D9">
        <f t="shared" ca="1" si="0"/>
        <v>760</v>
      </c>
      <c r="E9">
        <f t="shared" ca="1" si="0"/>
        <v>760</v>
      </c>
      <c r="F9">
        <f t="shared" ca="1" si="0"/>
        <v>760</v>
      </c>
      <c r="G9">
        <f t="shared" ca="1" si="0"/>
        <v>760</v>
      </c>
      <c r="H9">
        <f t="shared" ca="1" si="0"/>
        <v>760</v>
      </c>
      <c r="I9">
        <f t="shared" ca="1" si="0"/>
        <v>760</v>
      </c>
      <c r="J9">
        <f t="shared" ca="1" si="0"/>
        <v>760</v>
      </c>
      <c r="K9">
        <f t="shared" ca="1" si="0"/>
        <v>760</v>
      </c>
      <c r="L9">
        <f t="shared" ca="1" si="0"/>
        <v>760</v>
      </c>
      <c r="M9">
        <f t="shared" ca="1" si="0"/>
        <v>762</v>
      </c>
      <c r="N9">
        <f t="shared" ca="1" si="0"/>
        <v>764</v>
      </c>
      <c r="O9">
        <f t="shared" ca="1" si="0"/>
        <v>768</v>
      </c>
      <c r="P9">
        <f t="shared" ca="1" si="0"/>
        <v>772</v>
      </c>
      <c r="Q9">
        <f t="shared" ca="1" si="0"/>
        <v>776</v>
      </c>
      <c r="R9">
        <f t="shared" ca="1" si="0"/>
        <v>782</v>
      </c>
      <c r="S9">
        <f t="shared" ca="1" si="0"/>
        <v>786</v>
      </c>
      <c r="T9">
        <f t="shared" ca="1" si="0"/>
        <v>792</v>
      </c>
      <c r="U9">
        <f t="shared" ca="1" si="0"/>
        <v>798</v>
      </c>
      <c r="V9">
        <f t="shared" ca="1" si="0"/>
        <v>806</v>
      </c>
    </row>
    <row r="10" spans="1:22" x14ac:dyDescent="0.2">
      <c r="A10" t="s">
        <v>84</v>
      </c>
      <c r="B10">
        <f ca="1">_xlfn.IFNA(INDEX(INDIRECT("'"&amp;$A10&amp;"'!$B:$B"),MATCH(B$1,INDIRECT("'"&amp;$A10&amp;"'!$c:$c"),0)),"")</f>
        <v>736</v>
      </c>
      <c r="C10">
        <f t="shared" ca="1" si="0"/>
        <v>736</v>
      </c>
      <c r="D10">
        <f t="shared" ca="1" si="0"/>
        <v>736</v>
      </c>
      <c r="E10">
        <f t="shared" ca="1" si="0"/>
        <v>738</v>
      </c>
      <c r="F10">
        <f t="shared" ca="1" si="0"/>
        <v>742</v>
      </c>
      <c r="G10">
        <f t="shared" ca="1" si="0"/>
        <v>744</v>
      </c>
      <c r="H10">
        <f t="shared" ca="1" si="0"/>
        <v>746</v>
      </c>
      <c r="I10">
        <f t="shared" ca="1" si="0"/>
        <v>748</v>
      </c>
      <c r="J10">
        <f t="shared" ca="1" si="0"/>
        <v>750</v>
      </c>
      <c r="K10">
        <f t="shared" ca="1" si="0"/>
        <v>754</v>
      </c>
      <c r="L10">
        <f t="shared" ca="1" si="0"/>
        <v>756</v>
      </c>
      <c r="M10">
        <f t="shared" ca="1" si="0"/>
        <v>758</v>
      </c>
      <c r="N10">
        <f t="shared" ca="1" si="0"/>
        <v>762</v>
      </c>
      <c r="O10">
        <f t="shared" ca="1" si="0"/>
        <v>766</v>
      </c>
      <c r="P10">
        <f t="shared" ca="1" si="0"/>
        <v>770</v>
      </c>
      <c r="Q10">
        <f t="shared" ca="1" si="0"/>
        <v>774</v>
      </c>
      <c r="R10">
        <f t="shared" ca="1" si="0"/>
        <v>780</v>
      </c>
      <c r="S10">
        <f t="shared" ca="1" si="0"/>
        <v>784</v>
      </c>
      <c r="T10">
        <f t="shared" ca="1" si="0"/>
        <v>790</v>
      </c>
      <c r="U10">
        <f t="shared" ca="1" si="0"/>
        <v>796</v>
      </c>
      <c r="V10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281C-5E0F-4258-9C78-A8C6E28D4F2A}">
  <sheetPr codeName="Sheet3"/>
  <dimension ref="A1:Q341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760</v>
      </c>
      <c r="C2">
        <v>300</v>
      </c>
      <c r="D2">
        <v>0.27825630353772701</v>
      </c>
      <c r="E2">
        <v>110.890900869505</v>
      </c>
      <c r="F2">
        <v>2.0027531605323801</v>
      </c>
      <c r="G2">
        <v>-1833.5393476701863</v>
      </c>
      <c r="H2">
        <v>-1506.6809737552719</v>
      </c>
      <c r="I2">
        <v>316.372834481589</v>
      </c>
      <c r="J2">
        <v>160.099407523487</v>
      </c>
      <c r="K2">
        <v>55.369230245043198</v>
      </c>
      <c r="L2">
        <v>0.87882317613465011</v>
      </c>
      <c r="M2">
        <v>-0.8786673250632856</v>
      </c>
      <c r="N2">
        <v>48.652271596934597</v>
      </c>
      <c r="O2">
        <v>48.652267567305799</v>
      </c>
      <c r="P2">
        <v>48.6522634588285</v>
      </c>
      <c r="Q2" t="s">
        <v>51</v>
      </c>
    </row>
    <row r="3" spans="1:17" x14ac:dyDescent="0.2">
      <c r="A3">
        <v>2</v>
      </c>
      <c r="B3">
        <v>758</v>
      </c>
      <c r="C3">
        <v>300</v>
      </c>
      <c r="D3">
        <v>0.27672065169955901</v>
      </c>
      <c r="E3">
        <v>110.890983317936</v>
      </c>
      <c r="F3">
        <v>2.0038259868800199</v>
      </c>
      <c r="G3">
        <v>-1832.9082504874796</v>
      </c>
      <c r="H3">
        <v>-1507.0325002015825</v>
      </c>
      <c r="I3">
        <v>316.03353237690499</v>
      </c>
      <c r="J3">
        <v>160.09434374224699</v>
      </c>
      <c r="K3">
        <v>55.3396273149419</v>
      </c>
      <c r="L3">
        <v>0.87742442683624733</v>
      </c>
      <c r="M3">
        <v>-0.87726832371702179</v>
      </c>
      <c r="N3">
        <v>48.548837191339501</v>
      </c>
      <c r="O3">
        <v>48.548833079506501</v>
      </c>
      <c r="P3">
        <v>48.548828968563498</v>
      </c>
      <c r="Q3" t="s">
        <v>51</v>
      </c>
    </row>
    <row r="4" spans="1:17" x14ac:dyDescent="0.2">
      <c r="A4">
        <v>3</v>
      </c>
      <c r="B4">
        <v>756</v>
      </c>
      <c r="C4">
        <v>300</v>
      </c>
      <c r="D4">
        <v>0.27517903123937498</v>
      </c>
      <c r="E4">
        <v>110.89107611551</v>
      </c>
      <c r="F4">
        <v>2.0049116715066</v>
      </c>
      <c r="G4">
        <v>-1832.2780619943978</v>
      </c>
      <c r="H4">
        <v>-1507.429233203768</v>
      </c>
      <c r="I4">
        <v>315.64987650902998</v>
      </c>
      <c r="J4">
        <v>160.10357389807101</v>
      </c>
      <c r="K4">
        <v>55.309706503020301</v>
      </c>
      <c r="L4">
        <v>0.87369336203708881</v>
      </c>
      <c r="M4">
        <v>-0.87353641928916692</v>
      </c>
      <c r="N4">
        <v>48.316179362191001</v>
      </c>
      <c r="O4">
        <v>48.316175151857102</v>
      </c>
      <c r="P4">
        <v>48.316171023165502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110.891169645852</v>
      </c>
      <c r="F5">
        <v>2.0060028673840402</v>
      </c>
      <c r="G5">
        <v>-1831.6486523825583</v>
      </c>
      <c r="H5">
        <v>-1507.8252457879805</v>
      </c>
      <c r="I5">
        <v>315.26618606696798</v>
      </c>
      <c r="J5">
        <v>160.11253730250499</v>
      </c>
      <c r="K5">
        <v>55.279666569201702</v>
      </c>
      <c r="L5">
        <v>0.87000270470032182</v>
      </c>
      <c r="M5">
        <v>-0.86984494053853101</v>
      </c>
      <c r="N5">
        <v>48.0858757852127</v>
      </c>
      <c r="O5">
        <v>48.085871475694503</v>
      </c>
      <c r="P5">
        <v>48.085867329864797</v>
      </c>
      <c r="Q5" t="s">
        <v>51</v>
      </c>
    </row>
    <row r="6" spans="1:17" x14ac:dyDescent="0.2">
      <c r="A6">
        <v>5</v>
      </c>
      <c r="B6">
        <v>752</v>
      </c>
      <c r="C6">
        <v>300</v>
      </c>
      <c r="D6">
        <v>0.27207774472028401</v>
      </c>
      <c r="E6">
        <v>110.89126391600399</v>
      </c>
      <c r="F6">
        <v>2.00709948493129</v>
      </c>
      <c r="G6">
        <v>-1831.0200218435386</v>
      </c>
      <c r="H6">
        <v>-1508.2205500533978</v>
      </c>
      <c r="I6">
        <v>314.88244923562502</v>
      </c>
      <c r="J6">
        <v>160.121233059552</v>
      </c>
      <c r="K6">
        <v>55.249510424641699</v>
      </c>
      <c r="L6">
        <v>0.86635174561672545</v>
      </c>
      <c r="M6">
        <v>-0.86619317805819862</v>
      </c>
      <c r="N6">
        <v>47.857887467221403</v>
      </c>
      <c r="O6">
        <v>47.8578830578561</v>
      </c>
      <c r="P6">
        <v>47.857878895493897</v>
      </c>
      <c r="Q6" t="s">
        <v>51</v>
      </c>
    </row>
    <row r="7" spans="1:17" x14ac:dyDescent="0.2">
      <c r="A7">
        <v>6</v>
      </c>
      <c r="B7">
        <v>750</v>
      </c>
      <c r="C7">
        <v>300</v>
      </c>
      <c r="D7">
        <v>0.270518008112205</v>
      </c>
      <c r="E7">
        <v>110.89135893311401</v>
      </c>
      <c r="F7">
        <v>2.0082014363153999</v>
      </c>
      <c r="G7">
        <v>-1830.3921705940929</v>
      </c>
      <c r="H7">
        <v>-1508.6151578274737</v>
      </c>
      <c r="I7">
        <v>314.49865439763801</v>
      </c>
      <c r="J7">
        <v>160.12966019442399</v>
      </c>
      <c r="K7">
        <v>55.219240922650997</v>
      </c>
      <c r="L7">
        <v>0.86273979167796178</v>
      </c>
      <c r="M7">
        <v>-0.86258043854681954</v>
      </c>
      <c r="N7">
        <v>47.632176269365502</v>
      </c>
      <c r="O7">
        <v>47.632171759511401</v>
      </c>
      <c r="P7">
        <v>47.632167581217203</v>
      </c>
      <c r="Q7" t="s">
        <v>51</v>
      </c>
    </row>
    <row r="8" spans="1:17" x14ac:dyDescent="0.2">
      <c r="A8">
        <v>7</v>
      </c>
      <c r="B8">
        <v>748</v>
      </c>
      <c r="C8">
        <v>300</v>
      </c>
      <c r="D8">
        <v>0.26895216177838999</v>
      </c>
      <c r="E8">
        <v>110.89145470431301</v>
      </c>
      <c r="F8">
        <v>2.0093086354085301</v>
      </c>
      <c r="G8">
        <v>-1829.7650988736502</v>
      </c>
      <c r="H8">
        <v>-1509.0090806716867</v>
      </c>
      <c r="I8">
        <v>314.114790127238</v>
      </c>
      <c r="J8">
        <v>160.13781765485601</v>
      </c>
      <c r="K8">
        <v>55.188860859977702</v>
      </c>
      <c r="L8">
        <v>0.85916616540863111</v>
      </c>
      <c r="M8">
        <v>-0.85900604434051153</v>
      </c>
      <c r="N8">
        <v>47.408704882941898</v>
      </c>
      <c r="O8">
        <v>47.408700271977899</v>
      </c>
      <c r="P8">
        <v>47.408696078347397</v>
      </c>
      <c r="Q8" t="s">
        <v>51</v>
      </c>
    </row>
    <row r="9" spans="1:17" x14ac:dyDescent="0.2">
      <c r="A9">
        <v>8</v>
      </c>
      <c r="B9">
        <v>746</v>
      </c>
      <c r="C9">
        <v>300</v>
      </c>
      <c r="D9">
        <v>0.26738016974930101</v>
      </c>
      <c r="E9">
        <v>110.891551236818</v>
      </c>
      <c r="F9">
        <v>2.0104209977523801</v>
      </c>
      <c r="G9">
        <v>-1829.1388069456677</v>
      </c>
      <c r="H9">
        <v>-1509.4023298898824</v>
      </c>
      <c r="I9">
        <v>313.73084518526503</v>
      </c>
      <c r="J9">
        <v>160.14570431221799</v>
      </c>
      <c r="K9">
        <v>55.158372977994802</v>
      </c>
      <c r="L9">
        <v>0.85563020454494543</v>
      </c>
      <c r="M9">
        <v>-0.85546933299140016</v>
      </c>
      <c r="N9">
        <v>47.187436807662003</v>
      </c>
      <c r="O9">
        <v>47.187432094988303</v>
      </c>
      <c r="P9">
        <v>47.187427886612397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110.891648537926</v>
      </c>
      <c r="F10">
        <v>2.0115384405197299</v>
      </c>
      <c r="G10">
        <v>-1828.5132950971533</v>
      </c>
      <c r="H10">
        <v>-1509.7949165351552</v>
      </c>
      <c r="I10">
        <v>313.34680851378198</v>
      </c>
      <c r="J10">
        <v>160.1533189628</v>
      </c>
      <c r="K10">
        <v>55.127779963913902</v>
      </c>
      <c r="L10">
        <v>0.85213126160485608</v>
      </c>
      <c r="M10">
        <v>-0.85196965683760673</v>
      </c>
      <c r="N10">
        <v>46.9683363294264</v>
      </c>
      <c r="O10">
        <v>46.968331514464403</v>
      </c>
      <c r="P10">
        <v>46.968327291929299</v>
      </c>
      <c r="Q10" t="s">
        <v>51</v>
      </c>
    </row>
    <row r="11" spans="1:17" x14ac:dyDescent="0.2">
      <c r="A11">
        <v>10</v>
      </c>
      <c r="B11">
        <v>742</v>
      </c>
      <c r="C11">
        <v>300</v>
      </c>
      <c r="D11">
        <v>0.264217603309855</v>
      </c>
      <c r="E11">
        <v>110.89174661502</v>
      </c>
      <c r="F11">
        <v>2.0126608824796102</v>
      </c>
      <c r="G11">
        <v>-1827.8885636384166</v>
      </c>
      <c r="H11">
        <v>-1510.1868514169068</v>
      </c>
      <c r="I11">
        <v>312.96266923065002</v>
      </c>
      <c r="J11">
        <v>160.160660329038</v>
      </c>
      <c r="K11">
        <v>55.097084451902703</v>
      </c>
      <c r="L11">
        <v>0.84866870346283196</v>
      </c>
      <c r="M11">
        <v>-0.84850638257789068</v>
      </c>
      <c r="N11">
        <v>46.751368498235998</v>
      </c>
      <c r="O11">
        <v>46.751363580428603</v>
      </c>
      <c r="P11">
        <v>46.751359344315702</v>
      </c>
      <c r="Q11" t="s">
        <v>51</v>
      </c>
    </row>
    <row r="12" spans="1:17" x14ac:dyDescent="0.2">
      <c r="A12">
        <v>11</v>
      </c>
      <c r="B12">
        <v>740</v>
      </c>
      <c r="C12">
        <v>300</v>
      </c>
      <c r="D12">
        <v>0.26262695553471999</v>
      </c>
      <c r="E12">
        <v>110.891845475492</v>
      </c>
      <c r="F12">
        <v>2.0137882439661898</v>
      </c>
      <c r="G12">
        <v>-1827.2646129014702</v>
      </c>
      <c r="H12">
        <v>-1510.5781451058688</v>
      </c>
      <c r="I12">
        <v>312.57841662473902</v>
      </c>
      <c r="J12">
        <v>160.16772706025799</v>
      </c>
      <c r="K12">
        <v>55.066289024058001</v>
      </c>
      <c r="L12">
        <v>0.84524191097468881</v>
      </c>
      <c r="M12">
        <v>-0.84507889089636024</v>
      </c>
      <c r="N12">
        <v>46.5364991087067</v>
      </c>
      <c r="O12">
        <v>46.536494087518498</v>
      </c>
      <c r="P12">
        <v>46.536489838404599</v>
      </c>
      <c r="Q12" t="s">
        <v>51</v>
      </c>
    </row>
    <row r="13" spans="1:17" x14ac:dyDescent="0.2">
      <c r="A13">
        <v>12</v>
      </c>
      <c r="B13">
        <v>738</v>
      </c>
      <c r="C13">
        <v>300</v>
      </c>
      <c r="D13">
        <v>0.26103001532908299</v>
      </c>
      <c r="E13">
        <v>110.891945126873</v>
      </c>
      <c r="F13">
        <v>2.01492044684744</v>
      </c>
      <c r="G13">
        <v>-1826.641443241758</v>
      </c>
      <c r="H13">
        <v>-1510.9688079423283</v>
      </c>
      <c r="I13">
        <v>312.19404015118999</v>
      </c>
      <c r="J13">
        <v>160.17451773391701</v>
      </c>
      <c r="K13">
        <v>55.035396211485697</v>
      </c>
      <c r="L13">
        <v>0.841850278585206</v>
      </c>
      <c r="M13">
        <v>-0.84168657606996489</v>
      </c>
      <c r="N13">
        <v>46.323694679692402</v>
      </c>
      <c r="O13">
        <v>46.323689554609601</v>
      </c>
      <c r="P13">
        <v>46.323685293067001</v>
      </c>
      <c r="Q13" t="s">
        <v>51</v>
      </c>
    </row>
    <row r="14" spans="1:17" x14ac:dyDescent="0.2">
      <c r="A14">
        <v>13</v>
      </c>
      <c r="B14">
        <v>736</v>
      </c>
      <c r="C14">
        <v>300</v>
      </c>
      <c r="D14">
        <v>0.25942674528068399</v>
      </c>
      <c r="E14">
        <v>110.89204187321199</v>
      </c>
      <c r="F14">
        <v>2.01574623451399</v>
      </c>
      <c r="G14">
        <v>-1826.0189997453485</v>
      </c>
      <c r="H14">
        <v>-1511.4363505256904</v>
      </c>
      <c r="I14">
        <v>311.73269261723499</v>
      </c>
      <c r="J14">
        <v>160.17976929186</v>
      </c>
      <c r="K14">
        <v>55.012897940473799</v>
      </c>
      <c r="L14">
        <v>0.83436668690375604</v>
      </c>
      <c r="M14">
        <v>-0.83420117808064531</v>
      </c>
      <c r="N14">
        <v>45.892972318965398</v>
      </c>
      <c r="O14">
        <v>45.892967057957001</v>
      </c>
      <c r="P14">
        <v>45.892962756017198</v>
      </c>
      <c r="Q14" t="s">
        <v>51</v>
      </c>
    </row>
    <row r="15" spans="1:17" x14ac:dyDescent="0.2">
      <c r="A15">
        <v>14</v>
      </c>
      <c r="B15">
        <v>734</v>
      </c>
      <c r="C15">
        <v>300</v>
      </c>
      <c r="D15">
        <v>0.25781710768008598</v>
      </c>
      <c r="E15">
        <v>110.898589086448</v>
      </c>
      <c r="F15">
        <v>1.9622630381961299</v>
      </c>
      <c r="G15">
        <v>-1825.5119965272197</v>
      </c>
      <c r="H15">
        <v>-1522.37917146631</v>
      </c>
      <c r="I15">
        <v>300.98558393202802</v>
      </c>
      <c r="J15">
        <v>160.711776485032</v>
      </c>
      <c r="K15">
        <v>56.515659179105</v>
      </c>
      <c r="L15">
        <v>0.31009660415521018</v>
      </c>
      <c r="M15">
        <v>-0.30976562781005729</v>
      </c>
      <c r="N15">
        <v>17.5089291669725</v>
      </c>
      <c r="O15">
        <v>17.508919204248599</v>
      </c>
      <c r="P15">
        <v>17.508910607776698</v>
      </c>
      <c r="Q15" t="s">
        <v>51</v>
      </c>
    </row>
    <row r="16" spans="1:17" x14ac:dyDescent="0.2">
      <c r="A16">
        <v>15</v>
      </c>
      <c r="B16">
        <v>732</v>
      </c>
      <c r="C16">
        <v>300</v>
      </c>
      <c r="D16">
        <v>0.256201064517732</v>
      </c>
      <c r="E16">
        <v>110.899016533317</v>
      </c>
      <c r="F16">
        <v>1.9498726245497899</v>
      </c>
      <c r="G16">
        <v>-1824.9206800189677</v>
      </c>
      <c r="H16">
        <v>-1525.4406566407788</v>
      </c>
      <c r="I16">
        <v>297.95100737202699</v>
      </c>
      <c r="J16">
        <v>160.939424943262</v>
      </c>
      <c r="K16">
        <v>56.875005647573197</v>
      </c>
      <c r="L16">
        <v>0.17926580179637466</v>
      </c>
      <c r="M16">
        <v>-0.17889368137810657</v>
      </c>
      <c r="N16">
        <v>10.177190441406101</v>
      </c>
      <c r="O16">
        <v>10.177179175795899</v>
      </c>
      <c r="P16">
        <v>10.177169488107801</v>
      </c>
      <c r="Q16" t="s">
        <v>51</v>
      </c>
    </row>
    <row r="17" spans="1:17" x14ac:dyDescent="0.2">
      <c r="A17">
        <v>16</v>
      </c>
      <c r="B17">
        <v>730</v>
      </c>
      <c r="C17">
        <v>300</v>
      </c>
      <c r="D17">
        <v>0.25457857748093798</v>
      </c>
      <c r="E17">
        <v>110.899140288197</v>
      </c>
      <c r="F17">
        <v>1.9467192703677201</v>
      </c>
      <c r="G17">
        <v>-1824.328135705344</v>
      </c>
      <c r="H17">
        <v>-1526.6871883422482</v>
      </c>
      <c r="I17">
        <v>296.711947121592</v>
      </c>
      <c r="J17">
        <v>161.08081854487901</v>
      </c>
      <c r="K17">
        <v>56.967197056229701</v>
      </c>
      <c r="L17">
        <v>0.13561232715547444</v>
      </c>
      <c r="M17">
        <v>-0.13522682116821175</v>
      </c>
      <c r="N17">
        <v>7.70619057493212</v>
      </c>
      <c r="O17">
        <v>7.7061787998952402</v>
      </c>
      <c r="P17">
        <v>7.7061687659582097</v>
      </c>
      <c r="Q17" t="s">
        <v>51</v>
      </c>
    </row>
    <row r="18" spans="1:17" x14ac:dyDescent="0.2">
      <c r="A18">
        <v>17</v>
      </c>
      <c r="B18">
        <v>728</v>
      </c>
      <c r="C18">
        <v>300</v>
      </c>
      <c r="D18">
        <v>0.25294960795086002</v>
      </c>
      <c r="E18">
        <v>110.899118012358</v>
      </c>
      <c r="F18">
        <v>1.9457482300343301</v>
      </c>
      <c r="G18">
        <v>-1823.7352045241573</v>
      </c>
      <c r="H18">
        <v>-1527.5037519676621</v>
      </c>
      <c r="I18">
        <v>295.89692555618501</v>
      </c>
      <c r="J18">
        <v>161.204902936222</v>
      </c>
      <c r="K18">
        <v>56.995615517224898</v>
      </c>
      <c r="L18">
        <v>0.11240171423197633</v>
      </c>
      <c r="M18">
        <v>-0.11200935301306118</v>
      </c>
      <c r="N18">
        <v>6.3867772999939101</v>
      </c>
      <c r="O18">
        <v>6.3867652075283496</v>
      </c>
      <c r="P18">
        <v>6.38675500473936</v>
      </c>
      <c r="Q18" t="s">
        <v>51</v>
      </c>
    </row>
    <row r="19" spans="1:17" x14ac:dyDescent="0.2">
      <c r="A19">
        <v>18</v>
      </c>
      <c r="B19">
        <v>726</v>
      </c>
      <c r="C19">
        <v>300</v>
      </c>
      <c r="D19">
        <v>0.251314116999449</v>
      </c>
      <c r="E19">
        <v>110.899035161323</v>
      </c>
      <c r="F19">
        <v>1.94567318491663</v>
      </c>
      <c r="G19">
        <v>-1823.1427256978925</v>
      </c>
      <c r="H19">
        <v>-1528.1432087076575</v>
      </c>
      <c r="I19">
        <v>295.25631073056701</v>
      </c>
      <c r="J19">
        <v>161.32564471263501</v>
      </c>
      <c r="K19">
        <v>56.997771270653899</v>
      </c>
      <c r="L19">
        <v>9.758570829953013E-2</v>
      </c>
      <c r="M19">
        <v>-9.7189175406547701E-2</v>
      </c>
      <c r="N19">
        <v>5.5423192897082796</v>
      </c>
      <c r="O19">
        <v>5.5423069619796896</v>
      </c>
      <c r="P19">
        <v>5.5422966637281599</v>
      </c>
      <c r="Q19" t="s">
        <v>51</v>
      </c>
    </row>
    <row r="20" spans="1:17" x14ac:dyDescent="0.2">
      <c r="A20">
        <v>19</v>
      </c>
      <c r="B20">
        <v>724</v>
      </c>
      <c r="C20">
        <v>300</v>
      </c>
      <c r="D20">
        <v>0.249672065386352</v>
      </c>
      <c r="E20">
        <v>110.898919997711</v>
      </c>
      <c r="F20">
        <v>1.9460622201697699</v>
      </c>
      <c r="G20">
        <v>-1822.5509058701962</v>
      </c>
      <c r="H20">
        <v>-1528.6907459964877</v>
      </c>
      <c r="I20">
        <v>294.70594799849999</v>
      </c>
      <c r="J20">
        <v>161.44800845961299</v>
      </c>
      <c r="K20">
        <v>56.986317728338904</v>
      </c>
      <c r="L20">
        <v>8.7121975336314605E-2</v>
      </c>
      <c r="M20">
        <v>-8.6722663001756989E-2</v>
      </c>
      <c r="N20">
        <v>4.9447653299766801</v>
      </c>
      <c r="O20">
        <v>4.9447528121006901</v>
      </c>
      <c r="P20">
        <v>4.9447424567001796</v>
      </c>
      <c r="Q20" t="s">
        <v>51</v>
      </c>
    </row>
    <row r="21" spans="1:17" x14ac:dyDescent="0.2">
      <c r="A21">
        <v>20</v>
      </c>
      <c r="B21">
        <v>760</v>
      </c>
      <c r="C21">
        <v>290</v>
      </c>
      <c r="D21">
        <v>0.28890335382083798</v>
      </c>
      <c r="E21">
        <v>110.89101811857201</v>
      </c>
      <c r="F21">
        <v>1.99087849504091</v>
      </c>
      <c r="G21">
        <v>-1834.0965672962898</v>
      </c>
      <c r="H21">
        <v>-1507.0830999255945</v>
      </c>
      <c r="I21">
        <v>316.52304463865602</v>
      </c>
      <c r="J21">
        <v>160.41957166216901</v>
      </c>
      <c r="K21">
        <v>55.699540878457199</v>
      </c>
      <c r="L21">
        <v>0.872127541228228</v>
      </c>
      <c r="M21">
        <v>-0.87195783699768292</v>
      </c>
      <c r="N21">
        <v>48.568929579221802</v>
      </c>
      <c r="O21">
        <v>48.568925276878304</v>
      </c>
      <c r="P21">
        <v>48.568920568368497</v>
      </c>
      <c r="Q21" t="s">
        <v>51</v>
      </c>
    </row>
    <row r="22" spans="1:17" x14ac:dyDescent="0.2">
      <c r="A22">
        <v>21</v>
      </c>
      <c r="B22">
        <v>758</v>
      </c>
      <c r="C22">
        <v>290</v>
      </c>
      <c r="D22">
        <v>0.28738835280996899</v>
      </c>
      <c r="E22">
        <v>110.891100567159</v>
      </c>
      <c r="F22">
        <v>1.9919725742457499</v>
      </c>
      <c r="G22">
        <v>-1833.465169107179</v>
      </c>
      <c r="H22">
        <v>-1507.432927436884</v>
      </c>
      <c r="I22">
        <v>316.18538920814501</v>
      </c>
      <c r="J22">
        <v>160.415210570532</v>
      </c>
      <c r="K22">
        <v>55.668989624090599</v>
      </c>
      <c r="L22">
        <v>0.87086036518301846</v>
      </c>
      <c r="M22">
        <v>-0.87069043672311097</v>
      </c>
      <c r="N22">
        <v>48.471731358539799</v>
      </c>
      <c r="O22">
        <v>48.471726963405899</v>
      </c>
      <c r="P22">
        <v>48.4717222531158</v>
      </c>
      <c r="Q22" t="s">
        <v>51</v>
      </c>
    </row>
    <row r="23" spans="1:17" x14ac:dyDescent="0.2">
      <c r="A23">
        <v>22</v>
      </c>
      <c r="B23">
        <v>756</v>
      </c>
      <c r="C23">
        <v>290</v>
      </c>
      <c r="D23">
        <v>0.28586746344070502</v>
      </c>
      <c r="E23">
        <v>110.89119375678899</v>
      </c>
      <c r="F23">
        <v>1.99307755664592</v>
      </c>
      <c r="G23">
        <v>-1832.8346830188605</v>
      </c>
      <c r="H23">
        <v>-1507.8290392472161</v>
      </c>
      <c r="I23">
        <v>315.80234263045003</v>
      </c>
      <c r="J23">
        <v>160.425369519654</v>
      </c>
      <c r="K23">
        <v>55.638172928606203</v>
      </c>
      <c r="L23">
        <v>0.86720267541862006</v>
      </c>
      <c r="M23">
        <v>-0.8670319009782429</v>
      </c>
      <c r="N23">
        <v>48.241346139553201</v>
      </c>
      <c r="O23">
        <v>48.241341634626501</v>
      </c>
      <c r="P23">
        <v>48.241336905531099</v>
      </c>
      <c r="Q23" t="s">
        <v>51</v>
      </c>
    </row>
    <row r="24" spans="1:17" x14ac:dyDescent="0.2">
      <c r="A24">
        <v>23</v>
      </c>
      <c r="B24">
        <v>754</v>
      </c>
      <c r="C24">
        <v>290</v>
      </c>
      <c r="D24">
        <v>0.28434065131675001</v>
      </c>
      <c r="E24">
        <v>110.891287682205</v>
      </c>
      <c r="F24">
        <v>1.99418810487817</v>
      </c>
      <c r="G24">
        <v>-1832.2049746614844</v>
      </c>
      <c r="H24">
        <v>-1508.2244474825286</v>
      </c>
      <c r="I24">
        <v>315.41924634293002</v>
      </c>
      <c r="J24">
        <v>160.435280471667</v>
      </c>
      <c r="K24">
        <v>55.607235551623297</v>
      </c>
      <c r="L24">
        <v>0.86358434600276746</v>
      </c>
      <c r="M24">
        <v>-0.8634127441122893</v>
      </c>
      <c r="N24">
        <v>48.013271781631197</v>
      </c>
      <c r="O24">
        <v>48.013267166097897</v>
      </c>
      <c r="P24">
        <v>48.013262418858901</v>
      </c>
      <c r="Q24" t="s">
        <v>51</v>
      </c>
    </row>
    <row r="25" spans="1:17" x14ac:dyDescent="0.2">
      <c r="A25">
        <v>24</v>
      </c>
      <c r="B25">
        <v>752</v>
      </c>
      <c r="C25">
        <v>290</v>
      </c>
      <c r="D25">
        <v>0.28280788177339999</v>
      </c>
      <c r="E25">
        <v>110.891382350447</v>
      </c>
      <c r="F25">
        <v>1.99530412424478</v>
      </c>
      <c r="G25">
        <v>-1831.5760442566714</v>
      </c>
      <c r="H25">
        <v>-1508.6191638831813</v>
      </c>
      <c r="I25">
        <v>315.03608882116202</v>
      </c>
      <c r="J25">
        <v>160.44494231485299</v>
      </c>
      <c r="K25">
        <v>55.576180594735099</v>
      </c>
      <c r="L25">
        <v>0.86000468841806066</v>
      </c>
      <c r="M25">
        <v>-0.85983227741272117</v>
      </c>
      <c r="N25">
        <v>47.787470334774497</v>
      </c>
      <c r="O25">
        <v>47.787465607844197</v>
      </c>
      <c r="P25">
        <v>47.787460843118303</v>
      </c>
      <c r="Q25" t="s">
        <v>51</v>
      </c>
    </row>
    <row r="26" spans="1:17" x14ac:dyDescent="0.2">
      <c r="A26">
        <v>25</v>
      </c>
      <c r="B26">
        <v>750</v>
      </c>
      <c r="C26">
        <v>290</v>
      </c>
      <c r="D26">
        <v>0.281269119874895</v>
      </c>
      <c r="E26">
        <v>110.891477768683</v>
      </c>
      <c r="F26">
        <v>1.99642552170391</v>
      </c>
      <c r="G26">
        <v>-1830.9478920509325</v>
      </c>
      <c r="H26">
        <v>-1509.0131999264761</v>
      </c>
      <c r="I26">
        <v>314.65285873198297</v>
      </c>
      <c r="J26">
        <v>160.45435386701899</v>
      </c>
      <c r="K26">
        <v>55.545011102662997</v>
      </c>
      <c r="L26">
        <v>0.85646302965745214</v>
      </c>
      <c r="M26">
        <v>-0.85628982768178952</v>
      </c>
      <c r="N26">
        <v>47.563904675417803</v>
      </c>
      <c r="O26">
        <v>47.563899836323699</v>
      </c>
      <c r="P26">
        <v>47.563895054762703</v>
      </c>
      <c r="Q26" t="s">
        <v>51</v>
      </c>
    </row>
    <row r="27" spans="1:17" x14ac:dyDescent="0.2">
      <c r="A27">
        <v>26</v>
      </c>
      <c r="B27">
        <v>748</v>
      </c>
      <c r="C27">
        <v>290</v>
      </c>
      <c r="D27">
        <v>0.27972433041179201</v>
      </c>
      <c r="E27">
        <v>110.89157394399599</v>
      </c>
      <c r="F27">
        <v>1.99755220582496</v>
      </c>
      <c r="G27">
        <v>-1830.3205183118405</v>
      </c>
      <c r="H27">
        <v>-1509.4065668310311</v>
      </c>
      <c r="I27">
        <v>314.26954492733501</v>
      </c>
      <c r="J27">
        <v>160.46351387682401</v>
      </c>
      <c r="K27">
        <v>55.513730064541399</v>
      </c>
      <c r="L27">
        <v>0.85295871177022908</v>
      </c>
      <c r="M27">
        <v>-0.85278473678235256</v>
      </c>
      <c r="N27">
        <v>47.342538482872897</v>
      </c>
      <c r="O27">
        <v>47.342533530871997</v>
      </c>
      <c r="P27">
        <v>47.342528733123203</v>
      </c>
      <c r="Q27" t="s">
        <v>51</v>
      </c>
    </row>
    <row r="28" spans="1:17" x14ac:dyDescent="0.2">
      <c r="A28">
        <v>27</v>
      </c>
      <c r="B28">
        <v>746</v>
      </c>
      <c r="C28">
        <v>290</v>
      </c>
      <c r="D28">
        <v>0.27817347789824898</v>
      </c>
      <c r="E28">
        <v>110.891670883698</v>
      </c>
      <c r="F28">
        <v>1.9986840867486</v>
      </c>
      <c r="G28">
        <v>-1829.693923332783</v>
      </c>
      <c r="H28">
        <v>-1509.7992755678688</v>
      </c>
      <c r="I28">
        <v>313.886136439864</v>
      </c>
      <c r="J28">
        <v>160.47242102547401</v>
      </c>
      <c r="K28">
        <v>55.482340415334903</v>
      </c>
      <c r="L28">
        <v>0.84949109145020307</v>
      </c>
      <c r="M28">
        <v>-0.8493163612259238</v>
      </c>
      <c r="N28">
        <v>47.123336218186502</v>
      </c>
      <c r="O28">
        <v>47.1233311525598</v>
      </c>
      <c r="P28">
        <v>47.123326339265603</v>
      </c>
      <c r="Q28" t="s">
        <v>51</v>
      </c>
    </row>
    <row r="29" spans="1:17" x14ac:dyDescent="0.2">
      <c r="A29">
        <v>28</v>
      </c>
      <c r="B29">
        <v>744</v>
      </c>
      <c r="C29">
        <v>290</v>
      </c>
      <c r="D29">
        <v>0.27661652656933799</v>
      </c>
      <c r="E29">
        <v>110.891768595125</v>
      </c>
      <c r="F29">
        <v>1.9998210761475601</v>
      </c>
      <c r="G29">
        <v>-1829.068107429212</v>
      </c>
      <c r="H29">
        <v>-1510.1913368642024</v>
      </c>
      <c r="I29">
        <v>313.50262247728602</v>
      </c>
      <c r="J29">
        <v>160.48107392782501</v>
      </c>
      <c r="K29">
        <v>55.4508450369702</v>
      </c>
      <c r="L29">
        <v>0.84605953962178582</v>
      </c>
      <c r="M29">
        <v>-0.84588407175860658</v>
      </c>
      <c r="N29">
        <v>46.906263102592597</v>
      </c>
      <c r="O29">
        <v>46.906257922645501</v>
      </c>
      <c r="P29">
        <v>46.906253094443798</v>
      </c>
      <c r="Q29" t="s">
        <v>51</v>
      </c>
    </row>
    <row r="30" spans="1:17" x14ac:dyDescent="0.2">
      <c r="A30">
        <v>29</v>
      </c>
      <c r="B30">
        <v>742</v>
      </c>
      <c r="C30">
        <v>290</v>
      </c>
      <c r="D30">
        <v>0.27505344037826801</v>
      </c>
      <c r="E30">
        <v>110.891867085594</v>
      </c>
      <c r="F30">
        <v>2.00096308718798</v>
      </c>
      <c r="G30">
        <v>-1828.4430709376657</v>
      </c>
      <c r="H30">
        <v>-1510.5827612090006</v>
      </c>
      <c r="I30">
        <v>313.11899241767202</v>
      </c>
      <c r="J30">
        <v>160.489471133601</v>
      </c>
      <c r="K30">
        <v>55.419246759536101</v>
      </c>
      <c r="L30">
        <v>0.84266344105992319</v>
      </c>
      <c r="M30">
        <v>-0.84248725298089766</v>
      </c>
      <c r="N30">
        <v>46.6912850978648</v>
      </c>
      <c r="O30">
        <v>46.691279802927099</v>
      </c>
      <c r="P30">
        <v>46.691274960451302</v>
      </c>
      <c r="Q30" t="s">
        <v>51</v>
      </c>
    </row>
    <row r="31" spans="1:17" x14ac:dyDescent="0.2">
      <c r="A31">
        <v>30</v>
      </c>
      <c r="B31">
        <v>740</v>
      </c>
      <c r="C31">
        <v>290</v>
      </c>
      <c r="D31">
        <v>0.27348418299363703</v>
      </c>
      <c r="E31">
        <v>110.891966362557</v>
      </c>
      <c r="F31">
        <v>2.0021100344962401</v>
      </c>
      <c r="G31">
        <v>-1827.8188142179481</v>
      </c>
      <c r="H31">
        <v>-1510.9735588616206</v>
      </c>
      <c r="I31">
        <v>312.73523580475899</v>
      </c>
      <c r="J31">
        <v>160.49761112879901</v>
      </c>
      <c r="K31">
        <v>55.3875483624252</v>
      </c>
      <c r="L31">
        <v>0.83930219399825678</v>
      </c>
      <c r="M31">
        <v>-0.8391253029557173</v>
      </c>
      <c r="N31">
        <v>46.478368885927999</v>
      </c>
      <c r="O31">
        <v>46.4783634753542</v>
      </c>
      <c r="P31">
        <v>46.4783586192329</v>
      </c>
      <c r="Q31" t="s">
        <v>51</v>
      </c>
    </row>
    <row r="32" spans="1:17" x14ac:dyDescent="0.2">
      <c r="A32">
        <v>31</v>
      </c>
      <c r="B32">
        <v>738</v>
      </c>
      <c r="C32">
        <v>290</v>
      </c>
      <c r="D32">
        <v>0.27190871779657</v>
      </c>
      <c r="E32">
        <v>110.892066433528</v>
      </c>
      <c r="F32">
        <v>2.00326183412106</v>
      </c>
      <c r="G32">
        <v>-1827.1953376514944</v>
      </c>
      <c r="H32">
        <v>-1511.363739856457</v>
      </c>
      <c r="I32">
        <v>312.35134234337602</v>
      </c>
      <c r="J32">
        <v>160.505492336938</v>
      </c>
      <c r="K32">
        <v>55.355752575490101</v>
      </c>
      <c r="L32">
        <v>0.8359752097685168</v>
      </c>
      <c r="M32">
        <v>-0.83579763284767472</v>
      </c>
      <c r="N32">
        <v>46.267481850180303</v>
      </c>
      <c r="O32">
        <v>46.267476323349797</v>
      </c>
      <c r="P32">
        <v>46.267471454207197</v>
      </c>
      <c r="Q32" t="s">
        <v>51</v>
      </c>
    </row>
    <row r="33" spans="1:17" x14ac:dyDescent="0.2">
      <c r="A33">
        <v>32</v>
      </c>
      <c r="B33">
        <v>736</v>
      </c>
      <c r="C33">
        <v>290</v>
      </c>
      <c r="D33">
        <v>0.27032700787792002</v>
      </c>
      <c r="E33">
        <v>110.89800418204101</v>
      </c>
      <c r="F33">
        <v>1.9585096869915899</v>
      </c>
      <c r="G33">
        <v>-1826.6723559159466</v>
      </c>
      <c r="H33">
        <v>-1520.6676471922599</v>
      </c>
      <c r="I33">
        <v>303.23456660983499</v>
      </c>
      <c r="J33">
        <v>160.82705911119001</v>
      </c>
      <c r="K33">
        <v>56.6236689655532</v>
      </c>
      <c r="L33">
        <v>0.39252116471905985</v>
      </c>
      <c r="M33">
        <v>-0.39220038123876838</v>
      </c>
      <c r="N33">
        <v>22.210145648759401</v>
      </c>
      <c r="O33">
        <v>22.210136069426699</v>
      </c>
      <c r="P33">
        <v>22.210127286357999</v>
      </c>
      <c r="Q33" t="s">
        <v>51</v>
      </c>
    </row>
    <row r="34" spans="1:17" x14ac:dyDescent="0.2">
      <c r="A34">
        <v>33</v>
      </c>
      <c r="B34">
        <v>734</v>
      </c>
      <c r="C34">
        <v>290</v>
      </c>
      <c r="D34">
        <v>0.268739016035347</v>
      </c>
      <c r="E34">
        <v>110.899430304297</v>
      </c>
      <c r="F34">
        <v>1.9395170308666001</v>
      </c>
      <c r="G34">
        <v>-1826.0944773068879</v>
      </c>
      <c r="H34">
        <v>-1525.0749868592786</v>
      </c>
      <c r="I34">
        <v>298.88780752678298</v>
      </c>
      <c r="J34">
        <v>161.054911848508</v>
      </c>
      <c r="K34">
        <v>57.178889661384197</v>
      </c>
      <c r="L34">
        <v>0.19737749756532988</v>
      </c>
      <c r="M34">
        <v>-0.19699377513014429</v>
      </c>
      <c r="N34">
        <v>11.266671272875801</v>
      </c>
      <c r="O34">
        <v>11.2666597576046</v>
      </c>
      <c r="P34">
        <v>11.2666492088007</v>
      </c>
      <c r="Q34" t="s">
        <v>51</v>
      </c>
    </row>
    <row r="35" spans="1:17" x14ac:dyDescent="0.2">
      <c r="A35">
        <v>34</v>
      </c>
      <c r="B35">
        <v>732</v>
      </c>
      <c r="C35">
        <v>290</v>
      </c>
      <c r="D35">
        <v>0.267144704770434</v>
      </c>
      <c r="E35">
        <v>110.899590851901</v>
      </c>
      <c r="F35">
        <v>1.9354196529722201</v>
      </c>
      <c r="G35">
        <v>-1825.5009106650953</v>
      </c>
      <c r="H35">
        <v>-1526.5351722222201</v>
      </c>
      <c r="I35">
        <v>297.43954289009298</v>
      </c>
      <c r="J35">
        <v>161.183871345802</v>
      </c>
      <c r="K35">
        <v>57.3000231146736</v>
      </c>
      <c r="L35">
        <v>0.14374686296884742</v>
      </c>
      <c r="M35">
        <v>-0.14334625233446374</v>
      </c>
      <c r="N35">
        <v>8.2166449525712899</v>
      </c>
      <c r="O35">
        <v>8.2166328018398804</v>
      </c>
      <c r="P35">
        <v>8.2166217867529507</v>
      </c>
      <c r="Q35" t="s">
        <v>51</v>
      </c>
    </row>
    <row r="36" spans="1:17" x14ac:dyDescent="0.2">
      <c r="A36">
        <v>35</v>
      </c>
      <c r="B36">
        <v>730</v>
      </c>
      <c r="C36">
        <v>290</v>
      </c>
      <c r="D36">
        <v>0.265544036285703</v>
      </c>
      <c r="E36">
        <v>110.89957903811199</v>
      </c>
      <c r="F36">
        <v>1.9341779502285299</v>
      </c>
      <c r="G36">
        <v>-1824.9067740124631</v>
      </c>
      <c r="H36">
        <v>-1527.4238772665133</v>
      </c>
      <c r="I36">
        <v>296.554493555205</v>
      </c>
      <c r="J36">
        <v>161.297284833497</v>
      </c>
      <c r="K36">
        <v>57.336802451402598</v>
      </c>
      <c r="L36">
        <v>0.11722278659988634</v>
      </c>
      <c r="M36">
        <v>-0.11681411884935278</v>
      </c>
      <c r="N36">
        <v>6.7006969000436802</v>
      </c>
      <c r="O36">
        <v>6.7006843700444296</v>
      </c>
      <c r="P36">
        <v>6.7006731417535299</v>
      </c>
      <c r="Q36" t="s">
        <v>51</v>
      </c>
    </row>
    <row r="37" spans="1:17" x14ac:dyDescent="0.2">
      <c r="A37">
        <v>36</v>
      </c>
      <c r="B37">
        <v>728</v>
      </c>
      <c r="C37">
        <v>290</v>
      </c>
      <c r="D37">
        <v>0.26393697248164799</v>
      </c>
      <c r="E37">
        <v>110.899502062146</v>
      </c>
      <c r="F37">
        <v>1.9340078118852599</v>
      </c>
      <c r="G37">
        <v>-1824.3131110103413</v>
      </c>
      <c r="H37">
        <v>-1528.0972687278727</v>
      </c>
      <c r="I37">
        <v>295.88139932032198</v>
      </c>
      <c r="J37">
        <v>161.408597809138</v>
      </c>
      <c r="K37">
        <v>57.341806677627602</v>
      </c>
      <c r="L37">
        <v>0.10087135974945301</v>
      </c>
      <c r="M37">
        <v>-0.10045795169713254</v>
      </c>
      <c r="N37">
        <v>5.7634111076688797</v>
      </c>
      <c r="O37">
        <v>5.7633982981103404</v>
      </c>
      <c r="P37">
        <v>5.76338695235843</v>
      </c>
      <c r="Q37" t="s">
        <v>51</v>
      </c>
    </row>
    <row r="38" spans="1:17" x14ac:dyDescent="0.2">
      <c r="A38">
        <v>37</v>
      </c>
      <c r="B38">
        <v>726</v>
      </c>
      <c r="C38">
        <v>290</v>
      </c>
      <c r="D38">
        <v>0.26232347495371</v>
      </c>
      <c r="E38">
        <v>110.899391955276</v>
      </c>
      <c r="F38">
        <v>1.93436788966006</v>
      </c>
      <c r="G38">
        <v>-1823.7201419782909</v>
      </c>
      <c r="H38">
        <v>-1528.6638619397631</v>
      </c>
      <c r="I38">
        <v>295.31317015168401</v>
      </c>
      <c r="J38">
        <v>161.522180982012</v>
      </c>
      <c r="K38">
        <v>57.3310757214674</v>
      </c>
      <c r="L38">
        <v>8.9558175019974928E-2</v>
      </c>
      <c r="M38">
        <v>-8.9141670753347807E-2</v>
      </c>
      <c r="N38">
        <v>5.1135676268781802</v>
      </c>
      <c r="O38">
        <v>5.1135545898750898</v>
      </c>
      <c r="P38">
        <v>5.1135431744217996</v>
      </c>
      <c r="Q38" t="s">
        <v>51</v>
      </c>
    </row>
    <row r="39" spans="1:17" x14ac:dyDescent="0.2">
      <c r="A39">
        <v>38</v>
      </c>
      <c r="B39">
        <v>724</v>
      </c>
      <c r="C39">
        <v>290</v>
      </c>
      <c r="D39">
        <v>0.26070350498922301</v>
      </c>
      <c r="E39">
        <v>110.899261716297</v>
      </c>
      <c r="F39">
        <v>1.9350335430038601</v>
      </c>
      <c r="G39">
        <v>-1823.1279183834317</v>
      </c>
      <c r="H39">
        <v>-1529.1688255237882</v>
      </c>
      <c r="I39">
        <v>294.80520106501399</v>
      </c>
      <c r="J39">
        <v>161.640039908994</v>
      </c>
      <c r="K39">
        <v>57.311286472141198</v>
      </c>
      <c r="L39">
        <v>8.1152027594781503E-2</v>
      </c>
      <c r="M39">
        <v>-8.0733376804550075E-2</v>
      </c>
      <c r="N39">
        <v>4.6299151773542802</v>
      </c>
      <c r="O39">
        <v>4.62990194517372</v>
      </c>
      <c r="P39">
        <v>4.6298904877987201</v>
      </c>
      <c r="Q39" t="s">
        <v>51</v>
      </c>
    </row>
    <row r="40" spans="1:17" x14ac:dyDescent="0.2">
      <c r="A40">
        <v>39</v>
      </c>
      <c r="B40">
        <v>760</v>
      </c>
      <c r="C40">
        <v>280</v>
      </c>
      <c r="D40">
        <v>0.29955040410395301</v>
      </c>
      <c r="E40">
        <v>110.891135766403</v>
      </c>
      <c r="F40">
        <v>1.9785481270085099</v>
      </c>
      <c r="G40">
        <v>-1834.6571793248361</v>
      </c>
      <c r="H40">
        <v>-1507.4831130650848</v>
      </c>
      <c r="I40">
        <v>316.67858215264903</v>
      </c>
      <c r="J40">
        <v>160.74104578263999</v>
      </c>
      <c r="K40">
        <v>56.046721458358498</v>
      </c>
      <c r="L40">
        <v>0.86527373261959872</v>
      </c>
      <c r="M40">
        <v>-0.8650890021513622</v>
      </c>
      <c r="N40">
        <v>48.486840066991903</v>
      </c>
      <c r="O40">
        <v>48.486835514423902</v>
      </c>
      <c r="P40">
        <v>48.486830111206302</v>
      </c>
      <c r="Q40" t="s">
        <v>51</v>
      </c>
    </row>
    <row r="41" spans="1:17" x14ac:dyDescent="0.2">
      <c r="A41">
        <v>40</v>
      </c>
      <c r="B41">
        <v>758</v>
      </c>
      <c r="C41">
        <v>280</v>
      </c>
      <c r="D41">
        <v>0.29805605392037998</v>
      </c>
      <c r="E41">
        <v>110.891218325849</v>
      </c>
      <c r="F41">
        <v>1.9796670751368299</v>
      </c>
      <c r="G41">
        <v>-1834.0254717762866</v>
      </c>
      <c r="H41">
        <v>-1507.8318361066929</v>
      </c>
      <c r="I41">
        <v>316.34199920790002</v>
      </c>
      <c r="J41">
        <v>160.73764492034499</v>
      </c>
      <c r="K41">
        <v>56.0150844142238</v>
      </c>
      <c r="L41">
        <v>0.86411010002354105</v>
      </c>
      <c r="M41">
        <v>-0.86392516764876603</v>
      </c>
      <c r="N41">
        <v>48.394274065504199</v>
      </c>
      <c r="O41">
        <v>48.3942694075837</v>
      </c>
      <c r="P41">
        <v>48.394264003090598</v>
      </c>
      <c r="Q41" t="s">
        <v>51</v>
      </c>
    </row>
    <row r="42" spans="1:17" x14ac:dyDescent="0.2">
      <c r="A42">
        <v>41</v>
      </c>
      <c r="B42">
        <v>756</v>
      </c>
      <c r="C42">
        <v>280</v>
      </c>
      <c r="D42">
        <v>0.29655589564203599</v>
      </c>
      <c r="E42">
        <v>110.891311898404</v>
      </c>
      <c r="F42">
        <v>1.9807941764108701</v>
      </c>
      <c r="G42">
        <v>-1833.3946784302834</v>
      </c>
      <c r="H42">
        <v>-1508.2273157457487</v>
      </c>
      <c r="I42">
        <v>315.95957241084801</v>
      </c>
      <c r="J42">
        <v>160.74879668656001</v>
      </c>
      <c r="K42">
        <v>55.983258240053601</v>
      </c>
      <c r="L42">
        <v>0.86052889111394237</v>
      </c>
      <c r="M42">
        <v>-0.86034310677062953</v>
      </c>
      <c r="N42">
        <v>48.166243465575398</v>
      </c>
      <c r="O42">
        <v>48.166238684874997</v>
      </c>
      <c r="P42">
        <v>48.1662332603359</v>
      </c>
      <c r="Q42" t="s">
        <v>51</v>
      </c>
    </row>
    <row r="43" spans="1:17" x14ac:dyDescent="0.2">
      <c r="A43">
        <v>42</v>
      </c>
      <c r="B43">
        <v>754</v>
      </c>
      <c r="C43">
        <v>280</v>
      </c>
      <c r="D43">
        <v>0.29504989534147702</v>
      </c>
      <c r="E43">
        <v>110.891406209604</v>
      </c>
      <c r="F43">
        <v>1.98192693541474</v>
      </c>
      <c r="G43">
        <v>-1832.7646616423146</v>
      </c>
      <c r="H43">
        <v>-1508.6221096524375</v>
      </c>
      <c r="I43">
        <v>315.57707981349603</v>
      </c>
      <c r="J43">
        <v>160.759718509686</v>
      </c>
      <c r="K43">
        <v>55.951308914623802</v>
      </c>
      <c r="L43">
        <v>0.85698597851378078</v>
      </c>
      <c r="M43">
        <v>-0.85679936112076871</v>
      </c>
      <c r="N43">
        <v>47.940478954664997</v>
      </c>
      <c r="O43">
        <v>47.940474050209701</v>
      </c>
      <c r="P43">
        <v>47.940468606345</v>
      </c>
      <c r="Q43" t="s">
        <v>51</v>
      </c>
    </row>
    <row r="44" spans="1:17" x14ac:dyDescent="0.2">
      <c r="A44">
        <v>43</v>
      </c>
      <c r="B44">
        <v>752</v>
      </c>
      <c r="C44">
        <v>280</v>
      </c>
      <c r="D44">
        <v>0.29353801882651298</v>
      </c>
      <c r="E44">
        <v>110.89150126653099</v>
      </c>
      <c r="F44">
        <v>1.98306525266346</v>
      </c>
      <c r="G44">
        <v>-1832.1354216666502</v>
      </c>
      <c r="H44">
        <v>-1509.016229208564</v>
      </c>
      <c r="I44">
        <v>315.19451017878202</v>
      </c>
      <c r="J44">
        <v>160.77040899699401</v>
      </c>
      <c r="K44">
        <v>55.919239731315898</v>
      </c>
      <c r="L44">
        <v>0.8534806947482475</v>
      </c>
      <c r="M44">
        <v>-0.85329326303360842</v>
      </c>
      <c r="N44">
        <v>47.7169436483534</v>
      </c>
      <c r="O44">
        <v>47.716938619195098</v>
      </c>
      <c r="P44">
        <v>47.7169331567206</v>
      </c>
      <c r="Q44" t="s">
        <v>51</v>
      </c>
    </row>
    <row r="45" spans="1:17" x14ac:dyDescent="0.2">
      <c r="A45">
        <v>44</v>
      </c>
      <c r="B45">
        <v>750</v>
      </c>
      <c r="C45">
        <v>280</v>
      </c>
      <c r="D45">
        <v>0.292020231637589</v>
      </c>
      <c r="E45">
        <v>110.89159707635601</v>
      </c>
      <c r="F45">
        <v>1.9842090302506299</v>
      </c>
      <c r="G45">
        <v>-1831.5069587812641</v>
      </c>
      <c r="H45">
        <v>-1509.4096855416544</v>
      </c>
      <c r="I45">
        <v>314.81185245341402</v>
      </c>
      <c r="J45">
        <v>160.78086669176099</v>
      </c>
      <c r="K45">
        <v>55.887053927150902</v>
      </c>
      <c r="L45">
        <v>0.85001238723226114</v>
      </c>
      <c r="M45">
        <v>-0.84982415973746506</v>
      </c>
      <c r="N45">
        <v>47.495601458606203</v>
      </c>
      <c r="O45">
        <v>47.495596303823703</v>
      </c>
      <c r="P45">
        <v>47.495590823450797</v>
      </c>
      <c r="Q45" t="s">
        <v>51</v>
      </c>
    </row>
    <row r="46" spans="1:17" x14ac:dyDescent="0.2">
      <c r="A46">
        <v>45</v>
      </c>
      <c r="B46">
        <v>748</v>
      </c>
      <c r="C46">
        <v>280</v>
      </c>
      <c r="D46">
        <v>0.29049649904519698</v>
      </c>
      <c r="E46">
        <v>110.891693646227</v>
      </c>
      <c r="F46">
        <v>1.9853581717973401</v>
      </c>
      <c r="G46">
        <v>-1830.8792732855802</v>
      </c>
      <c r="H46">
        <v>-1509.8024895295848</v>
      </c>
      <c r="I46">
        <v>314.429095762933</v>
      </c>
      <c r="J46">
        <v>160.791090074827</v>
      </c>
      <c r="K46">
        <v>55.854754684307999</v>
      </c>
      <c r="L46">
        <v>0.84658041787127369</v>
      </c>
      <c r="M46">
        <v>-0.84639141295519693</v>
      </c>
      <c r="N46">
        <v>47.2764170733358</v>
      </c>
      <c r="O46">
        <v>47.276411792035098</v>
      </c>
      <c r="P46">
        <v>47.276406294470597</v>
      </c>
      <c r="Q46" t="s">
        <v>51</v>
      </c>
    </row>
    <row r="47" spans="1:17" x14ac:dyDescent="0.2">
      <c r="A47">
        <v>46</v>
      </c>
      <c r="B47">
        <v>746</v>
      </c>
      <c r="C47">
        <v>280</v>
      </c>
      <c r="D47">
        <v>0.288966786047197</v>
      </c>
      <c r="E47">
        <v>110.891790983414</v>
      </c>
      <c r="F47">
        <v>1.9865125824141701</v>
      </c>
      <c r="G47">
        <v>-1830.2523655026346</v>
      </c>
      <c r="H47">
        <v>-1510.1946518096956</v>
      </c>
      <c r="I47">
        <v>314.04622940665098</v>
      </c>
      <c r="J47">
        <v>160.80107756622999</v>
      </c>
      <c r="K47">
        <v>55.822345131410998</v>
      </c>
      <c r="L47">
        <v>0.84318416264034601</v>
      </c>
      <c r="M47">
        <v>-0.8429943984831344</v>
      </c>
      <c r="N47">
        <v>47.059355934503003</v>
      </c>
      <c r="O47">
        <v>47.059350525817699</v>
      </c>
      <c r="P47">
        <v>47.059345011764201</v>
      </c>
      <c r="Q47" t="s">
        <v>51</v>
      </c>
    </row>
    <row r="48" spans="1:17" x14ac:dyDescent="0.2">
      <c r="A48">
        <v>47</v>
      </c>
      <c r="B48">
        <v>744</v>
      </c>
      <c r="C48">
        <v>280</v>
      </c>
      <c r="D48">
        <v>0.28743105736617303</v>
      </c>
      <c r="E48">
        <v>110.89188909525799</v>
      </c>
      <c r="F48">
        <v>1.98767216865759</v>
      </c>
      <c r="G48">
        <v>-1829.6262357777323</v>
      </c>
      <c r="H48">
        <v>-1510.5861827837609</v>
      </c>
      <c r="I48">
        <v>313.66324285314403</v>
      </c>
      <c r="J48">
        <v>160.810827526575</v>
      </c>
      <c r="K48">
        <v>55.789828344857703</v>
      </c>
      <c r="L48">
        <v>0.83982301121607539</v>
      </c>
      <c r="M48">
        <v>-0.83963250582286708</v>
      </c>
      <c r="N48">
        <v>46.844384219164802</v>
      </c>
      <c r="O48">
        <v>46.844378682256398</v>
      </c>
      <c r="P48">
        <v>46.844373152411997</v>
      </c>
      <c r="Q48" t="s">
        <v>51</v>
      </c>
    </row>
    <row r="49" spans="1:17" x14ac:dyDescent="0.2">
      <c r="A49">
        <v>48</v>
      </c>
      <c r="B49">
        <v>742</v>
      </c>
      <c r="C49">
        <v>280</v>
      </c>
      <c r="D49">
        <v>0.28588927744668102</v>
      </c>
      <c r="E49">
        <v>110.89198798913699</v>
      </c>
      <c r="F49">
        <v>1.98883683849183</v>
      </c>
      <c r="G49">
        <v>-1829.0008844776694</v>
      </c>
      <c r="H49">
        <v>-1510.9770926238043</v>
      </c>
      <c r="I49">
        <v>313.28012573544203</v>
      </c>
      <c r="J49">
        <v>160.82033825843101</v>
      </c>
      <c r="K49">
        <v>55.757207350014703</v>
      </c>
      <c r="L49">
        <v>0.8364963665963917</v>
      </c>
      <c r="M49">
        <v>-0.83630513780090288</v>
      </c>
      <c r="N49">
        <v>46.631468819689097</v>
      </c>
      <c r="O49">
        <v>46.631463153747298</v>
      </c>
      <c r="P49">
        <v>46.631457608805803</v>
      </c>
      <c r="Q49" t="s">
        <v>51</v>
      </c>
    </row>
    <row r="50" spans="1:17" x14ac:dyDescent="0.2">
      <c r="A50">
        <v>49</v>
      </c>
      <c r="B50">
        <v>740</v>
      </c>
      <c r="C50">
        <v>280</v>
      </c>
      <c r="D50">
        <v>0.28434141045255101</v>
      </c>
      <c r="E50">
        <v>110.892087672516</v>
      </c>
      <c r="F50">
        <v>1.9900065012505299</v>
      </c>
      <c r="G50">
        <v>-1828.3763119911901</v>
      </c>
      <c r="H50">
        <v>-1511.3673912789477</v>
      </c>
      <c r="I50">
        <v>312.89686784633</v>
      </c>
      <c r="J50">
        <v>160.82960800793199</v>
      </c>
      <c r="K50">
        <v>55.724485122450801</v>
      </c>
      <c r="L50">
        <v>0.83320364472176722</v>
      </c>
      <c r="M50">
        <v>-0.83301171018974129</v>
      </c>
      <c r="N50">
        <v>46.4205773240447</v>
      </c>
      <c r="O50">
        <v>46.420571528287603</v>
      </c>
      <c r="P50">
        <v>46.420565968938398</v>
      </c>
      <c r="Q50" t="s">
        <v>51</v>
      </c>
    </row>
    <row r="51" spans="1:17" x14ac:dyDescent="0.2">
      <c r="A51">
        <v>50</v>
      </c>
      <c r="B51">
        <v>738</v>
      </c>
      <c r="C51">
        <v>280</v>
      </c>
      <c r="D51">
        <v>0.28278742026405701</v>
      </c>
      <c r="E51">
        <v>110.892188152907</v>
      </c>
      <c r="F51">
        <v>1.99118106760097</v>
      </c>
      <c r="G51">
        <v>-1827.7525187280148</v>
      </c>
      <c r="H51">
        <v>-1511.7570884803024</v>
      </c>
      <c r="I51">
        <v>312.51345913413701</v>
      </c>
      <c r="J51">
        <v>160.83863496601799</v>
      </c>
      <c r="K51">
        <v>55.691664589053403</v>
      </c>
      <c r="L51">
        <v>0.82994427413705785</v>
      </c>
      <c r="M51">
        <v>-0.82975165136958917</v>
      </c>
      <c r="N51">
        <v>46.211677998225397</v>
      </c>
      <c r="O51">
        <v>46.211672071899898</v>
      </c>
      <c r="P51">
        <v>46.211666498828301</v>
      </c>
      <c r="Q51" t="s">
        <v>51</v>
      </c>
    </row>
    <row r="52" spans="1:17" x14ac:dyDescent="0.2">
      <c r="A52">
        <v>51</v>
      </c>
      <c r="B52">
        <v>736</v>
      </c>
      <c r="C52">
        <v>280</v>
      </c>
      <c r="D52">
        <v>0.281227270475152</v>
      </c>
      <c r="E52">
        <v>110.89982151506899</v>
      </c>
      <c r="F52">
        <v>1.92906615777216</v>
      </c>
      <c r="G52">
        <v>-1827.2729847090304</v>
      </c>
      <c r="H52">
        <v>-1524.5727888987474</v>
      </c>
      <c r="I52">
        <v>299.96082744850099</v>
      </c>
      <c r="J52">
        <v>161.18874451086199</v>
      </c>
      <c r="K52">
        <v>57.488863753198103</v>
      </c>
      <c r="L52">
        <v>0.22148934114768504</v>
      </c>
      <c r="M52">
        <v>-0.22109470550004301</v>
      </c>
      <c r="N52">
        <v>12.713452444748899</v>
      </c>
      <c r="O52">
        <v>12.713440809448199</v>
      </c>
      <c r="P52">
        <v>12.713429336003401</v>
      </c>
      <c r="Q52" t="s">
        <v>51</v>
      </c>
    </row>
    <row r="53" spans="1:17" x14ac:dyDescent="0.2">
      <c r="A53">
        <v>52</v>
      </c>
      <c r="B53">
        <v>734</v>
      </c>
      <c r="C53">
        <v>280</v>
      </c>
      <c r="D53">
        <v>0.27966092439060802</v>
      </c>
      <c r="E53">
        <v>110.900029881398</v>
      </c>
      <c r="F53">
        <v>1.9235540858379201</v>
      </c>
      <c r="G53">
        <v>-1826.6784264932041</v>
      </c>
      <c r="H53">
        <v>-1526.3432753594973</v>
      </c>
      <c r="I53">
        <v>298.20854790835898</v>
      </c>
      <c r="J53">
        <v>161.30178892548099</v>
      </c>
      <c r="K53">
        <v>57.653710232477899</v>
      </c>
      <c r="L53">
        <v>0.15334916670492124</v>
      </c>
      <c r="M53">
        <v>-0.15293244863969802</v>
      </c>
      <c r="N53">
        <v>8.8202522556700096</v>
      </c>
      <c r="O53">
        <v>8.8202398142593701</v>
      </c>
      <c r="P53">
        <v>8.8202276896113805</v>
      </c>
      <c r="Q53" t="s">
        <v>51</v>
      </c>
    </row>
    <row r="54" spans="1:17" x14ac:dyDescent="0.2">
      <c r="A54">
        <v>53</v>
      </c>
      <c r="B54">
        <v>732</v>
      </c>
      <c r="C54">
        <v>280</v>
      </c>
      <c r="D54">
        <v>0.27808834502313201</v>
      </c>
      <c r="E54">
        <v>110.900028692945</v>
      </c>
      <c r="F54">
        <v>1.9219487182441399</v>
      </c>
      <c r="G54">
        <v>-1826.0830269693774</v>
      </c>
      <c r="H54">
        <v>-1527.323385236328</v>
      </c>
      <c r="I54">
        <v>297.23461357950498</v>
      </c>
      <c r="J54">
        <v>161.403647789356</v>
      </c>
      <c r="K54">
        <v>57.7018666732491</v>
      </c>
      <c r="L54">
        <v>0.12262703257854909</v>
      </c>
      <c r="M54">
        <v>-0.12220069224459433</v>
      </c>
      <c r="N54">
        <v>7.0543980554732704</v>
      </c>
      <c r="O54">
        <v>7.0543851619775797</v>
      </c>
      <c r="P54">
        <v>7.0543727634854498</v>
      </c>
      <c r="Q54" t="s">
        <v>51</v>
      </c>
    </row>
    <row r="55" spans="1:17" x14ac:dyDescent="0.2">
      <c r="A55">
        <v>54</v>
      </c>
      <c r="B55">
        <v>730</v>
      </c>
      <c r="C55">
        <v>280</v>
      </c>
      <c r="D55">
        <v>0.27650949509046802</v>
      </c>
      <c r="E55">
        <v>110.89995697121201</v>
      </c>
      <c r="F55">
        <v>1.9216528059550799</v>
      </c>
      <c r="G55">
        <v>-1825.4881319472468</v>
      </c>
      <c r="H55">
        <v>-1528.0371960040109</v>
      </c>
      <c r="I55">
        <v>296.52270360956697</v>
      </c>
      <c r="J55">
        <v>161.50547701382499</v>
      </c>
      <c r="K55">
        <v>57.710714769879402</v>
      </c>
      <c r="L55">
        <v>0.10444802842287802</v>
      </c>
      <c r="M55">
        <v>-0.10401624608894751</v>
      </c>
      <c r="N55">
        <v>6.0060692364893002</v>
      </c>
      <c r="O55">
        <v>6.0060560133434304</v>
      </c>
      <c r="P55">
        <v>6.0060434686341599</v>
      </c>
      <c r="Q55" t="s">
        <v>51</v>
      </c>
    </row>
    <row r="56" spans="1:17" x14ac:dyDescent="0.2">
      <c r="A56">
        <v>55</v>
      </c>
      <c r="B56">
        <v>728</v>
      </c>
      <c r="C56">
        <v>280</v>
      </c>
      <c r="D56">
        <v>0.27492433701243602</v>
      </c>
      <c r="E56">
        <v>110.899851338204</v>
      </c>
      <c r="F56">
        <v>1.9219712749692499</v>
      </c>
      <c r="G56">
        <v>-1824.8939749765486</v>
      </c>
      <c r="H56">
        <v>-1528.6256987295401</v>
      </c>
      <c r="I56">
        <v>295.93382324565101</v>
      </c>
      <c r="J56">
        <v>161.610555577019</v>
      </c>
      <c r="K56">
        <v>57.701097192505003</v>
      </c>
      <c r="L56">
        <v>9.2159498909985219E-2</v>
      </c>
      <c r="M56">
        <v>-9.1724239568722804E-2</v>
      </c>
      <c r="N56">
        <v>5.2958181347300899</v>
      </c>
      <c r="O56">
        <v>5.2958046422693803</v>
      </c>
      <c r="P56">
        <v>5.2957920117251396</v>
      </c>
      <c r="Q56" t="s">
        <v>51</v>
      </c>
    </row>
    <row r="57" spans="1:17" x14ac:dyDescent="0.2">
      <c r="A57">
        <v>56</v>
      </c>
      <c r="B57">
        <v>726</v>
      </c>
      <c r="C57">
        <v>280</v>
      </c>
      <c r="D57">
        <v>0.273332832907971</v>
      </c>
      <c r="E57">
        <v>110.89972574206099</v>
      </c>
      <c r="F57">
        <v>1.9226329220335501</v>
      </c>
      <c r="G57">
        <v>-1824.3005981334729</v>
      </c>
      <c r="H57">
        <v>-1529.1440976893207</v>
      </c>
      <c r="I57">
        <v>295.41351422381899</v>
      </c>
      <c r="J57">
        <v>161.72035735783001</v>
      </c>
      <c r="K57">
        <v>57.681174846815402</v>
      </c>
      <c r="L57">
        <v>8.3164785339691669E-2</v>
      </c>
      <c r="M57">
        <v>-8.2727149291675586E-2</v>
      </c>
      <c r="N57">
        <v>4.7750307505318901</v>
      </c>
      <c r="O57">
        <v>4.7750170248523602</v>
      </c>
      <c r="P57">
        <v>4.77500434251849</v>
      </c>
      <c r="Q57" t="s">
        <v>51</v>
      </c>
    </row>
    <row r="58" spans="1:17" x14ac:dyDescent="0.2">
      <c r="A58">
        <v>57</v>
      </c>
      <c r="B58">
        <v>760</v>
      </c>
      <c r="C58">
        <v>270</v>
      </c>
      <c r="D58">
        <v>0.31019745438706797</v>
      </c>
      <c r="E58">
        <v>110.891253845348</v>
      </c>
      <c r="F58">
        <v>1.9656901631722199</v>
      </c>
      <c r="G58">
        <v>-1835.2213657337984</v>
      </c>
      <c r="H58">
        <v>-1507.8804255840228</v>
      </c>
      <c r="I58">
        <v>316.84019209991999</v>
      </c>
      <c r="J58">
        <v>161.06439520889199</v>
      </c>
      <c r="K58">
        <v>56.413394095838598</v>
      </c>
      <c r="L58">
        <v>0.85822435546565978</v>
      </c>
      <c r="M58">
        <v>-0.85802324615275294</v>
      </c>
      <c r="N58">
        <v>48.405623449323798</v>
      </c>
      <c r="O58">
        <v>48.405618685757801</v>
      </c>
      <c r="P58">
        <v>48.405612474392399</v>
      </c>
      <c r="Q58" t="s">
        <v>51</v>
      </c>
    </row>
    <row r="59" spans="1:17" x14ac:dyDescent="0.2">
      <c r="A59">
        <v>58</v>
      </c>
      <c r="B59">
        <v>758</v>
      </c>
      <c r="C59">
        <v>270</v>
      </c>
      <c r="D59">
        <v>0.30872375503079302</v>
      </c>
      <c r="E59">
        <v>110.89133666636999</v>
      </c>
      <c r="F59">
        <v>1.9668378000751401</v>
      </c>
      <c r="G59">
        <v>-1834.5893396771498</v>
      </c>
      <c r="H59">
        <v>-1508.2287892761262</v>
      </c>
      <c r="I59">
        <v>316.50396204740599</v>
      </c>
      <c r="J59">
        <v>161.06227988584601</v>
      </c>
      <c r="K59">
        <v>56.3805193606375</v>
      </c>
      <c r="L59">
        <v>0.85712844293309409</v>
      </c>
      <c r="M59">
        <v>-0.85692714529874026</v>
      </c>
      <c r="N59">
        <v>48.315611571361401</v>
      </c>
      <c r="O59">
        <v>48.315606687507099</v>
      </c>
      <c r="P59">
        <v>48.315600475025001</v>
      </c>
      <c r="Q59" t="s">
        <v>51</v>
      </c>
    </row>
    <row r="60" spans="1:17" x14ac:dyDescent="0.2">
      <c r="A60">
        <v>59</v>
      </c>
      <c r="B60">
        <v>756</v>
      </c>
      <c r="C60">
        <v>270</v>
      </c>
      <c r="D60">
        <v>0.30724432784336703</v>
      </c>
      <c r="E60">
        <v>110.891430612574</v>
      </c>
      <c r="F60">
        <v>1.9679900640140999</v>
      </c>
      <c r="G60">
        <v>-1833.9582282048693</v>
      </c>
      <c r="H60">
        <v>-1508.6236210320624</v>
      </c>
      <c r="I60">
        <v>316.12217011415402</v>
      </c>
      <c r="J60">
        <v>161.074512559575</v>
      </c>
      <c r="K60">
        <v>56.347556138768901</v>
      </c>
      <c r="L60">
        <v>0.85362718760212453</v>
      </c>
      <c r="M60">
        <v>-0.85342503201520648</v>
      </c>
      <c r="N60">
        <v>48.09002857302</v>
      </c>
      <c r="O60">
        <v>48.090023551399703</v>
      </c>
      <c r="P60">
        <v>48.090017317376798</v>
      </c>
      <c r="Q60" t="s">
        <v>51</v>
      </c>
    </row>
    <row r="61" spans="1:17" x14ac:dyDescent="0.2">
      <c r="A61">
        <v>60</v>
      </c>
      <c r="B61">
        <v>754</v>
      </c>
      <c r="C61">
        <v>270</v>
      </c>
      <c r="D61">
        <v>0.30575913936620902</v>
      </c>
      <c r="E61">
        <v>110.891525300211</v>
      </c>
      <c r="F61">
        <v>1.96914811500592</v>
      </c>
      <c r="G61">
        <v>-1833.3278920873872</v>
      </c>
      <c r="H61">
        <v>-1509.0177859229202</v>
      </c>
      <c r="I61">
        <v>315.74029532144903</v>
      </c>
      <c r="J61">
        <v>161.08653301554199</v>
      </c>
      <c r="K61">
        <v>56.314466370081703</v>
      </c>
      <c r="L61">
        <v>0.85016314388681524</v>
      </c>
      <c r="M61">
        <v>-0.849960149733198</v>
      </c>
      <c r="N61">
        <v>47.866665341317002</v>
      </c>
      <c r="O61">
        <v>47.866660180753598</v>
      </c>
      <c r="P61">
        <v>47.866653925977801</v>
      </c>
      <c r="Q61" t="s">
        <v>51</v>
      </c>
    </row>
    <row r="62" spans="1:17" x14ac:dyDescent="0.2">
      <c r="A62">
        <v>61</v>
      </c>
      <c r="B62">
        <v>752</v>
      </c>
      <c r="C62">
        <v>270</v>
      </c>
      <c r="D62">
        <v>0.30426815587962902</v>
      </c>
      <c r="E62">
        <v>110.891620736381</v>
      </c>
      <c r="F62">
        <v>1.9703118490428799</v>
      </c>
      <c r="G62">
        <v>-1832.6983316131805</v>
      </c>
      <c r="H62">
        <v>-1509.4112949704993</v>
      </c>
      <c r="I62">
        <v>315.35832671684199</v>
      </c>
      <c r="J62">
        <v>161.09833951293299</v>
      </c>
      <c r="K62">
        <v>56.281253543823198</v>
      </c>
      <c r="L62">
        <v>0.84673566568010994</v>
      </c>
      <c r="M62">
        <v>-0.84653185216140481</v>
      </c>
      <c r="N62">
        <v>47.645486079548199</v>
      </c>
      <c r="O62">
        <v>47.645480778895198</v>
      </c>
      <c r="P62">
        <v>47.6454745041503</v>
      </c>
      <c r="Q62" t="s">
        <v>51</v>
      </c>
    </row>
    <row r="63" spans="1:17" x14ac:dyDescent="0.2">
      <c r="A63">
        <v>62</v>
      </c>
      <c r="B63">
        <v>750</v>
      </c>
      <c r="C63">
        <v>270</v>
      </c>
      <c r="D63">
        <v>0.302771343400284</v>
      </c>
      <c r="E63">
        <v>110.89171692822499</v>
      </c>
      <c r="F63">
        <v>1.97148116361644</v>
      </c>
      <c r="G63">
        <v>-1832.0695470930245</v>
      </c>
      <c r="H63">
        <v>-1509.8041589505956</v>
      </c>
      <c r="I63">
        <v>314.97625352442299</v>
      </c>
      <c r="J63">
        <v>161.10993025177601</v>
      </c>
      <c r="K63">
        <v>56.247921093401501</v>
      </c>
      <c r="L63">
        <v>0.84334412115927149</v>
      </c>
      <c r="M63">
        <v>-0.84313950729672171</v>
      </c>
      <c r="N63">
        <v>47.426455758126302</v>
      </c>
      <c r="O63">
        <v>47.426450316268202</v>
      </c>
      <c r="P63">
        <v>47.426444022334202</v>
      </c>
      <c r="Q63" t="s">
        <v>51</v>
      </c>
    </row>
    <row r="64" spans="1:17" x14ac:dyDescent="0.2">
      <c r="A64">
        <v>63</v>
      </c>
      <c r="B64">
        <v>748</v>
      </c>
      <c r="C64">
        <v>270</v>
      </c>
      <c r="D64">
        <v>0.301268667678598</v>
      </c>
      <c r="E64">
        <v>110.891813882964</v>
      </c>
      <c r="F64">
        <v>1.97265595767334</v>
      </c>
      <c r="G64">
        <v>-1831.4415388603873</v>
      </c>
      <c r="H64">
        <v>-1510.1963883997116</v>
      </c>
      <c r="I64">
        <v>314.59406514036999</v>
      </c>
      <c r="J64">
        <v>161.121303374473</v>
      </c>
      <c r="K64">
        <v>56.214472397789898</v>
      </c>
      <c r="L64">
        <v>0.83998789240731864</v>
      </c>
      <c r="M64">
        <v>-0.83978249704553531</v>
      </c>
      <c r="N64">
        <v>47.209540095069698</v>
      </c>
      <c r="O64">
        <v>47.209534510922197</v>
      </c>
      <c r="P64">
        <v>47.2095281985752</v>
      </c>
      <c r="Q64" t="s">
        <v>51</v>
      </c>
    </row>
    <row r="65" spans="1:17" x14ac:dyDescent="0.2">
      <c r="A65">
        <v>64</v>
      </c>
      <c r="B65">
        <v>746</v>
      </c>
      <c r="C65">
        <v>270</v>
      </c>
      <c r="D65">
        <v>0.29976009419614502</v>
      </c>
      <c r="E65">
        <v>110.891911607876</v>
      </c>
      <c r="F65">
        <v>1.97383613157247</v>
      </c>
      <c r="G65">
        <v>-1830.8143072706382</v>
      </c>
      <c r="H65">
        <v>-1510.5879936211231</v>
      </c>
      <c r="I65">
        <v>314.21175112790399</v>
      </c>
      <c r="J65">
        <v>161.13245696746301</v>
      </c>
      <c r="K65">
        <v>56.180910782868999</v>
      </c>
      <c r="L65">
        <v>0.83666637501557262</v>
      </c>
      <c r="M65">
        <v>-0.83646021682611915</v>
      </c>
      <c r="N65">
        <v>46.994705535327903</v>
      </c>
      <c r="O65">
        <v>46.994699807838401</v>
      </c>
      <c r="P65">
        <v>46.994693477850497</v>
      </c>
      <c r="Q65" t="s">
        <v>51</v>
      </c>
    </row>
    <row r="66" spans="1:17" x14ac:dyDescent="0.2">
      <c r="A66">
        <v>65</v>
      </c>
      <c r="B66">
        <v>744</v>
      </c>
      <c r="C66">
        <v>270</v>
      </c>
      <c r="D66">
        <v>0.298245588163005</v>
      </c>
      <c r="E66">
        <v>110.892010110309</v>
      </c>
      <c r="F66">
        <v>1.97502158704176</v>
      </c>
      <c r="G66">
        <v>-1830.1878527009474</v>
      </c>
      <c r="H66">
        <v>-1510.9789846907252</v>
      </c>
      <c r="I66">
        <v>313.829301213093</v>
      </c>
      <c r="J66">
        <v>161.143389062789</v>
      </c>
      <c r="K66">
        <v>56.147239522787103</v>
      </c>
      <c r="L66">
        <v>0.83337897772980407</v>
      </c>
      <c r="M66">
        <v>-0.83317207521463699</v>
      </c>
      <c r="N66">
        <v>46.781919232530399</v>
      </c>
      <c r="O66">
        <v>46.781913360678701</v>
      </c>
      <c r="P66">
        <v>46.781907013818099</v>
      </c>
      <c r="Q66" t="s">
        <v>51</v>
      </c>
    </row>
    <row r="67" spans="1:17" x14ac:dyDescent="0.2">
      <c r="A67">
        <v>66</v>
      </c>
      <c r="B67">
        <v>742</v>
      </c>
      <c r="C67">
        <v>270</v>
      </c>
      <c r="D67">
        <v>0.29672511451509398</v>
      </c>
      <c r="E67">
        <v>110.892109397619</v>
      </c>
      <c r="F67">
        <v>1.9762122271389899</v>
      </c>
      <c r="G67">
        <v>-1829.5621755489842</v>
      </c>
      <c r="H67">
        <v>-1511.3693714622686</v>
      </c>
      <c r="I67">
        <v>313.44670528000802</v>
      </c>
      <c r="J67">
        <v>161.154097639653</v>
      </c>
      <c r="K67">
        <v>56.113461841170903</v>
      </c>
      <c r="L67">
        <v>0.83012512207734357</v>
      </c>
      <c r="M67">
        <v>-0.82991749357211098</v>
      </c>
      <c r="N67">
        <v>46.571149029498002</v>
      </c>
      <c r="O67">
        <v>46.571143012296297</v>
      </c>
      <c r="P67">
        <v>46.571136649327499</v>
      </c>
      <c r="Q67" t="s">
        <v>51</v>
      </c>
    </row>
    <row r="68" spans="1:17" x14ac:dyDescent="0.2">
      <c r="A68">
        <v>67</v>
      </c>
      <c r="B68">
        <v>740</v>
      </c>
      <c r="C68">
        <v>270</v>
      </c>
      <c r="D68">
        <v>0.295198637911468</v>
      </c>
      <c r="E68">
        <v>110.89220947731</v>
      </c>
      <c r="F68">
        <v>1.97740795621032</v>
      </c>
      <c r="G68">
        <v>-1828.9372762348519</v>
      </c>
      <c r="H68">
        <v>-1511.7591635747253</v>
      </c>
      <c r="I68">
        <v>313.06395336693498</v>
      </c>
      <c r="J68">
        <v>161.16458062622999</v>
      </c>
      <c r="K68">
        <v>56.0795809124957</v>
      </c>
      <c r="L68">
        <v>0.82690424202890045</v>
      </c>
      <c r="M68">
        <v>-0.82669590570610252</v>
      </c>
      <c r="N68">
        <v>46.362363440799399</v>
      </c>
      <c r="O68">
        <v>46.362357277292801</v>
      </c>
      <c r="P68">
        <v>46.362350898976302</v>
      </c>
      <c r="Q68" t="s">
        <v>51</v>
      </c>
    </row>
    <row r="69" spans="1:17" x14ac:dyDescent="0.2">
      <c r="A69">
        <v>68</v>
      </c>
      <c r="B69">
        <v>738</v>
      </c>
      <c r="C69">
        <v>270</v>
      </c>
      <c r="D69">
        <v>0.29366612273154402</v>
      </c>
      <c r="E69">
        <v>110.900281957963</v>
      </c>
      <c r="F69">
        <v>1.91889842513043</v>
      </c>
      <c r="G69">
        <v>-1828.4580519984215</v>
      </c>
      <c r="H69">
        <v>-1523.8387638134031</v>
      </c>
      <c r="I69">
        <v>301.26531833803301</v>
      </c>
      <c r="J69">
        <v>161.346000965212</v>
      </c>
      <c r="K69">
        <v>57.793721911270701</v>
      </c>
      <c r="L69">
        <v>0.25605863819124514</v>
      </c>
      <c r="M69">
        <v>-0.25565527245727593</v>
      </c>
      <c r="N69">
        <v>14.7784193602951</v>
      </c>
      <c r="O69">
        <v>14.7784078055218</v>
      </c>
      <c r="P69">
        <v>14.7783953857217</v>
      </c>
      <c r="Q69" t="s">
        <v>51</v>
      </c>
    </row>
    <row r="70" spans="1:17" x14ac:dyDescent="0.2">
      <c r="A70">
        <v>69</v>
      </c>
      <c r="B70">
        <v>736</v>
      </c>
      <c r="C70">
        <v>270</v>
      </c>
      <c r="D70">
        <v>0.29212753307238798</v>
      </c>
      <c r="E70">
        <v>110.900459108126</v>
      </c>
      <c r="F70">
        <v>1.91107525334441</v>
      </c>
      <c r="G70">
        <v>-1827.8610206539634</v>
      </c>
      <c r="H70">
        <v>-1526.1037972148474</v>
      </c>
      <c r="I70">
        <v>299.02668011405598</v>
      </c>
      <c r="J70">
        <v>161.435127832136</v>
      </c>
      <c r="K70">
        <v>58.030398810328897</v>
      </c>
      <c r="L70">
        <v>0.16472082896496984</v>
      </c>
      <c r="M70">
        <v>-0.16428694846252279</v>
      </c>
      <c r="N70">
        <v>9.5370216935629593</v>
      </c>
      <c r="O70">
        <v>9.5370090821456994</v>
      </c>
      <c r="P70">
        <v>9.5369957009371102</v>
      </c>
      <c r="Q70" t="s">
        <v>51</v>
      </c>
    </row>
    <row r="71" spans="1:17" x14ac:dyDescent="0.2">
      <c r="A71">
        <v>70</v>
      </c>
      <c r="B71">
        <v>734</v>
      </c>
      <c r="C71">
        <v>270</v>
      </c>
      <c r="D71">
        <v>0.29058283274586499</v>
      </c>
      <c r="E71">
        <v>110.900468202854</v>
      </c>
      <c r="F71">
        <v>1.9089816817851399</v>
      </c>
      <c r="G71">
        <v>-1827.2642847490956</v>
      </c>
      <c r="H71">
        <v>-1527.2005260714814</v>
      </c>
      <c r="I71">
        <v>297.93920774468501</v>
      </c>
      <c r="J71">
        <v>161.52378550060101</v>
      </c>
      <c r="K71">
        <v>58.094045249898699</v>
      </c>
      <c r="L71">
        <v>0.12864556093642374</v>
      </c>
      <c r="M71">
        <v>-0.12820000407190935</v>
      </c>
      <c r="N71">
        <v>7.45112064148132</v>
      </c>
      <c r="O71">
        <v>7.4511074924841401</v>
      </c>
      <c r="P71">
        <v>7.4510937536085997</v>
      </c>
      <c r="Q71" t="s">
        <v>51</v>
      </c>
    </row>
    <row r="72" spans="1:17" x14ac:dyDescent="0.2">
      <c r="A72">
        <v>71</v>
      </c>
      <c r="B72">
        <v>732</v>
      </c>
      <c r="C72">
        <v>270</v>
      </c>
      <c r="D72">
        <v>0.28903198527583002</v>
      </c>
      <c r="E72">
        <v>110.900400738847</v>
      </c>
      <c r="F72">
        <v>1.9085229550835201</v>
      </c>
      <c r="G72">
        <v>-1826.6681011904977</v>
      </c>
      <c r="H72">
        <v>-1527.9622979287813</v>
      </c>
      <c r="I72">
        <v>297.18112708884598</v>
      </c>
      <c r="J72">
        <v>161.61583171541099</v>
      </c>
      <c r="K72">
        <v>58.107973206952501</v>
      </c>
      <c r="L72">
        <v>0.10830138895646807</v>
      </c>
      <c r="M72">
        <v>-0.10784952645364994</v>
      </c>
      <c r="N72">
        <v>6.2704157264215503</v>
      </c>
      <c r="O72">
        <v>6.2704021916697599</v>
      </c>
      <c r="P72">
        <v>6.2703882689218799</v>
      </c>
      <c r="Q72" t="s">
        <v>51</v>
      </c>
    </row>
    <row r="73" spans="1:17" x14ac:dyDescent="0.2">
      <c r="A73">
        <v>72</v>
      </c>
      <c r="B73">
        <v>730</v>
      </c>
      <c r="C73">
        <v>270</v>
      </c>
      <c r="D73">
        <v>0.28747495389523398</v>
      </c>
      <c r="E73">
        <v>110.90029878444599</v>
      </c>
      <c r="F73">
        <v>1.90878544443954</v>
      </c>
      <c r="G73">
        <v>-1826.0727125520307</v>
      </c>
      <c r="H73">
        <v>-1528.5757867729176</v>
      </c>
      <c r="I73">
        <v>296.56860194436899</v>
      </c>
      <c r="J73">
        <v>161.71259612522101</v>
      </c>
      <c r="K73">
        <v>58.099928992809801</v>
      </c>
      <c r="L73">
        <v>9.4903347653042619E-2</v>
      </c>
      <c r="M73">
        <v>-9.4447553395410971E-2</v>
      </c>
      <c r="N73">
        <v>5.4909091952561502</v>
      </c>
      <c r="O73">
        <v>5.4908953446291502</v>
      </c>
      <c r="P73">
        <v>5.4908813153427296</v>
      </c>
      <c r="Q73" t="s">
        <v>51</v>
      </c>
    </row>
    <row r="74" spans="1:17" x14ac:dyDescent="0.2">
      <c r="A74">
        <v>73</v>
      </c>
      <c r="B74">
        <v>728</v>
      </c>
      <c r="C74">
        <v>270</v>
      </c>
      <c r="D74">
        <v>0.28591170154322698</v>
      </c>
      <c r="E74">
        <v>110.900177227478</v>
      </c>
      <c r="F74">
        <v>1.9094370146533299</v>
      </c>
      <c r="G74">
        <v>-1825.4781460737015</v>
      </c>
      <c r="H74">
        <v>-1529.1091314553512</v>
      </c>
      <c r="I74">
        <v>296.03448576760297</v>
      </c>
      <c r="J74">
        <v>161.81474713189701</v>
      </c>
      <c r="K74">
        <v>58.0800394966748</v>
      </c>
      <c r="L74">
        <v>8.5256285051918956E-2</v>
      </c>
      <c r="M74">
        <v>-8.4797843022960673E-2</v>
      </c>
      <c r="N74">
        <v>4.9285791246019404</v>
      </c>
      <c r="O74">
        <v>4.9285649982404696</v>
      </c>
      <c r="P74">
        <v>4.9285509045334104</v>
      </c>
      <c r="Q74" t="s">
        <v>51</v>
      </c>
    </row>
    <row r="75" spans="1:17" x14ac:dyDescent="0.2">
      <c r="A75">
        <v>74</v>
      </c>
      <c r="B75">
        <v>760</v>
      </c>
      <c r="C75">
        <v>260</v>
      </c>
      <c r="D75">
        <v>0.320844504670183</v>
      </c>
      <c r="E75">
        <v>110.89137238954299</v>
      </c>
      <c r="F75">
        <v>1.9522211886432199</v>
      </c>
      <c r="G75">
        <v>-1835.7893370994793</v>
      </c>
      <c r="H75">
        <v>-1508.2743847060963</v>
      </c>
      <c r="I75">
        <v>317.008710332725</v>
      </c>
      <c r="J75">
        <v>161.39005935457601</v>
      </c>
      <c r="K75">
        <v>56.802668178503097</v>
      </c>
      <c r="L75">
        <v>0.85093719432571291</v>
      </c>
      <c r="M75">
        <v>-0.85071814337916662</v>
      </c>
      <c r="N75">
        <v>48.324890046178702</v>
      </c>
      <c r="O75">
        <v>48.3248851345204</v>
      </c>
      <c r="P75">
        <v>48.324877978552102</v>
      </c>
      <c r="Q75" t="s">
        <v>51</v>
      </c>
    </row>
    <row r="76" spans="1:17" x14ac:dyDescent="0.2">
      <c r="A76">
        <v>75</v>
      </c>
      <c r="B76">
        <v>758</v>
      </c>
      <c r="C76">
        <v>260</v>
      </c>
      <c r="D76">
        <v>0.31939145614120401</v>
      </c>
      <c r="E76">
        <v>110.89145566861001</v>
      </c>
      <c r="F76">
        <v>1.9534014776694699</v>
      </c>
      <c r="G76">
        <v>-1835.1569825383644</v>
      </c>
      <c r="H76">
        <v>-1508.6232987480048</v>
      </c>
      <c r="I76">
        <v>316.671954796737</v>
      </c>
      <c r="J76">
        <v>161.38962909341799</v>
      </c>
      <c r="K76">
        <v>56.768389364029098</v>
      </c>
      <c r="L76">
        <v>0.84986464750756319</v>
      </c>
      <c r="M76">
        <v>-0.84964540900031937</v>
      </c>
      <c r="N76">
        <v>48.234824121416302</v>
      </c>
      <c r="O76">
        <v>48.234819071727401</v>
      </c>
      <c r="P76">
        <v>48.234811914216799</v>
      </c>
      <c r="Q76" t="s">
        <v>51</v>
      </c>
    </row>
    <row r="77" spans="1:17" x14ac:dyDescent="0.2">
      <c r="A77">
        <v>76</v>
      </c>
      <c r="B77">
        <v>756</v>
      </c>
      <c r="C77">
        <v>260</v>
      </c>
      <c r="D77">
        <v>0.317932760044698</v>
      </c>
      <c r="E77">
        <v>110.891549979019</v>
      </c>
      <c r="F77">
        <v>1.9545822203594101</v>
      </c>
      <c r="G77">
        <v>-1834.5255407097357</v>
      </c>
      <c r="H77">
        <v>-1509.017462021932</v>
      </c>
      <c r="I77">
        <v>316.29081755261399</v>
      </c>
      <c r="J77">
        <v>161.40305820396901</v>
      </c>
      <c r="K77">
        <v>56.734144424289198</v>
      </c>
      <c r="L77">
        <v>0.84644723345630235</v>
      </c>
      <c r="M77">
        <v>-0.84622713050704446</v>
      </c>
      <c r="N77">
        <v>48.011793768155101</v>
      </c>
      <c r="O77">
        <v>48.011788563377202</v>
      </c>
      <c r="P77">
        <v>48.0117813824791</v>
      </c>
      <c r="Q77" t="s">
        <v>51</v>
      </c>
    </row>
    <row r="78" spans="1:17" x14ac:dyDescent="0.2">
      <c r="A78">
        <v>77</v>
      </c>
      <c r="B78">
        <v>754</v>
      </c>
      <c r="C78">
        <v>260</v>
      </c>
      <c r="D78">
        <v>0.31646838339093702</v>
      </c>
      <c r="E78">
        <v>110.891645033559</v>
      </c>
      <c r="F78">
        <v>1.9557689179747899</v>
      </c>
      <c r="G78">
        <v>-1833.8948729926087</v>
      </c>
      <c r="H78">
        <v>-1509.4109783608612</v>
      </c>
      <c r="I78">
        <v>315.90957939309902</v>
      </c>
      <c r="J78">
        <v>161.416292940495</v>
      </c>
      <c r="K78">
        <v>56.6997685740847</v>
      </c>
      <c r="L78">
        <v>0.84306592230330846</v>
      </c>
      <c r="M78">
        <v>-0.84284497484986531</v>
      </c>
      <c r="N78">
        <v>47.7909351398174</v>
      </c>
      <c r="O78">
        <v>47.790929778516301</v>
      </c>
      <c r="P78">
        <v>47.790922575095699</v>
      </c>
      <c r="Q78" t="s">
        <v>51</v>
      </c>
    </row>
    <row r="79" spans="1:17" x14ac:dyDescent="0.2">
      <c r="A79">
        <v>78</v>
      </c>
      <c r="B79">
        <v>752</v>
      </c>
      <c r="C79">
        <v>260</v>
      </c>
      <c r="D79">
        <v>0.31499829293274201</v>
      </c>
      <c r="E79">
        <v>110.891740839332</v>
      </c>
      <c r="F79">
        <v>1.9569614621950899</v>
      </c>
      <c r="G79">
        <v>-1833.264979711339</v>
      </c>
      <c r="H79">
        <v>-1509.8038584241178</v>
      </c>
      <c r="I79">
        <v>315.52822964855801</v>
      </c>
      <c r="J79">
        <v>161.42933114404599</v>
      </c>
      <c r="K79">
        <v>56.665265505507698</v>
      </c>
      <c r="L79">
        <v>0.83972008964730671</v>
      </c>
      <c r="M79">
        <v>-0.83949831745241432</v>
      </c>
      <c r="N79">
        <v>47.572213551476302</v>
      </c>
      <c r="O79">
        <v>47.572208032252298</v>
      </c>
      <c r="P79">
        <v>47.572200807171299</v>
      </c>
      <c r="Q79" t="s">
        <v>51</v>
      </c>
    </row>
    <row r="80" spans="1:17" x14ac:dyDescent="0.2">
      <c r="A80">
        <v>79</v>
      </c>
      <c r="B80">
        <v>750</v>
      </c>
      <c r="C80">
        <v>260</v>
      </c>
      <c r="D80">
        <v>0.313522455162978</v>
      </c>
      <c r="E80">
        <v>110.89183740350001</v>
      </c>
      <c r="F80">
        <v>1.95815974612663</v>
      </c>
      <c r="G80">
        <v>-1832.6358612124252</v>
      </c>
      <c r="H80">
        <v>-1510.1961126344902</v>
      </c>
      <c r="I80">
        <v>315.14675781870102</v>
      </c>
      <c r="J80">
        <v>161.44217059904</v>
      </c>
      <c r="K80">
        <v>56.6306388551046</v>
      </c>
      <c r="L80">
        <v>0.83640912476673246</v>
      </c>
      <c r="M80">
        <v>-0.83618654742163745</v>
      </c>
      <c r="N80">
        <v>47.355595055840404</v>
      </c>
      <c r="O80">
        <v>47.355589377329302</v>
      </c>
      <c r="P80">
        <v>47.355582131446702</v>
      </c>
      <c r="Q80" t="s">
        <v>51</v>
      </c>
    </row>
    <row r="81" spans="1:17" x14ac:dyDescent="0.2">
      <c r="A81">
        <v>80</v>
      </c>
      <c r="B81">
        <v>748</v>
      </c>
      <c r="C81">
        <v>260</v>
      </c>
      <c r="D81">
        <v>0.31204083631200402</v>
      </c>
      <c r="E81">
        <v>110.89193473330999</v>
      </c>
      <c r="F81">
        <v>1.95936366425732</v>
      </c>
      <c r="G81">
        <v>-1832.0075178645009</v>
      </c>
      <c r="H81">
        <v>-1510.5877511845067</v>
      </c>
      <c r="I81">
        <v>314.76515356810199</v>
      </c>
      <c r="J81">
        <v>161.454809035008</v>
      </c>
      <c r="K81">
        <v>56.595892205310797</v>
      </c>
      <c r="L81">
        <v>0.83313243024763306</v>
      </c>
      <c r="M81">
        <v>-0.83290906717553892</v>
      </c>
      <c r="N81">
        <v>47.141046423998098</v>
      </c>
      <c r="O81">
        <v>47.141040584871803</v>
      </c>
      <c r="P81">
        <v>47.141033319043402</v>
      </c>
      <c r="Q81" t="s">
        <v>51</v>
      </c>
    </row>
    <row r="82" spans="1:17" x14ac:dyDescent="0.2">
      <c r="A82">
        <v>81</v>
      </c>
      <c r="B82">
        <v>746</v>
      </c>
      <c r="C82">
        <v>260</v>
      </c>
      <c r="D82">
        <v>0.31055340234509199</v>
      </c>
      <c r="E82">
        <v>110.892032836011</v>
      </c>
      <c r="F82">
        <v>1.9605731124105299</v>
      </c>
      <c r="G82">
        <v>-1831.3799500567438</v>
      </c>
      <c r="H82">
        <v>-1510.9787840409863</v>
      </c>
      <c r="I82">
        <v>314.38340672177901</v>
      </c>
      <c r="J82">
        <v>161.467244128289</v>
      </c>
      <c r="K82">
        <v>56.561029085862103</v>
      </c>
      <c r="L82">
        <v>0.82988942162821278</v>
      </c>
      <c r="M82">
        <v>-0.82966529208757134</v>
      </c>
      <c r="N82">
        <v>46.928535127035197</v>
      </c>
      <c r="O82">
        <v>46.928529126001898</v>
      </c>
      <c r="P82">
        <v>46.928521841080503</v>
      </c>
      <c r="Q82" t="s">
        <v>51</v>
      </c>
    </row>
    <row r="83" spans="1:17" x14ac:dyDescent="0.2">
      <c r="A83">
        <v>82</v>
      </c>
      <c r="B83">
        <v>744</v>
      </c>
      <c r="C83">
        <v>260</v>
      </c>
      <c r="D83">
        <v>0.30906011895984098</v>
      </c>
      <c r="E83">
        <v>110.892131718971</v>
      </c>
      <c r="F83">
        <v>1.96178798770358</v>
      </c>
      <c r="G83">
        <v>-1830.7531582003899</v>
      </c>
      <c r="H83">
        <v>-1511.3692209526964</v>
      </c>
      <c r="I83">
        <v>314.001507260739</v>
      </c>
      <c r="J83">
        <v>161.47947350400401</v>
      </c>
      <c r="K83">
        <v>56.526052975163203</v>
      </c>
      <c r="L83">
        <v>0.8266795270277344</v>
      </c>
      <c r="M83">
        <v>-0.82645465011538255</v>
      </c>
      <c r="N83">
        <v>46.718029316686597</v>
      </c>
      <c r="O83">
        <v>46.718023152492002</v>
      </c>
      <c r="P83">
        <v>46.718015849327003</v>
      </c>
      <c r="Q83" t="s">
        <v>51</v>
      </c>
    </row>
    <row r="84" spans="1:17" x14ac:dyDescent="0.2">
      <c r="A84">
        <v>83</v>
      </c>
      <c r="B84">
        <v>742</v>
      </c>
      <c r="C84">
        <v>260</v>
      </c>
      <c r="D84">
        <v>0.30756095158350699</v>
      </c>
      <c r="E84">
        <v>110.89222979885101</v>
      </c>
      <c r="F84">
        <v>1.9605117607628799</v>
      </c>
      <c r="G84">
        <v>-1830.127326058464</v>
      </c>
      <c r="H84">
        <v>-1512.1078204630824</v>
      </c>
      <c r="I84">
        <v>313.27616505726098</v>
      </c>
      <c r="J84">
        <v>161.52593490540499</v>
      </c>
      <c r="K84">
        <v>56.562899554196399</v>
      </c>
      <c r="L84">
        <v>0.8063349190846506</v>
      </c>
      <c r="M84">
        <v>-0.80610226674607977</v>
      </c>
      <c r="N84">
        <v>45.597346507696599</v>
      </c>
      <c r="O84">
        <v>45.597340009104002</v>
      </c>
      <c r="P84">
        <v>45.597332459656997</v>
      </c>
      <c r="Q84" t="s">
        <v>51</v>
      </c>
    </row>
    <row r="85" spans="1:17" x14ac:dyDescent="0.2">
      <c r="A85">
        <v>84</v>
      </c>
      <c r="B85">
        <v>740</v>
      </c>
      <c r="C85">
        <v>260</v>
      </c>
      <c r="D85">
        <v>0.30605586537038199</v>
      </c>
      <c r="E85">
        <v>110.900236178201</v>
      </c>
      <c r="F85">
        <v>1.9089723574836599</v>
      </c>
      <c r="G85">
        <v>-1829.6407554119219</v>
      </c>
      <c r="H85">
        <v>-1522.881128773236</v>
      </c>
      <c r="I85">
        <v>302.78299521971701</v>
      </c>
      <c r="J85">
        <v>161.52958218264399</v>
      </c>
      <c r="K85">
        <v>58.094207463739899</v>
      </c>
      <c r="L85">
        <v>0.30049118569432909</v>
      </c>
      <c r="M85">
        <v>-0.30008127244239874</v>
      </c>
      <c r="N85">
        <v>17.4363113279285</v>
      </c>
      <c r="O85">
        <v>17.436300084263902</v>
      </c>
      <c r="P85">
        <v>17.436286699660499</v>
      </c>
      <c r="Q85" t="s">
        <v>51</v>
      </c>
    </row>
    <row r="86" spans="1:17" x14ac:dyDescent="0.2">
      <c r="A86">
        <v>85</v>
      </c>
      <c r="B86">
        <v>738</v>
      </c>
      <c r="C86">
        <v>260</v>
      </c>
      <c r="D86">
        <v>0.30454482519902998</v>
      </c>
      <c r="E86">
        <v>110.900880774765</v>
      </c>
      <c r="F86">
        <v>1.89793348225174</v>
      </c>
      <c r="G86">
        <v>-1829.0490781971678</v>
      </c>
      <c r="H86">
        <v>-1525.8076016878661</v>
      </c>
      <c r="I86">
        <v>299.903063005165</v>
      </c>
      <c r="J86">
        <v>161.58452599115</v>
      </c>
      <c r="K86">
        <v>58.4324381290701</v>
      </c>
      <c r="L86">
        <v>0.17821985013175379</v>
      </c>
      <c r="M86">
        <v>-0.17776771097975139</v>
      </c>
      <c r="N86">
        <v>10.3910724095616</v>
      </c>
      <c r="O86">
        <v>10.3910597957438</v>
      </c>
      <c r="P86">
        <v>10.391044990241999</v>
      </c>
      <c r="Q86" t="s">
        <v>51</v>
      </c>
    </row>
    <row r="87" spans="1:17" x14ac:dyDescent="0.2">
      <c r="A87">
        <v>86</v>
      </c>
      <c r="B87">
        <v>736</v>
      </c>
      <c r="C87">
        <v>260</v>
      </c>
      <c r="D87">
        <v>0.30302779566962401</v>
      </c>
      <c r="E87">
        <v>110.900898932174</v>
      </c>
      <c r="F87">
        <v>1.8951842767226299</v>
      </c>
      <c r="G87">
        <v>-1828.4509099594611</v>
      </c>
      <c r="H87">
        <v>-1527.0538936964058</v>
      </c>
      <c r="I87">
        <v>298.66988329227001</v>
      </c>
      <c r="J87">
        <v>161.65722718622899</v>
      </c>
      <c r="K87">
        <v>58.517211383769499</v>
      </c>
      <c r="L87">
        <v>0.13528617280456603</v>
      </c>
      <c r="M87">
        <v>-0.13481964363714494</v>
      </c>
      <c r="N87">
        <v>7.8930460877797097</v>
      </c>
      <c r="O87">
        <v>7.8930328370331599</v>
      </c>
      <c r="P87">
        <v>7.8930175568523104</v>
      </c>
      <c r="Q87" t="s">
        <v>51</v>
      </c>
    </row>
    <row r="88" spans="1:17" x14ac:dyDescent="0.2">
      <c r="A88">
        <v>87</v>
      </c>
      <c r="B88">
        <v>734</v>
      </c>
      <c r="C88">
        <v>260</v>
      </c>
      <c r="D88">
        <v>0.30150474110112602</v>
      </c>
      <c r="E88">
        <v>110.900834224235</v>
      </c>
      <c r="F88">
        <v>1.8945186334183</v>
      </c>
      <c r="G88">
        <v>-1827.8533711809471</v>
      </c>
      <c r="H88">
        <v>-1527.8721750678856</v>
      </c>
      <c r="I88">
        <v>297.85731452809102</v>
      </c>
      <c r="J88">
        <v>161.73888374611801</v>
      </c>
      <c r="K88">
        <v>58.537737379830098</v>
      </c>
      <c r="L88">
        <v>0.11239739635355857</v>
      </c>
      <c r="M88">
        <v>-0.11192350388401548</v>
      </c>
      <c r="N88">
        <v>6.5555691143665102</v>
      </c>
      <c r="O88">
        <v>6.5555554160030596</v>
      </c>
      <c r="P88">
        <v>6.5555399026609003</v>
      </c>
      <c r="Q88" t="s">
        <v>51</v>
      </c>
    </row>
    <row r="89" spans="1:17" x14ac:dyDescent="0.2">
      <c r="A89">
        <v>88</v>
      </c>
      <c r="B89">
        <v>732</v>
      </c>
      <c r="C89">
        <v>260</v>
      </c>
      <c r="D89">
        <v>0.29997562552852802</v>
      </c>
      <c r="E89">
        <v>110.900734897375</v>
      </c>
      <c r="F89">
        <v>1.8947091620598799</v>
      </c>
      <c r="G89">
        <v>-1827.2567018394532</v>
      </c>
      <c r="H89">
        <v>-1528.5138344768031</v>
      </c>
      <c r="I89">
        <v>297.21805758551898</v>
      </c>
      <c r="J89">
        <v>161.827420368985</v>
      </c>
      <c r="K89">
        <v>58.531798504001998</v>
      </c>
      <c r="L89">
        <v>9.775325411726217E-2</v>
      </c>
      <c r="M89">
        <v>-9.7274891467420285E-2</v>
      </c>
      <c r="N89">
        <v>5.6975135557608301</v>
      </c>
      <c r="O89">
        <v>5.69749949037866</v>
      </c>
      <c r="P89">
        <v>5.69748384401748</v>
      </c>
      <c r="Q89" t="s">
        <v>51</v>
      </c>
    </row>
    <row r="90" spans="1:17" x14ac:dyDescent="0.2">
      <c r="A90">
        <v>89</v>
      </c>
      <c r="B90">
        <v>730</v>
      </c>
      <c r="C90">
        <v>260</v>
      </c>
      <c r="D90">
        <v>0.29844041269999899</v>
      </c>
      <c r="E90">
        <v>110.900616635991</v>
      </c>
      <c r="F90">
        <v>1.89534426166005</v>
      </c>
      <c r="G90">
        <v>-1826.6609059091838</v>
      </c>
      <c r="H90">
        <v>-1529.0635830734466</v>
      </c>
      <c r="I90">
        <v>296.66872545170997</v>
      </c>
      <c r="J90">
        <v>161.922301329357</v>
      </c>
      <c r="K90">
        <v>58.512123037140697</v>
      </c>
      <c r="L90">
        <v>8.7393998593070524E-2</v>
      </c>
      <c r="M90">
        <v>-8.6912672056750698E-2</v>
      </c>
      <c r="N90">
        <v>5.08928983907321</v>
      </c>
      <c r="O90">
        <v>5.0892754509005798</v>
      </c>
      <c r="P90">
        <v>5.0892597240214199</v>
      </c>
      <c r="Q90" t="s">
        <v>51</v>
      </c>
    </row>
    <row r="91" spans="1:17" x14ac:dyDescent="0.2">
      <c r="A91">
        <v>90</v>
      </c>
      <c r="B91">
        <v>728</v>
      </c>
      <c r="C91">
        <v>260</v>
      </c>
      <c r="D91">
        <v>0.29689906607401501</v>
      </c>
      <c r="E91">
        <v>110.90048607092</v>
      </c>
      <c r="F91">
        <v>1.89624352617992</v>
      </c>
      <c r="G91">
        <v>-1826.0659522864141</v>
      </c>
      <c r="H91">
        <v>-1529.5586785012599</v>
      </c>
      <c r="I91">
        <v>296.17261887953401</v>
      </c>
      <c r="J91">
        <v>162.023455832916</v>
      </c>
      <c r="K91">
        <v>58.484305702197702</v>
      </c>
      <c r="L91">
        <v>7.9582519092367021E-2</v>
      </c>
      <c r="M91">
        <v>-7.9099126706428005E-2</v>
      </c>
      <c r="N91">
        <v>4.6299002601559502</v>
      </c>
      <c r="O91">
        <v>4.6298855775716996</v>
      </c>
      <c r="P91">
        <v>4.6298698017263797</v>
      </c>
      <c r="Q91" t="s">
        <v>51</v>
      </c>
    </row>
    <row r="92" spans="1:17" x14ac:dyDescent="0.2">
      <c r="A92">
        <v>91</v>
      </c>
      <c r="B92">
        <v>760</v>
      </c>
      <c r="C92">
        <v>250</v>
      </c>
      <c r="D92">
        <v>0.33149155495329902</v>
      </c>
      <c r="E92">
        <v>110.89149143540401</v>
      </c>
      <c r="F92">
        <v>1.93804371596074</v>
      </c>
      <c r="G92">
        <v>-1836.3613380560121</v>
      </c>
      <c r="H92">
        <v>-1508.6642588572231</v>
      </c>
      <c r="I92">
        <v>317.18508194024099</v>
      </c>
      <c r="J92">
        <v>161.718293865145</v>
      </c>
      <c r="K92">
        <v>57.218261137330799</v>
      </c>
      <c r="L92">
        <v>0.84336408577996991</v>
      </c>
      <c r="M92">
        <v>-0.84312528364424344</v>
      </c>
      <c r="N92">
        <v>48.244235345768899</v>
      </c>
      <c r="O92">
        <v>48.244230382121998</v>
      </c>
      <c r="P92">
        <v>48.244222116780897</v>
      </c>
      <c r="Q92" t="s">
        <v>51</v>
      </c>
    </row>
    <row r="93" spans="1:17" x14ac:dyDescent="0.2">
      <c r="A93">
        <v>92</v>
      </c>
      <c r="B93">
        <v>758</v>
      </c>
      <c r="C93">
        <v>250</v>
      </c>
      <c r="D93">
        <v>0.330059157251614</v>
      </c>
      <c r="E93">
        <v>110.891575421379</v>
      </c>
      <c r="F93">
        <v>1.93926065540168</v>
      </c>
      <c r="G93">
        <v>-1835.7286441136077</v>
      </c>
      <c r="H93">
        <v>-1509.0148130475998</v>
      </c>
      <c r="I93">
        <v>316.84674889280598</v>
      </c>
      <c r="J93">
        <v>161.72002958534901</v>
      </c>
      <c r="K93">
        <v>57.182398411733899</v>
      </c>
      <c r="L93">
        <v>0.84226118998045985</v>
      </c>
      <c r="M93">
        <v>-0.8420221830433342</v>
      </c>
      <c r="N93">
        <v>48.150912632994398</v>
      </c>
      <c r="O93">
        <v>48.150907510328302</v>
      </c>
      <c r="P93">
        <v>48.1508992420951</v>
      </c>
      <c r="Q93" t="s">
        <v>51</v>
      </c>
    </row>
    <row r="94" spans="1:17" x14ac:dyDescent="0.2">
      <c r="A94">
        <v>93</v>
      </c>
      <c r="B94">
        <v>756</v>
      </c>
      <c r="C94">
        <v>250</v>
      </c>
      <c r="D94">
        <v>0.32862119224602798</v>
      </c>
      <c r="E94">
        <v>110.89167008626001</v>
      </c>
      <c r="F94">
        <v>1.9404735165065701</v>
      </c>
      <c r="G94">
        <v>-1835.0968581461179</v>
      </c>
      <c r="H94">
        <v>-1509.4082820495421</v>
      </c>
      <c r="I94">
        <v>316.46629119835501</v>
      </c>
      <c r="J94">
        <v>161.73480208737399</v>
      </c>
      <c r="K94">
        <v>57.146706277083403</v>
      </c>
      <c r="L94">
        <v>0.83893197120819429</v>
      </c>
      <c r="M94">
        <v>-0.83869209211024842</v>
      </c>
      <c r="N94">
        <v>47.9305531884497</v>
      </c>
      <c r="O94">
        <v>47.930547890676998</v>
      </c>
      <c r="P94">
        <v>47.930539596722298</v>
      </c>
      <c r="Q94" t="s">
        <v>51</v>
      </c>
    </row>
    <row r="95" spans="1:17" x14ac:dyDescent="0.2">
      <c r="A95">
        <v>94</v>
      </c>
      <c r="B95">
        <v>754</v>
      </c>
      <c r="C95">
        <v>250</v>
      </c>
      <c r="D95">
        <v>0.32717762741566497</v>
      </c>
      <c r="E95">
        <v>110.89176549789499</v>
      </c>
      <c r="F95">
        <v>1.9416925412229</v>
      </c>
      <c r="G95">
        <v>-1834.4658449969497</v>
      </c>
      <c r="H95">
        <v>-1509.8011251606429</v>
      </c>
      <c r="I95">
        <v>316.08571349594899</v>
      </c>
      <c r="J95">
        <v>161.749398745138</v>
      </c>
      <c r="K95">
        <v>57.110877826236099</v>
      </c>
      <c r="L95">
        <v>0.83563771968776912</v>
      </c>
      <c r="M95">
        <v>-0.83539698901012682</v>
      </c>
      <c r="N95">
        <v>47.7123155415958</v>
      </c>
      <c r="O95">
        <v>47.712310066950302</v>
      </c>
      <c r="P95">
        <v>47.7123017482267</v>
      </c>
      <c r="Q95" t="s">
        <v>51</v>
      </c>
    </row>
    <row r="96" spans="1:17" x14ac:dyDescent="0.2">
      <c r="A96">
        <v>95</v>
      </c>
      <c r="B96">
        <v>752</v>
      </c>
      <c r="C96">
        <v>250</v>
      </c>
      <c r="D96">
        <v>0.32572842998585799</v>
      </c>
      <c r="E96">
        <v>110.891861663387</v>
      </c>
      <c r="F96">
        <v>1.9429176171171001</v>
      </c>
      <c r="G96">
        <v>-1833.8356050284413</v>
      </c>
      <c r="H96">
        <v>-1510.1933526754876</v>
      </c>
      <c r="I96">
        <v>315.70500539695399</v>
      </c>
      <c r="J96">
        <v>161.763816906725</v>
      </c>
      <c r="K96">
        <v>57.074916963246501</v>
      </c>
      <c r="L96">
        <v>0.83237783307703361</v>
      </c>
      <c r="M96">
        <v>-0.83213627123824652</v>
      </c>
      <c r="N96">
        <v>47.496166144655902</v>
      </c>
      <c r="O96">
        <v>47.496160491410798</v>
      </c>
      <c r="P96">
        <v>47.496152148869001</v>
      </c>
      <c r="Q96" t="s">
        <v>51</v>
      </c>
    </row>
    <row r="97" spans="1:17" x14ac:dyDescent="0.2">
      <c r="A97">
        <v>96</v>
      </c>
      <c r="B97">
        <v>750</v>
      </c>
      <c r="C97">
        <v>250</v>
      </c>
      <c r="D97">
        <v>0.324273566925672</v>
      </c>
      <c r="E97">
        <v>110.891958589918</v>
      </c>
      <c r="F97">
        <v>1.94414863310524</v>
      </c>
      <c r="G97">
        <v>-1833.2061386247967</v>
      </c>
      <c r="H97">
        <v>-1510.5849746616325</v>
      </c>
      <c r="I97">
        <v>315.32415667472299</v>
      </c>
      <c r="J97">
        <v>161.77805386358801</v>
      </c>
      <c r="K97">
        <v>57.038827536966302</v>
      </c>
      <c r="L97">
        <v>0.82915172209730281</v>
      </c>
      <c r="M97">
        <v>-0.82890934935666327</v>
      </c>
      <c r="N97">
        <v>47.282072157339996</v>
      </c>
      <c r="O97">
        <v>47.282066323808898</v>
      </c>
      <c r="P97">
        <v>47.2820579583978</v>
      </c>
      <c r="Q97" t="s">
        <v>51</v>
      </c>
    </row>
    <row r="98" spans="1:17" x14ac:dyDescent="0.2">
      <c r="A98">
        <v>97</v>
      </c>
      <c r="B98">
        <v>748</v>
      </c>
      <c r="C98">
        <v>250</v>
      </c>
      <c r="D98">
        <v>0.32281300494540499</v>
      </c>
      <c r="E98">
        <v>110.892056284737</v>
      </c>
      <c r="F98">
        <v>1.9453854794018499</v>
      </c>
      <c r="G98">
        <v>-1832.5774461915914</v>
      </c>
      <c r="H98">
        <v>-1510.9760009650176</v>
      </c>
      <c r="I98">
        <v>314.94315726040099</v>
      </c>
      <c r="J98">
        <v>161.79210685263601</v>
      </c>
      <c r="K98">
        <v>57.002613342643897</v>
      </c>
      <c r="L98">
        <v>0.8259588101803903</v>
      </c>
      <c r="M98">
        <v>-0.82571564664106967</v>
      </c>
      <c r="N98">
        <v>47.070001428670899</v>
      </c>
      <c r="O98">
        <v>47.069995413208403</v>
      </c>
      <c r="P98">
        <v>47.069987025875101</v>
      </c>
      <c r="Q98" t="s">
        <v>51</v>
      </c>
    </row>
    <row r="99" spans="1:17" x14ac:dyDescent="0.2">
      <c r="A99">
        <v>98</v>
      </c>
      <c r="B99">
        <v>746</v>
      </c>
      <c r="C99">
        <v>250</v>
      </c>
      <c r="D99">
        <v>0.32134671049404001</v>
      </c>
      <c r="E99">
        <v>110.89215475512999</v>
      </c>
      <c r="F99">
        <v>1.9466280474784701</v>
      </c>
      <c r="G99">
        <v>-1831.9495281549111</v>
      </c>
      <c r="H99">
        <v>-1511.3664412152048</v>
      </c>
      <c r="I99">
        <v>314.56199723848903</v>
      </c>
      <c r="J99">
        <v>161.80597305804</v>
      </c>
      <c r="K99">
        <v>56.9662781232255</v>
      </c>
      <c r="L99">
        <v>0.82279853311767226</v>
      </c>
      <c r="M99">
        <v>-0.8225545987297026</v>
      </c>
      <c r="N99">
        <v>46.859922478627396</v>
      </c>
      <c r="O99">
        <v>46.859916279630198</v>
      </c>
      <c r="P99">
        <v>46.859907871319997</v>
      </c>
      <c r="Q99" t="s">
        <v>51</v>
      </c>
    </row>
    <row r="100" spans="1:17" x14ac:dyDescent="0.2">
      <c r="A100">
        <v>99</v>
      </c>
      <c r="B100">
        <v>744</v>
      </c>
      <c r="C100">
        <v>250</v>
      </c>
      <c r="D100">
        <v>0.31987464975667701</v>
      </c>
      <c r="E100">
        <v>110.892252187316</v>
      </c>
      <c r="F100">
        <v>1.94516110302053</v>
      </c>
      <c r="G100">
        <v>-1831.322604723463</v>
      </c>
      <c r="H100">
        <v>-1512.1358959474733</v>
      </c>
      <c r="I100">
        <v>313.80778034318701</v>
      </c>
      <c r="J100">
        <v>161.85037380853001</v>
      </c>
      <c r="K100">
        <v>57.009289366890101</v>
      </c>
      <c r="L100">
        <v>0.80109585728229726</v>
      </c>
      <c r="M100">
        <v>-0.80084332207885278</v>
      </c>
      <c r="N100">
        <v>45.657620807645998</v>
      </c>
      <c r="O100">
        <v>45.657614245873603</v>
      </c>
      <c r="P100">
        <v>45.657605545712997</v>
      </c>
      <c r="Q100" t="s">
        <v>51</v>
      </c>
    </row>
    <row r="101" spans="1:17" x14ac:dyDescent="0.2">
      <c r="A101">
        <v>100</v>
      </c>
      <c r="B101">
        <v>742</v>
      </c>
      <c r="C101">
        <v>250</v>
      </c>
      <c r="D101">
        <v>0.318396788651924</v>
      </c>
      <c r="E101">
        <v>110.899889148101</v>
      </c>
      <c r="F101">
        <v>1.90038805303271</v>
      </c>
      <c r="G101">
        <v>-1830.8248571096951</v>
      </c>
      <c r="H101">
        <v>-1521.4604611620005</v>
      </c>
      <c r="I101">
        <v>304.75210913002098</v>
      </c>
      <c r="J101">
        <v>161.75444782384099</v>
      </c>
      <c r="K101">
        <v>58.356444080525101</v>
      </c>
      <c r="L101">
        <v>0.36611737067335687</v>
      </c>
      <c r="M101">
        <v>-0.36570730003025476</v>
      </c>
      <c r="N101">
        <v>21.344843444073099</v>
      </c>
      <c r="O101">
        <v>21.344832878366699</v>
      </c>
      <c r="P101">
        <v>21.344818665199298</v>
      </c>
      <c r="Q101" t="s">
        <v>51</v>
      </c>
    </row>
    <row r="102" spans="1:17" x14ac:dyDescent="0.2">
      <c r="A102">
        <v>101</v>
      </c>
      <c r="B102">
        <v>740</v>
      </c>
      <c r="C102">
        <v>250</v>
      </c>
      <c r="D102">
        <v>0.31691309282929903</v>
      </c>
      <c r="E102">
        <v>110.90145255363799</v>
      </c>
      <c r="F102">
        <v>1.8841905030342501</v>
      </c>
      <c r="G102">
        <v>-1830.2455398421737</v>
      </c>
      <c r="H102">
        <v>-1525.4152727561068</v>
      </c>
      <c r="I102">
        <v>300.87915186995701</v>
      </c>
      <c r="J102">
        <v>161.75306250882301</v>
      </c>
      <c r="K102">
        <v>58.858938294745499</v>
      </c>
      <c r="L102">
        <v>0.19561199457465694</v>
      </c>
      <c r="M102">
        <v>-0.19514093608701835</v>
      </c>
      <c r="N102">
        <v>11.489779431056199</v>
      </c>
      <c r="O102">
        <v>11.4897670552349</v>
      </c>
      <c r="P102">
        <v>11.4897506514629</v>
      </c>
      <c r="Q102" t="s">
        <v>51</v>
      </c>
    </row>
    <row r="103" spans="1:17" x14ac:dyDescent="0.2">
      <c r="A103">
        <v>102</v>
      </c>
      <c r="B103">
        <v>738</v>
      </c>
      <c r="C103">
        <v>250</v>
      </c>
      <c r="D103">
        <v>0.31542352766652099</v>
      </c>
      <c r="E103">
        <v>110.90132240000899</v>
      </c>
      <c r="F103">
        <v>1.88044544721012</v>
      </c>
      <c r="G103">
        <v>-1829.6433130309415</v>
      </c>
      <c r="H103">
        <v>-1526.8829324499043</v>
      </c>
      <c r="I103">
        <v>299.42744119999998</v>
      </c>
      <c r="J103">
        <v>161.803099898396</v>
      </c>
      <c r="K103">
        <v>58.976091310994903</v>
      </c>
      <c r="L103">
        <v>0.14250866507139495</v>
      </c>
      <c r="M103">
        <v>-0.14201914878803212</v>
      </c>
      <c r="N103">
        <v>8.3798702758528592</v>
      </c>
      <c r="O103">
        <v>8.3798571383576199</v>
      </c>
      <c r="P103">
        <v>8.3798400785364002</v>
      </c>
      <c r="Q103" t="s">
        <v>51</v>
      </c>
    </row>
    <row r="104" spans="1:17" x14ac:dyDescent="0.2">
      <c r="A104">
        <v>103</v>
      </c>
      <c r="B104">
        <v>736</v>
      </c>
      <c r="C104">
        <v>250</v>
      </c>
      <c r="D104">
        <v>0.31392805826685999</v>
      </c>
      <c r="E104">
        <v>110.901258281701</v>
      </c>
      <c r="F104">
        <v>1.8795220180732799</v>
      </c>
      <c r="G104">
        <v>-1829.0443408666415</v>
      </c>
      <c r="H104">
        <v>-1527.766950840685</v>
      </c>
      <c r="I104">
        <v>298.55143367200998</v>
      </c>
      <c r="J104">
        <v>161.873394436827</v>
      </c>
      <c r="K104">
        <v>59.005032777103402</v>
      </c>
      <c r="L104">
        <v>0.11667077769178215</v>
      </c>
      <c r="M104">
        <v>-0.11617261506798149</v>
      </c>
      <c r="N104">
        <v>6.8589610816333604</v>
      </c>
      <c r="O104">
        <v>6.8589474301135196</v>
      </c>
      <c r="P104">
        <v>6.8589300728788798</v>
      </c>
      <c r="Q104" t="s">
        <v>51</v>
      </c>
    </row>
    <row r="105" spans="1:17" x14ac:dyDescent="0.2">
      <c r="A105">
        <v>104</v>
      </c>
      <c r="B105">
        <v>734</v>
      </c>
      <c r="C105">
        <v>250</v>
      </c>
      <c r="D105">
        <v>0.31242664945638698</v>
      </c>
      <c r="E105">
        <v>110.901160233662</v>
      </c>
      <c r="F105">
        <v>1.87962356479375</v>
      </c>
      <c r="G105">
        <v>-1828.446336501094</v>
      </c>
      <c r="H105">
        <v>-1528.4398415695812</v>
      </c>
      <c r="I105">
        <v>297.88249413788901</v>
      </c>
      <c r="J105">
        <v>161.95367674959601</v>
      </c>
      <c r="K105">
        <v>59.001792864749099</v>
      </c>
      <c r="L105">
        <v>0.10065283285190034</v>
      </c>
      <c r="M105">
        <v>-0.10014957030912942</v>
      </c>
      <c r="N105">
        <v>5.9132202194222199</v>
      </c>
      <c r="O105">
        <v>5.9132061457215199</v>
      </c>
      <c r="P105">
        <v>5.9131886218059302</v>
      </c>
      <c r="Q105" t="s">
        <v>51</v>
      </c>
    </row>
    <row r="106" spans="1:17" x14ac:dyDescent="0.2">
      <c r="A106">
        <v>105</v>
      </c>
      <c r="B106">
        <v>732</v>
      </c>
      <c r="C106">
        <v>250</v>
      </c>
      <c r="D106">
        <v>0.31091926578122597</v>
      </c>
      <c r="E106">
        <v>110.901044373498</v>
      </c>
      <c r="F106">
        <v>1.8802358334111999</v>
      </c>
      <c r="G106">
        <v>-1827.8492680453485</v>
      </c>
      <c r="H106">
        <v>-1529.0072666419999</v>
      </c>
      <c r="I106">
        <v>297.31672764282399</v>
      </c>
      <c r="J106">
        <v>162.04164022650099</v>
      </c>
      <c r="K106">
        <v>58.982518257987003</v>
      </c>
      <c r="L106">
        <v>8.953191333488271E-2</v>
      </c>
      <c r="M106">
        <v>-8.9025322795729778E-2</v>
      </c>
      <c r="N106">
        <v>5.2551615234974101</v>
      </c>
      <c r="O106">
        <v>5.2551470755664598</v>
      </c>
      <c r="P106">
        <v>5.2551294507459101</v>
      </c>
      <c r="Q106" t="s">
        <v>51</v>
      </c>
    </row>
    <row r="107" spans="1:17" x14ac:dyDescent="0.2">
      <c r="A107">
        <v>106</v>
      </c>
      <c r="B107">
        <v>730</v>
      </c>
      <c r="C107">
        <v>250</v>
      </c>
      <c r="D107">
        <v>0.30940587150476501</v>
      </c>
      <c r="E107">
        <v>110.90091714881601</v>
      </c>
      <c r="F107">
        <v>1.8811440321875501</v>
      </c>
      <c r="G107">
        <v>-1827.2530829072405</v>
      </c>
      <c r="H107">
        <v>-1529.5135298008099</v>
      </c>
      <c r="I107">
        <v>296.81054319978</v>
      </c>
      <c r="J107">
        <v>162.136472073313</v>
      </c>
      <c r="K107">
        <v>58.953974417286503</v>
      </c>
      <c r="L107">
        <v>8.1249775388483006E-2</v>
      </c>
      <c r="M107">
        <v>-8.0740887113677703E-2</v>
      </c>
      <c r="N107">
        <v>4.7642184178558402</v>
      </c>
      <c r="O107">
        <v>4.7642036254574203</v>
      </c>
      <c r="P107">
        <v>4.7641859382811802</v>
      </c>
      <c r="Q107" t="s">
        <v>51</v>
      </c>
    </row>
    <row r="108" spans="1:17" x14ac:dyDescent="0.2">
      <c r="A108">
        <v>107</v>
      </c>
      <c r="B108">
        <v>760</v>
      </c>
      <c r="C108">
        <v>240</v>
      </c>
      <c r="D108">
        <v>0.34213860523641398</v>
      </c>
      <c r="E108">
        <v>110.89161102214899</v>
      </c>
      <c r="F108">
        <v>1.9230430278905399</v>
      </c>
      <c r="G108">
        <v>-1836.9376541292445</v>
      </c>
      <c r="H108">
        <v>-1509.0492219921716</v>
      </c>
      <c r="I108">
        <v>317.37038303609899</v>
      </c>
      <c r="J108">
        <v>162.04908877232199</v>
      </c>
      <c r="K108">
        <v>57.664654099700797</v>
      </c>
      <c r="L108">
        <v>0.8354495396266185</v>
      </c>
      <c r="M108">
        <v>-0.8351888864249708</v>
      </c>
      <c r="N108">
        <v>48.163234687915001</v>
      </c>
      <c r="O108">
        <v>48.163229814551499</v>
      </c>
      <c r="P108">
        <v>48.163220240137399</v>
      </c>
      <c r="Q108" t="s">
        <v>51</v>
      </c>
    </row>
    <row r="109" spans="1:17" x14ac:dyDescent="0.2">
      <c r="A109">
        <v>108</v>
      </c>
      <c r="B109">
        <v>758</v>
      </c>
      <c r="C109">
        <v>240</v>
      </c>
      <c r="D109">
        <v>0.34072685836202499</v>
      </c>
      <c r="E109">
        <v>110.89169602432899</v>
      </c>
      <c r="F109">
        <v>1.92430047642451</v>
      </c>
      <c r="G109">
        <v>-1836.3046090563801</v>
      </c>
      <c r="H109">
        <v>-1509.4027035443439</v>
      </c>
      <c r="I109">
        <v>317.02923026806798</v>
      </c>
      <c r="J109">
        <v>162.05356030511101</v>
      </c>
      <c r="K109">
        <v>57.627016873359501</v>
      </c>
      <c r="L109">
        <v>0.83425229079022745</v>
      </c>
      <c r="M109">
        <v>-0.83399139096278962</v>
      </c>
      <c r="N109">
        <v>48.0627833081139</v>
      </c>
      <c r="O109">
        <v>48.062778251107503</v>
      </c>
      <c r="P109">
        <v>48.0627686710463</v>
      </c>
      <c r="Q109" t="s">
        <v>51</v>
      </c>
    </row>
    <row r="110" spans="1:17" x14ac:dyDescent="0.2">
      <c r="A110">
        <v>109</v>
      </c>
      <c r="B110">
        <v>756</v>
      </c>
      <c r="C110">
        <v>240</v>
      </c>
      <c r="D110">
        <v>0.33930962444735902</v>
      </c>
      <c r="E110">
        <v>110.891791033647</v>
      </c>
      <c r="F110">
        <v>1.92554947042313</v>
      </c>
      <c r="G110">
        <v>-1835.6724633853482</v>
      </c>
      <c r="H110">
        <v>-1509.7954468069174</v>
      </c>
      <c r="I110">
        <v>316.64948249068402</v>
      </c>
      <c r="J110">
        <v>162.06985904349</v>
      </c>
      <c r="K110">
        <v>57.589686859241901</v>
      </c>
      <c r="L110">
        <v>0.83101614165724602</v>
      </c>
      <c r="M110">
        <v>-0.83075435969578404</v>
      </c>
      <c r="N110">
        <v>47.845227490410402</v>
      </c>
      <c r="O110">
        <v>47.845222235237301</v>
      </c>
      <c r="P110">
        <v>47.845212626446902</v>
      </c>
      <c r="Q110" t="s">
        <v>51</v>
      </c>
    </row>
    <row r="111" spans="1:17" x14ac:dyDescent="0.2">
      <c r="A111">
        <v>110</v>
      </c>
      <c r="B111">
        <v>754</v>
      </c>
      <c r="C111">
        <v>240</v>
      </c>
      <c r="D111">
        <v>0.33788687144039198</v>
      </c>
      <c r="E111">
        <v>110.89188679228999</v>
      </c>
      <c r="F111">
        <v>1.9268048811462399</v>
      </c>
      <c r="G111">
        <v>-1835.0410891790102</v>
      </c>
      <c r="H111">
        <v>-1510.1875863994251</v>
      </c>
      <c r="I111">
        <v>316.26959452646201</v>
      </c>
      <c r="J111">
        <v>162.08600189934199</v>
      </c>
      <c r="K111">
        <v>57.552213966949203</v>
      </c>
      <c r="L111">
        <v>0.82781379490724594</v>
      </c>
      <c r="M111">
        <v>-0.82755115213258479</v>
      </c>
      <c r="N111">
        <v>47.6297414965874</v>
      </c>
      <c r="O111">
        <v>47.629736041049597</v>
      </c>
      <c r="P111">
        <v>47.629726404580097</v>
      </c>
      <c r="Q111" t="s">
        <v>51</v>
      </c>
    </row>
    <row r="112" spans="1:17" x14ac:dyDescent="0.2">
      <c r="A112">
        <v>111</v>
      </c>
      <c r="B112">
        <v>752</v>
      </c>
      <c r="C112">
        <v>240</v>
      </c>
      <c r="D112">
        <v>0.33645856703896998</v>
      </c>
      <c r="E112">
        <v>110.891983307334</v>
      </c>
      <c r="F112">
        <v>1.9280665922698399</v>
      </c>
      <c r="G112">
        <v>-1834.4104868393831</v>
      </c>
      <c r="H112">
        <v>-1510.579132249909</v>
      </c>
      <c r="I112">
        <v>315.88955626482198</v>
      </c>
      <c r="J112">
        <v>162.101985648262</v>
      </c>
      <c r="K112">
        <v>57.514602323348697</v>
      </c>
      <c r="L112">
        <v>0.82464467061456592</v>
      </c>
      <c r="M112">
        <v>-0.82438118820179118</v>
      </c>
      <c r="N112">
        <v>47.416292941602798</v>
      </c>
      <c r="O112">
        <v>47.416287283546303</v>
      </c>
      <c r="P112">
        <v>47.4162776204479</v>
      </c>
      <c r="Q112" t="s">
        <v>51</v>
      </c>
    </row>
    <row r="113" spans="1:17" x14ac:dyDescent="0.2">
      <c r="A113">
        <v>112</v>
      </c>
      <c r="B113">
        <v>750</v>
      </c>
      <c r="C113">
        <v>240</v>
      </c>
      <c r="D113">
        <v>0.335024678688366</v>
      </c>
      <c r="E113">
        <v>110.892080585955</v>
      </c>
      <c r="F113">
        <v>1.9293344887230801</v>
      </c>
      <c r="G113">
        <v>-1833.780656790196</v>
      </c>
      <c r="H113">
        <v>-1510.9700940686846</v>
      </c>
      <c r="I113">
        <v>315.50935775010402</v>
      </c>
      <c r="J113">
        <v>162.11780700626801</v>
      </c>
      <c r="K113">
        <v>57.476856000925103</v>
      </c>
      <c r="L113">
        <v>0.82150820129884383</v>
      </c>
      <c r="M113">
        <v>-0.82124390028031391</v>
      </c>
      <c r="N113">
        <v>47.2048501180073</v>
      </c>
      <c r="O113">
        <v>47.2048442553236</v>
      </c>
      <c r="P113">
        <v>47.204834566646603</v>
      </c>
      <c r="Q113" t="s">
        <v>51</v>
      </c>
    </row>
    <row r="114" spans="1:17" x14ac:dyDescent="0.2">
      <c r="A114">
        <v>113</v>
      </c>
      <c r="B114">
        <v>748</v>
      </c>
      <c r="C114">
        <v>240</v>
      </c>
      <c r="D114">
        <v>0.33358517357881101</v>
      </c>
      <c r="E114">
        <v>110.8921786354</v>
      </c>
      <c r="F114">
        <v>1.9306084566461601</v>
      </c>
      <c r="G114">
        <v>-1833.1515994760161</v>
      </c>
      <c r="H114">
        <v>-1511.360481353616</v>
      </c>
      <c r="I114">
        <v>315.12898917707201</v>
      </c>
      <c r="J114">
        <v>162.133462631756</v>
      </c>
      <c r="K114">
        <v>57.4389790191019</v>
      </c>
      <c r="L114">
        <v>0.81840383157257035</v>
      </c>
      <c r="M114">
        <v>-0.81813873284075322</v>
      </c>
      <c r="N114">
        <v>46.995381977413203</v>
      </c>
      <c r="O114">
        <v>46.995375908039897</v>
      </c>
      <c r="P114">
        <v>46.995366194834901</v>
      </c>
      <c r="Q114" t="s">
        <v>51</v>
      </c>
    </row>
    <row r="115" spans="1:17" x14ac:dyDescent="0.2">
      <c r="A115">
        <v>114</v>
      </c>
      <c r="B115">
        <v>746</v>
      </c>
      <c r="C115">
        <v>240</v>
      </c>
      <c r="D115">
        <v>0.33214001864298798</v>
      </c>
      <c r="E115">
        <v>110.89227531341</v>
      </c>
      <c r="F115">
        <v>1.9288605632103599</v>
      </c>
      <c r="G115">
        <v>-1832.5235902680633</v>
      </c>
      <c r="H115">
        <v>-1512.1721205411964</v>
      </c>
      <c r="I115">
        <v>314.33491497887701</v>
      </c>
      <c r="J115">
        <v>162.175816967873</v>
      </c>
      <c r="K115">
        <v>57.491079152368997</v>
      </c>
      <c r="L115">
        <v>0.79480780922007332</v>
      </c>
      <c r="M115">
        <v>-0.7945329845423732</v>
      </c>
      <c r="N115">
        <v>45.680963044439899</v>
      </c>
      <c r="O115">
        <v>45.680956582129802</v>
      </c>
      <c r="P115">
        <v>45.680946514433003</v>
      </c>
      <c r="Q115" t="s">
        <v>51</v>
      </c>
    </row>
    <row r="116" spans="1:17" x14ac:dyDescent="0.2">
      <c r="A116">
        <v>115</v>
      </c>
      <c r="B116">
        <v>744</v>
      </c>
      <c r="C116">
        <v>240</v>
      </c>
      <c r="D116">
        <v>0.33068918055350899</v>
      </c>
      <c r="E116">
        <v>110.89894275061999</v>
      </c>
      <c r="F116">
        <v>1.89492246286627</v>
      </c>
      <c r="G116">
        <v>-1832.0060777888666</v>
      </c>
      <c r="H116">
        <v>-1519.2347746701425</v>
      </c>
      <c r="I116">
        <v>307.501949356311</v>
      </c>
      <c r="J116">
        <v>162.047179649067</v>
      </c>
      <c r="K116">
        <v>58.524264144757801</v>
      </c>
      <c r="L116">
        <v>0.4692932409299943</v>
      </c>
      <c r="M116">
        <v>-0.46889613261660612</v>
      </c>
      <c r="N116">
        <v>27.445298854205401</v>
      </c>
      <c r="O116">
        <v>27.445289489032799</v>
      </c>
      <c r="P116">
        <v>27.445274872117999</v>
      </c>
      <c r="Q116" t="s">
        <v>51</v>
      </c>
    </row>
    <row r="117" spans="1:17" x14ac:dyDescent="0.2">
      <c r="A117">
        <v>116</v>
      </c>
      <c r="B117">
        <v>742</v>
      </c>
      <c r="C117">
        <v>240</v>
      </c>
      <c r="D117">
        <v>0.32923262572033701</v>
      </c>
      <c r="E117">
        <v>110.901708361009</v>
      </c>
      <c r="F117">
        <v>1.86941851151292</v>
      </c>
      <c r="G117">
        <v>-1831.4433167281193</v>
      </c>
      <c r="H117">
        <v>-1525.0076400621065</v>
      </c>
      <c r="I117">
        <v>301.86776709857799</v>
      </c>
      <c r="J117">
        <v>161.934182699377</v>
      </c>
      <c r="K117">
        <v>59.324173628331401</v>
      </c>
      <c r="L117">
        <v>0.21300446559886735</v>
      </c>
      <c r="M117">
        <v>-0.21251232189514638</v>
      </c>
      <c r="N117">
        <v>12.6114797425532</v>
      </c>
      <c r="O117">
        <v>12.611467884767</v>
      </c>
      <c r="P117">
        <v>12.611449630042401</v>
      </c>
      <c r="Q117" t="s">
        <v>51</v>
      </c>
    </row>
    <row r="118" spans="1:17" x14ac:dyDescent="0.2">
      <c r="A118">
        <v>117</v>
      </c>
      <c r="B118">
        <v>740</v>
      </c>
      <c r="C118">
        <v>240</v>
      </c>
      <c r="D118">
        <v>0.32777032028821201</v>
      </c>
      <c r="E118">
        <v>110.901740230119</v>
      </c>
      <c r="F118">
        <v>1.8646285452918301</v>
      </c>
      <c r="G118">
        <v>-1830.8419590767762</v>
      </c>
      <c r="H118">
        <v>-1526.6887732384985</v>
      </c>
      <c r="I118">
        <v>300.21106575840503</v>
      </c>
      <c r="J118">
        <v>161.95990041639999</v>
      </c>
      <c r="K118">
        <v>59.4765861061951</v>
      </c>
      <c r="L118">
        <v>0.15018517518416605</v>
      </c>
      <c r="M118">
        <v>-0.14967032991067714</v>
      </c>
      <c r="N118">
        <v>8.9064326567832399</v>
      </c>
      <c r="O118">
        <v>8.9064199289623804</v>
      </c>
      <c r="P118">
        <v>8.9064008050390306</v>
      </c>
      <c r="Q118" t="s">
        <v>51</v>
      </c>
    </row>
    <row r="119" spans="1:17" x14ac:dyDescent="0.2">
      <c r="A119">
        <v>118</v>
      </c>
      <c r="B119">
        <v>738</v>
      </c>
      <c r="C119">
        <v>240</v>
      </c>
      <c r="D119">
        <v>0.326302230134007</v>
      </c>
      <c r="E119">
        <v>110.901673703821</v>
      </c>
      <c r="F119">
        <v>1.86339218692311</v>
      </c>
      <c r="G119">
        <v>-1830.2414634649781</v>
      </c>
      <c r="H119">
        <v>-1527.647589307265</v>
      </c>
      <c r="I119">
        <v>299.26287340546901</v>
      </c>
      <c r="J119">
        <v>162.01746653936101</v>
      </c>
      <c r="K119">
        <v>59.5160130444389</v>
      </c>
      <c r="L119">
        <v>0.1210096272333704</v>
      </c>
      <c r="M119">
        <v>-0.12048460547242965</v>
      </c>
      <c r="N119">
        <v>7.1753874952598498</v>
      </c>
      <c r="O119">
        <v>7.17537418534764</v>
      </c>
      <c r="P119">
        <v>7.1753546810897699</v>
      </c>
      <c r="Q119" t="s">
        <v>51</v>
      </c>
    </row>
    <row r="120" spans="1:17" x14ac:dyDescent="0.2">
      <c r="A120">
        <v>119</v>
      </c>
      <c r="B120">
        <v>736</v>
      </c>
      <c r="C120">
        <v>240</v>
      </c>
      <c r="D120">
        <v>0.32482832086409602</v>
      </c>
      <c r="E120">
        <v>110.901575262164</v>
      </c>
      <c r="F120">
        <v>1.86338804551749</v>
      </c>
      <c r="G120">
        <v>-1829.6420651498579</v>
      </c>
      <c r="H120">
        <v>-1528.354242404055</v>
      </c>
      <c r="I120">
        <v>298.561837020327</v>
      </c>
      <c r="J120">
        <v>162.08936442406201</v>
      </c>
      <c r="K120">
        <v>59.516092490206503</v>
      </c>
      <c r="L120">
        <v>0.10351842361496667</v>
      </c>
      <c r="M120">
        <v>-0.10298757859462253</v>
      </c>
      <c r="N120">
        <v>6.1340726580129701</v>
      </c>
      <c r="O120">
        <v>6.13405886808094</v>
      </c>
      <c r="P120">
        <v>6.1340391547925197</v>
      </c>
      <c r="Q120" t="s">
        <v>51</v>
      </c>
    </row>
    <row r="121" spans="1:17" x14ac:dyDescent="0.2">
      <c r="A121">
        <v>120</v>
      </c>
      <c r="B121">
        <v>734</v>
      </c>
      <c r="C121">
        <v>240</v>
      </c>
      <c r="D121">
        <v>0.32334855781164801</v>
      </c>
      <c r="E121">
        <v>110.901460759689</v>
      </c>
      <c r="F121">
        <v>1.86397184102736</v>
      </c>
      <c r="G121">
        <v>-1829.0436783968835</v>
      </c>
      <c r="H121">
        <v>-1528.9402263954528</v>
      </c>
      <c r="I121">
        <v>297.978809448383</v>
      </c>
      <c r="J121">
        <v>162.170743455441</v>
      </c>
      <c r="K121">
        <v>59.497390635775197</v>
      </c>
      <c r="L121">
        <v>9.160641418219713E-2</v>
      </c>
      <c r="M121">
        <v>-9.107182869405285E-2</v>
      </c>
      <c r="N121">
        <v>5.4232009624461304</v>
      </c>
      <c r="O121">
        <v>5.4231867430398699</v>
      </c>
      <c r="P121">
        <v>5.4231669032606904</v>
      </c>
      <c r="Q121" t="s">
        <v>51</v>
      </c>
    </row>
    <row r="122" spans="1:17" x14ac:dyDescent="0.2">
      <c r="A122">
        <v>121</v>
      </c>
      <c r="B122">
        <v>732</v>
      </c>
      <c r="C122">
        <v>240</v>
      </c>
      <c r="D122">
        <v>0.32186290603392398</v>
      </c>
      <c r="E122">
        <v>110.901336157872</v>
      </c>
      <c r="F122">
        <v>1.86488767173619</v>
      </c>
      <c r="G122">
        <v>-1828.4462223259472</v>
      </c>
      <c r="H122">
        <v>-1529.4579995138533</v>
      </c>
      <c r="I122">
        <v>297.46223554771097</v>
      </c>
      <c r="J122">
        <v>162.259805308582</v>
      </c>
      <c r="K122">
        <v>59.468105151139703</v>
      </c>
      <c r="L122">
        <v>8.2845895249947371E-2</v>
      </c>
      <c r="M122">
        <v>-8.2308749665083294E-2</v>
      </c>
      <c r="N122">
        <v>4.8994093219191699</v>
      </c>
      <c r="O122">
        <v>4.8993947033075997</v>
      </c>
      <c r="P122">
        <v>4.8993747841840101</v>
      </c>
      <c r="Q122" t="s">
        <v>51</v>
      </c>
    </row>
    <row r="123" spans="1:17" x14ac:dyDescent="0.2">
      <c r="A123">
        <v>122</v>
      </c>
      <c r="B123">
        <v>760</v>
      </c>
      <c r="C123">
        <v>230</v>
      </c>
      <c r="D123">
        <v>0.35278565551952901</v>
      </c>
      <c r="E123">
        <v>110.89173119247801</v>
      </c>
      <c r="F123">
        <v>1.9070832601850201</v>
      </c>
      <c r="G123">
        <v>-1837.5186203510975</v>
      </c>
      <c r="H123">
        <v>-1509.428335631128</v>
      </c>
      <c r="I123">
        <v>317.56584648606997</v>
      </c>
      <c r="J123">
        <v>162.382054914842</v>
      </c>
      <c r="K123">
        <v>58.147294094396301</v>
      </c>
      <c r="L123">
        <v>0.82712904576696056</v>
      </c>
      <c r="M123">
        <v>-0.82684409965317041</v>
      </c>
      <c r="N123">
        <v>48.081437240175198</v>
      </c>
      <c r="O123">
        <v>48.081432663068199</v>
      </c>
      <c r="P123">
        <v>48.081421536677901</v>
      </c>
      <c r="Q123" t="s">
        <v>51</v>
      </c>
    </row>
    <row r="124" spans="1:17" x14ac:dyDescent="0.2">
      <c r="A124">
        <v>123</v>
      </c>
      <c r="B124">
        <v>758</v>
      </c>
      <c r="C124">
        <v>230</v>
      </c>
      <c r="D124">
        <v>0.35139455947243498</v>
      </c>
      <c r="E124">
        <v>110.891817589791</v>
      </c>
      <c r="F124">
        <v>1.9083846722480999</v>
      </c>
      <c r="G124">
        <v>-1836.8852115914169</v>
      </c>
      <c r="H124">
        <v>-1509.7862484814111</v>
      </c>
      <c r="I124">
        <v>317.22042325076001</v>
      </c>
      <c r="J124">
        <v>162.38992803500099</v>
      </c>
      <c r="K124">
        <v>58.107686150695599</v>
      </c>
      <c r="L124">
        <v>0.82576211646385955</v>
      </c>
      <c r="M124">
        <v>-0.82547684893090356</v>
      </c>
      <c r="N124">
        <v>47.969229738156699</v>
      </c>
      <c r="O124">
        <v>47.969224948912299</v>
      </c>
      <c r="P124">
        <v>47.9692138120419</v>
      </c>
      <c r="Q124" t="s">
        <v>51</v>
      </c>
    </row>
    <row r="125" spans="1:17" x14ac:dyDescent="0.2">
      <c r="A125">
        <v>124</v>
      </c>
      <c r="B125">
        <v>756</v>
      </c>
      <c r="C125">
        <v>230</v>
      </c>
      <c r="D125">
        <v>0.34999805664869299</v>
      </c>
      <c r="E125">
        <v>110.891912933165</v>
      </c>
      <c r="F125">
        <v>1.9096742363789501</v>
      </c>
      <c r="G125">
        <v>-1836.2526885917825</v>
      </c>
      <c r="H125">
        <v>-1510.1782281406163</v>
      </c>
      <c r="I125">
        <v>316.84142196198798</v>
      </c>
      <c r="J125">
        <v>162.407976356864</v>
      </c>
      <c r="K125">
        <v>58.068497139823002</v>
      </c>
      <c r="L125">
        <v>0.82262448720664261</v>
      </c>
      <c r="M125">
        <v>-0.8223383238723242</v>
      </c>
      <c r="N125">
        <v>47.754626025588699</v>
      </c>
      <c r="O125">
        <v>47.754621011796701</v>
      </c>
      <c r="P125">
        <v>47.754609842261601</v>
      </c>
      <c r="Q125" t="s">
        <v>51</v>
      </c>
    </row>
    <row r="126" spans="1:17" x14ac:dyDescent="0.2">
      <c r="A126">
        <v>125</v>
      </c>
      <c r="B126">
        <v>754</v>
      </c>
      <c r="C126">
        <v>230</v>
      </c>
      <c r="D126">
        <v>0.34859611546511998</v>
      </c>
      <c r="E126">
        <v>110.892009028305</v>
      </c>
      <c r="F126">
        <v>1.91097051999028</v>
      </c>
      <c r="G126">
        <v>-1835.6209356291495</v>
      </c>
      <c r="H126">
        <v>-1510.5696275976575</v>
      </c>
      <c r="I126">
        <v>316.46225916346299</v>
      </c>
      <c r="J126">
        <v>162.4258911899</v>
      </c>
      <c r="K126">
        <v>58.029157367047901</v>
      </c>
      <c r="L126">
        <v>0.81951946472198889</v>
      </c>
      <c r="M126">
        <v>-0.81923242774461835</v>
      </c>
      <c r="N126">
        <v>47.542037961714499</v>
      </c>
      <c r="O126">
        <v>47.542032720611701</v>
      </c>
      <c r="P126">
        <v>47.542021519568401</v>
      </c>
      <c r="Q126" t="s">
        <v>51</v>
      </c>
    </row>
    <row r="127" spans="1:17" x14ac:dyDescent="0.2">
      <c r="A127">
        <v>126</v>
      </c>
      <c r="B127">
        <v>752</v>
      </c>
      <c r="C127">
        <v>230</v>
      </c>
      <c r="D127">
        <v>0.34718870409208602</v>
      </c>
      <c r="E127">
        <v>110.89210588231499</v>
      </c>
      <c r="F127">
        <v>1.9122734031495301</v>
      </c>
      <c r="G127">
        <v>-1834.9899531484459</v>
      </c>
      <c r="H127">
        <v>-1510.9604564144229</v>
      </c>
      <c r="I127">
        <v>316.08292501873001</v>
      </c>
      <c r="J127">
        <v>162.44366865541599</v>
      </c>
      <c r="K127">
        <v>57.989671194335997</v>
      </c>
      <c r="L127">
        <v>0.81644649189969998</v>
      </c>
      <c r="M127">
        <v>-0.81615860331423262</v>
      </c>
      <c r="N127">
        <v>47.331434351804901</v>
      </c>
      <c r="O127">
        <v>47.331428880675901</v>
      </c>
      <c r="P127">
        <v>47.331417649283701</v>
      </c>
      <c r="Q127" t="s">
        <v>51</v>
      </c>
    </row>
    <row r="128" spans="1:17" x14ac:dyDescent="0.2">
      <c r="A128">
        <v>127</v>
      </c>
      <c r="B128">
        <v>750</v>
      </c>
      <c r="C128">
        <v>230</v>
      </c>
      <c r="D128">
        <v>0.34577579045105999</v>
      </c>
      <c r="E128">
        <v>110.892203502423</v>
      </c>
      <c r="F128">
        <v>1.9135827670699701</v>
      </c>
      <c r="G128">
        <v>-1834.3597416160999</v>
      </c>
      <c r="H128">
        <v>-1511.3507239448588</v>
      </c>
      <c r="I128">
        <v>315.70340983863503</v>
      </c>
      <c r="J128">
        <v>162.461304807744</v>
      </c>
      <c r="K128">
        <v>57.950042930318702</v>
      </c>
      <c r="L128">
        <v>0.81340502341968068</v>
      </c>
      <c r="M128">
        <v>-0.81311630514045496</v>
      </c>
      <c r="N128">
        <v>47.122784646862399</v>
      </c>
      <c r="O128">
        <v>47.122778943041702</v>
      </c>
      <c r="P128">
        <v>47.122767682462701</v>
      </c>
      <c r="Q128" t="s">
        <v>51</v>
      </c>
    </row>
    <row r="129" spans="1:17" x14ac:dyDescent="0.2">
      <c r="A129">
        <v>128</v>
      </c>
      <c r="B129">
        <v>748</v>
      </c>
      <c r="C129">
        <v>230</v>
      </c>
      <c r="D129">
        <v>0.34435734221221198</v>
      </c>
      <c r="E129">
        <v>110.892299275776</v>
      </c>
      <c r="F129">
        <v>1.91143418767957</v>
      </c>
      <c r="G129">
        <v>-1833.7306606902132</v>
      </c>
      <c r="H129">
        <v>-1512.2192533257919</v>
      </c>
      <c r="I129">
        <v>314.85526442811198</v>
      </c>
      <c r="J129">
        <v>162.50121018557999</v>
      </c>
      <c r="K129">
        <v>58.0152327454161</v>
      </c>
      <c r="L129">
        <v>0.78722667485162612</v>
      </c>
      <c r="M129">
        <v>-0.78692670239243667</v>
      </c>
      <c r="N129">
        <v>45.656488731463703</v>
      </c>
      <c r="O129">
        <v>45.656482605667499</v>
      </c>
      <c r="P129">
        <v>45.656470903511099</v>
      </c>
      <c r="Q129" t="s">
        <v>51</v>
      </c>
    </row>
    <row r="130" spans="1:17" x14ac:dyDescent="0.2">
      <c r="A130">
        <v>129</v>
      </c>
      <c r="B130">
        <v>746</v>
      </c>
      <c r="C130">
        <v>230</v>
      </c>
      <c r="D130">
        <v>0.342933326791936</v>
      </c>
      <c r="E130">
        <v>110.89235978588199</v>
      </c>
      <c r="F130">
        <v>1.9045210994798101</v>
      </c>
      <c r="G130">
        <v>-1833.1029785888866</v>
      </c>
      <c r="H130">
        <v>-1513.960456102529</v>
      </c>
      <c r="I130">
        <v>313.14905884521801</v>
      </c>
      <c r="J130">
        <v>162.529032691059</v>
      </c>
      <c r="K130">
        <v>58.225849961005999</v>
      </c>
      <c r="L130">
        <v>0.71672822199737474</v>
      </c>
      <c r="M130">
        <v>-0.7163999850252375</v>
      </c>
      <c r="N130">
        <v>41.716003020292099</v>
      </c>
      <c r="O130">
        <v>41.715996132109602</v>
      </c>
      <c r="P130">
        <v>41.715983318944502</v>
      </c>
      <c r="Q130" t="s">
        <v>51</v>
      </c>
    </row>
    <row r="131" spans="1:17" x14ac:dyDescent="0.2">
      <c r="A131">
        <v>130</v>
      </c>
      <c r="B131">
        <v>744</v>
      </c>
      <c r="C131">
        <v>230</v>
      </c>
      <c r="D131">
        <v>0.34150371135034502</v>
      </c>
      <c r="E131">
        <v>110.90193471090799</v>
      </c>
      <c r="F131">
        <v>1.8536301830409601</v>
      </c>
      <c r="G131">
        <v>-1832.6474984078825</v>
      </c>
      <c r="H131">
        <v>-1524.5446636033937</v>
      </c>
      <c r="I131">
        <v>302.91319673254299</v>
      </c>
      <c r="J131">
        <v>162.13054637674199</v>
      </c>
      <c r="K131">
        <v>59.829590457449598</v>
      </c>
      <c r="L131">
        <v>0.23216849213095642</v>
      </c>
      <c r="M131">
        <v>-0.23165344458063147</v>
      </c>
      <c r="N131">
        <v>13.864519332664701</v>
      </c>
      <c r="O131">
        <v>13.864508384953</v>
      </c>
      <c r="P131">
        <v>13.8644880057735</v>
      </c>
      <c r="Q131" t="s">
        <v>51</v>
      </c>
    </row>
    <row r="132" spans="1:17" x14ac:dyDescent="0.2">
      <c r="A132">
        <v>131</v>
      </c>
      <c r="B132">
        <v>742</v>
      </c>
      <c r="C132">
        <v>230</v>
      </c>
      <c r="D132">
        <v>0.34006846278875003</v>
      </c>
      <c r="E132">
        <v>110.90215398773201</v>
      </c>
      <c r="F132">
        <v>1.8475609298918401</v>
      </c>
      <c r="G132">
        <v>-1832.0473748494035</v>
      </c>
      <c r="H132">
        <v>-1526.4754920641587</v>
      </c>
      <c r="I132">
        <v>301.01710781116401</v>
      </c>
      <c r="J132">
        <v>162.12513162188901</v>
      </c>
      <c r="K132">
        <v>60.026249848346801</v>
      </c>
      <c r="L132">
        <v>0.15804184499588009</v>
      </c>
      <c r="M132">
        <v>-0.15749890225439772</v>
      </c>
      <c r="N132">
        <v>9.4591074484349402</v>
      </c>
      <c r="O132">
        <v>9.4590955342917393</v>
      </c>
      <c r="P132">
        <v>9.4590740039284906</v>
      </c>
      <c r="Q132" t="s">
        <v>51</v>
      </c>
    </row>
    <row r="133" spans="1:17" x14ac:dyDescent="0.2">
      <c r="A133">
        <v>132</v>
      </c>
      <c r="B133">
        <v>740</v>
      </c>
      <c r="C133">
        <v>230</v>
      </c>
      <c r="D133">
        <v>0.33862754774713</v>
      </c>
      <c r="E133">
        <v>110.90208111444601</v>
      </c>
      <c r="F133">
        <v>1.8459588569377301</v>
      </c>
      <c r="G133">
        <v>-1831.4452557277134</v>
      </c>
      <c r="H133">
        <v>-1527.5162945227178</v>
      </c>
      <c r="I133">
        <v>299.98986647626299</v>
      </c>
      <c r="J133">
        <v>162.16826281697001</v>
      </c>
      <c r="K133">
        <v>60.078306023798397</v>
      </c>
      <c r="L133">
        <v>0.12523666094853239</v>
      </c>
      <c r="M133">
        <v>-0.12468176917535553</v>
      </c>
      <c r="N133">
        <v>7.4957997850480798</v>
      </c>
      <c r="O133">
        <v>7.49578722456957</v>
      </c>
      <c r="P133">
        <v>7.4957652088771196</v>
      </c>
      <c r="Q133" t="s">
        <v>51</v>
      </c>
    </row>
    <row r="134" spans="1:17" x14ac:dyDescent="0.2">
      <c r="A134">
        <v>133</v>
      </c>
      <c r="B134">
        <v>738</v>
      </c>
      <c r="C134">
        <v>230</v>
      </c>
      <c r="D134">
        <v>0.33718093260149401</v>
      </c>
      <c r="E134">
        <v>110.901980299538</v>
      </c>
      <c r="F134">
        <v>1.84583520281973</v>
      </c>
      <c r="G134">
        <v>-1830.8444017888514</v>
      </c>
      <c r="H134">
        <v>-1528.2580697511578</v>
      </c>
      <c r="I134">
        <v>299.25548520709299</v>
      </c>
      <c r="J134">
        <v>162.23158384788999</v>
      </c>
      <c r="K134">
        <v>60.082276104672097</v>
      </c>
      <c r="L134">
        <v>0.10623100356804722</v>
      </c>
      <c r="M134">
        <v>-0.10566947971161475</v>
      </c>
      <c r="N134">
        <v>6.3540311391993702</v>
      </c>
      <c r="O134">
        <v>6.3540180406927904</v>
      </c>
      <c r="P134">
        <v>6.3539957635528701</v>
      </c>
      <c r="Q134" t="s">
        <v>51</v>
      </c>
    </row>
    <row r="135" spans="1:17" x14ac:dyDescent="0.2">
      <c r="A135">
        <v>134</v>
      </c>
      <c r="B135">
        <v>736</v>
      </c>
      <c r="C135">
        <v>230</v>
      </c>
      <c r="D135">
        <v>0.335728583461332</v>
      </c>
      <c r="E135">
        <v>110.901865987232</v>
      </c>
      <c r="F135">
        <v>1.8463867479135201</v>
      </c>
      <c r="G135">
        <v>-1830.2446494102514</v>
      </c>
      <c r="H135">
        <v>-1528.8628146225722</v>
      </c>
      <c r="I135">
        <v>298.65504619622101</v>
      </c>
      <c r="J135">
        <v>162.306715690353</v>
      </c>
      <c r="K135">
        <v>60.064266661659701</v>
      </c>
      <c r="L135">
        <v>9.3532014104178704E-2</v>
      </c>
      <c r="M135">
        <v>-9.2966293082789836E-2</v>
      </c>
      <c r="N135">
        <v>5.5891340240230303</v>
      </c>
      <c r="O135">
        <v>5.5891204382543602</v>
      </c>
      <c r="P135">
        <v>5.5890980029285799</v>
      </c>
      <c r="Q135" t="s">
        <v>51</v>
      </c>
    </row>
    <row r="136" spans="1:17" x14ac:dyDescent="0.2">
      <c r="A136">
        <v>135</v>
      </c>
      <c r="B136">
        <v>734</v>
      </c>
      <c r="C136">
        <v>230</v>
      </c>
      <c r="D136">
        <v>0.33427046616690598</v>
      </c>
      <c r="E136">
        <v>110.901743232858</v>
      </c>
      <c r="F136">
        <v>1.84731013851661</v>
      </c>
      <c r="G136">
        <v>-1829.6458814420162</v>
      </c>
      <c r="H136">
        <v>-1529.3920194952909</v>
      </c>
      <c r="I136">
        <v>298.12818908600298</v>
      </c>
      <c r="J136">
        <v>162.39058981366699</v>
      </c>
      <c r="K136">
        <v>60.0341766769671</v>
      </c>
      <c r="L136">
        <v>8.4306027307317608E-2</v>
      </c>
      <c r="M136">
        <v>-8.3737454767506062E-2</v>
      </c>
      <c r="N136">
        <v>5.0322909825778197</v>
      </c>
      <c r="O136">
        <v>5.0322769388088897</v>
      </c>
      <c r="P136">
        <v>5.0322544028073999</v>
      </c>
      <c r="Q136" t="s">
        <v>51</v>
      </c>
    </row>
    <row r="137" spans="1:17" x14ac:dyDescent="0.2">
      <c r="A137">
        <v>136</v>
      </c>
      <c r="B137">
        <v>732</v>
      </c>
      <c r="C137">
        <v>230</v>
      </c>
      <c r="D137">
        <v>0.33280654628662198</v>
      </c>
      <c r="E137">
        <v>110.901614220032</v>
      </c>
      <c r="F137">
        <v>1.8484631219460601</v>
      </c>
      <c r="G137">
        <v>-1829.0480177636712</v>
      </c>
      <c r="H137">
        <v>-1529.8746225325658</v>
      </c>
      <c r="I137">
        <v>297.64648907717498</v>
      </c>
      <c r="J137">
        <v>162.48190010191601</v>
      </c>
      <c r="K137">
        <v>59.996660416614297</v>
      </c>
      <c r="L137">
        <v>7.7222707789396189E-2</v>
      </c>
      <c r="M137">
        <v>-7.6652118248797488E-2</v>
      </c>
      <c r="N137">
        <v>4.60404462051984</v>
      </c>
      <c r="O137">
        <v>4.6040301381271203</v>
      </c>
      <c r="P137">
        <v>4.6040075374471803</v>
      </c>
      <c r="Q137" t="s">
        <v>51</v>
      </c>
    </row>
    <row r="138" spans="1:17" x14ac:dyDescent="0.2">
      <c r="A138">
        <v>137</v>
      </c>
      <c r="B138">
        <v>760</v>
      </c>
      <c r="C138">
        <v>220</v>
      </c>
      <c r="D138">
        <v>0.36343270580264397</v>
      </c>
      <c r="E138">
        <v>110.891851993278</v>
      </c>
      <c r="F138">
        <v>1.89000253628096</v>
      </c>
      <c r="G138">
        <v>-1838.1046321936576</v>
      </c>
      <c r="H138">
        <v>-1509.8005284662825</v>
      </c>
      <c r="I138">
        <v>317.77289223339301</v>
      </c>
      <c r="J138">
        <v>162.716269399715</v>
      </c>
      <c r="K138">
        <v>58.672858826679203</v>
      </c>
      <c r="L138">
        <v>0.81832699097617434</v>
      </c>
      <c r="M138">
        <v>-0.81801490723961956</v>
      </c>
      <c r="N138">
        <v>47.998359090510597</v>
      </c>
      <c r="O138">
        <v>47.998355102778298</v>
      </c>
      <c r="P138">
        <v>47.998342127936297</v>
      </c>
      <c r="Q138" t="s">
        <v>51</v>
      </c>
    </row>
    <row r="139" spans="1:17" x14ac:dyDescent="0.2">
      <c r="A139">
        <v>138</v>
      </c>
      <c r="B139">
        <v>758</v>
      </c>
      <c r="C139">
        <v>220</v>
      </c>
      <c r="D139">
        <v>0.36206226058284502</v>
      </c>
      <c r="E139">
        <v>110.891940245394</v>
      </c>
      <c r="F139">
        <v>1.8913505750533599</v>
      </c>
      <c r="G139">
        <v>-1837.4708465481895</v>
      </c>
      <c r="H139">
        <v>-1510.1646147945805</v>
      </c>
      <c r="I139">
        <v>317.42151890011701</v>
      </c>
      <c r="J139">
        <v>162.72831091428301</v>
      </c>
      <c r="K139">
        <v>58.6310870697599</v>
      </c>
      <c r="L139">
        <v>0.81670259061289441</v>
      </c>
      <c r="M139">
        <v>-0.81639006701237959</v>
      </c>
      <c r="N139">
        <v>47.868911994648599</v>
      </c>
      <c r="O139">
        <v>47.868907762506602</v>
      </c>
      <c r="P139">
        <v>47.868894769340997</v>
      </c>
      <c r="Q139" t="s">
        <v>51</v>
      </c>
    </row>
    <row r="140" spans="1:17" x14ac:dyDescent="0.2">
      <c r="A140">
        <v>139</v>
      </c>
      <c r="B140">
        <v>756</v>
      </c>
      <c r="C140">
        <v>220</v>
      </c>
      <c r="D140">
        <v>0.36068648885002402</v>
      </c>
      <c r="E140">
        <v>110.892035911994</v>
      </c>
      <c r="F140">
        <v>1.8926856084006101</v>
      </c>
      <c r="G140">
        <v>-1836.8379261983882</v>
      </c>
      <c r="H140">
        <v>-1510.5557855735285</v>
      </c>
      <c r="I140">
        <v>317.04330786042601</v>
      </c>
      <c r="J140">
        <v>162.74837676939299</v>
      </c>
      <c r="K140">
        <v>58.589781324380901</v>
      </c>
      <c r="L140">
        <v>0.81366956179662009</v>
      </c>
      <c r="M140">
        <v>-0.81335612303462101</v>
      </c>
      <c r="N140">
        <v>47.657425987369997</v>
      </c>
      <c r="O140">
        <v>47.657421500871997</v>
      </c>
      <c r="P140">
        <v>47.657408469839702</v>
      </c>
      <c r="Q140" t="s">
        <v>51</v>
      </c>
    </row>
    <row r="141" spans="1:17" x14ac:dyDescent="0.2">
      <c r="A141">
        <v>140</v>
      </c>
      <c r="B141">
        <v>754</v>
      </c>
      <c r="C141">
        <v>220</v>
      </c>
      <c r="D141">
        <v>0.35930535948985198</v>
      </c>
      <c r="E141">
        <v>110.89213233279401</v>
      </c>
      <c r="F141">
        <v>1.89402772072143</v>
      </c>
      <c r="G141">
        <v>-1836.2057743715493</v>
      </c>
      <c r="H141">
        <v>-1510.9464009430067</v>
      </c>
      <c r="I141">
        <v>316.66491278447802</v>
      </c>
      <c r="J141">
        <v>162.76833530967099</v>
      </c>
      <c r="K141">
        <v>58.548315380809797</v>
      </c>
      <c r="L141">
        <v>0.81066791297084229</v>
      </c>
      <c r="M141">
        <v>-0.81035358213465647</v>
      </c>
      <c r="N141">
        <v>47.447899111911703</v>
      </c>
      <c r="O141">
        <v>47.447894367553097</v>
      </c>
      <c r="P141">
        <v>47.447881299921903</v>
      </c>
      <c r="Q141" t="s">
        <v>51</v>
      </c>
    </row>
    <row r="142" spans="1:17" x14ac:dyDescent="0.2">
      <c r="A142">
        <v>141</v>
      </c>
      <c r="B142">
        <v>752</v>
      </c>
      <c r="C142">
        <v>220</v>
      </c>
      <c r="D142">
        <v>0.35791884114519901</v>
      </c>
      <c r="E142">
        <v>110.89222951483001</v>
      </c>
      <c r="F142">
        <v>1.8953767888890001</v>
      </c>
      <c r="G142">
        <v>-1835.5743915563128</v>
      </c>
      <c r="H142">
        <v>-1511.3364701000355</v>
      </c>
      <c r="I142">
        <v>316.28632410242602</v>
      </c>
      <c r="J142">
        <v>162.78818192333301</v>
      </c>
      <c r="K142">
        <v>58.506693848367199</v>
      </c>
      <c r="L142">
        <v>0.80769711024192681</v>
      </c>
      <c r="M142">
        <v>-0.80738191032499584</v>
      </c>
      <c r="N142">
        <v>47.2403013898032</v>
      </c>
      <c r="O142">
        <v>47.2402963841296</v>
      </c>
      <c r="P142">
        <v>47.240283281173802</v>
      </c>
      <c r="Q142" t="s">
        <v>51</v>
      </c>
    </row>
    <row r="143" spans="1:17" x14ac:dyDescent="0.2">
      <c r="A143">
        <v>142</v>
      </c>
      <c r="B143">
        <v>750</v>
      </c>
      <c r="C143">
        <v>220</v>
      </c>
      <c r="D143">
        <v>0.356526902213751</v>
      </c>
      <c r="E143">
        <v>110.89232417038799</v>
      </c>
      <c r="F143">
        <v>1.8926720471742999</v>
      </c>
      <c r="G143">
        <v>-1834.9442666451168</v>
      </c>
      <c r="H143">
        <v>-1512.2803182618604</v>
      </c>
      <c r="I143">
        <v>315.36635431725398</v>
      </c>
      <c r="J143">
        <v>162.82457157091</v>
      </c>
      <c r="K143">
        <v>58.590353429664198</v>
      </c>
      <c r="L143">
        <v>0.77808092486451441</v>
      </c>
      <c r="M143">
        <v>-0.7777524137593298</v>
      </c>
      <c r="N143">
        <v>45.571961383638701</v>
      </c>
      <c r="O143">
        <v>45.5719559343516</v>
      </c>
      <c r="P143">
        <v>45.571942268165401</v>
      </c>
      <c r="Q143" t="s">
        <v>51</v>
      </c>
    </row>
    <row r="144" spans="1:17" x14ac:dyDescent="0.2">
      <c r="A144">
        <v>143</v>
      </c>
      <c r="B144">
        <v>748</v>
      </c>
      <c r="C144">
        <v>220</v>
      </c>
      <c r="D144">
        <v>0.355129510845618</v>
      </c>
      <c r="E144">
        <v>110.892416173453</v>
      </c>
      <c r="F144">
        <v>1.8899022334164699</v>
      </c>
      <c r="G144">
        <v>-1834.3159503202778</v>
      </c>
      <c r="H144">
        <v>-1513.2408616436178</v>
      </c>
      <c r="I144">
        <v>314.42820651133599</v>
      </c>
      <c r="J144">
        <v>162.87147334934599</v>
      </c>
      <c r="K144">
        <v>58.6762712973714</v>
      </c>
      <c r="L144">
        <v>0.74753114044443125</v>
      </c>
      <c r="M144">
        <v>-0.74718898414787005</v>
      </c>
      <c r="N144">
        <v>43.845555970442199</v>
      </c>
      <c r="O144">
        <v>43.845550052835002</v>
      </c>
      <c r="P144">
        <v>43.845535808176997</v>
      </c>
      <c r="Q144" t="s">
        <v>51</v>
      </c>
    </row>
    <row r="145" spans="1:17" x14ac:dyDescent="0.2">
      <c r="A145">
        <v>144</v>
      </c>
      <c r="B145">
        <v>746</v>
      </c>
      <c r="C145">
        <v>220</v>
      </c>
      <c r="D145">
        <v>0.35372663494088302</v>
      </c>
      <c r="E145">
        <v>110.902137674917</v>
      </c>
      <c r="F145">
        <v>1.8365511639151899</v>
      </c>
      <c r="G145">
        <v>-1833.8587287195137</v>
      </c>
      <c r="H145">
        <v>-1524.0508172818861</v>
      </c>
      <c r="I145">
        <v>303.99172936442602</v>
      </c>
      <c r="J145">
        <v>162.33894848739999</v>
      </c>
      <c r="K145">
        <v>60.386086624721898</v>
      </c>
      <c r="L145">
        <v>0.25184414811009126</v>
      </c>
      <c r="M145">
        <v>-0.25130362329545419</v>
      </c>
      <c r="N145">
        <v>15.180530928164</v>
      </c>
      <c r="O145">
        <v>15.180521397038699</v>
      </c>
      <c r="P145">
        <v>15.180498550732599</v>
      </c>
      <c r="Q145" t="s">
        <v>51</v>
      </c>
    </row>
    <row r="146" spans="1:17" x14ac:dyDescent="0.2">
      <c r="A146">
        <v>145</v>
      </c>
      <c r="B146">
        <v>744</v>
      </c>
      <c r="C146">
        <v>220</v>
      </c>
      <c r="D146">
        <v>0.352318242147177</v>
      </c>
      <c r="E146">
        <v>110.90262142782601</v>
      </c>
      <c r="F146">
        <v>1.8290655366969</v>
      </c>
      <c r="G146">
        <v>-1833.2610722358854</v>
      </c>
      <c r="H146">
        <v>-1526.2399996989384</v>
      </c>
      <c r="I146">
        <v>301.84995864213499</v>
      </c>
      <c r="J146">
        <v>162.29623904118799</v>
      </c>
      <c r="K146">
        <v>60.633486992546104</v>
      </c>
      <c r="L146">
        <v>0.16611401783438337</v>
      </c>
      <c r="M146">
        <v>-0.16553983879968726</v>
      </c>
      <c r="N146">
        <v>10.0428691717779</v>
      </c>
      <c r="O146">
        <v>10.042858620491</v>
      </c>
      <c r="P146">
        <v>10.0428342760151</v>
      </c>
      <c r="Q146" t="s">
        <v>51</v>
      </c>
    </row>
    <row r="147" spans="1:17" x14ac:dyDescent="0.2">
      <c r="A147">
        <v>146</v>
      </c>
      <c r="B147">
        <v>742</v>
      </c>
      <c r="C147">
        <v>220</v>
      </c>
      <c r="D147">
        <v>0.35090429985716198</v>
      </c>
      <c r="E147">
        <v>110.902480788048</v>
      </c>
      <c r="F147">
        <v>1.8270147025825301</v>
      </c>
      <c r="G147">
        <v>-1832.6563092202223</v>
      </c>
      <c r="H147">
        <v>-1527.3769316993414</v>
      </c>
      <c r="I147">
        <v>300.72909717346403</v>
      </c>
      <c r="J147">
        <v>162.321624114342</v>
      </c>
      <c r="K147">
        <v>60.701471439329197</v>
      </c>
      <c r="L147">
        <v>0.12909025956479064</v>
      </c>
      <c r="M147">
        <v>-0.12850197532312688</v>
      </c>
      <c r="N147">
        <v>7.8059874513649197</v>
      </c>
      <c r="O147">
        <v>7.8059761986381</v>
      </c>
      <c r="P147">
        <v>7.8059512313185797</v>
      </c>
      <c r="Q147" t="s">
        <v>51</v>
      </c>
    </row>
    <row r="148" spans="1:17" x14ac:dyDescent="0.2">
      <c r="A148">
        <v>147</v>
      </c>
      <c r="B148">
        <v>740</v>
      </c>
      <c r="C148">
        <v>220</v>
      </c>
      <c r="D148">
        <v>0.34948477520604299</v>
      </c>
      <c r="E148">
        <v>110.902375411074</v>
      </c>
      <c r="F148">
        <v>1.8267647932151401</v>
      </c>
      <c r="G148">
        <v>-1832.0539388879472</v>
      </c>
      <c r="H148">
        <v>-1528.1531089303421</v>
      </c>
      <c r="I148">
        <v>299.96217721939502</v>
      </c>
      <c r="J148">
        <v>162.37620597191301</v>
      </c>
      <c r="K148">
        <v>60.7097179795568</v>
      </c>
      <c r="L148">
        <v>0.1086289450946544</v>
      </c>
      <c r="M148">
        <v>-0.10803315980922983</v>
      </c>
      <c r="N148">
        <v>6.5644381553291797</v>
      </c>
      <c r="O148">
        <v>6.5644263104438796</v>
      </c>
      <c r="P148">
        <v>6.56440101836463</v>
      </c>
      <c r="Q148" t="s">
        <v>51</v>
      </c>
    </row>
    <row r="149" spans="1:17" x14ac:dyDescent="0.2">
      <c r="A149">
        <v>148</v>
      </c>
      <c r="B149">
        <v>738</v>
      </c>
      <c r="C149">
        <v>220</v>
      </c>
      <c r="D149">
        <v>0.34805963506898102</v>
      </c>
      <c r="E149">
        <v>110.902260061343</v>
      </c>
      <c r="F149">
        <v>1.8272838977908401</v>
      </c>
      <c r="G149">
        <v>-1831.4527739417681</v>
      </c>
      <c r="H149">
        <v>-1528.7757595785604</v>
      </c>
      <c r="I149">
        <v>299.34522039562199</v>
      </c>
      <c r="J149">
        <v>162.44547577505199</v>
      </c>
      <c r="K149">
        <v>60.692408112073799</v>
      </c>
      <c r="L149">
        <v>9.5197771383844804E-2</v>
      </c>
      <c r="M149">
        <v>-9.459729905518019E-2</v>
      </c>
      <c r="N149">
        <v>5.7471305067929999</v>
      </c>
      <c r="O149">
        <v>5.7471181165510297</v>
      </c>
      <c r="P149">
        <v>5.7470926277283896</v>
      </c>
      <c r="Q149" t="s">
        <v>51</v>
      </c>
    </row>
    <row r="150" spans="1:17" x14ac:dyDescent="0.2">
      <c r="A150">
        <v>149</v>
      </c>
      <c r="B150">
        <v>736</v>
      </c>
      <c r="C150">
        <v>220</v>
      </c>
      <c r="D150">
        <v>0.34662884605856398</v>
      </c>
      <c r="E150">
        <v>110.902138361505</v>
      </c>
      <c r="F150">
        <v>1.8282168318824901</v>
      </c>
      <c r="G150">
        <v>-1830.8526526040969</v>
      </c>
      <c r="H150">
        <v>-1529.3157100876274</v>
      </c>
      <c r="I150">
        <v>298.80878704680299</v>
      </c>
      <c r="J150">
        <v>162.524796502507</v>
      </c>
      <c r="K150">
        <v>60.661370373289003</v>
      </c>
      <c r="L150">
        <v>8.55483368105696E-2</v>
      </c>
      <c r="M150">
        <v>-8.4944696929293753E-2</v>
      </c>
      <c r="N150">
        <v>5.1586553589917097</v>
      </c>
      <c r="O150">
        <v>5.1586424492568899</v>
      </c>
      <c r="P150">
        <v>5.1586168333393596</v>
      </c>
      <c r="Q150" t="s">
        <v>51</v>
      </c>
    </row>
    <row r="151" spans="1:17" x14ac:dyDescent="0.2">
      <c r="A151">
        <v>150</v>
      </c>
      <c r="B151">
        <v>734</v>
      </c>
      <c r="C151">
        <v>220</v>
      </c>
      <c r="D151">
        <v>0.345192374522167</v>
      </c>
      <c r="E151">
        <v>110.902011755377</v>
      </c>
      <c r="F151">
        <v>1.8294015640686601</v>
      </c>
      <c r="G151">
        <v>-1830.2534727349664</v>
      </c>
      <c r="H151">
        <v>-1529.8053974526294</v>
      </c>
      <c r="I151">
        <v>298.32105484632399</v>
      </c>
      <c r="J151">
        <v>162.61216870064601</v>
      </c>
      <c r="K151">
        <v>60.6220164744622</v>
      </c>
      <c r="L151">
        <v>7.8196893673741427E-2</v>
      </c>
      <c r="M151">
        <v>-7.7591014825633298E-2</v>
      </c>
      <c r="N151">
        <v>4.7095086087811202</v>
      </c>
      <c r="O151">
        <v>4.7094951961012201</v>
      </c>
      <c r="P151">
        <v>4.7094694960347301</v>
      </c>
      <c r="Q151" t="s">
        <v>51</v>
      </c>
    </row>
    <row r="152" spans="1:17" x14ac:dyDescent="0.2">
      <c r="A152">
        <v>151</v>
      </c>
      <c r="B152">
        <v>760</v>
      </c>
      <c r="C152">
        <v>210</v>
      </c>
      <c r="D152">
        <v>0.374079756085759</v>
      </c>
      <c r="E152">
        <v>110.891973476552</v>
      </c>
      <c r="F152">
        <v>1.8716069286308501</v>
      </c>
      <c r="G152">
        <v>-1838.6961595567318</v>
      </c>
      <c r="H152">
        <v>-1510.1645735782909</v>
      </c>
      <c r="I152">
        <v>317.99316289341499</v>
      </c>
      <c r="J152">
        <v>163.050070065135</v>
      </c>
      <c r="K152">
        <v>59.249606196784903</v>
      </c>
      <c r="L152">
        <v>0.80895409634260484</v>
      </c>
      <c r="M152">
        <v>-0.80861155617236302</v>
      </c>
      <c r="N152">
        <v>47.9134752561176</v>
      </c>
      <c r="O152">
        <v>47.913472268923201</v>
      </c>
      <c r="P152">
        <v>47.913457082527302</v>
      </c>
      <c r="Q152" t="s">
        <v>51</v>
      </c>
    </row>
    <row r="153" spans="1:17" x14ac:dyDescent="0.2">
      <c r="A153">
        <v>152</v>
      </c>
      <c r="B153">
        <v>758</v>
      </c>
      <c r="C153">
        <v>210</v>
      </c>
      <c r="D153">
        <v>0.37272996169325601</v>
      </c>
      <c r="E153">
        <v>110.892064137012</v>
      </c>
      <c r="F153">
        <v>1.8730029138622699</v>
      </c>
      <c r="G153">
        <v>-1838.0619834936629</v>
      </c>
      <c r="H153">
        <v>-1510.5368377497298</v>
      </c>
      <c r="I153">
        <v>317.63390846303702</v>
      </c>
      <c r="J153">
        <v>163.06714850709201</v>
      </c>
      <c r="K153">
        <v>59.205494725229499</v>
      </c>
      <c r="L153">
        <v>0.80697073358813509</v>
      </c>
      <c r="M153">
        <v>-0.80662757788201633</v>
      </c>
      <c r="N153">
        <v>47.760332142879697</v>
      </c>
      <c r="O153">
        <v>47.760328875928302</v>
      </c>
      <c r="P153">
        <v>47.760313659079003</v>
      </c>
      <c r="Q153" t="s">
        <v>51</v>
      </c>
    </row>
    <row r="154" spans="1:17" x14ac:dyDescent="0.2">
      <c r="A154">
        <v>153</v>
      </c>
      <c r="B154">
        <v>756</v>
      </c>
      <c r="C154">
        <v>210</v>
      </c>
      <c r="D154">
        <v>0.371374921051355</v>
      </c>
      <c r="E154">
        <v>110.89216011549399</v>
      </c>
      <c r="F154">
        <v>1.87438879860902</v>
      </c>
      <c r="G154">
        <v>-1837.4286429728099</v>
      </c>
      <c r="H154">
        <v>-1510.9271455640362</v>
      </c>
      <c r="I154">
        <v>317.25653997447</v>
      </c>
      <c r="J154">
        <v>163.08954685975601</v>
      </c>
      <c r="K154">
        <v>59.161770598387399</v>
      </c>
      <c r="L154">
        <v>0.80404906532759313</v>
      </c>
      <c r="M154">
        <v>-0.80370496667518909</v>
      </c>
      <c r="N154">
        <v>47.552147957940903</v>
      </c>
      <c r="O154">
        <v>47.5521444036291</v>
      </c>
      <c r="P154">
        <v>47.552129142003203</v>
      </c>
      <c r="Q154" t="s">
        <v>51</v>
      </c>
    </row>
    <row r="155" spans="1:17" x14ac:dyDescent="0.2">
      <c r="A155">
        <v>154</v>
      </c>
      <c r="B155">
        <v>754</v>
      </c>
      <c r="C155">
        <v>210</v>
      </c>
      <c r="D155">
        <v>0.37001460351457899</v>
      </c>
      <c r="E155">
        <v>110.892256426797</v>
      </c>
      <c r="F155">
        <v>1.87499193667572</v>
      </c>
      <c r="G155">
        <v>-1836.79608248775</v>
      </c>
      <c r="H155">
        <v>-1511.4224251675662</v>
      </c>
      <c r="I155">
        <v>316.77628598058999</v>
      </c>
      <c r="J155">
        <v>163.11230913154299</v>
      </c>
      <c r="K155">
        <v>59.1427911009607</v>
      </c>
      <c r="L155">
        <v>0.7961158381079666</v>
      </c>
      <c r="M155">
        <v>-0.79576836833355946</v>
      </c>
      <c r="N155">
        <v>47.067519006082001</v>
      </c>
      <c r="O155">
        <v>47.0675151373948</v>
      </c>
      <c r="P155">
        <v>47.067499720693299</v>
      </c>
      <c r="Q155" t="s">
        <v>51</v>
      </c>
    </row>
    <row r="156" spans="1:17" x14ac:dyDescent="0.2">
      <c r="A156">
        <v>155</v>
      </c>
      <c r="B156">
        <v>752</v>
      </c>
      <c r="C156">
        <v>210</v>
      </c>
      <c r="D156">
        <v>0.36864897819831499</v>
      </c>
      <c r="E156">
        <v>110.892350085199</v>
      </c>
      <c r="F156">
        <v>1.8723216779838301</v>
      </c>
      <c r="G156">
        <v>-1836.1649497748533</v>
      </c>
      <c r="H156">
        <v>-1512.3586706083856</v>
      </c>
      <c r="I156">
        <v>315.86549519511601</v>
      </c>
      <c r="J156">
        <v>163.14268720535</v>
      </c>
      <c r="K156">
        <v>59.227189103857</v>
      </c>
      <c r="L156">
        <v>0.767065863955251</v>
      </c>
      <c r="M156">
        <v>-0.76670479596810892</v>
      </c>
      <c r="N156">
        <v>45.413452372287097</v>
      </c>
      <c r="O156">
        <v>45.413448080040098</v>
      </c>
      <c r="P156">
        <v>45.413432041676799</v>
      </c>
      <c r="Q156" t="s">
        <v>51</v>
      </c>
    </row>
    <row r="157" spans="1:17" x14ac:dyDescent="0.2">
      <c r="A157">
        <v>156</v>
      </c>
      <c r="B157">
        <v>750</v>
      </c>
      <c r="C157">
        <v>210</v>
      </c>
      <c r="D157">
        <v>0.36727801397644499</v>
      </c>
      <c r="E157">
        <v>110.892441067606</v>
      </c>
      <c r="F157">
        <v>1.8695676765226501</v>
      </c>
      <c r="G157">
        <v>-1835.5356127335722</v>
      </c>
      <c r="H157">
        <v>-1513.3142263346338</v>
      </c>
      <c r="I157">
        <v>314.93402972791</v>
      </c>
      <c r="J157">
        <v>163.18277564476401</v>
      </c>
      <c r="K157">
        <v>59.314483482011802</v>
      </c>
      <c r="L157">
        <v>0.73696001585715176</v>
      </c>
      <c r="M157">
        <v>-0.73658494286517406</v>
      </c>
      <c r="N157">
        <v>43.693966954007301</v>
      </c>
      <c r="O157">
        <v>43.693962211516599</v>
      </c>
      <c r="P157">
        <v>43.693945531388501</v>
      </c>
      <c r="Q157" t="s">
        <v>51</v>
      </c>
    </row>
    <row r="158" spans="1:17" x14ac:dyDescent="0.2">
      <c r="A158">
        <v>157</v>
      </c>
      <c r="B158">
        <v>748</v>
      </c>
      <c r="C158">
        <v>210</v>
      </c>
      <c r="D158">
        <v>0.36590167947901903</v>
      </c>
      <c r="E158">
        <v>110.90233856036799</v>
      </c>
      <c r="F158">
        <v>1.8177143198810299</v>
      </c>
      <c r="G158">
        <v>-1835.0779678710278</v>
      </c>
      <c r="H158">
        <v>-1523.5804743085801</v>
      </c>
      <c r="I158">
        <v>305.050874170626</v>
      </c>
      <c r="J158">
        <v>162.55154387179101</v>
      </c>
      <c r="K158">
        <v>61.011973854959997</v>
      </c>
      <c r="L158">
        <v>0.26938778705367905</v>
      </c>
      <c r="M158">
        <v>-0.26881777748630231</v>
      </c>
      <c r="N158">
        <v>16.406993635234301</v>
      </c>
      <c r="O158">
        <v>16.4069861740733</v>
      </c>
      <c r="P158">
        <v>16.406960403009599</v>
      </c>
      <c r="Q158" t="s">
        <v>51</v>
      </c>
    </row>
    <row r="159" spans="1:17" x14ac:dyDescent="0.2">
      <c r="A159">
        <v>158</v>
      </c>
      <c r="B159">
        <v>746</v>
      </c>
      <c r="C159">
        <v>210</v>
      </c>
      <c r="D159">
        <v>0.36451994308983099</v>
      </c>
      <c r="E159">
        <v>110.902945691604</v>
      </c>
      <c r="F159">
        <v>1.8086886905720501</v>
      </c>
      <c r="G159">
        <v>-1834.4805298499709</v>
      </c>
      <c r="H159">
        <v>-1526.038475552205</v>
      </c>
      <c r="I159">
        <v>302.651872596207</v>
      </c>
      <c r="J159">
        <v>162.461554083735</v>
      </c>
      <c r="K159">
        <v>61.316768479669904</v>
      </c>
      <c r="L159">
        <v>0.17175789730691324</v>
      </c>
      <c r="M159">
        <v>-0.17114787262906284</v>
      </c>
      <c r="N159">
        <v>10.500535984491099</v>
      </c>
      <c r="O159">
        <v>10.500527519002301</v>
      </c>
      <c r="P159">
        <v>10.5004998243042</v>
      </c>
      <c r="Q159" t="s">
        <v>51</v>
      </c>
    </row>
    <row r="160" spans="1:17" x14ac:dyDescent="0.2">
      <c r="A160">
        <v>159</v>
      </c>
      <c r="B160">
        <v>744</v>
      </c>
      <c r="C160">
        <v>210</v>
      </c>
      <c r="D160">
        <v>0.36313277294401303</v>
      </c>
      <c r="E160">
        <v>110.90287239476299</v>
      </c>
      <c r="F160">
        <v>1.80630666498715</v>
      </c>
      <c r="G160">
        <v>-1833.8753049253062</v>
      </c>
      <c r="H160">
        <v>-1527.2353122521204</v>
      </c>
      <c r="I160">
        <v>301.47545068884199</v>
      </c>
      <c r="J160">
        <v>162.47158144535001</v>
      </c>
      <c r="K160">
        <v>61.397587986839703</v>
      </c>
      <c r="L160">
        <v>0.13221304534706355</v>
      </c>
      <c r="M160">
        <v>-0.1315872295489231</v>
      </c>
      <c r="N160">
        <v>8.0855805045440992</v>
      </c>
      <c r="O160">
        <v>8.0855713163939509</v>
      </c>
      <c r="P160">
        <v>8.0855428630730106</v>
      </c>
      <c r="Q160" t="s">
        <v>51</v>
      </c>
    </row>
    <row r="161" spans="1:17" x14ac:dyDescent="0.2">
      <c r="A161">
        <v>160</v>
      </c>
      <c r="B161">
        <v>742</v>
      </c>
      <c r="C161">
        <v>210</v>
      </c>
      <c r="D161">
        <v>0.361740136925575</v>
      </c>
      <c r="E161">
        <v>110.90276028533501</v>
      </c>
      <c r="F161">
        <v>1.8059367940237401</v>
      </c>
      <c r="G161">
        <v>-1833.2713643577051</v>
      </c>
      <c r="H161">
        <v>-1528.0419803686561</v>
      </c>
      <c r="I161">
        <v>300.67993302589502</v>
      </c>
      <c r="J161">
        <v>162.51745435597601</v>
      </c>
      <c r="K161">
        <v>61.410100648227299</v>
      </c>
      <c r="L161">
        <v>0.11050471498519818</v>
      </c>
      <c r="M161">
        <v>-0.10987051888177202</v>
      </c>
      <c r="N161">
        <v>6.7536587004522897</v>
      </c>
      <c r="O161">
        <v>6.7536488756452897</v>
      </c>
      <c r="P161">
        <v>6.7536200237311803</v>
      </c>
      <c r="Q161" t="s">
        <v>51</v>
      </c>
    </row>
    <row r="162" spans="1:17" x14ac:dyDescent="0.2">
      <c r="A162">
        <v>161</v>
      </c>
      <c r="B162">
        <v>740</v>
      </c>
      <c r="C162">
        <v>210</v>
      </c>
      <c r="D162">
        <v>0.36034200266496003</v>
      </c>
      <c r="E162">
        <v>110.90264272824599</v>
      </c>
      <c r="F162">
        <v>1.80642915941764</v>
      </c>
      <c r="G162">
        <v>-1832.6687431641708</v>
      </c>
      <c r="H162">
        <v>-1528.6801947867307</v>
      </c>
      <c r="I162">
        <v>300.04881337892698</v>
      </c>
      <c r="J162">
        <v>162.58136239495599</v>
      </c>
      <c r="K162">
        <v>61.393297462048999</v>
      </c>
      <c r="L162">
        <v>9.6465878654266826E-2</v>
      </c>
      <c r="M162">
        <v>-9.5826492813981007E-2</v>
      </c>
      <c r="N162">
        <v>5.8896245290893496</v>
      </c>
      <c r="O162">
        <v>5.8896141040185999</v>
      </c>
      <c r="P162">
        <v>5.8895850095933504</v>
      </c>
      <c r="Q162" t="s">
        <v>51</v>
      </c>
    </row>
    <row r="163" spans="1:17" x14ac:dyDescent="0.2">
      <c r="A163">
        <v>162</v>
      </c>
      <c r="B163">
        <v>738</v>
      </c>
      <c r="C163">
        <v>210</v>
      </c>
      <c r="D163">
        <v>0.35893833753646798</v>
      </c>
      <c r="E163">
        <v>110.902521339727</v>
      </c>
      <c r="F163">
        <v>1.80737674272648</v>
      </c>
      <c r="G163">
        <v>-1832.0672279488356</v>
      </c>
      <c r="H163">
        <v>-1529.2293903335799</v>
      </c>
      <c r="I163">
        <v>299.50431185438401</v>
      </c>
      <c r="J163">
        <v>162.65684750605899</v>
      </c>
      <c r="K163">
        <v>61.361042619386502</v>
      </c>
      <c r="L163">
        <v>8.6473165503674884E-2</v>
      </c>
      <c r="M163">
        <v>-8.5830279932190334E-2</v>
      </c>
      <c r="N163">
        <v>5.2731576278532399</v>
      </c>
      <c r="O163">
        <v>5.2731466215301896</v>
      </c>
      <c r="P163">
        <v>5.2731173678668304</v>
      </c>
      <c r="Q163" t="s">
        <v>51</v>
      </c>
    </row>
    <row r="164" spans="1:17" x14ac:dyDescent="0.2">
      <c r="A164">
        <v>163</v>
      </c>
      <c r="B164">
        <v>736</v>
      </c>
      <c r="C164">
        <v>210</v>
      </c>
      <c r="D164">
        <v>0.35752910865580001</v>
      </c>
      <c r="E164">
        <v>110.902396610035</v>
      </c>
      <c r="F164">
        <v>1.8085980420554499</v>
      </c>
      <c r="G164">
        <v>-1831.4666923601867</v>
      </c>
      <c r="H164">
        <v>-1529.7251415160074</v>
      </c>
      <c r="I164">
        <v>299.01157280672902</v>
      </c>
      <c r="J164">
        <v>162.74112555300599</v>
      </c>
      <c r="K164">
        <v>61.319538134629397</v>
      </c>
      <c r="L164">
        <v>7.8908590947074586E-2</v>
      </c>
      <c r="M164">
        <v>-7.8263226115839454E-2</v>
      </c>
      <c r="N164">
        <v>4.8055775803312502</v>
      </c>
      <c r="O164">
        <v>4.8055660042836701</v>
      </c>
      <c r="P164">
        <v>4.8055366420912504</v>
      </c>
      <c r="Q164" t="s">
        <v>51</v>
      </c>
    </row>
    <row r="165" spans="1:17" x14ac:dyDescent="0.2">
      <c r="A165">
        <v>164</v>
      </c>
      <c r="B165">
        <v>760</v>
      </c>
      <c r="C165">
        <v>200</v>
      </c>
      <c r="D165">
        <v>0.38472680636887402</v>
      </c>
      <c r="E165">
        <v>110.892095700464</v>
      </c>
      <c r="F165">
        <v>1.8516629845761801</v>
      </c>
      <c r="G165">
        <v>-1839.2937648007462</v>
      </c>
      <c r="H165">
        <v>-1510.5190635947422</v>
      </c>
      <c r="I165">
        <v>318.22856525622501</v>
      </c>
      <c r="J165">
        <v>163.380789788106</v>
      </c>
      <c r="K165">
        <v>59.887839538924197</v>
      </c>
      <c r="L165">
        <v>0.79890427408332909</v>
      </c>
      <c r="M165">
        <v>-0.79852740207161088</v>
      </c>
      <c r="N165">
        <v>47.826210382937802</v>
      </c>
      <c r="O165">
        <v>47.826208965446099</v>
      </c>
      <c r="P165">
        <v>47.826191121194398</v>
      </c>
      <c r="Q165" t="s">
        <v>51</v>
      </c>
    </row>
    <row r="166" spans="1:17" x14ac:dyDescent="0.2">
      <c r="A166">
        <v>165</v>
      </c>
      <c r="B166">
        <v>758</v>
      </c>
      <c r="C166">
        <v>200</v>
      </c>
      <c r="D166">
        <v>0.383397662803666</v>
      </c>
      <c r="E166">
        <v>110.892189432517</v>
      </c>
      <c r="F166">
        <v>1.85310611989533</v>
      </c>
      <c r="G166">
        <v>-1838.6591849865529</v>
      </c>
      <c r="H166">
        <v>-1510.9017987323775</v>
      </c>
      <c r="I166">
        <v>317.85922262029402</v>
      </c>
      <c r="J166">
        <v>163.403867828356</v>
      </c>
      <c r="K166">
        <v>59.8412515300422</v>
      </c>
      <c r="L166">
        <v>0.7964454449284597</v>
      </c>
      <c r="M166">
        <v>-0.79606770732513987</v>
      </c>
      <c r="N166">
        <v>47.641805563307699</v>
      </c>
      <c r="O166">
        <v>47.641803829379697</v>
      </c>
      <c r="P166">
        <v>47.641785936536301</v>
      </c>
      <c r="Q166" t="s">
        <v>51</v>
      </c>
    </row>
    <row r="167" spans="1:17" x14ac:dyDescent="0.2">
      <c r="A167">
        <v>166</v>
      </c>
      <c r="B167">
        <v>756</v>
      </c>
      <c r="C167">
        <v>200</v>
      </c>
      <c r="D167">
        <v>0.38206335325268598</v>
      </c>
      <c r="E167">
        <v>110.892284595993</v>
      </c>
      <c r="F167">
        <v>1.85274953440136</v>
      </c>
      <c r="G167">
        <v>-1838.0254800949726</v>
      </c>
      <c r="H167">
        <v>-1511.526253844386</v>
      </c>
      <c r="I167">
        <v>317.25446970183498</v>
      </c>
      <c r="J167">
        <v>163.425937812641</v>
      </c>
      <c r="K167">
        <v>59.852820112473196</v>
      </c>
      <c r="L167">
        <v>0.78247156922451899</v>
      </c>
      <c r="M167">
        <v>-0.78208719462228993</v>
      </c>
      <c r="N167">
        <v>46.814295458375597</v>
      </c>
      <c r="O167">
        <v>46.814293381476197</v>
      </c>
      <c r="P167">
        <v>46.814275157552501</v>
      </c>
      <c r="Q167" t="s">
        <v>51</v>
      </c>
    </row>
    <row r="168" spans="1:17" x14ac:dyDescent="0.2">
      <c r="A168">
        <v>167</v>
      </c>
      <c r="B168">
        <v>754</v>
      </c>
      <c r="C168">
        <v>200</v>
      </c>
      <c r="D168">
        <v>0.38072384753930699</v>
      </c>
      <c r="E168">
        <v>110.89237709088199</v>
      </c>
      <c r="F168">
        <v>1.8500776746245999</v>
      </c>
      <c r="G168">
        <v>-1837.3933667304009</v>
      </c>
      <c r="H168">
        <v>-1512.4580871002208</v>
      </c>
      <c r="I168">
        <v>316.34972023354601</v>
      </c>
      <c r="J168">
        <v>163.45070924772301</v>
      </c>
      <c r="K168">
        <v>59.939308825713603</v>
      </c>
      <c r="L168">
        <v>0.75383706862986299</v>
      </c>
      <c r="M168">
        <v>-0.75343868856112028</v>
      </c>
      <c r="N168">
        <v>45.164902002739801</v>
      </c>
      <c r="O168">
        <v>45.164899536927201</v>
      </c>
      <c r="P168">
        <v>45.164880619214102</v>
      </c>
      <c r="Q168" t="s">
        <v>51</v>
      </c>
    </row>
    <row r="169" spans="1:17" x14ac:dyDescent="0.2">
      <c r="A169">
        <v>168</v>
      </c>
      <c r="B169">
        <v>752</v>
      </c>
      <c r="C169">
        <v>200</v>
      </c>
      <c r="D169">
        <v>0.37937911525142798</v>
      </c>
      <c r="E169">
        <v>110.892466844873</v>
      </c>
      <c r="F169">
        <v>1.84732246363008</v>
      </c>
      <c r="G169">
        <v>-1836.7630358612607</v>
      </c>
      <c r="H169">
        <v>-1513.4092906702492</v>
      </c>
      <c r="I169">
        <v>315.424288472716</v>
      </c>
      <c r="J169">
        <v>163.48434585598301</v>
      </c>
      <c r="K169">
        <v>60.028754604631601</v>
      </c>
      <c r="L169">
        <v>0.7241431396728889</v>
      </c>
      <c r="M169">
        <v>-0.72373033048167634</v>
      </c>
      <c r="N169">
        <v>43.449078311031002</v>
      </c>
      <c r="O169">
        <v>43.449075428915897</v>
      </c>
      <c r="P169">
        <v>43.449055794423899</v>
      </c>
      <c r="Q169" t="s">
        <v>51</v>
      </c>
    </row>
    <row r="170" spans="1:17" x14ac:dyDescent="0.2">
      <c r="A170">
        <v>169</v>
      </c>
      <c r="B170">
        <v>750</v>
      </c>
      <c r="C170">
        <v>200</v>
      </c>
      <c r="D170">
        <v>0.37802912573913899</v>
      </c>
      <c r="E170">
        <v>110.902577602927</v>
      </c>
      <c r="F170">
        <v>1.79640748250972</v>
      </c>
      <c r="G170">
        <v>-1836.3065795695666</v>
      </c>
      <c r="H170">
        <v>-1523.2206443636055</v>
      </c>
      <c r="I170">
        <v>306.007052012325</v>
      </c>
      <c r="J170">
        <v>162.753028553154</v>
      </c>
      <c r="K170">
        <v>61.735757996280498</v>
      </c>
      <c r="L170">
        <v>0.28067775807215756</v>
      </c>
      <c r="M170">
        <v>-0.28007196046679544</v>
      </c>
      <c r="N170">
        <v>17.297095138246899</v>
      </c>
      <c r="O170">
        <v>17.297090606854201</v>
      </c>
      <c r="P170">
        <v>17.297061267954501</v>
      </c>
      <c r="Q170" t="s">
        <v>51</v>
      </c>
    </row>
    <row r="171" spans="1:17" x14ac:dyDescent="0.2">
      <c r="A171">
        <v>170</v>
      </c>
      <c r="B171">
        <v>748</v>
      </c>
      <c r="C171">
        <v>200</v>
      </c>
      <c r="D171">
        <v>0.37667384811242399</v>
      </c>
      <c r="E171">
        <v>110.903271192917</v>
      </c>
      <c r="F171">
        <v>1.78615840364191</v>
      </c>
      <c r="G171">
        <v>-1835.7088627924848</v>
      </c>
      <c r="H171">
        <v>-1525.8644406802925</v>
      </c>
      <c r="I171">
        <v>303.43242586093299</v>
      </c>
      <c r="J171">
        <v>162.61462652429401</v>
      </c>
      <c r="K171">
        <v>62.090389613143898</v>
      </c>
      <c r="L171">
        <v>0.17515834189703899</v>
      </c>
      <c r="M171">
        <v>-0.17450731944179193</v>
      </c>
      <c r="N171">
        <v>10.8423653761596</v>
      </c>
      <c r="O171">
        <v>10.842359975838599</v>
      </c>
      <c r="P171">
        <v>10.842328284693901</v>
      </c>
      <c r="Q171" t="s">
        <v>51</v>
      </c>
    </row>
    <row r="172" spans="1:17" x14ac:dyDescent="0.2">
      <c r="A172">
        <v>171</v>
      </c>
      <c r="B172">
        <v>746</v>
      </c>
      <c r="C172">
        <v>200</v>
      </c>
      <c r="D172">
        <v>0.37531325123877901</v>
      </c>
      <c r="E172">
        <v>110.90331812259301</v>
      </c>
      <c r="F172">
        <v>1.78357844604217</v>
      </c>
      <c r="G172">
        <v>-1835.104055700511</v>
      </c>
      <c r="H172">
        <v>-1527.0851873837851</v>
      </c>
      <c r="I172">
        <v>302.23679468705802</v>
      </c>
      <c r="J172">
        <v>162.612082620384</v>
      </c>
      <c r="K172">
        <v>62.180230069887003</v>
      </c>
      <c r="L172">
        <v>0.13475285624734371</v>
      </c>
      <c r="M172">
        <v>-0.13408487965715482</v>
      </c>
      <c r="N172">
        <v>8.3447274983271793</v>
      </c>
      <c r="O172">
        <v>8.3447213924435193</v>
      </c>
      <c r="P172">
        <v>8.3446888135362496</v>
      </c>
      <c r="Q172" t="s">
        <v>51</v>
      </c>
    </row>
    <row r="173" spans="1:17" x14ac:dyDescent="0.2">
      <c r="A173">
        <v>172</v>
      </c>
      <c r="B173">
        <v>744</v>
      </c>
      <c r="C173">
        <v>200</v>
      </c>
      <c r="D173">
        <v>0.373947303740848</v>
      </c>
      <c r="E173">
        <v>110.90313408640201</v>
      </c>
      <c r="F173">
        <v>1.7830639823419501</v>
      </c>
      <c r="G173">
        <v>-1834.4974840009611</v>
      </c>
      <c r="H173">
        <v>-1527.9280510750896</v>
      </c>
      <c r="I173">
        <v>301.406170180375</v>
      </c>
      <c r="J173">
        <v>162.647410457832</v>
      </c>
      <c r="K173">
        <v>62.198067587421697</v>
      </c>
      <c r="L173">
        <v>0.11161031133254601</v>
      </c>
      <c r="M173">
        <v>-0.11093290442498689</v>
      </c>
      <c r="N173">
        <v>6.9071813001215698</v>
      </c>
      <c r="O173">
        <v>6.9071745277341101</v>
      </c>
      <c r="P173">
        <v>6.9071414560158404</v>
      </c>
      <c r="Q173" t="s">
        <v>51</v>
      </c>
    </row>
    <row r="174" spans="1:17" x14ac:dyDescent="0.2">
      <c r="A174">
        <v>173</v>
      </c>
      <c r="B174">
        <v>742</v>
      </c>
      <c r="C174">
        <v>200</v>
      </c>
      <c r="D174">
        <v>0.37257597399398801</v>
      </c>
      <c r="E174">
        <v>110.903013388902</v>
      </c>
      <c r="F174">
        <v>1.7835438387904901</v>
      </c>
      <c r="G174">
        <v>-1833.8933698295752</v>
      </c>
      <c r="H174">
        <v>-1528.5776063645565</v>
      </c>
      <c r="I174">
        <v>300.76508305408902</v>
      </c>
      <c r="J174">
        <v>162.70666088635599</v>
      </c>
      <c r="K174">
        <v>62.181265734466699</v>
      </c>
      <c r="L174">
        <v>9.7174596814918163E-2</v>
      </c>
      <c r="M174">
        <v>-9.6491515675822967E-2</v>
      </c>
      <c r="N174">
        <v>6.00735860522735</v>
      </c>
      <c r="O174">
        <v>6.0073511857753301</v>
      </c>
      <c r="P174">
        <v>6.00731781894698</v>
      </c>
      <c r="Q174" t="s">
        <v>51</v>
      </c>
    </row>
    <row r="175" spans="1:17" x14ac:dyDescent="0.2">
      <c r="A175">
        <v>174</v>
      </c>
      <c r="B175">
        <v>740</v>
      </c>
      <c r="C175">
        <v>200</v>
      </c>
      <c r="D175">
        <v>0.37119923012387401</v>
      </c>
      <c r="E175">
        <v>110.90289171387199</v>
      </c>
      <c r="F175">
        <v>1.7845155012757601</v>
      </c>
      <c r="G175">
        <v>-1833.2904229954127</v>
      </c>
      <c r="H175">
        <v>-1529.1335443261657</v>
      </c>
      <c r="I175">
        <v>300.21500261117302</v>
      </c>
      <c r="J175">
        <v>162.77914837570901</v>
      </c>
      <c r="K175">
        <v>62.147340067703396</v>
      </c>
      <c r="L175">
        <v>8.6964635741198559E-2</v>
      </c>
      <c r="M175">
        <v>-8.627771960551936E-2</v>
      </c>
      <c r="N175">
        <v>5.36932765229409</v>
      </c>
      <c r="O175">
        <v>5.3693195934321798</v>
      </c>
      <c r="P175">
        <v>5.3692860291366804</v>
      </c>
      <c r="Q175" t="s">
        <v>51</v>
      </c>
    </row>
    <row r="176" spans="1:17" x14ac:dyDescent="0.2">
      <c r="A176">
        <v>175</v>
      </c>
      <c r="B176">
        <v>738</v>
      </c>
      <c r="C176">
        <v>200</v>
      </c>
      <c r="D176">
        <v>0.36981704000395799</v>
      </c>
      <c r="E176">
        <v>110.902768423884</v>
      </c>
      <c r="F176">
        <v>1.78578063005822</v>
      </c>
      <c r="G176">
        <v>-1832.6884925589843</v>
      </c>
      <c r="H176">
        <v>-1529.6337365573929</v>
      </c>
      <c r="I176">
        <v>299.71887236858299</v>
      </c>
      <c r="J176">
        <v>162.861261373361</v>
      </c>
      <c r="K176">
        <v>62.1032430059837</v>
      </c>
      <c r="L176">
        <v>7.9269396991162477E-2</v>
      </c>
      <c r="M176">
        <v>-7.8579747687122503E-2</v>
      </c>
      <c r="N176">
        <v>4.8874436366937797</v>
      </c>
      <c r="O176">
        <v>4.8874349421188397</v>
      </c>
      <c r="P176">
        <v>4.8874012393008099</v>
      </c>
      <c r="Q176" t="s">
        <v>51</v>
      </c>
    </row>
    <row r="177" spans="1:17" x14ac:dyDescent="0.2">
      <c r="A177">
        <v>176</v>
      </c>
      <c r="B177">
        <v>762</v>
      </c>
      <c r="C177">
        <v>190</v>
      </c>
      <c r="D177">
        <v>0.39667729314592298</v>
      </c>
      <c r="E177">
        <v>110.892139092425</v>
      </c>
      <c r="F177">
        <v>1.8283050834958301</v>
      </c>
      <c r="G177">
        <v>-1840.5341203624903</v>
      </c>
      <c r="H177">
        <v>-1510.533580883108</v>
      </c>
      <c r="I177">
        <v>318.79802049111902</v>
      </c>
      <c r="J177">
        <v>163.693196732562</v>
      </c>
      <c r="K177">
        <v>60.652973124371798</v>
      </c>
      <c r="L177">
        <v>0.78762216645659222</v>
      </c>
      <c r="M177">
        <v>-0.78720625528321675</v>
      </c>
      <c r="N177">
        <v>47.751251280612998</v>
      </c>
      <c r="O177">
        <v>47.751252558301999</v>
      </c>
      <c r="P177">
        <v>47.751231508996099</v>
      </c>
      <c r="Q177" t="s">
        <v>51</v>
      </c>
    </row>
    <row r="178" spans="1:17" x14ac:dyDescent="0.2">
      <c r="A178">
        <v>177</v>
      </c>
      <c r="B178">
        <v>760</v>
      </c>
      <c r="C178">
        <v>190</v>
      </c>
      <c r="D178">
        <v>0.39537385665198899</v>
      </c>
      <c r="E178">
        <v>110.892220513807</v>
      </c>
      <c r="F178">
        <v>1.8298780022908001</v>
      </c>
      <c r="G178">
        <v>-1839.8981560035638</v>
      </c>
      <c r="H178">
        <v>-1510.8693467234377</v>
      </c>
      <c r="I178">
        <v>318.47460947123199</v>
      </c>
      <c r="J178">
        <v>163.70637642170399</v>
      </c>
      <c r="K178">
        <v>60.600881793749402</v>
      </c>
      <c r="L178">
        <v>0.78768743161724231</v>
      </c>
      <c r="M178">
        <v>-0.78727155544918181</v>
      </c>
      <c r="N178">
        <v>47.714175885379703</v>
      </c>
      <c r="O178">
        <v>47.714176815503798</v>
      </c>
      <c r="P178">
        <v>47.714155755048701</v>
      </c>
      <c r="Q178" t="s">
        <v>51</v>
      </c>
    </row>
    <row r="179" spans="1:17" x14ac:dyDescent="0.2">
      <c r="A179">
        <v>178</v>
      </c>
      <c r="B179">
        <v>758</v>
      </c>
      <c r="C179">
        <v>190</v>
      </c>
      <c r="D179">
        <v>0.39406536391407598</v>
      </c>
      <c r="E179">
        <v>110.89231408868601</v>
      </c>
      <c r="F179">
        <v>1.82825457508093</v>
      </c>
      <c r="G179">
        <v>-1839.2633816533648</v>
      </c>
      <c r="H179">
        <v>-1511.6554922216478</v>
      </c>
      <c r="I179">
        <v>317.71441029123298</v>
      </c>
      <c r="J179">
        <v>163.72232405274599</v>
      </c>
      <c r="K179">
        <v>60.654744476040896</v>
      </c>
      <c r="L179">
        <v>0.76621555586716972</v>
      </c>
      <c r="M179">
        <v>-0.76578871075510779</v>
      </c>
      <c r="N179">
        <v>46.453651644421697</v>
      </c>
      <c r="O179">
        <v>46.453652255770002</v>
      </c>
      <c r="P179">
        <v>46.453630604237603</v>
      </c>
      <c r="Q179" t="s">
        <v>51</v>
      </c>
    </row>
    <row r="180" spans="1:17" x14ac:dyDescent="0.2">
      <c r="A180">
        <v>179</v>
      </c>
      <c r="B180">
        <v>756</v>
      </c>
      <c r="C180">
        <v>190</v>
      </c>
      <c r="D180">
        <v>0.39275178545401701</v>
      </c>
      <c r="E180">
        <v>110.89240522388199</v>
      </c>
      <c r="F180">
        <v>1.82556909129998</v>
      </c>
      <c r="G180">
        <v>-1838.6303208103761</v>
      </c>
      <c r="H180">
        <v>-1512.582901761371</v>
      </c>
      <c r="I180">
        <v>316.81568671511599</v>
      </c>
      <c r="J180">
        <v>163.74164599569099</v>
      </c>
      <c r="K180">
        <v>60.744019907193</v>
      </c>
      <c r="L180">
        <v>0.73800240429889219</v>
      </c>
      <c r="M180">
        <v>-0.73756109513130996</v>
      </c>
      <c r="N180">
        <v>44.807508036983698</v>
      </c>
      <c r="O180">
        <v>44.807508316106897</v>
      </c>
      <c r="P180">
        <v>44.807485886073302</v>
      </c>
      <c r="Q180" t="s">
        <v>51</v>
      </c>
    </row>
    <row r="181" spans="1:17" x14ac:dyDescent="0.2">
      <c r="A181">
        <v>180</v>
      </c>
      <c r="B181">
        <v>754</v>
      </c>
      <c r="C181">
        <v>190</v>
      </c>
      <c r="D181">
        <v>0.391433091564035</v>
      </c>
      <c r="E181">
        <v>110.892493479329</v>
      </c>
      <c r="F181">
        <v>1.8227931936358199</v>
      </c>
      <c r="G181">
        <v>-1837.9990289593961</v>
      </c>
      <c r="H181">
        <v>-1513.5307491446797</v>
      </c>
      <c r="I181">
        <v>315.89529221214701</v>
      </c>
      <c r="J181">
        <v>163.768943687882</v>
      </c>
      <c r="K181">
        <v>60.836574256752698</v>
      </c>
      <c r="L181">
        <v>0.70867325500982981</v>
      </c>
      <c r="M181">
        <v>-0.70821701450993624</v>
      </c>
      <c r="N181">
        <v>43.0907326962692</v>
      </c>
      <c r="O181">
        <v>43.090732615908102</v>
      </c>
      <c r="P181">
        <v>43.090709379615099</v>
      </c>
      <c r="Q181" t="s">
        <v>51</v>
      </c>
    </row>
    <row r="182" spans="1:17" x14ac:dyDescent="0.2">
      <c r="A182">
        <v>181</v>
      </c>
      <c r="B182">
        <v>752</v>
      </c>
      <c r="C182">
        <v>190</v>
      </c>
      <c r="D182">
        <v>0.39010925230454402</v>
      </c>
      <c r="E182">
        <v>110.90290119208601</v>
      </c>
      <c r="F182">
        <v>1.771753641556</v>
      </c>
      <c r="G182">
        <v>-1837.5461807826136</v>
      </c>
      <c r="H182">
        <v>-1523.0667817025437</v>
      </c>
      <c r="I182">
        <v>306.76934569664297</v>
      </c>
      <c r="J182">
        <v>162.91972976148699</v>
      </c>
      <c r="K182">
        <v>62.5949898399464</v>
      </c>
      <c r="L182">
        <v>0.28128528242637868</v>
      </c>
      <c r="M182">
        <v>-0.28063458014409304</v>
      </c>
      <c r="N182">
        <v>17.5739226558658</v>
      </c>
      <c r="O182">
        <v>17.573922227595698</v>
      </c>
      <c r="P182">
        <v>17.573888416231199</v>
      </c>
      <c r="Q182" t="s">
        <v>51</v>
      </c>
    </row>
    <row r="183" spans="1:17" x14ac:dyDescent="0.2">
      <c r="A183">
        <v>182</v>
      </c>
      <c r="B183">
        <v>750</v>
      </c>
      <c r="C183">
        <v>190</v>
      </c>
      <c r="D183">
        <v>0.38878023750183299</v>
      </c>
      <c r="E183">
        <v>110.903602029384</v>
      </c>
      <c r="F183">
        <v>1.76103575874591</v>
      </c>
      <c r="G183">
        <v>-1836.9470849677398</v>
      </c>
      <c r="H183">
        <v>-1525.7385217144486</v>
      </c>
      <c r="I183">
        <v>304.17257815244102</v>
      </c>
      <c r="J183">
        <v>162.74224587609501</v>
      </c>
      <c r="K183">
        <v>62.976348707627302</v>
      </c>
      <c r="L183">
        <v>0.17529250208435163</v>
      </c>
      <c r="M183">
        <v>-0.17459421781762891</v>
      </c>
      <c r="N183">
        <v>11.0034711426062</v>
      </c>
      <c r="O183">
        <v>11.003470111152</v>
      </c>
      <c r="P183">
        <v>11.003433614405401</v>
      </c>
      <c r="Q183" t="s">
        <v>51</v>
      </c>
    </row>
    <row r="184" spans="1:17" x14ac:dyDescent="0.2">
      <c r="A184">
        <v>183</v>
      </c>
      <c r="B184">
        <v>748</v>
      </c>
      <c r="C184">
        <v>190</v>
      </c>
      <c r="D184">
        <v>0.38744601674582602</v>
      </c>
      <c r="E184">
        <v>110.903648305084</v>
      </c>
      <c r="F184">
        <v>1.7583313402488601</v>
      </c>
      <c r="G184">
        <v>-1836.3407977096988</v>
      </c>
      <c r="H184">
        <v>-1526.9711279210815</v>
      </c>
      <c r="I184">
        <v>302.96767320768498</v>
      </c>
      <c r="J184">
        <v>162.72593042648401</v>
      </c>
      <c r="K184">
        <v>63.073236406846704</v>
      </c>
      <c r="L184">
        <v>0.13468746276699345</v>
      </c>
      <c r="M184">
        <v>-0.13397124844139091</v>
      </c>
      <c r="N184">
        <v>8.45834664914398</v>
      </c>
      <c r="O184">
        <v>8.4583449687769505</v>
      </c>
      <c r="P184">
        <v>8.4583074469974306</v>
      </c>
      <c r="Q184" t="s">
        <v>51</v>
      </c>
    </row>
    <row r="185" spans="1:17" x14ac:dyDescent="0.2">
      <c r="A185">
        <v>184</v>
      </c>
      <c r="B185">
        <v>746</v>
      </c>
      <c r="C185">
        <v>190</v>
      </c>
      <c r="D185">
        <v>0.38610655938772698</v>
      </c>
      <c r="E185">
        <v>110.903495341734</v>
      </c>
      <c r="F185">
        <v>1.7578048144306699</v>
      </c>
      <c r="G185">
        <v>-1835.7332523803925</v>
      </c>
      <c r="H185">
        <v>-1527.8150562171775</v>
      </c>
      <c r="I185">
        <v>302.13811124988803</v>
      </c>
      <c r="J185">
        <v>162.75548214096901</v>
      </c>
      <c r="K185">
        <v>63.092042092087603</v>
      </c>
      <c r="L185">
        <v>0.1116769897713431</v>
      </c>
      <c r="M185">
        <v>-0.11095084382855556</v>
      </c>
      <c r="N185">
        <v>7.0085397636153202</v>
      </c>
      <c r="O185">
        <v>7.0085374151137296</v>
      </c>
      <c r="P185">
        <v>7.0084993220162799</v>
      </c>
      <c r="Q185" t="s">
        <v>51</v>
      </c>
    </row>
    <row r="186" spans="1:17" x14ac:dyDescent="0.2">
      <c r="A186">
        <v>185</v>
      </c>
      <c r="B186">
        <v>744</v>
      </c>
      <c r="C186">
        <v>190</v>
      </c>
      <c r="D186">
        <v>0.38476183453767998</v>
      </c>
      <c r="E186">
        <v>110.903371034504</v>
      </c>
      <c r="F186">
        <v>1.7582972265801899</v>
      </c>
      <c r="G186">
        <v>-1835.1276193215867</v>
      </c>
      <c r="H186">
        <v>-1528.4696475869478</v>
      </c>
      <c r="I186">
        <v>301.49327889818397</v>
      </c>
      <c r="J186">
        <v>162.81107873393299</v>
      </c>
      <c r="K186">
        <v>63.074302431908201</v>
      </c>
      <c r="L186">
        <v>9.714803981910522E-2</v>
      </c>
      <c r="M186">
        <v>-9.6415793524321142E-2</v>
      </c>
      <c r="N186">
        <v>6.0898118030961204</v>
      </c>
      <c r="O186">
        <v>6.0898087751200096</v>
      </c>
      <c r="P186">
        <v>6.0897703289069103</v>
      </c>
      <c r="Q186" t="s">
        <v>51</v>
      </c>
    </row>
    <row r="187" spans="1:17" x14ac:dyDescent="0.2">
      <c r="A187">
        <v>186</v>
      </c>
      <c r="B187">
        <v>742</v>
      </c>
      <c r="C187">
        <v>190</v>
      </c>
      <c r="D187">
        <v>0.38341181106240502</v>
      </c>
      <c r="E187">
        <v>110.903248738488</v>
      </c>
      <c r="F187">
        <v>1.7593077935410499</v>
      </c>
      <c r="G187">
        <v>-1834.5232077246958</v>
      </c>
      <c r="H187">
        <v>-1529.0287185513844</v>
      </c>
      <c r="I187">
        <v>300.94118724160103</v>
      </c>
      <c r="J187">
        <v>162.88156005270099</v>
      </c>
      <c r="K187">
        <v>63.0380023016141</v>
      </c>
      <c r="L187">
        <v>8.6896054393935537E-2</v>
      </c>
      <c r="M187">
        <v>-8.6159651929139422E-2</v>
      </c>
      <c r="N187">
        <v>5.4397884411215296</v>
      </c>
      <c r="O187">
        <v>5.4397847248215001</v>
      </c>
      <c r="P187">
        <v>5.4397460369482404</v>
      </c>
      <c r="Q187" t="s">
        <v>51</v>
      </c>
    </row>
    <row r="188" spans="1:17" x14ac:dyDescent="0.2">
      <c r="A188">
        <v>187</v>
      </c>
      <c r="B188">
        <v>740</v>
      </c>
      <c r="C188">
        <v>190</v>
      </c>
      <c r="D188">
        <v>0.382056457582788</v>
      </c>
      <c r="E188">
        <v>110.90312661364401</v>
      </c>
      <c r="F188">
        <v>1.76062697295071</v>
      </c>
      <c r="G188">
        <v>-1833.9198445877034</v>
      </c>
      <c r="H188">
        <v>-1529.5310624290325</v>
      </c>
      <c r="I188">
        <v>300.44393168050198</v>
      </c>
      <c r="J188">
        <v>162.962528061603</v>
      </c>
      <c r="K188">
        <v>62.9907006523798</v>
      </c>
      <c r="L188">
        <v>7.9182100896377866E-2</v>
      </c>
      <c r="M188">
        <v>-7.8442704251235854E-2</v>
      </c>
      <c r="N188">
        <v>4.9496051966459396</v>
      </c>
      <c r="O188">
        <v>4.9496007846438701</v>
      </c>
      <c r="P188">
        <v>4.9495619221566001</v>
      </c>
      <c r="Q188" t="s">
        <v>51</v>
      </c>
    </row>
    <row r="189" spans="1:17" x14ac:dyDescent="0.2">
      <c r="A189">
        <v>188</v>
      </c>
      <c r="B189">
        <v>764</v>
      </c>
      <c r="C189">
        <v>180</v>
      </c>
      <c r="D189">
        <v>0.40858169020874802</v>
      </c>
      <c r="E189">
        <v>110.892183334801</v>
      </c>
      <c r="F189">
        <v>1.8026059236130501</v>
      </c>
      <c r="G189">
        <v>-1841.7837812980431</v>
      </c>
      <c r="H189">
        <v>-1510.5339221737131</v>
      </c>
      <c r="I189">
        <v>319.38792095895701</v>
      </c>
      <c r="J189">
        <v>163.98438438354901</v>
      </c>
      <c r="K189">
        <v>61.517707160606101</v>
      </c>
      <c r="L189">
        <v>0.77529223520486656</v>
      </c>
      <c r="M189">
        <v>-0.77483211143533659</v>
      </c>
      <c r="N189">
        <v>47.671636084605602</v>
      </c>
      <c r="O189">
        <v>47.671641176245501</v>
      </c>
      <c r="P189">
        <v>47.671616256741103</v>
      </c>
      <c r="Q189" t="s">
        <v>51</v>
      </c>
    </row>
    <row r="190" spans="1:17" x14ac:dyDescent="0.2">
      <c r="A190">
        <v>189</v>
      </c>
      <c r="B190">
        <v>762</v>
      </c>
      <c r="C190">
        <v>180</v>
      </c>
      <c r="D190">
        <v>0.40730377240013699</v>
      </c>
      <c r="E190">
        <v>110.892255027014</v>
      </c>
      <c r="F190">
        <v>1.8035837230228999</v>
      </c>
      <c r="G190">
        <v>-1841.1465063941146</v>
      </c>
      <c r="H190">
        <v>-1510.9270034315714</v>
      </c>
      <c r="I190">
        <v>319.00965102812302</v>
      </c>
      <c r="J190">
        <v>163.98693487891799</v>
      </c>
      <c r="K190">
        <v>61.484395546192303</v>
      </c>
      <c r="L190">
        <v>0.7729274104485141</v>
      </c>
      <c r="M190">
        <v>-0.77246565838546233</v>
      </c>
      <c r="N190">
        <v>47.500316263600602</v>
      </c>
      <c r="O190">
        <v>47.500320997897902</v>
      </c>
      <c r="P190">
        <v>47.500295964476003</v>
      </c>
      <c r="Q190" t="s">
        <v>51</v>
      </c>
    </row>
    <row r="191" spans="1:17" x14ac:dyDescent="0.2">
      <c r="A191">
        <v>190</v>
      </c>
      <c r="B191">
        <v>760</v>
      </c>
      <c r="C191">
        <v>180</v>
      </c>
      <c r="D191">
        <v>0.40602090693510101</v>
      </c>
      <c r="E191">
        <v>110.892344938259</v>
      </c>
      <c r="F191">
        <v>1.80105703882917</v>
      </c>
      <c r="G191">
        <v>-1840.5107726131992</v>
      </c>
      <c r="H191">
        <v>-1511.8149520313607</v>
      </c>
      <c r="I191">
        <v>318.15251126296602</v>
      </c>
      <c r="J191">
        <v>163.99198055157501</v>
      </c>
      <c r="K191">
        <v>61.570701286810902</v>
      </c>
      <c r="L191">
        <v>0.74690899394183596</v>
      </c>
      <c r="M191">
        <v>-0.74643312012042251</v>
      </c>
      <c r="N191">
        <v>45.964297233473999</v>
      </c>
      <c r="O191">
        <v>45.9643017424672</v>
      </c>
      <c r="P191">
        <v>45.964275883591</v>
      </c>
      <c r="Q191" t="s">
        <v>51</v>
      </c>
    </row>
    <row r="192" spans="1:17" x14ac:dyDescent="0.2">
      <c r="A192">
        <v>191</v>
      </c>
      <c r="B192">
        <v>758</v>
      </c>
      <c r="C192">
        <v>180</v>
      </c>
      <c r="D192">
        <v>0.40473306502448703</v>
      </c>
      <c r="E192">
        <v>110.892434457581</v>
      </c>
      <c r="F192">
        <v>1.79834423937643</v>
      </c>
      <c r="G192">
        <v>-1839.8768039300044</v>
      </c>
      <c r="H192">
        <v>-1512.7382347980222</v>
      </c>
      <c r="I192">
        <v>317.25949842630502</v>
      </c>
      <c r="J192">
        <v>164.005741594196</v>
      </c>
      <c r="K192">
        <v>61.663630371476103</v>
      </c>
      <c r="L192">
        <v>0.71911110205356987</v>
      </c>
      <c r="M192">
        <v>-0.71862024416941439</v>
      </c>
      <c r="N192">
        <v>44.318783973291197</v>
      </c>
      <c r="O192">
        <v>44.318788237390201</v>
      </c>
      <c r="P192">
        <v>44.318761500084499</v>
      </c>
      <c r="Q192" t="s">
        <v>51</v>
      </c>
    </row>
    <row r="193" spans="1:17" x14ac:dyDescent="0.2">
      <c r="A193">
        <v>192</v>
      </c>
      <c r="B193">
        <v>756</v>
      </c>
      <c r="C193">
        <v>180</v>
      </c>
      <c r="D193">
        <v>0.40344021765534699</v>
      </c>
      <c r="E193">
        <v>110.892520842607</v>
      </c>
      <c r="F193">
        <v>1.79552247815737</v>
      </c>
      <c r="G193">
        <v>-1839.2445907049701</v>
      </c>
      <c r="H193">
        <v>-1513.6845013377358</v>
      </c>
      <c r="I193">
        <v>316.34239235940402</v>
      </c>
      <c r="J193">
        <v>164.026430066616</v>
      </c>
      <c r="K193">
        <v>61.760586231372699</v>
      </c>
      <c r="L193">
        <v>0.69006380899252084</v>
      </c>
      <c r="M193">
        <v>-0.68955741455484776</v>
      </c>
      <c r="N193">
        <v>42.593691105369501</v>
      </c>
      <c r="O193">
        <v>42.593695099448396</v>
      </c>
      <c r="P193">
        <v>42.593667448026103</v>
      </c>
      <c r="Q193" t="s">
        <v>51</v>
      </c>
    </row>
    <row r="194" spans="1:17" x14ac:dyDescent="0.2">
      <c r="A194">
        <v>193</v>
      </c>
      <c r="B194">
        <v>754</v>
      </c>
      <c r="C194">
        <v>180</v>
      </c>
      <c r="D194">
        <v>0.402142335588766</v>
      </c>
      <c r="E194">
        <v>110.90332962078401</v>
      </c>
      <c r="F194">
        <v>1.74297455758244</v>
      </c>
      <c r="G194">
        <v>-1838.7982085951123</v>
      </c>
      <c r="H194">
        <v>-1523.1699517895354</v>
      </c>
      <c r="I194">
        <v>307.29057748475202</v>
      </c>
      <c r="J194">
        <v>163.02354560062901</v>
      </c>
      <c r="K194">
        <v>63.628771365779897</v>
      </c>
      <c r="L194">
        <v>0.26895308189004707</v>
      </c>
      <c r="M194">
        <v>-0.26824610269500293</v>
      </c>
      <c r="N194">
        <v>17.0770292489428</v>
      </c>
      <c r="O194">
        <v>17.077034560747698</v>
      </c>
      <c r="P194">
        <v>17.076995072405101</v>
      </c>
      <c r="Q194" t="s">
        <v>51</v>
      </c>
    </row>
    <row r="195" spans="1:17" x14ac:dyDescent="0.2">
      <c r="A195">
        <v>194</v>
      </c>
      <c r="B195">
        <v>752</v>
      </c>
      <c r="C195">
        <v>180</v>
      </c>
      <c r="D195">
        <v>0.40083938935765601</v>
      </c>
      <c r="E195">
        <v>110.903939745101</v>
      </c>
      <c r="F195">
        <v>1.7328312035859399</v>
      </c>
      <c r="G195">
        <v>-1838.1963795765746</v>
      </c>
      <c r="H195">
        <v>-1525.6760696405063</v>
      </c>
      <c r="I195">
        <v>304.85874791203901</v>
      </c>
      <c r="J195">
        <v>162.827485770332</v>
      </c>
      <c r="K195">
        <v>64.001582794443607</v>
      </c>
      <c r="L195">
        <v>0.17140505015074756</v>
      </c>
      <c r="M195">
        <v>-0.17065211162240246</v>
      </c>
      <c r="N195">
        <v>10.9314446693196</v>
      </c>
      <c r="O195">
        <v>10.9314497269649</v>
      </c>
      <c r="P195">
        <v>10.9314074130147</v>
      </c>
      <c r="Q195" t="s">
        <v>51</v>
      </c>
    </row>
    <row r="196" spans="1:17" x14ac:dyDescent="0.2">
      <c r="A196">
        <v>195</v>
      </c>
      <c r="B196">
        <v>750</v>
      </c>
      <c r="C196">
        <v>180</v>
      </c>
      <c r="D196">
        <v>0.39953134926452799</v>
      </c>
      <c r="E196">
        <v>110.903972114281</v>
      </c>
      <c r="F196">
        <v>1.73021616721611</v>
      </c>
      <c r="G196">
        <v>-1837.5884553836795</v>
      </c>
      <c r="H196">
        <v>-1526.8777703552432</v>
      </c>
      <c r="I196">
        <v>303.68613678135699</v>
      </c>
      <c r="J196">
        <v>162.80198392532699</v>
      </c>
      <c r="K196">
        <v>64.098333038191001</v>
      </c>
      <c r="L196">
        <v>0.13257150293846978</v>
      </c>
      <c r="M196">
        <v>-0.13180046268157755</v>
      </c>
      <c r="N196">
        <v>8.4578237149810302</v>
      </c>
      <c r="O196">
        <v>8.4578282244869101</v>
      </c>
      <c r="P196">
        <v>8.4577847775320603</v>
      </c>
      <c r="Q196" t="s">
        <v>51</v>
      </c>
    </row>
    <row r="197" spans="1:17" x14ac:dyDescent="0.2">
      <c r="A197">
        <v>196</v>
      </c>
      <c r="B197">
        <v>748</v>
      </c>
      <c r="C197">
        <v>180</v>
      </c>
      <c r="D197">
        <v>0.39821818537923098</v>
      </c>
      <c r="E197">
        <v>110.90384191715199</v>
      </c>
      <c r="F197">
        <v>1.72975766756303</v>
      </c>
      <c r="G197">
        <v>-1836.979815437506</v>
      </c>
      <c r="H197">
        <v>-1527.7063520942129</v>
      </c>
      <c r="I197">
        <v>302.87355887543799</v>
      </c>
      <c r="J197">
        <v>162.82791921622899</v>
      </c>
      <c r="K197">
        <v>64.115248047085799</v>
      </c>
      <c r="L197">
        <v>0.11045263508483007</v>
      </c>
      <c r="M197">
        <v>-0.10967143615423916</v>
      </c>
      <c r="N197">
        <v>7.0413280934092599</v>
      </c>
      <c r="O197">
        <v>7.0413319613076597</v>
      </c>
      <c r="P197">
        <v>7.0412878698080901</v>
      </c>
      <c r="Q197" t="s">
        <v>51</v>
      </c>
    </row>
    <row r="198" spans="1:17" x14ac:dyDescent="0.2">
      <c r="A198">
        <v>197</v>
      </c>
      <c r="B198">
        <v>746</v>
      </c>
      <c r="C198">
        <v>180</v>
      </c>
      <c r="D198">
        <v>0.396899867536674</v>
      </c>
      <c r="E198">
        <v>110.903714219866</v>
      </c>
      <c r="F198">
        <v>1.7302993865062899</v>
      </c>
      <c r="G198">
        <v>-1836.3726511472901</v>
      </c>
      <c r="H198">
        <v>-1528.3577826310593</v>
      </c>
      <c r="I198">
        <v>302.23303224454901</v>
      </c>
      <c r="J198">
        <v>162.88123480084499</v>
      </c>
      <c r="K198">
        <v>64.095101162692899</v>
      </c>
      <c r="L198">
        <v>9.6214605358628927E-2</v>
      </c>
      <c r="M198">
        <v>-9.5426981594045251E-2</v>
      </c>
      <c r="N198">
        <v>6.1261493705368704</v>
      </c>
      <c r="O198">
        <v>6.1261525482489301</v>
      </c>
      <c r="P198">
        <v>6.1261080428607801</v>
      </c>
      <c r="Q198" t="s">
        <v>51</v>
      </c>
    </row>
    <row r="199" spans="1:17" x14ac:dyDescent="0.2">
      <c r="A199">
        <v>198</v>
      </c>
      <c r="B199">
        <v>744</v>
      </c>
      <c r="C199">
        <v>180</v>
      </c>
      <c r="D199">
        <v>0.39557636533451601</v>
      </c>
      <c r="E199">
        <v>110.903591350429</v>
      </c>
      <c r="F199">
        <v>1.73136956072687</v>
      </c>
      <c r="G199">
        <v>-1835.7667474871562</v>
      </c>
      <c r="H199">
        <v>-1528.9153295327551</v>
      </c>
      <c r="I199">
        <v>301.68351091028597</v>
      </c>
      <c r="J199">
        <v>162.950867975421</v>
      </c>
      <c r="K199">
        <v>64.055412470038505</v>
      </c>
      <c r="L199">
        <v>8.614022970682432E-2</v>
      </c>
      <c r="M199">
        <v>-8.5348161814917292E-2</v>
      </c>
      <c r="N199">
        <v>5.4767617852570902</v>
      </c>
      <c r="O199">
        <v>5.4767642425971399</v>
      </c>
      <c r="P199">
        <v>5.4767194462142399</v>
      </c>
      <c r="Q199" t="s">
        <v>51</v>
      </c>
    </row>
    <row r="200" spans="1:17" x14ac:dyDescent="0.2">
      <c r="A200">
        <v>199</v>
      </c>
      <c r="B200">
        <v>742</v>
      </c>
      <c r="C200">
        <v>180</v>
      </c>
      <c r="D200">
        <v>0.39424764813081797</v>
      </c>
      <c r="E200">
        <v>110.903470348263</v>
      </c>
      <c r="F200">
        <v>1.7327561789430701</v>
      </c>
      <c r="G200">
        <v>-1835.1619156001773</v>
      </c>
      <c r="H200">
        <v>-1529.4168843757502</v>
      </c>
      <c r="I200">
        <v>301.18802704004497</v>
      </c>
      <c r="J200">
        <v>163.031788069111</v>
      </c>
      <c r="K200">
        <v>64.004083030256893</v>
      </c>
      <c r="L200">
        <v>7.8546948770040995E-2</v>
      </c>
      <c r="M200">
        <v>-7.7751626071242044E-2</v>
      </c>
      <c r="N200">
        <v>4.9861576725057297</v>
      </c>
      <c r="O200">
        <v>4.9861593878186303</v>
      </c>
      <c r="P200">
        <v>4.9861143745803398</v>
      </c>
      <c r="Q200" t="s">
        <v>51</v>
      </c>
    </row>
    <row r="201" spans="1:17" x14ac:dyDescent="0.2">
      <c r="A201">
        <v>200</v>
      </c>
      <c r="B201">
        <v>740</v>
      </c>
      <c r="C201">
        <v>180</v>
      </c>
      <c r="D201">
        <v>0.39291368504170499</v>
      </c>
      <c r="E201">
        <v>110.903349567452</v>
      </c>
      <c r="F201">
        <v>1.7343499868290799</v>
      </c>
      <c r="G201">
        <v>-1834.5580416486332</v>
      </c>
      <c r="H201">
        <v>-1529.8820471362692</v>
      </c>
      <c r="I201">
        <v>300.72744602637903</v>
      </c>
      <c r="J201">
        <v>163.12148163066499</v>
      </c>
      <c r="K201">
        <v>63.945195842632302</v>
      </c>
      <c r="L201">
        <v>7.2566659354275781E-2</v>
      </c>
      <c r="M201">
        <v>-7.176886339222055E-2</v>
      </c>
      <c r="N201">
        <v>4.5989853168987702</v>
      </c>
      <c r="O201">
        <v>4.5989862731485296</v>
      </c>
      <c r="P201">
        <v>4.5989410920429101</v>
      </c>
      <c r="Q201" t="s">
        <v>51</v>
      </c>
    </row>
    <row r="202" spans="1:17" x14ac:dyDescent="0.2">
      <c r="A202">
        <v>201</v>
      </c>
      <c r="B202">
        <v>768</v>
      </c>
      <c r="C202">
        <v>170</v>
      </c>
      <c r="D202">
        <v>0.42168803726648402</v>
      </c>
      <c r="E202">
        <v>110.892150239362</v>
      </c>
      <c r="F202">
        <v>1.7723729683595699</v>
      </c>
      <c r="G202">
        <v>-1843.6829530032176</v>
      </c>
      <c r="H202">
        <v>-1510.1883410493647</v>
      </c>
      <c r="I202">
        <v>320.31698389207799</v>
      </c>
      <c r="J202">
        <v>164.225578504015</v>
      </c>
      <c r="K202">
        <v>62.567051190133199</v>
      </c>
      <c r="L202">
        <v>0.7611950630097678</v>
      </c>
      <c r="M202">
        <v>-0.76068474653608109</v>
      </c>
      <c r="N202">
        <v>47.600686615251803</v>
      </c>
      <c r="O202">
        <v>47.600697352789801</v>
      </c>
      <c r="P202">
        <v>47.600667761429001</v>
      </c>
      <c r="Q202" t="s">
        <v>51</v>
      </c>
    </row>
    <row r="203" spans="1:17" x14ac:dyDescent="0.2">
      <c r="A203">
        <v>202</v>
      </c>
      <c r="B203">
        <v>766</v>
      </c>
      <c r="C203">
        <v>170</v>
      </c>
      <c r="D203">
        <v>0.42044026367704701</v>
      </c>
      <c r="E203">
        <v>110.892221473226</v>
      </c>
      <c r="F203">
        <v>1.7734854653692</v>
      </c>
      <c r="G203">
        <v>-1843.043808330689</v>
      </c>
      <c r="H203">
        <v>-1510.5763942315079</v>
      </c>
      <c r="I203">
        <v>319.94499576111298</v>
      </c>
      <c r="J203">
        <v>164.231509680649</v>
      </c>
      <c r="K203">
        <v>62.527843412655699</v>
      </c>
      <c r="L203">
        <v>0.759157988638264</v>
      </c>
      <c r="M203">
        <v>-0.7586460482564813</v>
      </c>
      <c r="N203">
        <v>47.4433729551901</v>
      </c>
      <c r="O203">
        <v>47.443383337588998</v>
      </c>
      <c r="P203">
        <v>47.4433536178244</v>
      </c>
      <c r="Q203" t="s">
        <v>51</v>
      </c>
    </row>
    <row r="204" spans="1:17" x14ac:dyDescent="0.2">
      <c r="A204">
        <v>203</v>
      </c>
      <c r="B204">
        <v>764</v>
      </c>
      <c r="C204">
        <v>170</v>
      </c>
      <c r="D204">
        <v>0.419187677770818</v>
      </c>
      <c r="E204">
        <v>110.892287223362</v>
      </c>
      <c r="F204">
        <v>1.7733332358723599</v>
      </c>
      <c r="G204">
        <v>-1842.4054351279001</v>
      </c>
      <c r="H204">
        <v>-1511.1020425055926</v>
      </c>
      <c r="I204">
        <v>319.43967626709099</v>
      </c>
      <c r="J204">
        <v>164.22146379869301</v>
      </c>
      <c r="K204">
        <v>62.533248111605303</v>
      </c>
      <c r="L204">
        <v>0.75081627702424636</v>
      </c>
      <c r="M204">
        <v>-0.75029896253508477</v>
      </c>
      <c r="N204">
        <v>46.925543112212601</v>
      </c>
      <c r="O204">
        <v>46.9255532128441</v>
      </c>
      <c r="P204">
        <v>46.925523131252803</v>
      </c>
      <c r="Q204" t="s">
        <v>51</v>
      </c>
    </row>
    <row r="205" spans="1:17" x14ac:dyDescent="0.2">
      <c r="A205">
        <v>204</v>
      </c>
      <c r="B205">
        <v>762</v>
      </c>
      <c r="C205">
        <v>170</v>
      </c>
      <c r="D205">
        <v>0.41793025165435399</v>
      </c>
      <c r="E205">
        <v>110.892377097631</v>
      </c>
      <c r="F205">
        <v>1.7706103921687799</v>
      </c>
      <c r="G205">
        <v>-1841.7688822727996</v>
      </c>
      <c r="H205">
        <v>-1512.0103015250252</v>
      </c>
      <c r="I205">
        <v>318.56461213137698</v>
      </c>
      <c r="J205">
        <v>164.222081538943</v>
      </c>
      <c r="K205">
        <v>62.629462465653504</v>
      </c>
      <c r="L205">
        <v>0.72405395482609403</v>
      </c>
      <c r="M205">
        <v>-0.72352135079101743</v>
      </c>
      <c r="N205">
        <v>45.320845500165099</v>
      </c>
      <c r="O205">
        <v>45.320855510379303</v>
      </c>
      <c r="P205">
        <v>45.320824455019</v>
      </c>
      <c r="Q205" t="s">
        <v>51</v>
      </c>
    </row>
    <row r="206" spans="1:17" x14ac:dyDescent="0.2">
      <c r="A206">
        <v>205</v>
      </c>
      <c r="B206">
        <v>760</v>
      </c>
      <c r="C206">
        <v>170</v>
      </c>
      <c r="D206">
        <v>0.41666795721821598</v>
      </c>
      <c r="E206">
        <v>110.892464649001</v>
      </c>
      <c r="F206">
        <v>1.7678521761547099</v>
      </c>
      <c r="G206">
        <v>-1841.1340526985516</v>
      </c>
      <c r="H206">
        <v>-1512.9304268879953</v>
      </c>
      <c r="I206">
        <v>317.67634498728899</v>
      </c>
      <c r="J206">
        <v>164.22974945754899</v>
      </c>
      <c r="K206">
        <v>62.7272269394185</v>
      </c>
      <c r="L206">
        <v>0.69663569578584728</v>
      </c>
      <c r="M206">
        <v>-0.69608750738901803</v>
      </c>
      <c r="N206">
        <v>43.670914173667398</v>
      </c>
      <c r="O206">
        <v>43.6709240682884</v>
      </c>
      <c r="P206">
        <v>43.670892015683201</v>
      </c>
      <c r="Q206" t="s">
        <v>51</v>
      </c>
    </row>
    <row r="207" spans="1:17" x14ac:dyDescent="0.2">
      <c r="A207">
        <v>206</v>
      </c>
      <c r="B207">
        <v>758</v>
      </c>
      <c r="C207">
        <v>170</v>
      </c>
      <c r="D207">
        <v>0.41540076613490101</v>
      </c>
      <c r="E207">
        <v>110.892543251878</v>
      </c>
      <c r="F207">
        <v>1.76422006782243</v>
      </c>
      <c r="G207">
        <v>-1840.5008814602588</v>
      </c>
      <c r="H207">
        <v>-1513.9896899323051</v>
      </c>
      <c r="I207">
        <v>316.65132995428797</v>
      </c>
      <c r="J207">
        <v>164.22883828893899</v>
      </c>
      <c r="K207">
        <v>62.856411892396402</v>
      </c>
      <c r="L207">
        <v>0.66220330022529739</v>
      </c>
      <c r="M207">
        <v>-0.66163612353223855</v>
      </c>
      <c r="N207">
        <v>41.595577243676303</v>
      </c>
      <c r="O207">
        <v>41.595587055916099</v>
      </c>
      <c r="P207">
        <v>41.595553789731603</v>
      </c>
      <c r="Q207" t="s">
        <v>51</v>
      </c>
    </row>
    <row r="208" spans="1:17" x14ac:dyDescent="0.2">
      <c r="A208">
        <v>207</v>
      </c>
      <c r="B208">
        <v>756</v>
      </c>
      <c r="C208">
        <v>170</v>
      </c>
      <c r="D208">
        <v>0.41412864985667802</v>
      </c>
      <c r="E208">
        <v>110.90383352951601</v>
      </c>
      <c r="F208">
        <v>1.70965016844979</v>
      </c>
      <c r="G208">
        <v>-1840.0636386026786</v>
      </c>
      <c r="H208">
        <v>-1523.49683541595</v>
      </c>
      <c r="I208">
        <v>307.60546776427299</v>
      </c>
      <c r="J208">
        <v>163.039318742359</v>
      </c>
      <c r="K208">
        <v>64.869313954489897</v>
      </c>
      <c r="L208">
        <v>0.24539259635875146</v>
      </c>
      <c r="M208">
        <v>-0.24461734217262374</v>
      </c>
      <c r="N208">
        <v>15.878645440485901</v>
      </c>
      <c r="O208">
        <v>15.878658733177</v>
      </c>
      <c r="P208">
        <v>15.8786120841244</v>
      </c>
      <c r="Q208" t="s">
        <v>51</v>
      </c>
    </row>
    <row r="209" spans="1:17" x14ac:dyDescent="0.2">
      <c r="A209">
        <v>208</v>
      </c>
      <c r="B209">
        <v>754</v>
      </c>
      <c r="C209">
        <v>170</v>
      </c>
      <c r="D209">
        <v>0.412851579613494</v>
      </c>
      <c r="E209">
        <v>110.90428079301699</v>
      </c>
      <c r="F209">
        <v>1.7010382459142701</v>
      </c>
      <c r="G209">
        <v>-1839.4581254316422</v>
      </c>
      <c r="H209">
        <v>-1525.6799044919396</v>
      </c>
      <c r="I209">
        <v>305.48984721048498</v>
      </c>
      <c r="J209">
        <v>162.85040273442499</v>
      </c>
      <c r="K209">
        <v>65.197993672040099</v>
      </c>
      <c r="L209">
        <v>0.16333875624212435</v>
      </c>
      <c r="M209">
        <v>-0.16252281240751312</v>
      </c>
      <c r="N209">
        <v>10.6071959271951</v>
      </c>
      <c r="O209">
        <v>10.607209307578801</v>
      </c>
      <c r="P209">
        <v>10.6071599199154</v>
      </c>
      <c r="Q209" t="s">
        <v>51</v>
      </c>
    </row>
    <row r="210" spans="1:17" x14ac:dyDescent="0.2">
      <c r="A210">
        <v>209</v>
      </c>
      <c r="B210">
        <v>752</v>
      </c>
      <c r="C210">
        <v>170</v>
      </c>
      <c r="D210">
        <v>0.41156952641076899</v>
      </c>
      <c r="E210">
        <v>110.904287327041</v>
      </c>
      <c r="F210">
        <v>1.6987535127353299</v>
      </c>
      <c r="G210">
        <v>-1838.848431894824</v>
      </c>
      <c r="H210">
        <v>-1526.8078429655877</v>
      </c>
      <c r="I210">
        <v>304.39096584415802</v>
      </c>
      <c r="J210">
        <v>162.82231178473299</v>
      </c>
      <c r="K210">
        <v>65.285685354353404</v>
      </c>
      <c r="L210">
        <v>0.1282028463363506</v>
      </c>
      <c r="M210">
        <v>-0.12736953372986623</v>
      </c>
      <c r="N210">
        <v>8.3266373222881196</v>
      </c>
      <c r="O210">
        <v>8.3266502881738909</v>
      </c>
      <c r="P210">
        <v>8.3265997061468404</v>
      </c>
      <c r="Q210" t="s">
        <v>51</v>
      </c>
    </row>
    <row r="211" spans="1:17" x14ac:dyDescent="0.2">
      <c r="A211">
        <v>210</v>
      </c>
      <c r="B211">
        <v>750</v>
      </c>
      <c r="C211">
        <v>170</v>
      </c>
      <c r="D211">
        <v>0.41028246102722199</v>
      </c>
      <c r="E211">
        <v>110.904200822356</v>
      </c>
      <c r="F211">
        <v>1.69849132921017</v>
      </c>
      <c r="G211">
        <v>-1838.2390449692018</v>
      </c>
      <c r="H211">
        <v>-1527.5946190425855</v>
      </c>
      <c r="I211">
        <v>303.62147521281298</v>
      </c>
      <c r="J211">
        <v>162.84950412492501</v>
      </c>
      <c r="K211">
        <v>65.295712091699997</v>
      </c>
      <c r="L211">
        <v>0.10811232505367695</v>
      </c>
      <c r="M211">
        <v>-0.10726911684419781</v>
      </c>
      <c r="N211">
        <v>7.0155245164938203</v>
      </c>
      <c r="O211">
        <v>7.0155368956359698</v>
      </c>
      <c r="P211">
        <v>7.01548561895871</v>
      </c>
      <c r="Q211" t="s">
        <v>51</v>
      </c>
    </row>
    <row r="212" spans="1:17" x14ac:dyDescent="0.2">
      <c r="A212">
        <v>211</v>
      </c>
      <c r="B212">
        <v>748</v>
      </c>
      <c r="C212">
        <v>170</v>
      </c>
      <c r="D212">
        <v>0.40899035401263301</v>
      </c>
      <c r="E212">
        <v>110.90404111931601</v>
      </c>
      <c r="F212">
        <v>1.6990949495810199</v>
      </c>
      <c r="G212">
        <v>-1837.6298746766049</v>
      </c>
      <c r="H212">
        <v>-1528.2427710888119</v>
      </c>
      <c r="I212">
        <v>302.98491184843402</v>
      </c>
      <c r="J212">
        <v>162.900278165559</v>
      </c>
      <c r="K212">
        <v>65.272421147896196</v>
      </c>
      <c r="L212">
        <v>9.4233407453691992E-2</v>
      </c>
      <c r="M212">
        <v>-9.3383421927522692E-2</v>
      </c>
      <c r="N212">
        <v>6.1067061419598101</v>
      </c>
      <c r="O212">
        <v>6.1067178523622596</v>
      </c>
      <c r="P212">
        <v>6.1066660912001298</v>
      </c>
      <c r="Q212" t="s">
        <v>51</v>
      </c>
    </row>
    <row r="213" spans="1:17" x14ac:dyDescent="0.2">
      <c r="A213">
        <v>212</v>
      </c>
      <c r="B213">
        <v>746</v>
      </c>
      <c r="C213">
        <v>170</v>
      </c>
      <c r="D213">
        <v>0.40769317568562202</v>
      </c>
      <c r="E213">
        <v>110.903918189119</v>
      </c>
      <c r="F213">
        <v>1.7002506214134701</v>
      </c>
      <c r="G213">
        <v>-1837.0224573111439</v>
      </c>
      <c r="H213">
        <v>-1528.7933821619638</v>
      </c>
      <c r="I213">
        <v>302.44326252116099</v>
      </c>
      <c r="J213">
        <v>162.970356836261</v>
      </c>
      <c r="K213">
        <v>65.227982741109798</v>
      </c>
      <c r="L213">
        <v>8.4584799167414057E-2</v>
      </c>
      <c r="M213">
        <v>-8.3730131688193557E-2</v>
      </c>
      <c r="N213">
        <v>5.47289260067088</v>
      </c>
      <c r="O213">
        <v>5.4729035850732597</v>
      </c>
      <c r="P213">
        <v>5.47285148012711</v>
      </c>
      <c r="Q213" t="s">
        <v>51</v>
      </c>
    </row>
    <row r="214" spans="1:17" x14ac:dyDescent="0.2">
      <c r="A214">
        <v>213</v>
      </c>
      <c r="B214">
        <v>744</v>
      </c>
      <c r="C214">
        <v>170</v>
      </c>
      <c r="D214">
        <v>0.40639089613134799</v>
      </c>
      <c r="E214">
        <v>110.903798552277</v>
      </c>
      <c r="F214">
        <v>1.7017208271894999</v>
      </c>
      <c r="G214">
        <v>-1836.4161221566826</v>
      </c>
      <c r="H214">
        <v>-1529.290688576132</v>
      </c>
      <c r="I214">
        <v>301.95294422191398</v>
      </c>
      <c r="J214">
        <v>163.05235438979901</v>
      </c>
      <c r="K214">
        <v>65.171558566067603</v>
      </c>
      <c r="L214">
        <v>7.7271277469328034E-2</v>
      </c>
      <c r="M214">
        <v>-7.6413101792238938E-2</v>
      </c>
      <c r="N214">
        <v>4.9912888672406801</v>
      </c>
      <c r="O214">
        <v>4.99129908733752</v>
      </c>
      <c r="P214">
        <v>4.9912467177887496</v>
      </c>
      <c r="Q214" t="s">
        <v>51</v>
      </c>
    </row>
    <row r="215" spans="1:17" x14ac:dyDescent="0.2">
      <c r="A215">
        <v>214</v>
      </c>
      <c r="B215">
        <v>742</v>
      </c>
      <c r="C215">
        <v>170</v>
      </c>
      <c r="D215">
        <v>0.40508348519923099</v>
      </c>
      <c r="E215">
        <v>110.903680101226</v>
      </c>
      <c r="F215">
        <v>1.70339910370367</v>
      </c>
      <c r="G215">
        <v>-1835.8107518862244</v>
      </c>
      <c r="H215">
        <v>-1529.7530628139652</v>
      </c>
      <c r="I215">
        <v>301.49604949443301</v>
      </c>
      <c r="J215">
        <v>163.14351935033699</v>
      </c>
      <c r="K215">
        <v>65.107278652484098</v>
      </c>
      <c r="L215">
        <v>7.1488445017688348E-2</v>
      </c>
      <c r="M215">
        <v>-7.0627539328419059E-2</v>
      </c>
      <c r="N215">
        <v>4.60966582546334</v>
      </c>
      <c r="O215">
        <v>4.60967525163856</v>
      </c>
      <c r="P215">
        <v>4.6096226700995802</v>
      </c>
      <c r="Q215" t="s">
        <v>51</v>
      </c>
    </row>
    <row r="216" spans="1:17" x14ac:dyDescent="0.2">
      <c r="A216">
        <v>215</v>
      </c>
      <c r="B216">
        <v>772</v>
      </c>
      <c r="C216">
        <v>160</v>
      </c>
      <c r="D216">
        <v>0.43469406305315</v>
      </c>
      <c r="E216">
        <v>110.892119519155</v>
      </c>
      <c r="F216">
        <v>1.7386564991836599</v>
      </c>
      <c r="G216">
        <v>-1845.5972123244419</v>
      </c>
      <c r="H216">
        <v>-1509.8237358382305</v>
      </c>
      <c r="I216">
        <v>321.27157578984003</v>
      </c>
      <c r="J216">
        <v>164.41625231708801</v>
      </c>
      <c r="K216">
        <v>63.780349695999</v>
      </c>
      <c r="L216">
        <v>0.74552494137906955</v>
      </c>
      <c r="M216">
        <v>-0.74495785780629498</v>
      </c>
      <c r="N216">
        <v>47.521996638901797</v>
      </c>
      <c r="O216">
        <v>47.522014832600703</v>
      </c>
      <c r="P216">
        <v>47.521979554513699</v>
      </c>
      <c r="Q216" t="s">
        <v>51</v>
      </c>
    </row>
    <row r="217" spans="1:17" x14ac:dyDescent="0.2">
      <c r="A217">
        <v>216</v>
      </c>
      <c r="B217">
        <v>770</v>
      </c>
      <c r="C217">
        <v>160</v>
      </c>
      <c r="D217">
        <v>0.43347601016152998</v>
      </c>
      <c r="E217">
        <v>110.892188190783</v>
      </c>
      <c r="F217">
        <v>1.7397122589120699</v>
      </c>
      <c r="G217">
        <v>-1844.956127807194</v>
      </c>
      <c r="H217">
        <v>-1510.223944156849</v>
      </c>
      <c r="I217">
        <v>320.88933395485202</v>
      </c>
      <c r="J217">
        <v>164.421209135655</v>
      </c>
      <c r="K217">
        <v>63.741683501229701</v>
      </c>
      <c r="L217">
        <v>0.74306451653334227</v>
      </c>
      <c r="M217">
        <v>-0.74249528302778511</v>
      </c>
      <c r="N217">
        <v>47.336212553549998</v>
      </c>
      <c r="O217">
        <v>47.336230432267797</v>
      </c>
      <c r="P217">
        <v>47.336194975868899</v>
      </c>
      <c r="Q217" t="s">
        <v>51</v>
      </c>
    </row>
    <row r="218" spans="1:17" x14ac:dyDescent="0.2">
      <c r="A218">
        <v>217</v>
      </c>
      <c r="B218">
        <v>768</v>
      </c>
      <c r="C218">
        <v>160</v>
      </c>
      <c r="D218">
        <v>0.43225327762570398</v>
      </c>
      <c r="E218">
        <v>110.892249150916</v>
      </c>
      <c r="F218">
        <v>1.7400458823920999</v>
      </c>
      <c r="G218">
        <v>-1844.3157770389773</v>
      </c>
      <c r="H218">
        <v>-1510.688858577598</v>
      </c>
      <c r="I218">
        <v>320.44419195209002</v>
      </c>
      <c r="J218">
        <v>164.41058010097501</v>
      </c>
      <c r="K218">
        <v>63.729497177665799</v>
      </c>
      <c r="L218">
        <v>0.73778159403154475</v>
      </c>
      <c r="M218">
        <v>-0.73720833102037397</v>
      </c>
      <c r="N218">
        <v>46.990248488138803</v>
      </c>
      <c r="O218">
        <v>46.990266105603297</v>
      </c>
      <c r="P218">
        <v>46.990230341760203</v>
      </c>
      <c r="Q218" t="s">
        <v>51</v>
      </c>
    </row>
    <row r="219" spans="1:17" x14ac:dyDescent="0.2">
      <c r="A219">
        <v>218</v>
      </c>
      <c r="B219">
        <v>766</v>
      </c>
      <c r="C219">
        <v>160</v>
      </c>
      <c r="D219">
        <v>0.43102583842564002</v>
      </c>
      <c r="E219">
        <v>110.892322626718</v>
      </c>
      <c r="F219">
        <v>1.7390186503451499</v>
      </c>
      <c r="G219">
        <v>-1843.6766020874527</v>
      </c>
      <c r="H219">
        <v>-1511.3450214211562</v>
      </c>
      <c r="I219">
        <v>319.814457930559</v>
      </c>
      <c r="J219">
        <v>164.40123080021601</v>
      </c>
      <c r="K219">
        <v>63.7671842131818</v>
      </c>
      <c r="L219">
        <v>0.72335500059025559</v>
      </c>
      <c r="M219">
        <v>-0.722772536806634</v>
      </c>
      <c r="N219">
        <v>46.097600751265901</v>
      </c>
      <c r="O219">
        <v>46.097618263244897</v>
      </c>
      <c r="P219">
        <v>46.097581845105402</v>
      </c>
      <c r="Q219" t="s">
        <v>51</v>
      </c>
    </row>
    <row r="220" spans="1:17" x14ac:dyDescent="0.2">
      <c r="A220">
        <v>219</v>
      </c>
      <c r="B220">
        <v>764</v>
      </c>
      <c r="C220">
        <v>160</v>
      </c>
      <c r="D220">
        <v>0.42979366533288699</v>
      </c>
      <c r="E220">
        <v>110.892410372445</v>
      </c>
      <c r="F220">
        <v>1.7362517840123199</v>
      </c>
      <c r="G220">
        <v>-1843.0392589241792</v>
      </c>
      <c r="H220">
        <v>-1512.2485553022848</v>
      </c>
      <c r="I220">
        <v>318.94559406517101</v>
      </c>
      <c r="J220">
        <v>164.395743343623</v>
      </c>
      <c r="K220">
        <v>63.868853235204703</v>
      </c>
      <c r="L220">
        <v>0.69707757449658037</v>
      </c>
      <c r="M220">
        <v>-0.69647922714861354</v>
      </c>
      <c r="N220">
        <v>44.491962571161302</v>
      </c>
      <c r="O220">
        <v>44.491980172115298</v>
      </c>
      <c r="P220">
        <v>44.491942648011303</v>
      </c>
      <c r="Q220" t="s">
        <v>51</v>
      </c>
    </row>
    <row r="221" spans="1:17" x14ac:dyDescent="0.2">
      <c r="A221">
        <v>220</v>
      </c>
      <c r="B221">
        <v>762</v>
      </c>
      <c r="C221">
        <v>160</v>
      </c>
      <c r="D221">
        <v>0.428556730908567</v>
      </c>
      <c r="E221">
        <v>110.892495431968</v>
      </c>
      <c r="F221">
        <v>1.7334189825720701</v>
      </c>
      <c r="G221">
        <v>-1842.4036240661967</v>
      </c>
      <c r="H221">
        <v>-1513.1679766876064</v>
      </c>
      <c r="I221">
        <v>318.05967820418698</v>
      </c>
      <c r="J221">
        <v>164.39608077741201</v>
      </c>
      <c r="K221">
        <v>63.973278559245998</v>
      </c>
      <c r="L221">
        <v>0.66993435423668168</v>
      </c>
      <c r="M221">
        <v>-0.66931970167551691</v>
      </c>
      <c r="N221">
        <v>42.827415304602901</v>
      </c>
      <c r="O221">
        <v>42.827432976225701</v>
      </c>
      <c r="P221">
        <v>42.827394311145497</v>
      </c>
      <c r="Q221" t="s">
        <v>51</v>
      </c>
    </row>
    <row r="222" spans="1:17" x14ac:dyDescent="0.2">
      <c r="A222">
        <v>221</v>
      </c>
      <c r="B222">
        <v>760</v>
      </c>
      <c r="C222">
        <v>160</v>
      </c>
      <c r="D222">
        <v>0.427315007501331</v>
      </c>
      <c r="E222">
        <v>110.901766504374</v>
      </c>
      <c r="F222">
        <v>1.7044256515279801</v>
      </c>
      <c r="G222">
        <v>-1841.9209814882677</v>
      </c>
      <c r="H222">
        <v>-1518.1119847577111</v>
      </c>
      <c r="I222">
        <v>313.42358910081703</v>
      </c>
      <c r="J222">
        <v>163.786999350885</v>
      </c>
      <c r="K222">
        <v>65.066942876008298</v>
      </c>
      <c r="L222">
        <v>0.46095278646786547</v>
      </c>
      <c r="M222">
        <v>-0.46022688228844605</v>
      </c>
      <c r="N222">
        <v>29.956097640574299</v>
      </c>
      <c r="O222">
        <v>29.956118335974001</v>
      </c>
      <c r="P222">
        <v>29.956071991864398</v>
      </c>
      <c r="Q222" t="s">
        <v>51</v>
      </c>
    </row>
    <row r="223" spans="1:17" x14ac:dyDescent="0.2">
      <c r="A223">
        <v>222</v>
      </c>
      <c r="B223">
        <v>758</v>
      </c>
      <c r="C223">
        <v>160</v>
      </c>
      <c r="D223">
        <v>0.426068467245311</v>
      </c>
      <c r="E223">
        <v>110.904349945264</v>
      </c>
      <c r="F223">
        <v>1.6716964643632499</v>
      </c>
      <c r="G223">
        <v>-1841.3433249408238</v>
      </c>
      <c r="H223">
        <v>-1523.9471900879148</v>
      </c>
      <c r="I223">
        <v>307.81324114083901</v>
      </c>
      <c r="J223">
        <v>162.94912513644701</v>
      </c>
      <c r="K223">
        <v>66.3423966667945</v>
      </c>
      <c r="L223">
        <v>0.21534079395804576</v>
      </c>
      <c r="M223">
        <v>-0.21448623805798844</v>
      </c>
      <c r="N223">
        <v>14.242097246976799</v>
      </c>
      <c r="O223">
        <v>14.2421214355308</v>
      </c>
      <c r="P223">
        <v>14.242065894445</v>
      </c>
      <c r="Q223" t="s">
        <v>51</v>
      </c>
    </row>
    <row r="224" spans="1:17" x14ac:dyDescent="0.2">
      <c r="A224">
        <v>223</v>
      </c>
      <c r="B224">
        <v>756</v>
      </c>
      <c r="C224">
        <v>160</v>
      </c>
      <c r="D224">
        <v>0.424817082058009</v>
      </c>
      <c r="E224">
        <v>110.904616152602</v>
      </c>
      <c r="F224">
        <v>1.6651576058422499</v>
      </c>
      <c r="G224">
        <v>-1840.7339716440313</v>
      </c>
      <c r="H224">
        <v>-1525.7369810781081</v>
      </c>
      <c r="I224">
        <v>306.08047245055297</v>
      </c>
      <c r="J224">
        <v>162.789250606058</v>
      </c>
      <c r="K224">
        <v>66.603074545911099</v>
      </c>
      <c r="L224">
        <v>0.15167091330463633</v>
      </c>
      <c r="M224">
        <v>-0.1507829678583725</v>
      </c>
      <c r="N224">
        <v>10.0556517875197</v>
      </c>
      <c r="O224">
        <v>10.0556763211333</v>
      </c>
      <c r="P224">
        <v>10.055618306326</v>
      </c>
      <c r="Q224" t="s">
        <v>51</v>
      </c>
    </row>
    <row r="225" spans="1:17" x14ac:dyDescent="0.2">
      <c r="A225">
        <v>224</v>
      </c>
      <c r="B225">
        <v>754</v>
      </c>
      <c r="C225">
        <v>160</v>
      </c>
      <c r="D225">
        <v>0.42356082363822201</v>
      </c>
      <c r="E225">
        <v>110.90459028076</v>
      </c>
      <c r="F225">
        <v>1.6634147561893899</v>
      </c>
      <c r="G225">
        <v>-1840.1224471664332</v>
      </c>
      <c r="H225">
        <v>-1526.7585251617584</v>
      </c>
      <c r="I225">
        <v>305.08665994874502</v>
      </c>
      <c r="J225">
        <v>162.765905095817</v>
      </c>
      <c r="K225">
        <v>66.6728426377706</v>
      </c>
      <c r="L225">
        <v>0.12164112294613054</v>
      </c>
      <c r="M225">
        <v>-0.12073731961810261</v>
      </c>
      <c r="N225">
        <v>8.0631261386664299</v>
      </c>
      <c r="O225">
        <v>8.0631504076481004</v>
      </c>
      <c r="P225">
        <v>8.0630911905990192</v>
      </c>
      <c r="Q225" t="s">
        <v>51</v>
      </c>
    </row>
    <row r="226" spans="1:17" x14ac:dyDescent="0.2">
      <c r="A226">
        <v>225</v>
      </c>
      <c r="B226">
        <v>752</v>
      </c>
      <c r="C226">
        <v>160</v>
      </c>
      <c r="D226">
        <v>0.42229966346388498</v>
      </c>
      <c r="E226">
        <v>110.904495128403</v>
      </c>
      <c r="F226">
        <v>1.66339524779035</v>
      </c>
      <c r="G226">
        <v>-1839.5114785530818</v>
      </c>
      <c r="H226">
        <v>-1527.5015281255914</v>
      </c>
      <c r="I226">
        <v>304.361175174133</v>
      </c>
      <c r="J226">
        <v>162.79489643398199</v>
      </c>
      <c r="K226">
        <v>66.673567377163295</v>
      </c>
      <c r="L226">
        <v>0.10372192286510884</v>
      </c>
      <c r="M226">
        <v>-0.1028085711071817</v>
      </c>
      <c r="N226">
        <v>6.86791686402103</v>
      </c>
      <c r="O226">
        <v>6.8679406355902204</v>
      </c>
      <c r="P226">
        <v>6.8678806773290297</v>
      </c>
      <c r="Q226" t="s">
        <v>51</v>
      </c>
    </row>
    <row r="227" spans="1:17" x14ac:dyDescent="0.2">
      <c r="A227">
        <v>226</v>
      </c>
      <c r="B227">
        <v>750</v>
      </c>
      <c r="C227">
        <v>160</v>
      </c>
      <c r="D227">
        <v>0.42103357278991599</v>
      </c>
      <c r="E227">
        <v>110.904349685781</v>
      </c>
      <c r="F227">
        <v>1.66415864488507</v>
      </c>
      <c r="G227">
        <v>-1838.9010234756786</v>
      </c>
      <c r="H227">
        <v>-1528.1240900584551</v>
      </c>
      <c r="I227">
        <v>303.75105211655301</v>
      </c>
      <c r="J227">
        <v>162.84780505309499</v>
      </c>
      <c r="K227">
        <v>66.642894910683395</v>
      </c>
      <c r="L227">
        <v>9.1123982519394936E-2</v>
      </c>
      <c r="M227">
        <v>-9.0203882402252036E-2</v>
      </c>
      <c r="N227">
        <v>6.0247796357647196</v>
      </c>
      <c r="O227">
        <v>6.02480279475414</v>
      </c>
      <c r="P227">
        <v>6.02474230098509</v>
      </c>
      <c r="Q227" t="s">
        <v>51</v>
      </c>
    </row>
    <row r="228" spans="1:17" x14ac:dyDescent="0.2">
      <c r="A228">
        <v>227</v>
      </c>
      <c r="B228">
        <v>748</v>
      </c>
      <c r="C228">
        <v>160</v>
      </c>
      <c r="D228">
        <v>0.41976252264603803</v>
      </c>
      <c r="E228">
        <v>110.904227676096</v>
      </c>
      <c r="F228">
        <v>1.6654285388437999</v>
      </c>
      <c r="G228">
        <v>-1838.292073952279</v>
      </c>
      <c r="H228">
        <v>-1528.6621377179858</v>
      </c>
      <c r="I228">
        <v>303.22276401728698</v>
      </c>
      <c r="J228">
        <v>162.91965816350199</v>
      </c>
      <c r="K228">
        <v>66.592006255093096</v>
      </c>
      <c r="L228">
        <v>8.2150783090147866E-2</v>
      </c>
      <c r="M228">
        <v>-8.122582264085057E-2</v>
      </c>
      <c r="N228">
        <v>5.4223194701596604</v>
      </c>
      <c r="O228">
        <v>5.4223419349493502</v>
      </c>
      <c r="P228">
        <v>5.4222810437501101</v>
      </c>
      <c r="Q228" t="s">
        <v>51</v>
      </c>
    </row>
    <row r="229" spans="1:17" x14ac:dyDescent="0.2">
      <c r="A229">
        <v>228</v>
      </c>
      <c r="B229">
        <v>746</v>
      </c>
      <c r="C229">
        <v>160</v>
      </c>
      <c r="D229">
        <v>0.41848648383456999</v>
      </c>
      <c r="E229">
        <v>110.904109945391</v>
      </c>
      <c r="F229">
        <v>1.66699991078331</v>
      </c>
      <c r="G229">
        <v>-1837.6842009883781</v>
      </c>
      <c r="H229">
        <v>-1529.151483852509</v>
      </c>
      <c r="I229">
        <v>302.74123743890499</v>
      </c>
      <c r="J229">
        <v>163.00378848897299</v>
      </c>
      <c r="K229">
        <v>66.529163695802595</v>
      </c>
      <c r="L229">
        <v>7.5281853953346772E-2</v>
      </c>
      <c r="M229">
        <v>-7.4353143209960879E-2</v>
      </c>
      <c r="N229">
        <v>4.9599597944497003</v>
      </c>
      <c r="O229">
        <v>4.9599815095013096</v>
      </c>
      <c r="P229">
        <v>4.9599203020569496</v>
      </c>
      <c r="Q229" t="s">
        <v>51</v>
      </c>
    </row>
    <row r="230" spans="1:17" x14ac:dyDescent="0.2">
      <c r="A230">
        <v>229</v>
      </c>
      <c r="B230">
        <v>744</v>
      </c>
      <c r="C230">
        <v>160</v>
      </c>
      <c r="D230">
        <v>0.41720542692818402</v>
      </c>
      <c r="E230">
        <v>110.90399411321</v>
      </c>
      <c r="F230">
        <v>1.6687740959149899</v>
      </c>
      <c r="G230">
        <v>-1837.077289682265</v>
      </c>
      <c r="H230">
        <v>-1529.6084609258824</v>
      </c>
      <c r="I230">
        <v>302.29058077987099</v>
      </c>
      <c r="J230">
        <v>163.097363981195</v>
      </c>
      <c r="K230">
        <v>66.458362689529594</v>
      </c>
      <c r="L230">
        <v>6.9812097310469584E-2</v>
      </c>
      <c r="M230">
        <v>-6.8880383004716189E-2</v>
      </c>
      <c r="N230">
        <v>4.5909505726323099</v>
      </c>
      <c r="O230">
        <v>4.59097149494779</v>
      </c>
      <c r="P230">
        <v>4.5909100257455897</v>
      </c>
      <c r="Q230" t="s">
        <v>51</v>
      </c>
    </row>
    <row r="231" spans="1:17" x14ac:dyDescent="0.2">
      <c r="A231">
        <v>230</v>
      </c>
      <c r="B231">
        <v>776</v>
      </c>
      <c r="C231">
        <v>150</v>
      </c>
      <c r="D231">
        <v>0.447600915026452</v>
      </c>
      <c r="E231">
        <v>110.892091260608</v>
      </c>
      <c r="F231">
        <v>1.7008304374499299</v>
      </c>
      <c r="G231">
        <v>-1847.5285060398148</v>
      </c>
      <c r="H231">
        <v>-1509.4381204037913</v>
      </c>
      <c r="I231">
        <v>322.25515375846902</v>
      </c>
      <c r="J231">
        <v>164.54335382617899</v>
      </c>
      <c r="K231">
        <v>65.198792789050799</v>
      </c>
      <c r="L231">
        <v>0.72801013991568919</v>
      </c>
      <c r="M231">
        <v>-0.72737884331450808</v>
      </c>
      <c r="N231">
        <v>47.434372978277999</v>
      </c>
      <c r="O231">
        <v>47.434400795099599</v>
      </c>
      <c r="P231">
        <v>47.434358518262997</v>
      </c>
      <c r="Q231" t="s">
        <v>51</v>
      </c>
    </row>
    <row r="232" spans="1:17" x14ac:dyDescent="0.2">
      <c r="A232">
        <v>231</v>
      </c>
      <c r="B232">
        <v>774</v>
      </c>
      <c r="C232">
        <v>150</v>
      </c>
      <c r="D232">
        <v>0.44641216635630598</v>
      </c>
      <c r="E232">
        <v>110.89215490511999</v>
      </c>
      <c r="F232">
        <v>1.7015993811325401</v>
      </c>
      <c r="G232">
        <v>-1846.8854112714916</v>
      </c>
      <c r="H232">
        <v>-1509.869648838252</v>
      </c>
      <c r="I232">
        <v>321.84442595845297</v>
      </c>
      <c r="J232">
        <v>164.540115596232</v>
      </c>
      <c r="K232">
        <v>65.169367205172307</v>
      </c>
      <c r="L232">
        <v>0.72432533733412818</v>
      </c>
      <c r="M232">
        <v>-0.72369073537387629</v>
      </c>
      <c r="N232">
        <v>47.172621389577401</v>
      </c>
      <c r="O232">
        <v>47.1726490007119</v>
      </c>
      <c r="P232">
        <v>47.172606444699902</v>
      </c>
      <c r="Q232" t="s">
        <v>51</v>
      </c>
    </row>
    <row r="233" spans="1:17" x14ac:dyDescent="0.2">
      <c r="A233">
        <v>232</v>
      </c>
      <c r="B233">
        <v>772</v>
      </c>
      <c r="C233">
        <v>150</v>
      </c>
      <c r="D233">
        <v>0.44521886810505501</v>
      </c>
      <c r="E233">
        <v>110.892214868164</v>
      </c>
      <c r="F233">
        <v>1.7020242532912599</v>
      </c>
      <c r="G233">
        <v>-1846.2431305557675</v>
      </c>
      <c r="H233">
        <v>-1510.3319057199899</v>
      </c>
      <c r="I233">
        <v>321.40350977339602</v>
      </c>
      <c r="J233">
        <v>164.52964578354101</v>
      </c>
      <c r="K233">
        <v>65.153134365581494</v>
      </c>
      <c r="L233">
        <v>0.7193108756160288</v>
      </c>
      <c r="M233">
        <v>-0.7186720469837059</v>
      </c>
      <c r="N233">
        <v>46.833909998809403</v>
      </c>
      <c r="O233">
        <v>46.833937435367901</v>
      </c>
      <c r="P233">
        <v>46.833894529753401</v>
      </c>
      <c r="Q233" t="s">
        <v>51</v>
      </c>
    </row>
    <row r="234" spans="1:17" x14ac:dyDescent="0.2">
      <c r="A234">
        <v>233</v>
      </c>
      <c r="B234">
        <v>770</v>
      </c>
      <c r="C234">
        <v>150</v>
      </c>
      <c r="D234">
        <v>0.44402099410439499</v>
      </c>
      <c r="E234">
        <v>110.892274966733</v>
      </c>
      <c r="F234">
        <v>1.7024670971032001</v>
      </c>
      <c r="G234">
        <v>-1845.6017341753093</v>
      </c>
      <c r="H234">
        <v>-1510.7937801055873</v>
      </c>
      <c r="I234">
        <v>320.96211734117702</v>
      </c>
      <c r="J234">
        <v>164.52193362818701</v>
      </c>
      <c r="K234">
        <v>65.136222106976504</v>
      </c>
      <c r="L234">
        <v>0.71429164210267182</v>
      </c>
      <c r="M234">
        <v>-0.71364859047341211</v>
      </c>
      <c r="N234">
        <v>46.494565269002699</v>
      </c>
      <c r="O234">
        <v>46.494592515203202</v>
      </c>
      <c r="P234">
        <v>46.494549258447002</v>
      </c>
      <c r="Q234" t="s">
        <v>51</v>
      </c>
    </row>
    <row r="235" spans="1:17" x14ac:dyDescent="0.2">
      <c r="A235">
        <v>234</v>
      </c>
      <c r="B235">
        <v>768</v>
      </c>
      <c r="C235">
        <v>150</v>
      </c>
      <c r="D235">
        <v>0.442818517984921</v>
      </c>
      <c r="E235">
        <v>110.892359218107</v>
      </c>
      <c r="F235">
        <v>1.7000125029066699</v>
      </c>
      <c r="G235">
        <v>-1844.9619407299526</v>
      </c>
      <c r="H235">
        <v>-1511.6382489774685</v>
      </c>
      <c r="I235">
        <v>320.15316004361699</v>
      </c>
      <c r="J235">
        <v>164.50450048359801</v>
      </c>
      <c r="K235">
        <v>65.230319793827604</v>
      </c>
      <c r="L235">
        <v>0.69116624482341515</v>
      </c>
      <c r="M235">
        <v>-0.69050820598797669</v>
      </c>
      <c r="N235">
        <v>45.0524668231592</v>
      </c>
      <c r="O235">
        <v>45.052494360508497</v>
      </c>
      <c r="P235">
        <v>45.052449963153897</v>
      </c>
      <c r="Q235" t="s">
        <v>51</v>
      </c>
    </row>
    <row r="236" spans="1:17" x14ac:dyDescent="0.2">
      <c r="A236">
        <v>235</v>
      </c>
      <c r="B236">
        <v>766</v>
      </c>
      <c r="C236">
        <v>150</v>
      </c>
      <c r="D236">
        <v>0.44161141317423203</v>
      </c>
      <c r="E236">
        <v>110.892444285027</v>
      </c>
      <c r="F236">
        <v>1.69717748777046</v>
      </c>
      <c r="G236">
        <v>-1844.3238720865463</v>
      </c>
      <c r="H236">
        <v>-1512.539184945613</v>
      </c>
      <c r="I236">
        <v>319.28841882407301</v>
      </c>
      <c r="J236">
        <v>164.491219513793</v>
      </c>
      <c r="K236">
        <v>65.3393325589672</v>
      </c>
      <c r="L236">
        <v>0.66529412649262221</v>
      </c>
      <c r="M236">
        <v>-0.66461950977947426</v>
      </c>
      <c r="N236">
        <v>43.436419955475998</v>
      </c>
      <c r="O236">
        <v>43.436447828791799</v>
      </c>
      <c r="P236">
        <v>43.436402166799198</v>
      </c>
      <c r="Q236" t="s">
        <v>51</v>
      </c>
    </row>
    <row r="237" spans="1:17" x14ac:dyDescent="0.2">
      <c r="A237">
        <v>236</v>
      </c>
      <c r="B237">
        <v>764</v>
      </c>
      <c r="C237">
        <v>150</v>
      </c>
      <c r="D237">
        <v>0.44039965289495597</v>
      </c>
      <c r="E237">
        <v>110.892525967499</v>
      </c>
      <c r="F237">
        <v>1.6942119720298201</v>
      </c>
      <c r="G237">
        <v>-1843.6874986223206</v>
      </c>
      <c r="H237">
        <v>-1513.4639054063794</v>
      </c>
      <c r="I237">
        <v>318.39904886272598</v>
      </c>
      <c r="J237">
        <v>164.48165011188601</v>
      </c>
      <c r="K237">
        <v>65.453749470699194</v>
      </c>
      <c r="L237">
        <v>0.63815214115992702</v>
      </c>
      <c r="M237">
        <v>-0.6374602790534063</v>
      </c>
      <c r="N237">
        <v>41.735028682499298</v>
      </c>
      <c r="O237">
        <v>41.7350568912724</v>
      </c>
      <c r="P237">
        <v>41.735009907224402</v>
      </c>
      <c r="Q237" t="s">
        <v>51</v>
      </c>
    </row>
    <row r="238" spans="1:17" x14ac:dyDescent="0.2">
      <c r="A238">
        <v>237</v>
      </c>
      <c r="B238">
        <v>762</v>
      </c>
      <c r="C238">
        <v>150</v>
      </c>
      <c r="D238">
        <v>0.439183210162781</v>
      </c>
      <c r="E238">
        <v>110.90370666659</v>
      </c>
      <c r="F238">
        <v>1.6462222443835799</v>
      </c>
      <c r="G238">
        <v>-1843.2391865323912</v>
      </c>
      <c r="H238">
        <v>-1521.085647140849</v>
      </c>
      <c r="I238">
        <v>311.21931823274201</v>
      </c>
      <c r="J238">
        <v>163.23712152594501</v>
      </c>
      <c r="K238">
        <v>67.368611404055898</v>
      </c>
      <c r="L238">
        <v>0.31372507595609378</v>
      </c>
      <c r="M238">
        <v>-0.31285342178205727</v>
      </c>
      <c r="N238">
        <v>21.0904739733352</v>
      </c>
      <c r="O238">
        <v>21.090509927869</v>
      </c>
      <c r="P238">
        <v>21.090449202139101</v>
      </c>
      <c r="Q238" t="s">
        <v>51</v>
      </c>
    </row>
    <row r="239" spans="1:17" x14ac:dyDescent="0.2">
      <c r="A239">
        <v>238</v>
      </c>
      <c r="B239">
        <v>760</v>
      </c>
      <c r="C239">
        <v>150</v>
      </c>
      <c r="D239">
        <v>0.43796205778444602</v>
      </c>
      <c r="E239">
        <v>110.904821306576</v>
      </c>
      <c r="F239">
        <v>1.62909206162047</v>
      </c>
      <c r="G239">
        <v>-1842.6386932707119</v>
      </c>
      <c r="H239">
        <v>-1524.4102612952852</v>
      </c>
      <c r="I239">
        <v>308.023081743712</v>
      </c>
      <c r="J239">
        <v>162.74014869690799</v>
      </c>
      <c r="K239">
        <v>68.077688130318606</v>
      </c>
      <c r="L239">
        <v>0.18386036784382559</v>
      </c>
      <c r="M239">
        <v>-0.18291700890670165</v>
      </c>
      <c r="N239">
        <v>12.4677646938683</v>
      </c>
      <c r="O239">
        <v>12.467803365858501</v>
      </c>
      <c r="P239">
        <v>12.467736916230299</v>
      </c>
      <c r="Q239" t="s">
        <v>51</v>
      </c>
    </row>
    <row r="240" spans="1:17" x14ac:dyDescent="0.2">
      <c r="A240">
        <v>239</v>
      </c>
      <c r="B240">
        <v>758</v>
      </c>
      <c r="C240">
        <v>150</v>
      </c>
      <c r="D240">
        <v>0.43673616835572199</v>
      </c>
      <c r="E240">
        <v>110.904934040306</v>
      </c>
      <c r="F240">
        <v>1.6246916095428301</v>
      </c>
      <c r="G240">
        <v>-1842.0259761971186</v>
      </c>
      <c r="H240">
        <v>-1525.8217872469759</v>
      </c>
      <c r="I240">
        <v>306.65759187552101</v>
      </c>
      <c r="J240">
        <v>162.621673038832</v>
      </c>
      <c r="K240">
        <v>68.2621448826917</v>
      </c>
      <c r="L240">
        <v>0.1375349531713434</v>
      </c>
      <c r="M240">
        <v>-0.13656568381509218</v>
      </c>
      <c r="N240">
        <v>9.3378481882801694</v>
      </c>
      <c r="O240">
        <v>9.3378873580108301</v>
      </c>
      <c r="P240">
        <v>9.3378187845739191</v>
      </c>
      <c r="Q240" t="s">
        <v>51</v>
      </c>
    </row>
    <row r="241" spans="1:17" x14ac:dyDescent="0.2">
      <c r="A241">
        <v>240</v>
      </c>
      <c r="B241">
        <v>756</v>
      </c>
      <c r="C241">
        <v>150</v>
      </c>
      <c r="D241">
        <v>0.43550551425934297</v>
      </c>
      <c r="E241">
        <v>110.90487630044601</v>
      </c>
      <c r="F241">
        <v>1.62362515482058</v>
      </c>
      <c r="G241">
        <v>-1841.412640940526</v>
      </c>
      <c r="H241">
        <v>-1526.7211197328168</v>
      </c>
      <c r="I241">
        <v>305.78380084990101</v>
      </c>
      <c r="J241">
        <v>162.60946692867199</v>
      </c>
      <c r="K241">
        <v>68.306946323889505</v>
      </c>
      <c r="L241">
        <v>0.11321822260496747</v>
      </c>
      <c r="M241">
        <v>-0.11223507132049795</v>
      </c>
      <c r="N241">
        <v>7.6821760340952103</v>
      </c>
      <c r="O241">
        <v>7.6822150931381099</v>
      </c>
      <c r="P241">
        <v>7.6821453569808904</v>
      </c>
      <c r="Q241" t="s">
        <v>51</v>
      </c>
    </row>
    <row r="242" spans="1:17" x14ac:dyDescent="0.2">
      <c r="A242">
        <v>241</v>
      </c>
      <c r="B242">
        <v>754</v>
      </c>
      <c r="C242">
        <v>150</v>
      </c>
      <c r="D242">
        <v>0.43427006766295001</v>
      </c>
      <c r="E242">
        <v>110.90477259110099</v>
      </c>
      <c r="F242">
        <v>1.6239257095108499</v>
      </c>
      <c r="G242">
        <v>-1840.8000777841651</v>
      </c>
      <c r="H242">
        <v>-1527.4092430459198</v>
      </c>
      <c r="I242">
        <v>305.11295247627902</v>
      </c>
      <c r="J242">
        <v>162.64346525685599</v>
      </c>
      <c r="K242">
        <v>68.294240273163197</v>
      </c>
      <c r="L242">
        <v>9.7925759211340571E-2</v>
      </c>
      <c r="M242">
        <v>-9.6933658486825461E-2</v>
      </c>
      <c r="N242">
        <v>6.6358180416504498</v>
      </c>
      <c r="O242">
        <v>6.6358567263248203</v>
      </c>
      <c r="P242">
        <v>6.6357862233442404</v>
      </c>
      <c r="Q242" t="s">
        <v>51</v>
      </c>
    </row>
    <row r="243" spans="1:17" x14ac:dyDescent="0.2">
      <c r="A243">
        <v>242</v>
      </c>
      <c r="B243">
        <v>752</v>
      </c>
      <c r="C243">
        <v>150</v>
      </c>
      <c r="D243">
        <v>0.43302980051699702</v>
      </c>
      <c r="E243">
        <v>110.904637898418</v>
      </c>
      <c r="F243">
        <v>1.6248930613119199</v>
      </c>
      <c r="G243">
        <v>-1840.1882534360007</v>
      </c>
      <c r="H243">
        <v>-1527.9994781586495</v>
      </c>
      <c r="I243">
        <v>304.53567829218503</v>
      </c>
      <c r="J243">
        <v>162.700270470731</v>
      </c>
      <c r="K243">
        <v>68.253499592690005</v>
      </c>
      <c r="L243">
        <v>8.6890519062302912E-2</v>
      </c>
      <c r="M243">
        <v>-8.5891818374342219E-2</v>
      </c>
      <c r="N243">
        <v>5.8782463533111402</v>
      </c>
      <c r="O243">
        <v>5.8782845250809803</v>
      </c>
      <c r="P243">
        <v>5.8782134442811396</v>
      </c>
      <c r="Q243" t="s">
        <v>51</v>
      </c>
    </row>
    <row r="244" spans="1:17" x14ac:dyDescent="0.2">
      <c r="A244">
        <v>243</v>
      </c>
      <c r="B244">
        <v>750</v>
      </c>
      <c r="C244">
        <v>150</v>
      </c>
      <c r="D244">
        <v>0.43178468455260599</v>
      </c>
      <c r="E244">
        <v>110.904518153918</v>
      </c>
      <c r="F244">
        <v>1.62630464250262</v>
      </c>
      <c r="G244">
        <v>-1839.5777513649614</v>
      </c>
      <c r="H244">
        <v>-1528.519817754815</v>
      </c>
      <c r="I244">
        <v>304.025742959127</v>
      </c>
      <c r="J244">
        <v>162.775079315049</v>
      </c>
      <c r="K244">
        <v>68.194184075656395</v>
      </c>
      <c r="L244">
        <v>7.8810323738414248E-2</v>
      </c>
      <c r="M244">
        <v>-7.7806640908339247E-2</v>
      </c>
      <c r="N244">
        <v>5.3217806441934101</v>
      </c>
      <c r="O244">
        <v>5.3218182023232998</v>
      </c>
      <c r="P244">
        <v>5.3217466729899003</v>
      </c>
      <c r="Q244" t="s">
        <v>51</v>
      </c>
    </row>
    <row r="245" spans="1:17" x14ac:dyDescent="0.2">
      <c r="A245">
        <v>244</v>
      </c>
      <c r="B245">
        <v>748</v>
      </c>
      <c r="C245">
        <v>150</v>
      </c>
      <c r="D245">
        <v>0.43053469127944</v>
      </c>
      <c r="E245">
        <v>110.904403121703</v>
      </c>
      <c r="F245">
        <v>1.62799376774363</v>
      </c>
      <c r="G245">
        <v>-1838.9683028646539</v>
      </c>
      <c r="H245">
        <v>-1528.9976141062364</v>
      </c>
      <c r="I245">
        <v>303.55649738294397</v>
      </c>
      <c r="J245">
        <v>162.862172763572</v>
      </c>
      <c r="K245">
        <v>68.123358528217594</v>
      </c>
      <c r="L245">
        <v>7.2537945374103616E-2</v>
      </c>
      <c r="M245">
        <v>-7.1530280808513619E-2</v>
      </c>
      <c r="N245">
        <v>4.88867531282472</v>
      </c>
      <c r="O245">
        <v>4.8887121865580498</v>
      </c>
      <c r="P245">
        <v>4.8886402882153996</v>
      </c>
      <c r="Q245" t="s">
        <v>51</v>
      </c>
    </row>
    <row r="246" spans="1:17" x14ac:dyDescent="0.2">
      <c r="A246">
        <v>245</v>
      </c>
      <c r="B246">
        <v>782</v>
      </c>
      <c r="C246">
        <v>140</v>
      </c>
      <c r="D246">
        <v>0.46156518030611998</v>
      </c>
      <c r="E246">
        <v>110.891990903071</v>
      </c>
      <c r="F246">
        <v>1.6561390173058499</v>
      </c>
      <c r="G246">
        <v>-1850.1249155907294</v>
      </c>
      <c r="H246">
        <v>-1508.6990924115732</v>
      </c>
      <c r="I246">
        <v>323.58388238958003</v>
      </c>
      <c r="J246">
        <v>164.56162124404099</v>
      </c>
      <c r="K246">
        <v>66.958141644091</v>
      </c>
      <c r="L246">
        <v>0.70765633123517868</v>
      </c>
      <c r="M246">
        <v>-0.70695289148598706</v>
      </c>
      <c r="N246">
        <v>47.348802846748598</v>
      </c>
      <c r="O246">
        <v>47.3488431417708</v>
      </c>
      <c r="P246">
        <v>47.348792185069797</v>
      </c>
      <c r="Q246" t="s">
        <v>51</v>
      </c>
    </row>
    <row r="247" spans="1:17" x14ac:dyDescent="0.2">
      <c r="A247">
        <v>246</v>
      </c>
      <c r="B247">
        <v>780</v>
      </c>
      <c r="C247">
        <v>140</v>
      </c>
      <c r="D247">
        <v>0.46040972321132001</v>
      </c>
      <c r="E247">
        <v>110.89206249409899</v>
      </c>
      <c r="F247">
        <v>1.6578743318234701</v>
      </c>
      <c r="G247">
        <v>-1849.4792226499492</v>
      </c>
      <c r="H247">
        <v>-1509.0539576832011</v>
      </c>
      <c r="I247">
        <v>323.24833087143702</v>
      </c>
      <c r="J247">
        <v>164.58439364050599</v>
      </c>
      <c r="K247">
        <v>66.888099034701895</v>
      </c>
      <c r="L247">
        <v>0.70731590426210489</v>
      </c>
      <c r="M247">
        <v>-0.70661120033887281</v>
      </c>
      <c r="N247">
        <v>47.276388016227301</v>
      </c>
      <c r="O247">
        <v>47.276428078997398</v>
      </c>
      <c r="P247">
        <v>47.276376994284902</v>
      </c>
      <c r="Q247" t="s">
        <v>51</v>
      </c>
    </row>
    <row r="248" spans="1:17" x14ac:dyDescent="0.2">
      <c r="A248">
        <v>247</v>
      </c>
      <c r="B248">
        <v>778</v>
      </c>
      <c r="C248">
        <v>140</v>
      </c>
      <c r="D248">
        <v>0.45924986919088701</v>
      </c>
      <c r="E248">
        <v>110.892121255787</v>
      </c>
      <c r="F248">
        <v>1.65837301526036</v>
      </c>
      <c r="G248">
        <v>-1848.8341105611155</v>
      </c>
      <c r="H248">
        <v>-1509.5137339590065</v>
      </c>
      <c r="I248">
        <v>322.81226727191302</v>
      </c>
      <c r="J248">
        <v>164.571039431033</v>
      </c>
      <c r="K248">
        <v>66.868020786250995</v>
      </c>
      <c r="L248">
        <v>0.7025839394013077</v>
      </c>
      <c r="M248">
        <v>-0.70187478760163136</v>
      </c>
      <c r="N248">
        <v>46.945506958678202</v>
      </c>
      <c r="O248">
        <v>46.945546985465199</v>
      </c>
      <c r="P248">
        <v>46.945495508744301</v>
      </c>
      <c r="Q248" t="s">
        <v>51</v>
      </c>
    </row>
    <row r="249" spans="1:17" x14ac:dyDescent="0.2">
      <c r="A249">
        <v>248</v>
      </c>
      <c r="B249">
        <v>776</v>
      </c>
      <c r="C249">
        <v>140</v>
      </c>
      <c r="D249">
        <v>0.45808559309917701</v>
      </c>
      <c r="E249">
        <v>110.89218015573</v>
      </c>
      <c r="F249">
        <v>1.6588892951765799</v>
      </c>
      <c r="G249">
        <v>-1848.189873141695</v>
      </c>
      <c r="H249">
        <v>-1509.9731322396751</v>
      </c>
      <c r="I249">
        <v>322.375735153211</v>
      </c>
      <c r="J249">
        <v>164.560355872663</v>
      </c>
      <c r="K249">
        <v>66.847245610760595</v>
      </c>
      <c r="L249">
        <v>0.69784636802732247</v>
      </c>
      <c r="M249">
        <v>-0.69713276450495854</v>
      </c>
      <c r="N249">
        <v>46.613954355115702</v>
      </c>
      <c r="O249">
        <v>46.613994331734503</v>
      </c>
      <c r="P249">
        <v>46.6139424604902</v>
      </c>
      <c r="Q249" t="s">
        <v>51</v>
      </c>
    </row>
    <row r="250" spans="1:17" x14ac:dyDescent="0.2">
      <c r="A250">
        <v>249</v>
      </c>
      <c r="B250">
        <v>774</v>
      </c>
      <c r="C250">
        <v>140</v>
      </c>
      <c r="D250">
        <v>0.45691686959843703</v>
      </c>
      <c r="E250">
        <v>110.89223920811401</v>
      </c>
      <c r="F250">
        <v>1.6594248581339599</v>
      </c>
      <c r="G250">
        <v>-1847.5465114552417</v>
      </c>
      <c r="H250">
        <v>-1510.4320417536251</v>
      </c>
      <c r="I250">
        <v>321.93883860568502</v>
      </c>
      <c r="J250">
        <v>164.55239543257301</v>
      </c>
      <c r="K250">
        <v>66.825706909569902</v>
      </c>
      <c r="L250">
        <v>0.69310816745537696</v>
      </c>
      <c r="M250">
        <v>-0.69239011311391063</v>
      </c>
      <c r="N250">
        <v>46.282027191920797</v>
      </c>
      <c r="O250">
        <v>46.2820671033979</v>
      </c>
      <c r="P250">
        <v>46.282014835462398</v>
      </c>
      <c r="Q250" t="s">
        <v>51</v>
      </c>
    </row>
    <row r="251" spans="1:17" x14ac:dyDescent="0.2">
      <c r="A251">
        <v>250</v>
      </c>
      <c r="B251">
        <v>772</v>
      </c>
      <c r="C251">
        <v>140</v>
      </c>
      <c r="D251">
        <v>0.45574367315696301</v>
      </c>
      <c r="E251">
        <v>110.892311983816</v>
      </c>
      <c r="F251">
        <v>1.6582374331042899</v>
      </c>
      <c r="G251">
        <v>-1846.904351910611</v>
      </c>
      <c r="H251">
        <v>-1511.1055985862383</v>
      </c>
      <c r="I251">
        <v>321.29608047866498</v>
      </c>
      <c r="J251">
        <v>164.53311334073999</v>
      </c>
      <c r="K251">
        <v>66.873603122214803</v>
      </c>
      <c r="L251">
        <v>0.6783278837555361</v>
      </c>
      <c r="M251">
        <v>-0.67759910795091305</v>
      </c>
      <c r="N251">
        <v>45.326201900056802</v>
      </c>
      <c r="O251">
        <v>45.3262421173212</v>
      </c>
      <c r="P251">
        <v>45.326188945588001</v>
      </c>
      <c r="Q251" t="s">
        <v>51</v>
      </c>
    </row>
    <row r="252" spans="1:17" x14ac:dyDescent="0.2">
      <c r="A252">
        <v>251</v>
      </c>
      <c r="B252">
        <v>770</v>
      </c>
      <c r="C252">
        <v>140</v>
      </c>
      <c r="D252">
        <v>0.45456597804726301</v>
      </c>
      <c r="E252">
        <v>110.892396313521</v>
      </c>
      <c r="F252">
        <v>1.6553642145335099</v>
      </c>
      <c r="G252">
        <v>-1846.2639705379324</v>
      </c>
      <c r="H252">
        <v>-1511.9927152195723</v>
      </c>
      <c r="I252">
        <v>320.44787147251901</v>
      </c>
      <c r="J252">
        <v>164.50507009943499</v>
      </c>
      <c r="K252">
        <v>66.989726695747606</v>
      </c>
      <c r="L252">
        <v>0.65352037583501343</v>
      </c>
      <c r="M252">
        <v>-0.65277463776461198</v>
      </c>
      <c r="N252">
        <v>43.7421611668344</v>
      </c>
      <c r="O252">
        <v>43.742202051780097</v>
      </c>
      <c r="P252">
        <v>43.742147466382598</v>
      </c>
      <c r="Q252" t="s">
        <v>51</v>
      </c>
    </row>
    <row r="253" spans="1:17" x14ac:dyDescent="0.2">
      <c r="A253">
        <v>252</v>
      </c>
      <c r="B253">
        <v>768</v>
      </c>
      <c r="C253">
        <v>140</v>
      </c>
      <c r="D253">
        <v>0.45338375834414102</v>
      </c>
      <c r="E253">
        <v>110.892477748301</v>
      </c>
      <c r="F253">
        <v>1.6524047993104101</v>
      </c>
      <c r="G253">
        <v>-1845.625253715848</v>
      </c>
      <c r="H253">
        <v>-1512.8970845501428</v>
      </c>
      <c r="I253">
        <v>319.58143487903601</v>
      </c>
      <c r="J253">
        <v>164.48069703605199</v>
      </c>
      <c r="K253">
        <v>67.109752885357693</v>
      </c>
      <c r="L253">
        <v>0.62779100642200325</v>
      </c>
      <c r="M253">
        <v>-0.62702779151663479</v>
      </c>
      <c r="N253">
        <v>42.092912863720201</v>
      </c>
      <c r="O253">
        <v>42.0929544217733</v>
      </c>
      <c r="P253">
        <v>42.0928983716706</v>
      </c>
      <c r="Q253" t="s">
        <v>51</v>
      </c>
    </row>
    <row r="254" spans="1:17" x14ac:dyDescent="0.2">
      <c r="A254">
        <v>253</v>
      </c>
      <c r="B254">
        <v>766</v>
      </c>
      <c r="C254">
        <v>140</v>
      </c>
      <c r="D254">
        <v>0.45219698792282498</v>
      </c>
      <c r="E254">
        <v>110.900322818381</v>
      </c>
      <c r="F254">
        <v>1.6274819113193</v>
      </c>
      <c r="G254">
        <v>-1845.1158291858305</v>
      </c>
      <c r="H254">
        <v>-1516.8553525036884</v>
      </c>
      <c r="I254">
        <v>315.89768580525299</v>
      </c>
      <c r="J254">
        <v>163.83325917509899</v>
      </c>
      <c r="K254">
        <v>68.142276757153297</v>
      </c>
      <c r="L254">
        <v>0.46811588707283053</v>
      </c>
      <c r="M254">
        <v>-0.46725795303719025</v>
      </c>
      <c r="N254">
        <v>31.855031179074199</v>
      </c>
      <c r="O254">
        <v>31.8550781331476</v>
      </c>
      <c r="P254">
        <v>31.8550141998337</v>
      </c>
      <c r="Q254" t="s">
        <v>51</v>
      </c>
    </row>
    <row r="255" spans="1:17" x14ac:dyDescent="0.2">
      <c r="A255">
        <v>254</v>
      </c>
      <c r="B255">
        <v>764</v>
      </c>
      <c r="C255">
        <v>140</v>
      </c>
      <c r="D255">
        <v>0.45100564045702202</v>
      </c>
      <c r="E255">
        <v>110.904824967049</v>
      </c>
      <c r="F255">
        <v>1.5903955837008801</v>
      </c>
      <c r="G255">
        <v>-1844.5640902334362</v>
      </c>
      <c r="H255">
        <v>-1522.801602735811</v>
      </c>
      <c r="I255">
        <v>310.24245181850802</v>
      </c>
      <c r="J255">
        <v>162.68585575840399</v>
      </c>
      <c r="K255">
        <v>69.734112760154602</v>
      </c>
      <c r="L255">
        <v>0.22512111909640997</v>
      </c>
      <c r="M255">
        <v>-0.22412214972980185</v>
      </c>
      <c r="N255">
        <v>15.6467286519522</v>
      </c>
      <c r="O255">
        <v>15.6467839971431</v>
      </c>
      <c r="P255">
        <v>15.6467078990971</v>
      </c>
      <c r="Q255" t="s">
        <v>51</v>
      </c>
    </row>
    <row r="256" spans="1:17" x14ac:dyDescent="0.2">
      <c r="A256">
        <v>255</v>
      </c>
      <c r="B256">
        <v>762</v>
      </c>
      <c r="C256">
        <v>140</v>
      </c>
      <c r="D256">
        <v>0.44980968941699401</v>
      </c>
      <c r="E256">
        <v>110.90521840432299</v>
      </c>
      <c r="F256">
        <v>1.58162968630678</v>
      </c>
      <c r="G256">
        <v>-1843.9521897568081</v>
      </c>
      <c r="H256">
        <v>-1524.8070871413026</v>
      </c>
      <c r="I256">
        <v>308.31360924822002</v>
      </c>
      <c r="J256">
        <v>162.40002134570901</v>
      </c>
      <c r="K256">
        <v>70.120850262550604</v>
      </c>
      <c r="L256">
        <v>0.15441507792533465</v>
      </c>
      <c r="M256">
        <v>-0.15337450792083407</v>
      </c>
      <c r="N256">
        <v>10.773271625334401</v>
      </c>
      <c r="O256">
        <v>10.7733290219909</v>
      </c>
      <c r="P256">
        <v>10.7732492088154</v>
      </c>
      <c r="Q256" t="s">
        <v>51</v>
      </c>
    </row>
    <row r="257" spans="1:17" x14ac:dyDescent="0.2">
      <c r="A257">
        <v>256</v>
      </c>
      <c r="B257">
        <v>760</v>
      </c>
      <c r="C257">
        <v>140</v>
      </c>
      <c r="D257">
        <v>0.44860910806756099</v>
      </c>
      <c r="E257">
        <v>110.905223997463</v>
      </c>
      <c r="F257">
        <v>1.57911121067973</v>
      </c>
      <c r="G257">
        <v>-1843.3367879887314</v>
      </c>
      <c r="H257">
        <v>-1525.9044047294985</v>
      </c>
      <c r="I257">
        <v>307.25280127866</v>
      </c>
      <c r="J257">
        <v>162.32559185638399</v>
      </c>
      <c r="K257">
        <v>70.232687379708693</v>
      </c>
      <c r="L257">
        <v>0.12223751021534759</v>
      </c>
      <c r="M257">
        <v>-0.12117745158610786</v>
      </c>
      <c r="N257">
        <v>8.5294281174859403</v>
      </c>
      <c r="O257">
        <v>8.5294860927273906</v>
      </c>
      <c r="P257">
        <v>8.5294045081552792</v>
      </c>
      <c r="Q257" t="s">
        <v>51</v>
      </c>
    </row>
    <row r="258" spans="1:17" x14ac:dyDescent="0.2">
      <c r="A258">
        <v>257</v>
      </c>
      <c r="B258">
        <v>758</v>
      </c>
      <c r="C258">
        <v>140</v>
      </c>
      <c r="D258">
        <v>0.44740386946613198</v>
      </c>
      <c r="E258">
        <v>110.90514064201901</v>
      </c>
      <c r="F258">
        <v>1.5787609616118701</v>
      </c>
      <c r="G258">
        <v>-1842.7217111784253</v>
      </c>
      <c r="H258">
        <v>-1526.6826054178762</v>
      </c>
      <c r="I258">
        <v>306.49762240505203</v>
      </c>
      <c r="J258">
        <v>162.32865024283899</v>
      </c>
      <c r="K258">
        <v>70.248215745586094</v>
      </c>
      <c r="L258">
        <v>0.10346258007159971</v>
      </c>
      <c r="M258">
        <v>-0.10239070988184484</v>
      </c>
      <c r="N258">
        <v>7.21170156151328</v>
      </c>
      <c r="O258">
        <v>7.2117595834839996</v>
      </c>
      <c r="P258">
        <v>7.2116769083314001</v>
      </c>
      <c r="Q258" t="s">
        <v>51</v>
      </c>
    </row>
    <row r="259" spans="1:17" x14ac:dyDescent="0.2">
      <c r="A259">
        <v>258</v>
      </c>
      <c r="B259">
        <v>756</v>
      </c>
      <c r="C259">
        <v>140</v>
      </c>
      <c r="D259">
        <v>0.44619394646067401</v>
      </c>
      <c r="E259">
        <v>110.905030189955</v>
      </c>
      <c r="F259">
        <v>1.5794273329212201</v>
      </c>
      <c r="G259">
        <v>-1842.1075451535125</v>
      </c>
      <c r="H259">
        <v>-1527.3109225465059</v>
      </c>
      <c r="I259">
        <v>305.88600913397198</v>
      </c>
      <c r="J259">
        <v>162.37009420020701</v>
      </c>
      <c r="K259">
        <v>70.218507606065003</v>
      </c>
      <c r="L259">
        <v>9.0956236347726788E-2</v>
      </c>
      <c r="M259">
        <v>-8.9876146300032114E-2</v>
      </c>
      <c r="N259">
        <v>6.3299559826884604</v>
      </c>
      <c r="O259">
        <v>6.3300137889258501</v>
      </c>
      <c r="P259">
        <v>6.3299303420293702</v>
      </c>
      <c r="Q259" t="s">
        <v>51</v>
      </c>
    </row>
    <row r="260" spans="1:17" x14ac:dyDescent="0.2">
      <c r="A260">
        <v>259</v>
      </c>
      <c r="B260">
        <v>754</v>
      </c>
      <c r="C260">
        <v>140</v>
      </c>
      <c r="D260">
        <v>0.44497931168767801</v>
      </c>
      <c r="E260">
        <v>110.904904036757</v>
      </c>
      <c r="F260">
        <v>1.5806289155048101</v>
      </c>
      <c r="G260">
        <v>-1841.4942715607731</v>
      </c>
      <c r="H260">
        <v>-1527.8648115671999</v>
      </c>
      <c r="I260">
        <v>305.345332161572</v>
      </c>
      <c r="J260">
        <v>162.43205663410799</v>
      </c>
      <c r="K260">
        <v>70.165048196234807</v>
      </c>
      <c r="L260">
        <v>8.1630955494823604E-2</v>
      </c>
      <c r="M260">
        <v>-8.0544485477166278E-2</v>
      </c>
      <c r="N260">
        <v>5.6704053043217701</v>
      </c>
      <c r="O260">
        <v>5.6704627473035902</v>
      </c>
      <c r="P260">
        <v>5.6703786917457597</v>
      </c>
      <c r="Q260" t="s">
        <v>51</v>
      </c>
    </row>
    <row r="261" spans="1:17" x14ac:dyDescent="0.2">
      <c r="A261">
        <v>260</v>
      </c>
      <c r="B261">
        <v>752</v>
      </c>
      <c r="C261">
        <v>140</v>
      </c>
      <c r="D261">
        <v>0.443759937570114</v>
      </c>
      <c r="E261">
        <v>110.904788057638</v>
      </c>
      <c r="F261">
        <v>1.5822031319417</v>
      </c>
      <c r="G261">
        <v>-1840.8821873229233</v>
      </c>
      <c r="H261">
        <v>-1528.363460468162</v>
      </c>
      <c r="I261">
        <v>304.85758241500702</v>
      </c>
      <c r="J261">
        <v>162.51060432034399</v>
      </c>
      <c r="K261">
        <v>70.095164027095905</v>
      </c>
      <c r="L261">
        <v>7.4598169688187305E-2</v>
      </c>
      <c r="M261">
        <v>-7.350663608161534E-2</v>
      </c>
      <c r="N261">
        <v>5.1714395170269496</v>
      </c>
      <c r="O261">
        <v>5.1714964853388503</v>
      </c>
      <c r="P261">
        <v>5.1714119366364502</v>
      </c>
      <c r="Q261" t="s">
        <v>51</v>
      </c>
    </row>
    <row r="262" spans="1:17" x14ac:dyDescent="0.2">
      <c r="A262">
        <v>261</v>
      </c>
      <c r="B262">
        <v>750</v>
      </c>
      <c r="C262">
        <v>140</v>
      </c>
      <c r="D262">
        <v>0.44253579631530099</v>
      </c>
      <c r="E262">
        <v>110.904676657152</v>
      </c>
      <c r="F262">
        <v>1.58402222882036</v>
      </c>
      <c r="G262">
        <v>-1840.2711176988691</v>
      </c>
      <c r="H262">
        <v>-1528.8266490801307</v>
      </c>
      <c r="I262">
        <v>304.40357011159</v>
      </c>
      <c r="J262">
        <v>162.60106652898401</v>
      </c>
      <c r="K262">
        <v>70.014596158630695</v>
      </c>
      <c r="L262">
        <v>6.9041986591812918E-2</v>
      </c>
      <c r="M262">
        <v>-6.7946244590024338E-2</v>
      </c>
      <c r="N262">
        <v>4.7761724136832902</v>
      </c>
      <c r="O262">
        <v>4.7762288261920398</v>
      </c>
      <c r="P262">
        <v>4.7761438585408902</v>
      </c>
      <c r="Q262" t="s">
        <v>51</v>
      </c>
    </row>
    <row r="263" spans="1:17" x14ac:dyDescent="0.2">
      <c r="A263">
        <v>262</v>
      </c>
      <c r="B263">
        <v>786</v>
      </c>
      <c r="C263">
        <v>130</v>
      </c>
      <c r="D263">
        <v>0.474248689987256</v>
      </c>
      <c r="E263">
        <v>110.89196882213901</v>
      </c>
      <c r="F263">
        <v>1.6077127153187201</v>
      </c>
      <c r="G263">
        <v>-1852.1003419865406</v>
      </c>
      <c r="H263">
        <v>-1508.265502230671</v>
      </c>
      <c r="I263">
        <v>324.63641170040501</v>
      </c>
      <c r="J263">
        <v>164.51805794806199</v>
      </c>
      <c r="K263">
        <v>68.974990224018796</v>
      </c>
      <c r="L263">
        <v>0.68542472318600134</v>
      </c>
      <c r="M263">
        <v>-0.68463921851388587</v>
      </c>
      <c r="N263">
        <v>47.238582595641297</v>
      </c>
      <c r="O263">
        <v>47.238638084557302</v>
      </c>
      <c r="P263">
        <v>47.238575985589002</v>
      </c>
      <c r="Q263" t="s">
        <v>51</v>
      </c>
    </row>
    <row r="264" spans="1:17" x14ac:dyDescent="0.2">
      <c r="A264">
        <v>263</v>
      </c>
      <c r="B264">
        <v>784</v>
      </c>
      <c r="C264">
        <v>130</v>
      </c>
      <c r="D264">
        <v>0.47312160052972602</v>
      </c>
      <c r="E264">
        <v>110.892029160045</v>
      </c>
      <c r="F264">
        <v>1.6085578229006401</v>
      </c>
      <c r="G264">
        <v>-1851.4524363151891</v>
      </c>
      <c r="H264">
        <v>-1508.6999613616326</v>
      </c>
      <c r="I264">
        <v>324.22674972498402</v>
      </c>
      <c r="J264">
        <v>164.51052439952699</v>
      </c>
      <c r="K264">
        <v>68.9387895052961</v>
      </c>
      <c r="L264">
        <v>0.681904752204054</v>
      </c>
      <c r="M264">
        <v>-0.68111526445913073</v>
      </c>
      <c r="N264">
        <v>46.970867949793302</v>
      </c>
      <c r="O264">
        <v>46.970923516320802</v>
      </c>
      <c r="P264">
        <v>46.970861046698502</v>
      </c>
      <c r="Q264" t="s">
        <v>51</v>
      </c>
    </row>
    <row r="265" spans="1:17" x14ac:dyDescent="0.2">
      <c r="A265">
        <v>264</v>
      </c>
      <c r="B265">
        <v>782</v>
      </c>
      <c r="C265">
        <v>130</v>
      </c>
      <c r="D265">
        <v>0.47199023835473802</v>
      </c>
      <c r="E265">
        <v>110.89208677057201</v>
      </c>
      <c r="F265">
        <v>1.6091447236766701</v>
      </c>
      <c r="G265">
        <v>-1850.8053448179053</v>
      </c>
      <c r="H265">
        <v>-1509.1567425576447</v>
      </c>
      <c r="I265">
        <v>323.79515478731997</v>
      </c>
      <c r="J265">
        <v>164.49627172000399</v>
      </c>
      <c r="K265">
        <v>68.913681373046003</v>
      </c>
      <c r="L265">
        <v>0.67745497360933671</v>
      </c>
      <c r="M265">
        <v>-0.67666079595256712</v>
      </c>
      <c r="N265">
        <v>46.646814773926998</v>
      </c>
      <c r="O265">
        <v>46.646870464720699</v>
      </c>
      <c r="P265">
        <v>46.6468075571266</v>
      </c>
      <c r="Q265" t="s">
        <v>51</v>
      </c>
    </row>
    <row r="266" spans="1:17" x14ac:dyDescent="0.2">
      <c r="A266">
        <v>265</v>
      </c>
      <c r="B266">
        <v>780</v>
      </c>
      <c r="C266">
        <v>130</v>
      </c>
      <c r="D266">
        <v>0.47085457911978401</v>
      </c>
      <c r="E266">
        <v>110.89214453793799</v>
      </c>
      <c r="F266">
        <v>1.60975080479219</v>
      </c>
      <c r="G266">
        <v>-1850.1591192200053</v>
      </c>
      <c r="H266">
        <v>-1509.6130113570268</v>
      </c>
      <c r="I266">
        <v>323.36322935024401</v>
      </c>
      <c r="J266">
        <v>164.484658121975</v>
      </c>
      <c r="K266">
        <v>68.887770832488499</v>
      </c>
      <c r="L266">
        <v>0.67300478110429685</v>
      </c>
      <c r="M266">
        <v>-0.67220590696183835</v>
      </c>
      <c r="N266">
        <v>46.322415939923097</v>
      </c>
      <c r="O266">
        <v>46.322471743008201</v>
      </c>
      <c r="P266">
        <v>46.322408394453198</v>
      </c>
      <c r="Q266" t="s">
        <v>51</v>
      </c>
    </row>
    <row r="267" spans="1:17" x14ac:dyDescent="0.2">
      <c r="A267">
        <v>266</v>
      </c>
      <c r="B267">
        <v>778</v>
      </c>
      <c r="C267">
        <v>130</v>
      </c>
      <c r="D267">
        <v>0.46971459829710499</v>
      </c>
      <c r="E267">
        <v>110.89220247683301</v>
      </c>
      <c r="F267">
        <v>1.61037765411263</v>
      </c>
      <c r="G267">
        <v>-1849.5137603266412</v>
      </c>
      <c r="H267">
        <v>-1510.0686671397521</v>
      </c>
      <c r="I267">
        <v>322.93106799541602</v>
      </c>
      <c r="J267">
        <v>164.47573669040401</v>
      </c>
      <c r="K267">
        <v>68.860991826130302</v>
      </c>
      <c r="L267">
        <v>0.66855864712781321</v>
      </c>
      <c r="M267">
        <v>-0.66775507426321823</v>
      </c>
      <c r="N267">
        <v>45.997946267833903</v>
      </c>
      <c r="O267">
        <v>45.998002170386101</v>
      </c>
      <c r="P267">
        <v>45.9979383782102</v>
      </c>
      <c r="Q267" t="s">
        <v>51</v>
      </c>
    </row>
    <row r="268" spans="1:17" x14ac:dyDescent="0.2">
      <c r="A268">
        <v>267</v>
      </c>
      <c r="B268">
        <v>776</v>
      </c>
      <c r="C268">
        <v>130</v>
      </c>
      <c r="D268">
        <v>0.46857027117190198</v>
      </c>
      <c r="E268">
        <v>110.892269194454</v>
      </c>
      <c r="F268">
        <v>1.60984807078526</v>
      </c>
      <c r="G268">
        <v>-1848.8694518662521</v>
      </c>
      <c r="H268">
        <v>-1510.6606977666493</v>
      </c>
      <c r="I268">
        <v>322.36829564064197</v>
      </c>
      <c r="J268">
        <v>164.45560421394501</v>
      </c>
      <c r="K268">
        <v>68.883686111051702</v>
      </c>
      <c r="L268">
        <v>0.65782513354169891</v>
      </c>
      <c r="M268">
        <v>-0.65701274061718173</v>
      </c>
      <c r="N268">
        <v>45.273238558911601</v>
      </c>
      <c r="O268">
        <v>45.273294871858802</v>
      </c>
      <c r="P268">
        <v>45.273230264226797</v>
      </c>
      <c r="Q268" t="s">
        <v>51</v>
      </c>
    </row>
    <row r="269" spans="1:17" x14ac:dyDescent="0.2">
      <c r="A269">
        <v>268</v>
      </c>
      <c r="B269">
        <v>774</v>
      </c>
      <c r="C269">
        <v>130</v>
      </c>
      <c r="D269">
        <v>0.46742157284057101</v>
      </c>
      <c r="E269">
        <v>110.892352139187</v>
      </c>
      <c r="F269">
        <v>1.60692107979853</v>
      </c>
      <c r="G269">
        <v>-1848.2268905595267</v>
      </c>
      <c r="H269">
        <v>-1511.5363946903281</v>
      </c>
      <c r="I269">
        <v>321.53419321919603</v>
      </c>
      <c r="J269">
        <v>164.41123973202801</v>
      </c>
      <c r="K269">
        <v>69.009208686894596</v>
      </c>
      <c r="L269">
        <v>0.63401075157990094</v>
      </c>
      <c r="M269">
        <v>-0.6331809815870848</v>
      </c>
      <c r="N269">
        <v>43.711393409346996</v>
      </c>
      <c r="O269">
        <v>43.711450789715499</v>
      </c>
      <c r="P269">
        <v>43.7113845923989</v>
      </c>
      <c r="Q269" t="s">
        <v>51</v>
      </c>
    </row>
    <row r="270" spans="1:17" x14ac:dyDescent="0.2">
      <c r="A270">
        <v>269</v>
      </c>
      <c r="B270">
        <v>772</v>
      </c>
      <c r="C270">
        <v>130</v>
      </c>
      <c r="D270">
        <v>0.46626847820886702</v>
      </c>
      <c r="E270">
        <v>110.892432357488</v>
      </c>
      <c r="F270">
        <v>1.60392226275279</v>
      </c>
      <c r="G270">
        <v>-1847.5859661144102</v>
      </c>
      <c r="H270">
        <v>-1512.4268178038301</v>
      </c>
      <c r="I270">
        <v>320.68437733373099</v>
      </c>
      <c r="J270">
        <v>164.369933400744</v>
      </c>
      <c r="K270">
        <v>69.138283651705606</v>
      </c>
      <c r="L270">
        <v>0.60941456002778716</v>
      </c>
      <c r="M270">
        <v>-0.60856694488293372</v>
      </c>
      <c r="N270">
        <v>42.091652372790598</v>
      </c>
      <c r="O270">
        <v>42.091710838395201</v>
      </c>
      <c r="P270">
        <v>42.091642999049199</v>
      </c>
      <c r="Q270" t="s">
        <v>51</v>
      </c>
    </row>
    <row r="271" spans="1:17" x14ac:dyDescent="0.2">
      <c r="A271">
        <v>270</v>
      </c>
      <c r="B271">
        <v>770</v>
      </c>
      <c r="C271">
        <v>130</v>
      </c>
      <c r="D271">
        <v>0.46511096199012703</v>
      </c>
      <c r="E271">
        <v>110.892508052183</v>
      </c>
      <c r="F271">
        <v>1.6006757495302499</v>
      </c>
      <c r="G271">
        <v>-1846.9466975954804</v>
      </c>
      <c r="H271">
        <v>-1513.3526282348903</v>
      </c>
      <c r="I271">
        <v>319.79897268186102</v>
      </c>
      <c r="J271">
        <v>164.326996075925</v>
      </c>
      <c r="K271">
        <v>69.278558186894998</v>
      </c>
      <c r="L271">
        <v>0.5830006695025709</v>
      </c>
      <c r="M271">
        <v>-0.58213412710223933</v>
      </c>
      <c r="N271">
        <v>40.346115787851097</v>
      </c>
      <c r="O271">
        <v>40.346175403447198</v>
      </c>
      <c r="P271">
        <v>40.3461058130762</v>
      </c>
      <c r="Q271" t="s">
        <v>51</v>
      </c>
    </row>
    <row r="272" spans="1:17" x14ac:dyDescent="0.2">
      <c r="A272">
        <v>271</v>
      </c>
      <c r="B272">
        <v>768</v>
      </c>
      <c r="C272">
        <v>130</v>
      </c>
      <c r="D272">
        <v>0.46394899870335798</v>
      </c>
      <c r="E272">
        <v>110.904653769966</v>
      </c>
      <c r="F272">
        <v>1.5470830984222499</v>
      </c>
      <c r="G272">
        <v>-1846.5136527620023</v>
      </c>
      <c r="H272">
        <v>-1521.135614402921</v>
      </c>
      <c r="I272">
        <v>312.523050174687</v>
      </c>
      <c r="J272">
        <v>162.583137312985</v>
      </c>
      <c r="K272">
        <v>71.686293957363304</v>
      </c>
      <c r="L272">
        <v>0.26508949891528066</v>
      </c>
      <c r="M272">
        <v>-0.26402881821873414</v>
      </c>
      <c r="N272">
        <v>18.948249739122598</v>
      </c>
      <c r="O272">
        <v>18.948324683345501</v>
      </c>
      <c r="P272">
        <v>18.948236756247201</v>
      </c>
      <c r="Q272" t="s">
        <v>51</v>
      </c>
    </row>
    <row r="273" spans="1:17" x14ac:dyDescent="0.2">
      <c r="A273">
        <v>272</v>
      </c>
      <c r="B273">
        <v>766</v>
      </c>
      <c r="C273">
        <v>130</v>
      </c>
      <c r="D273">
        <v>0.46278256267141699</v>
      </c>
      <c r="E273">
        <v>110.905451052389</v>
      </c>
      <c r="F273">
        <v>1.5329410787775899</v>
      </c>
      <c r="G273">
        <v>-1845.904549090237</v>
      </c>
      <c r="H273">
        <v>-1523.8070702479058</v>
      </c>
      <c r="I273">
        <v>309.96791999766498</v>
      </c>
      <c r="J273">
        <v>162.06698168259101</v>
      </c>
      <c r="K273">
        <v>72.348149963355993</v>
      </c>
      <c r="L273">
        <v>0.16802147446340376</v>
      </c>
      <c r="M273">
        <v>-0.16690083509093576</v>
      </c>
      <c r="N273">
        <v>12.0972501317723</v>
      </c>
      <c r="O273">
        <v>12.097329604854201</v>
      </c>
      <c r="P273">
        <v>12.097235768539401</v>
      </c>
      <c r="Q273" t="s">
        <v>51</v>
      </c>
    </row>
    <row r="274" spans="1:17" x14ac:dyDescent="0.2">
      <c r="A274">
        <v>273</v>
      </c>
      <c r="B274">
        <v>764</v>
      </c>
      <c r="C274">
        <v>130</v>
      </c>
      <c r="D274">
        <v>0.461611628019092</v>
      </c>
      <c r="E274">
        <v>110.905537907575</v>
      </c>
      <c r="F274">
        <v>1.52883937818061</v>
      </c>
      <c r="G274">
        <v>-1845.2873743902176</v>
      </c>
      <c r="H274">
        <v>-1525.0987097606362</v>
      </c>
      <c r="I274">
        <v>308.72534681129798</v>
      </c>
      <c r="J274">
        <v>161.91444564166099</v>
      </c>
      <c r="K274">
        <v>72.542308557984896</v>
      </c>
      <c r="L274">
        <v>0.12858183610304413</v>
      </c>
      <c r="M274">
        <v>-0.12743594880644926</v>
      </c>
      <c r="N274">
        <v>9.2672409961084803</v>
      </c>
      <c r="O274">
        <v>9.2673220463096602</v>
      </c>
      <c r="P274">
        <v>9.2672256906492301</v>
      </c>
      <c r="Q274" t="s">
        <v>51</v>
      </c>
    </row>
    <row r="275" spans="1:17" x14ac:dyDescent="0.2">
      <c r="A275">
        <v>274</v>
      </c>
      <c r="B275">
        <v>762</v>
      </c>
      <c r="C275">
        <v>130</v>
      </c>
      <c r="D275">
        <v>0.46043616867121101</v>
      </c>
      <c r="E275">
        <v>110.9054796577</v>
      </c>
      <c r="F275">
        <v>1.52781861286191</v>
      </c>
      <c r="G275">
        <v>-1844.6698452775067</v>
      </c>
      <c r="H275">
        <v>-1525.9582976512193</v>
      </c>
      <c r="I275">
        <v>307.89494818879098</v>
      </c>
      <c r="J275">
        <v>161.880029594116</v>
      </c>
      <c r="K275">
        <v>72.590737358508804</v>
      </c>
      <c r="L275">
        <v>0.10690594166161961</v>
      </c>
      <c r="M275">
        <v>-0.10574546730886804</v>
      </c>
      <c r="N275">
        <v>7.6990870892948804</v>
      </c>
      <c r="O275">
        <v>7.6991687800153104</v>
      </c>
      <c r="P275">
        <v>7.6990709614088901</v>
      </c>
      <c r="Q275" t="s">
        <v>51</v>
      </c>
    </row>
    <row r="276" spans="1:17" x14ac:dyDescent="0.2">
      <c r="A276">
        <v>275</v>
      </c>
      <c r="B276">
        <v>760</v>
      </c>
      <c r="C276">
        <v>130</v>
      </c>
      <c r="D276">
        <v>0.45925615835067601</v>
      </c>
      <c r="E276">
        <v>110.90537948974701</v>
      </c>
      <c r="F276">
        <v>1.5281425017941499</v>
      </c>
      <c r="G276">
        <v>-1844.0530928073824</v>
      </c>
      <c r="H276">
        <v>-1526.6283945800897</v>
      </c>
      <c r="I276">
        <v>307.245469843227</v>
      </c>
      <c r="J276">
        <v>161.899679072352</v>
      </c>
      <c r="K276">
        <v>72.575286244270799</v>
      </c>
      <c r="L276">
        <v>9.2972455296029002E-2</v>
      </c>
      <c r="M276">
        <v>-9.1802033278072057E-2</v>
      </c>
      <c r="N276">
        <v>6.6855940362949804</v>
      </c>
      <c r="O276">
        <v>6.6856759442482696</v>
      </c>
      <c r="P276">
        <v>6.6855771238607096</v>
      </c>
      <c r="Q276" t="s">
        <v>51</v>
      </c>
    </row>
    <row r="277" spans="1:17" x14ac:dyDescent="0.2">
      <c r="A277">
        <v>276</v>
      </c>
      <c r="B277">
        <v>758</v>
      </c>
      <c r="C277">
        <v>130</v>
      </c>
      <c r="D277">
        <v>0.45807157057654202</v>
      </c>
      <c r="E277">
        <v>110.90526521380001</v>
      </c>
      <c r="F277">
        <v>1.52918238499604</v>
      </c>
      <c r="G277">
        <v>-1843.4373053063989</v>
      </c>
      <c r="H277">
        <v>-1527.197895857598</v>
      </c>
      <c r="I277">
        <v>306.69195011029399</v>
      </c>
      <c r="J277">
        <v>161.94970578927001</v>
      </c>
      <c r="K277">
        <v>72.525858460034399</v>
      </c>
      <c r="L277">
        <v>8.3137688067027954E-2</v>
      </c>
      <c r="M277">
        <v>-8.1959774165037191E-2</v>
      </c>
      <c r="N277">
        <v>5.96726739938061</v>
      </c>
      <c r="O277">
        <v>5.9673492886767896</v>
      </c>
      <c r="P277">
        <v>5.9672497099052899</v>
      </c>
      <c r="Q277" t="s">
        <v>51</v>
      </c>
    </row>
    <row r="278" spans="1:17" x14ac:dyDescent="0.2">
      <c r="A278">
        <v>277</v>
      </c>
      <c r="B278">
        <v>756</v>
      </c>
      <c r="C278">
        <v>130</v>
      </c>
      <c r="D278">
        <v>0.45688237866200498</v>
      </c>
      <c r="E278">
        <v>110.90514606567901</v>
      </c>
      <c r="F278">
        <v>1.5306548859076901</v>
      </c>
      <c r="G278">
        <v>-1842.8224844167519</v>
      </c>
      <c r="H278">
        <v>-1527.7071744256575</v>
      </c>
      <c r="I278">
        <v>306.19572646206302</v>
      </c>
      <c r="J278">
        <v>162.01932657252101</v>
      </c>
      <c r="K278">
        <v>72.456010225918007</v>
      </c>
      <c r="L278">
        <v>7.5754416247115902E-2</v>
      </c>
      <c r="M278">
        <v>-7.4570481314664594E-2</v>
      </c>
      <c r="N278">
        <v>5.42613679092812</v>
      </c>
      <c r="O278">
        <v>5.4262185103383098</v>
      </c>
      <c r="P278">
        <v>5.4261183178065497</v>
      </c>
      <c r="Q278" t="s">
        <v>51</v>
      </c>
    </row>
    <row r="279" spans="1:17" x14ac:dyDescent="0.2">
      <c r="A279">
        <v>278</v>
      </c>
      <c r="B279">
        <v>754</v>
      </c>
      <c r="C279">
        <v>130</v>
      </c>
      <c r="D279">
        <v>0.45568855571240902</v>
      </c>
      <c r="E279">
        <v>110.905036067911</v>
      </c>
      <c r="F279">
        <v>1.5323743098273199</v>
      </c>
      <c r="G279">
        <v>-1842.2087926528641</v>
      </c>
      <c r="H279">
        <v>-1528.1890316388306</v>
      </c>
      <c r="I279">
        <v>305.72536161037698</v>
      </c>
      <c r="J279">
        <v>162.09964013229401</v>
      </c>
      <c r="K279">
        <v>72.374638074171699</v>
      </c>
      <c r="L279">
        <v>6.9612283948456241E-2</v>
      </c>
      <c r="M279">
        <v>-6.8423091466895763E-2</v>
      </c>
      <c r="N279">
        <v>4.9751268858255298</v>
      </c>
      <c r="O279">
        <v>4.9752083430751304</v>
      </c>
      <c r="P279">
        <v>4.9751076112447699</v>
      </c>
      <c r="Q279" t="s">
        <v>51</v>
      </c>
    </row>
    <row r="280" spans="1:17" x14ac:dyDescent="0.2">
      <c r="A280">
        <v>279</v>
      </c>
      <c r="B280">
        <v>752</v>
      </c>
      <c r="C280">
        <v>130</v>
      </c>
      <c r="D280">
        <v>0.45449007462322599</v>
      </c>
      <c r="E280">
        <v>110.904929216599</v>
      </c>
      <c r="F280">
        <v>1.5343273948026099</v>
      </c>
      <c r="G280">
        <v>-1841.5960428639924</v>
      </c>
      <c r="H280">
        <v>-1528.6354254865455</v>
      </c>
      <c r="I280">
        <v>305.28866886773199</v>
      </c>
      <c r="J280">
        <v>162.193244809785</v>
      </c>
      <c r="K280">
        <v>72.282440887309093</v>
      </c>
      <c r="L280">
        <v>6.4844480775259575E-2</v>
      </c>
      <c r="M280">
        <v>-6.3650848639667926E-2</v>
      </c>
      <c r="N280">
        <v>4.6238221331302203</v>
      </c>
      <c r="O280">
        <v>4.6239032337744996</v>
      </c>
      <c r="P280">
        <v>4.6238020407539802</v>
      </c>
      <c r="Q280" t="s">
        <v>51</v>
      </c>
    </row>
    <row r="281" spans="1:17" x14ac:dyDescent="0.2">
      <c r="A281">
        <v>280</v>
      </c>
      <c r="B281">
        <v>792</v>
      </c>
      <c r="C281">
        <v>120</v>
      </c>
      <c r="D281">
        <v>0.48793174670234402</v>
      </c>
      <c r="E281">
        <v>110.89187735609799</v>
      </c>
      <c r="F281">
        <v>1.5504938036145099</v>
      </c>
      <c r="G281">
        <v>-1854.752926544121</v>
      </c>
      <c r="H281">
        <v>-1507.4752360202008</v>
      </c>
      <c r="I281">
        <v>326.04010369033102</v>
      </c>
      <c r="J281">
        <v>164.33722392044101</v>
      </c>
      <c r="K281">
        <v>71.5203615116599</v>
      </c>
      <c r="L281">
        <v>0.65952015162803224</v>
      </c>
      <c r="M281">
        <v>-0.65864252884280694</v>
      </c>
      <c r="N281">
        <v>47.126034352475699</v>
      </c>
      <c r="O281">
        <v>47.126108904717398</v>
      </c>
      <c r="P281">
        <v>47.126032317002696</v>
      </c>
      <c r="Q281" t="s">
        <v>51</v>
      </c>
    </row>
    <row r="282" spans="1:17" x14ac:dyDescent="0.2">
      <c r="A282">
        <v>281</v>
      </c>
      <c r="B282">
        <v>790</v>
      </c>
      <c r="C282">
        <v>120</v>
      </c>
      <c r="D282">
        <v>0.486836758688802</v>
      </c>
      <c r="E282">
        <v>110.891938226165</v>
      </c>
      <c r="F282">
        <v>1.5515903843838299</v>
      </c>
      <c r="G282">
        <v>-1854.1021972728647</v>
      </c>
      <c r="H282">
        <v>-1507.892167208855</v>
      </c>
      <c r="I282">
        <v>325.64922157551803</v>
      </c>
      <c r="J282">
        <v>164.33325203411201</v>
      </c>
      <c r="K282">
        <v>71.469853991266206</v>
      </c>
      <c r="L282">
        <v>0.65684812762234546</v>
      </c>
      <c r="M282">
        <v>-0.65596674933810661</v>
      </c>
      <c r="N282">
        <v>46.901525008672301</v>
      </c>
      <c r="O282">
        <v>46.901599774543897</v>
      </c>
      <c r="P282">
        <v>46.901522830187197</v>
      </c>
      <c r="Q282" t="s">
        <v>51</v>
      </c>
    </row>
    <row r="283" spans="1:17" x14ac:dyDescent="0.2">
      <c r="A283">
        <v>282</v>
      </c>
      <c r="B283">
        <v>788</v>
      </c>
      <c r="C283">
        <v>120</v>
      </c>
      <c r="D283">
        <v>0.48573764312303003</v>
      </c>
      <c r="E283">
        <v>110.89199444815</v>
      </c>
      <c r="F283">
        <v>1.5522422441877901</v>
      </c>
      <c r="G283">
        <v>-1853.4522339830876</v>
      </c>
      <c r="H283">
        <v>-1508.3461837094521</v>
      </c>
      <c r="I283">
        <v>325.22264549894999</v>
      </c>
      <c r="J283">
        <v>164.31455090894099</v>
      </c>
      <c r="K283">
        <v>71.439876645139606</v>
      </c>
      <c r="L283">
        <v>0.65269197209163266</v>
      </c>
      <c r="M283">
        <v>-0.65180566782826521</v>
      </c>
      <c r="N283">
        <v>46.584618505629599</v>
      </c>
      <c r="O283">
        <v>46.584693596336201</v>
      </c>
      <c r="P283">
        <v>46.5846161709729</v>
      </c>
      <c r="Q283" t="s">
        <v>51</v>
      </c>
    </row>
    <row r="284" spans="1:17" x14ac:dyDescent="0.2">
      <c r="A284">
        <v>283</v>
      </c>
      <c r="B284">
        <v>786</v>
      </c>
      <c r="C284">
        <v>120</v>
      </c>
      <c r="D284">
        <v>0.48463437662276798</v>
      </c>
      <c r="E284">
        <v>110.892050833585</v>
      </c>
      <c r="F284">
        <v>1.5529134366303901</v>
      </c>
      <c r="G284">
        <v>-1852.8031265998504</v>
      </c>
      <c r="H284">
        <v>-1508.7996296640329</v>
      </c>
      <c r="I284">
        <v>324.79580521088701</v>
      </c>
      <c r="J284">
        <v>164.29839333857501</v>
      </c>
      <c r="K284">
        <v>71.409035570073598</v>
      </c>
      <c r="L284">
        <v>0.64853689853251439</v>
      </c>
      <c r="M284">
        <v>-0.6476456550249674</v>
      </c>
      <c r="N284">
        <v>46.2674773415049</v>
      </c>
      <c r="O284">
        <v>46.267552749293003</v>
      </c>
      <c r="P284">
        <v>46.267474839418</v>
      </c>
      <c r="Q284" t="s">
        <v>51</v>
      </c>
    </row>
    <row r="285" spans="1:17" x14ac:dyDescent="0.2">
      <c r="A285">
        <v>284</v>
      </c>
      <c r="B285">
        <v>784</v>
      </c>
      <c r="C285">
        <v>120</v>
      </c>
      <c r="D285">
        <v>0.48352693562881199</v>
      </c>
      <c r="E285">
        <v>110.89210739713</v>
      </c>
      <c r="F285">
        <v>1.5536054932616601</v>
      </c>
      <c r="G285">
        <v>-1852.1548758025549</v>
      </c>
      <c r="H285">
        <v>-1509.2524117042578</v>
      </c>
      <c r="I285">
        <v>324.36878815621702</v>
      </c>
      <c r="J285">
        <v>164.28483372655299</v>
      </c>
      <c r="K285">
        <v>71.377262682253999</v>
      </c>
      <c r="L285">
        <v>0.64438698681470419</v>
      </c>
      <c r="M285">
        <v>-0.64349079470236759</v>
      </c>
      <c r="N285">
        <v>45.950359763478602</v>
      </c>
      <c r="O285">
        <v>45.950435479766703</v>
      </c>
      <c r="P285">
        <v>45.950357082194003</v>
      </c>
      <c r="Q285" t="s">
        <v>51</v>
      </c>
    </row>
    <row r="286" spans="1:17" x14ac:dyDescent="0.2">
      <c r="A286">
        <v>285</v>
      </c>
      <c r="B286">
        <v>782</v>
      </c>
      <c r="C286">
        <v>120</v>
      </c>
      <c r="D286">
        <v>0.48241529640335601</v>
      </c>
      <c r="E286">
        <v>110.892164153873</v>
      </c>
      <c r="F286">
        <v>1.5543198789163399</v>
      </c>
      <c r="G286">
        <v>-1851.5074821056903</v>
      </c>
      <c r="H286">
        <v>-1509.7044403881237</v>
      </c>
      <c r="I286">
        <v>323.94167856595601</v>
      </c>
      <c r="J286">
        <v>164.27392551535601</v>
      </c>
      <c r="K286">
        <v>71.344493278427905</v>
      </c>
      <c r="L286">
        <v>0.64024616311735361</v>
      </c>
      <c r="M286">
        <v>-0.63934501685826994</v>
      </c>
      <c r="N286">
        <v>45.633515804621403</v>
      </c>
      <c r="O286">
        <v>45.633591819994102</v>
      </c>
      <c r="P286">
        <v>45.6335129318471</v>
      </c>
      <c r="Q286" t="s">
        <v>51</v>
      </c>
    </row>
    <row r="287" spans="1:17" x14ac:dyDescent="0.2">
      <c r="A287">
        <v>286</v>
      </c>
      <c r="B287">
        <v>780</v>
      </c>
      <c r="C287">
        <v>120</v>
      </c>
      <c r="D287">
        <v>0.48129943502824801</v>
      </c>
      <c r="E287">
        <v>110.892231058398</v>
      </c>
      <c r="F287">
        <v>1.5535942094275901</v>
      </c>
      <c r="G287">
        <v>-1850.8611681514885</v>
      </c>
      <c r="H287">
        <v>-1510.316888784055</v>
      </c>
      <c r="I287">
        <v>323.36167259461399</v>
      </c>
      <c r="J287">
        <v>164.24286319679899</v>
      </c>
      <c r="K287">
        <v>71.377860695848</v>
      </c>
      <c r="L287">
        <v>0.62886659264117784</v>
      </c>
      <c r="M287">
        <v>-0.62795552197967863</v>
      </c>
      <c r="N287">
        <v>44.842037297183403</v>
      </c>
      <c r="O287">
        <v>44.842114088062601</v>
      </c>
      <c r="P287">
        <v>44.842034203225701</v>
      </c>
      <c r="Q287" t="s">
        <v>51</v>
      </c>
    </row>
    <row r="288" spans="1:17" x14ac:dyDescent="0.2">
      <c r="A288">
        <v>287</v>
      </c>
      <c r="B288">
        <v>778</v>
      </c>
      <c r="C288">
        <v>120</v>
      </c>
      <c r="D288">
        <v>0.48017932740332298</v>
      </c>
      <c r="E288">
        <v>110.89231192774101</v>
      </c>
      <c r="F288">
        <v>1.55060881542194</v>
      </c>
      <c r="G288">
        <v>-1850.2165747088291</v>
      </c>
      <c r="H288">
        <v>-1511.1829637164651</v>
      </c>
      <c r="I288">
        <v>322.53985008969102</v>
      </c>
      <c r="J288">
        <v>164.18009199634599</v>
      </c>
      <c r="K288">
        <v>71.515336959802895</v>
      </c>
      <c r="L288">
        <v>0.60602519270854627</v>
      </c>
      <c r="M288">
        <v>-0.60509634642806287</v>
      </c>
      <c r="N288">
        <v>43.293927387051099</v>
      </c>
      <c r="O288">
        <v>43.294005712794302</v>
      </c>
      <c r="P288">
        <v>43.293924027769101</v>
      </c>
      <c r="Q288" t="s">
        <v>51</v>
      </c>
    </row>
    <row r="289" spans="1:17" x14ac:dyDescent="0.2">
      <c r="A289">
        <v>288</v>
      </c>
      <c r="B289">
        <v>776</v>
      </c>
      <c r="C289">
        <v>120</v>
      </c>
      <c r="D289">
        <v>0.47905494924462999</v>
      </c>
      <c r="E289">
        <v>110.892389962116</v>
      </c>
      <c r="F289">
        <v>1.5475379455089699</v>
      </c>
      <c r="G289">
        <v>-1849.5735922961235</v>
      </c>
      <c r="H289">
        <v>-1512.0644802267789</v>
      </c>
      <c r="I289">
        <v>321.701714374419</v>
      </c>
      <c r="J289">
        <v>164.118920321161</v>
      </c>
      <c r="K289">
        <v>71.657299443888505</v>
      </c>
      <c r="L289">
        <v>0.58238107898598812</v>
      </c>
      <c r="M289">
        <v>-0.58143394291129191</v>
      </c>
      <c r="N289">
        <v>41.6845972387719</v>
      </c>
      <c r="O289">
        <v>41.684677139892599</v>
      </c>
      <c r="P289">
        <v>41.684593591792897</v>
      </c>
      <c r="Q289" t="s">
        <v>51</v>
      </c>
    </row>
    <row r="290" spans="1:17" x14ac:dyDescent="0.2">
      <c r="A290">
        <v>289</v>
      </c>
      <c r="B290">
        <v>774</v>
      </c>
      <c r="C290">
        <v>120</v>
      </c>
      <c r="D290">
        <v>0.47792627608270499</v>
      </c>
      <c r="E290">
        <v>110.892463225984</v>
      </c>
      <c r="F290">
        <v>1.54418839063589</v>
      </c>
      <c r="G290">
        <v>-1848.9322396261889</v>
      </c>
      <c r="H290">
        <v>-1512.9830775400899</v>
      </c>
      <c r="I290">
        <v>320.82652827441001</v>
      </c>
      <c r="J290">
        <v>164.05348859758001</v>
      </c>
      <c r="K290">
        <v>71.812781328008001</v>
      </c>
      <c r="L290">
        <v>0.55687521037197829</v>
      </c>
      <c r="M290">
        <v>-0.55590861258554947</v>
      </c>
      <c r="N290">
        <v>39.942334209080002</v>
      </c>
      <c r="O290">
        <v>39.942415790321498</v>
      </c>
      <c r="P290">
        <v>39.942330247598001</v>
      </c>
      <c r="Q290" t="s">
        <v>51</v>
      </c>
    </row>
    <row r="291" spans="1:17" x14ac:dyDescent="0.2">
      <c r="A291">
        <v>290</v>
      </c>
      <c r="B291">
        <v>772</v>
      </c>
      <c r="C291">
        <v>120</v>
      </c>
      <c r="D291">
        <v>0.47679328326077502</v>
      </c>
      <c r="E291">
        <v>110.904646981965</v>
      </c>
      <c r="F291">
        <v>1.4935743229948399</v>
      </c>
      <c r="G291">
        <v>-1848.4964258877792</v>
      </c>
      <c r="H291">
        <v>-1520.0438228990308</v>
      </c>
      <c r="I291">
        <v>314.268672134881</v>
      </c>
      <c r="J291">
        <v>162.24596106445699</v>
      </c>
      <c r="K291">
        <v>74.254521703068207</v>
      </c>
      <c r="L291">
        <v>0.27710159603271245</v>
      </c>
      <c r="M291">
        <v>-0.27595545610123395</v>
      </c>
      <c r="N291">
        <v>20.516507825893299</v>
      </c>
      <c r="O291">
        <v>20.5166074279336</v>
      </c>
      <c r="P291">
        <v>20.516502753400701</v>
      </c>
      <c r="Q291" t="s">
        <v>51</v>
      </c>
    </row>
    <row r="292" spans="1:17" x14ac:dyDescent="0.2">
      <c r="A292">
        <v>291</v>
      </c>
      <c r="B292">
        <v>770</v>
      </c>
      <c r="C292">
        <v>120</v>
      </c>
      <c r="D292">
        <v>0.47565594593299199</v>
      </c>
      <c r="E292">
        <v>110.905684191506</v>
      </c>
      <c r="F292">
        <v>1.4765397367689199</v>
      </c>
      <c r="G292">
        <v>-1847.8880542343811</v>
      </c>
      <c r="H292">
        <v>-1522.9942296892405</v>
      </c>
      <c r="I292">
        <v>311.46000285556801</v>
      </c>
      <c r="J292">
        <v>161.55606960059899</v>
      </c>
      <c r="K292">
        <v>75.111885870541101</v>
      </c>
      <c r="L292">
        <v>0.17120949499841948</v>
      </c>
      <c r="M292">
        <v>-0.16999456202580554</v>
      </c>
      <c r="N292">
        <v>12.7958954393164</v>
      </c>
      <c r="O292">
        <v>12.796001973129499</v>
      </c>
      <c r="P292">
        <v>12.795889679901601</v>
      </c>
      <c r="Q292" t="s">
        <v>51</v>
      </c>
    </row>
    <row r="293" spans="1:17" x14ac:dyDescent="0.2">
      <c r="A293">
        <v>292</v>
      </c>
      <c r="B293">
        <v>768</v>
      </c>
      <c r="C293">
        <v>120</v>
      </c>
      <c r="D293">
        <v>0.474514239062578</v>
      </c>
      <c r="E293">
        <v>110.905827998718</v>
      </c>
      <c r="F293">
        <v>1.47148253040646</v>
      </c>
      <c r="G293">
        <v>-1847.2689192561586</v>
      </c>
      <c r="H293">
        <v>-1524.3767754709791</v>
      </c>
      <c r="I293">
        <v>310.13588132248299</v>
      </c>
      <c r="J293">
        <v>161.33692886778101</v>
      </c>
      <c r="K293">
        <v>75.370128905358797</v>
      </c>
      <c r="L293">
        <v>0.12924274609810985</v>
      </c>
      <c r="M293">
        <v>-0.1279993316121571</v>
      </c>
      <c r="N293">
        <v>9.6752231901664807</v>
      </c>
      <c r="O293">
        <v>9.6753323666548408</v>
      </c>
      <c r="P293">
        <v>9.67521690838662</v>
      </c>
      <c r="Q293" t="s">
        <v>51</v>
      </c>
    </row>
    <row r="294" spans="1:17" x14ac:dyDescent="0.2">
      <c r="A294">
        <v>293</v>
      </c>
      <c r="B294">
        <v>766</v>
      </c>
      <c r="C294">
        <v>120</v>
      </c>
      <c r="D294">
        <v>0.47336813742000999</v>
      </c>
      <c r="E294">
        <v>110.90578974489399</v>
      </c>
      <c r="F294">
        <v>1.47003415707332</v>
      </c>
      <c r="G294">
        <v>-1846.6489322563789</v>
      </c>
      <c r="H294">
        <v>-1525.274855912822</v>
      </c>
      <c r="I294">
        <v>309.27198902622399</v>
      </c>
      <c r="J294">
        <v>161.268075242164</v>
      </c>
      <c r="K294">
        <v>75.444362439642305</v>
      </c>
      <c r="L294">
        <v>0.10664465540613288</v>
      </c>
      <c r="M294">
        <v>-0.10538491610491055</v>
      </c>
      <c r="N294">
        <v>7.9788688453999601</v>
      </c>
      <c r="O294">
        <v>7.9789793320409101</v>
      </c>
      <c r="P294">
        <v>7.9788620769858296</v>
      </c>
      <c r="Q294" t="s">
        <v>51</v>
      </c>
    </row>
    <row r="295" spans="1:17" x14ac:dyDescent="0.2">
      <c r="A295">
        <v>294</v>
      </c>
      <c r="B295">
        <v>764</v>
      </c>
      <c r="C295">
        <v>120</v>
      </c>
      <c r="D295">
        <v>0.47221761558116099</v>
      </c>
      <c r="E295">
        <v>110.905699056568</v>
      </c>
      <c r="F295">
        <v>1.47012777011917</v>
      </c>
      <c r="G295">
        <v>-1846.0295972621207</v>
      </c>
      <c r="H295">
        <v>-1525.9645022373934</v>
      </c>
      <c r="I295">
        <v>308.606332895219</v>
      </c>
      <c r="J295">
        <v>161.26626552035</v>
      </c>
      <c r="K295">
        <v>75.439496695976104</v>
      </c>
      <c r="L295">
        <v>9.2315037173186384E-2</v>
      </c>
      <c r="M295">
        <v>-9.1044147058194247E-2</v>
      </c>
      <c r="N295">
        <v>6.8966231912500797</v>
      </c>
      <c r="O295">
        <v>6.8967344048466197</v>
      </c>
      <c r="P295">
        <v>6.8966159383287504</v>
      </c>
      <c r="Q295" t="s">
        <v>51</v>
      </c>
    </row>
    <row r="296" spans="1:17" x14ac:dyDescent="0.2">
      <c r="A296">
        <v>295</v>
      </c>
      <c r="B296">
        <v>762</v>
      </c>
      <c r="C296">
        <v>120</v>
      </c>
      <c r="D296">
        <v>0.47106264792542502</v>
      </c>
      <c r="E296">
        <v>110.905590509249</v>
      </c>
      <c r="F296">
        <v>1.4710298206738599</v>
      </c>
      <c r="G296">
        <v>-1845.4111897225396</v>
      </c>
      <c r="H296">
        <v>-1526.5450915333438</v>
      </c>
      <c r="I296">
        <v>308.04433923902502</v>
      </c>
      <c r="J296">
        <v>161.30124944994</v>
      </c>
      <c r="K296">
        <v>75.393162633810405</v>
      </c>
      <c r="L296">
        <v>8.2295881286058206E-2</v>
      </c>
      <c r="M296">
        <v>-8.1016531443490719E-2</v>
      </c>
      <c r="N296">
        <v>6.1364416349008</v>
      </c>
      <c r="O296">
        <v>6.1365532610002598</v>
      </c>
      <c r="P296">
        <v>6.1364338870025703</v>
      </c>
      <c r="Q296" t="s">
        <v>51</v>
      </c>
    </row>
    <row r="297" spans="1:17" x14ac:dyDescent="0.2">
      <c r="A297">
        <v>296</v>
      </c>
      <c r="B297">
        <v>760</v>
      </c>
      <c r="C297">
        <v>120</v>
      </c>
      <c r="D297">
        <v>0.46990320863379098</v>
      </c>
      <c r="E297">
        <v>110.905475569668</v>
      </c>
      <c r="F297">
        <v>1.4724149407104601</v>
      </c>
      <c r="G297">
        <v>-1844.7937365719615</v>
      </c>
      <c r="H297">
        <v>-1527.0610873275748</v>
      </c>
      <c r="I297">
        <v>307.54360546121899</v>
      </c>
      <c r="J297">
        <v>161.359445873081</v>
      </c>
      <c r="K297">
        <v>75.322161235442593</v>
      </c>
      <c r="L297">
        <v>7.482596238817632E-2</v>
      </c>
      <c r="M297">
        <v>-7.3539741554414437E-2</v>
      </c>
      <c r="N297">
        <v>5.5675259895331504</v>
      </c>
      <c r="O297">
        <v>5.56763783335398</v>
      </c>
      <c r="P297">
        <v>5.5675177301234502</v>
      </c>
      <c r="Q297" t="s">
        <v>51</v>
      </c>
    </row>
    <row r="298" spans="1:17" x14ac:dyDescent="0.2">
      <c r="A298">
        <v>297</v>
      </c>
      <c r="B298">
        <v>758</v>
      </c>
      <c r="C298">
        <v>120</v>
      </c>
      <c r="D298">
        <v>0.46873927168695301</v>
      </c>
      <c r="E298">
        <v>110.905358512497</v>
      </c>
      <c r="F298">
        <v>1.4741161770451501</v>
      </c>
      <c r="G298">
        <v>-1844.1772090177633</v>
      </c>
      <c r="H298">
        <v>-1527.5354464047568</v>
      </c>
      <c r="I298">
        <v>307.08220000023499</v>
      </c>
      <c r="J298">
        <v>161.43385974912599</v>
      </c>
      <c r="K298">
        <v>75.2351546231626</v>
      </c>
      <c r="L298">
        <v>6.8999251473092257E-2</v>
      </c>
      <c r="M298">
        <v>-6.770718252927288E-2</v>
      </c>
      <c r="N298">
        <v>5.1222887685298799</v>
      </c>
      <c r="O298">
        <v>5.1224006966418099</v>
      </c>
      <c r="P298">
        <v>5.1222799775558503</v>
      </c>
      <c r="Q298" t="s">
        <v>51</v>
      </c>
    </row>
    <row r="299" spans="1:17" x14ac:dyDescent="0.2">
      <c r="A299">
        <v>298</v>
      </c>
      <c r="B299">
        <v>756</v>
      </c>
      <c r="C299">
        <v>120</v>
      </c>
      <c r="D299">
        <v>0.46757081086333502</v>
      </c>
      <c r="E299">
        <v>110.90526119067199</v>
      </c>
      <c r="F299">
        <v>1.47600347643614</v>
      </c>
      <c r="G299">
        <v>-1843.5619214115625</v>
      </c>
      <c r="H299">
        <v>-1527.9918259433114</v>
      </c>
      <c r="I299">
        <v>306.63767321630502</v>
      </c>
      <c r="J299">
        <v>161.51738121996101</v>
      </c>
      <c r="K299">
        <v>75.138888872034798</v>
      </c>
      <c r="L299">
        <v>6.4002315848716684E-2</v>
      </c>
      <c r="M299">
        <v>-6.2704926590253979E-2</v>
      </c>
      <c r="N299">
        <v>4.7398652375202399</v>
      </c>
      <c r="O299">
        <v>4.7399771683984602</v>
      </c>
      <c r="P299">
        <v>4.7398558911353801</v>
      </c>
      <c r="Q299" t="s">
        <v>51</v>
      </c>
    </row>
    <row r="300" spans="1:17" x14ac:dyDescent="0.2">
      <c r="A300">
        <v>299</v>
      </c>
      <c r="B300">
        <v>798</v>
      </c>
      <c r="C300">
        <v>110</v>
      </c>
      <c r="D300">
        <v>0.501461513326802</v>
      </c>
      <c r="E300">
        <v>110.891791221004</v>
      </c>
      <c r="F300">
        <v>1.4855004237785401</v>
      </c>
      <c r="G300">
        <v>-1857.4423874188399</v>
      </c>
      <c r="H300">
        <v>-1506.6575977013385</v>
      </c>
      <c r="I300">
        <v>327.48805601640203</v>
      </c>
      <c r="J300">
        <v>164.044438670701</v>
      </c>
      <c r="K300">
        <v>74.649451084596706</v>
      </c>
      <c r="L300">
        <v>0.63021609278659296</v>
      </c>
      <c r="M300">
        <v>-0.62923389319394774</v>
      </c>
      <c r="N300">
        <v>46.997096883209103</v>
      </c>
      <c r="O300">
        <v>46.997195232799797</v>
      </c>
      <c r="P300">
        <v>46.997099103275097</v>
      </c>
      <c r="Q300" t="s">
        <v>51</v>
      </c>
    </row>
    <row r="301" spans="1:17" x14ac:dyDescent="0.2">
      <c r="A301">
        <v>300</v>
      </c>
      <c r="B301">
        <v>796</v>
      </c>
      <c r="C301">
        <v>110</v>
      </c>
      <c r="D301">
        <v>0.50039797970350297</v>
      </c>
      <c r="E301">
        <v>110.89184793371</v>
      </c>
      <c r="F301">
        <v>1.4863951611977999</v>
      </c>
      <c r="G301">
        <v>-1856.7887213127187</v>
      </c>
      <c r="H301">
        <v>-1507.0927209537836</v>
      </c>
      <c r="I301">
        <v>327.08231566284098</v>
      </c>
      <c r="J301">
        <v>164.02626116556399</v>
      </c>
      <c r="K301">
        <v>74.604553909034806</v>
      </c>
      <c r="L301">
        <v>0.62698728839691265</v>
      </c>
      <c r="M301">
        <v>-0.62600046912832119</v>
      </c>
      <c r="N301">
        <v>46.727630911187902</v>
      </c>
      <c r="O301">
        <v>46.727729740843799</v>
      </c>
      <c r="P301">
        <v>46.727633153020598</v>
      </c>
      <c r="Q301" t="s">
        <v>51</v>
      </c>
    </row>
    <row r="302" spans="1:17" x14ac:dyDescent="0.2">
      <c r="A302">
        <v>301</v>
      </c>
      <c r="B302">
        <v>794</v>
      </c>
      <c r="C302">
        <v>110</v>
      </c>
      <c r="D302">
        <v>0.49933045963547601</v>
      </c>
      <c r="E302">
        <v>110.891902660455</v>
      </c>
      <c r="F302">
        <v>1.4871033750815399</v>
      </c>
      <c r="G302">
        <v>-1856.1358630904269</v>
      </c>
      <c r="H302">
        <v>-1507.5437925356259</v>
      </c>
      <c r="I302">
        <v>326.66086916038603</v>
      </c>
      <c r="J302">
        <v>164.00208117803999</v>
      </c>
      <c r="K302">
        <v>74.569061249272096</v>
      </c>
      <c r="L302">
        <v>0.62313138511345156</v>
      </c>
      <c r="M302">
        <v>-0.6221394200930247</v>
      </c>
      <c r="N302">
        <v>46.417525709007499</v>
      </c>
      <c r="O302">
        <v>46.417625079445301</v>
      </c>
      <c r="P302">
        <v>46.4175279682091</v>
      </c>
      <c r="Q302" t="s">
        <v>51</v>
      </c>
    </row>
    <row r="303" spans="1:17" x14ac:dyDescent="0.2">
      <c r="A303">
        <v>302</v>
      </c>
      <c r="B303">
        <v>792</v>
      </c>
      <c r="C303">
        <v>110</v>
      </c>
      <c r="D303">
        <v>0.49825893066704502</v>
      </c>
      <c r="E303">
        <v>110.891957559909</v>
      </c>
      <c r="F303">
        <v>1.4878312688645701</v>
      </c>
      <c r="G303">
        <v>-1855.4838505733953</v>
      </c>
      <c r="H303">
        <v>-1507.9942021515769</v>
      </c>
      <c r="I303">
        <v>326.23925543757201</v>
      </c>
      <c r="J303">
        <v>163.98032977941099</v>
      </c>
      <c r="K303">
        <v>74.532616621598194</v>
      </c>
      <c r="L303">
        <v>0.61927915251361054</v>
      </c>
      <c r="M303">
        <v>-0.61828202305694036</v>
      </c>
      <c r="N303">
        <v>46.107377028529001</v>
      </c>
      <c r="O303">
        <v>46.107476936856997</v>
      </c>
      <c r="P303">
        <v>46.107379298603597</v>
      </c>
      <c r="Q303" t="s">
        <v>51</v>
      </c>
    </row>
    <row r="304" spans="1:17" x14ac:dyDescent="0.2">
      <c r="A304">
        <v>303</v>
      </c>
      <c r="B304">
        <v>790</v>
      </c>
      <c r="C304">
        <v>110</v>
      </c>
      <c r="D304">
        <v>0.49718337017354403</v>
      </c>
      <c r="E304">
        <v>110.892012646814</v>
      </c>
      <c r="F304">
        <v>1.48858028891459</v>
      </c>
      <c r="G304">
        <v>-1854.8326842558363</v>
      </c>
      <c r="H304">
        <v>-1508.4438641797447</v>
      </c>
      <c r="I304">
        <v>325.81755453500898</v>
      </c>
      <c r="J304">
        <v>163.961061567966</v>
      </c>
      <c r="K304">
        <v>74.495150495155102</v>
      </c>
      <c r="L304">
        <v>0.61543424770030086</v>
      </c>
      <c r="M304">
        <v>-0.61443193852880795</v>
      </c>
      <c r="N304">
        <v>45.797425335720597</v>
      </c>
      <c r="O304">
        <v>45.797525778310003</v>
      </c>
      <c r="P304">
        <v>45.7974276097573</v>
      </c>
      <c r="Q304" t="s">
        <v>51</v>
      </c>
    </row>
    <row r="305" spans="1:17" x14ac:dyDescent="0.2">
      <c r="A305">
        <v>304</v>
      </c>
      <c r="B305">
        <v>788</v>
      </c>
      <c r="C305">
        <v>110</v>
      </c>
      <c r="D305">
        <v>0.49610375535975398</v>
      </c>
      <c r="E305">
        <v>110.892067936271</v>
      </c>
      <c r="F305">
        <v>1.48935181787341</v>
      </c>
      <c r="G305">
        <v>-1854.1823644809745</v>
      </c>
      <c r="H305">
        <v>-1508.8926970315663</v>
      </c>
      <c r="I305">
        <v>325.39584315406501</v>
      </c>
      <c r="J305">
        <v>163.94433012171501</v>
      </c>
      <c r="K305">
        <v>74.456596893681194</v>
      </c>
      <c r="L305">
        <v>0.6116001788599601</v>
      </c>
      <c r="M305">
        <v>-0.61059267800915196</v>
      </c>
      <c r="N305">
        <v>45.487902662425803</v>
      </c>
      <c r="O305">
        <v>45.488003634907002</v>
      </c>
      <c r="P305">
        <v>45.487904933081097</v>
      </c>
      <c r="Q305" t="s">
        <v>51</v>
      </c>
    </row>
    <row r="306" spans="1:17" x14ac:dyDescent="0.2">
      <c r="A306">
        <v>305</v>
      </c>
      <c r="B306">
        <v>786</v>
      </c>
      <c r="C306">
        <v>110</v>
      </c>
      <c r="D306">
        <v>0.49502006325827702</v>
      </c>
      <c r="E306">
        <v>110.892123443541</v>
      </c>
      <c r="F306">
        <v>1.49014716501615</v>
      </c>
      <c r="G306">
        <v>-1853.5328914452007</v>
      </c>
      <c r="H306">
        <v>-1509.3406239184187</v>
      </c>
      <c r="I306">
        <v>324.97419390560498</v>
      </c>
      <c r="J306">
        <v>163.93018804155</v>
      </c>
      <c r="K306">
        <v>74.416893879296097</v>
      </c>
      <c r="L306">
        <v>0.60778027164019943</v>
      </c>
      <c r="M306">
        <v>-0.60676757034029993</v>
      </c>
      <c r="N306">
        <v>45.179030313200002</v>
      </c>
      <c r="O306">
        <v>45.179131810461698</v>
      </c>
      <c r="P306">
        <v>45.179032572679503</v>
      </c>
      <c r="Q306" t="s">
        <v>51</v>
      </c>
    </row>
    <row r="307" spans="1:17" x14ac:dyDescent="0.2">
      <c r="A307">
        <v>306</v>
      </c>
      <c r="B307">
        <v>784</v>
      </c>
      <c r="C307">
        <v>110</v>
      </c>
      <c r="D307">
        <v>0.49393227072789903</v>
      </c>
      <c r="E307">
        <v>110.892197276071</v>
      </c>
      <c r="F307">
        <v>1.4880826872525801</v>
      </c>
      <c r="G307">
        <v>-1852.8847752734666</v>
      </c>
      <c r="H307">
        <v>-1510.0912274837124</v>
      </c>
      <c r="I307">
        <v>324.265962780454</v>
      </c>
      <c r="J307">
        <v>163.86239328819099</v>
      </c>
      <c r="K307">
        <v>74.5201850851507</v>
      </c>
      <c r="L307">
        <v>0.59069425084850158</v>
      </c>
      <c r="M307">
        <v>-0.58966684777755185</v>
      </c>
      <c r="N307">
        <v>43.967659004700799</v>
      </c>
      <c r="O307">
        <v>43.967762162033999</v>
      </c>
      <c r="P307">
        <v>43.967661274109403</v>
      </c>
      <c r="Q307" t="s">
        <v>51</v>
      </c>
    </row>
    <row r="308" spans="1:17" x14ac:dyDescent="0.2">
      <c r="A308">
        <v>307</v>
      </c>
      <c r="B308">
        <v>782</v>
      </c>
      <c r="C308">
        <v>110</v>
      </c>
      <c r="D308">
        <v>0.49284035445197399</v>
      </c>
      <c r="E308">
        <v>110.892275169759</v>
      </c>
      <c r="F308">
        <v>1.48503183313378</v>
      </c>
      <c r="G308">
        <v>-1852.2383155009218</v>
      </c>
      <c r="H308">
        <v>-1510.9506571498584</v>
      </c>
      <c r="I308">
        <v>323.45349467659298</v>
      </c>
      <c r="J308">
        <v>163.77815829083599</v>
      </c>
      <c r="K308">
        <v>74.673332042821897</v>
      </c>
      <c r="L308">
        <v>0.5687747652736187</v>
      </c>
      <c r="M308">
        <v>-0.56772920607592403</v>
      </c>
      <c r="N308">
        <v>42.420211631188302</v>
      </c>
      <c r="O308">
        <v>42.4203168634535</v>
      </c>
      <c r="P308">
        <v>42.420213912189404</v>
      </c>
      <c r="Q308" t="s">
        <v>51</v>
      </c>
    </row>
    <row r="309" spans="1:17" x14ac:dyDescent="0.2">
      <c r="A309">
        <v>308</v>
      </c>
      <c r="B309">
        <v>780</v>
      </c>
      <c r="C309">
        <v>110</v>
      </c>
      <c r="D309">
        <v>0.49174429093671501</v>
      </c>
      <c r="E309">
        <v>110.892349700141</v>
      </c>
      <c r="F309">
        <v>1.4818380988401201</v>
      </c>
      <c r="G309">
        <v>-1851.5934436844843</v>
      </c>
      <c r="H309">
        <v>-1511.8307878041817</v>
      </c>
      <c r="I309">
        <v>322.61979563077</v>
      </c>
      <c r="J309">
        <v>163.69235250884299</v>
      </c>
      <c r="K309">
        <v>74.834322175235897</v>
      </c>
      <c r="L309">
        <v>0.54582223818861686</v>
      </c>
      <c r="M309">
        <v>-0.54475782659275684</v>
      </c>
      <c r="N309">
        <v>40.792983950809798</v>
      </c>
      <c r="O309">
        <v>40.7930913425349</v>
      </c>
      <c r="P309">
        <v>40.792986235604602</v>
      </c>
      <c r="Q309" t="s">
        <v>51</v>
      </c>
    </row>
    <row r="310" spans="1:17" x14ac:dyDescent="0.2">
      <c r="A310">
        <v>309</v>
      </c>
      <c r="B310">
        <v>778</v>
      </c>
      <c r="C310">
        <v>110</v>
      </c>
      <c r="D310">
        <v>0.49064405650953802</v>
      </c>
      <c r="E310">
        <v>110.892414055144</v>
      </c>
      <c r="F310">
        <v>1.4776402587308199</v>
      </c>
      <c r="G310">
        <v>-1850.950116479971</v>
      </c>
      <c r="H310">
        <v>-1512.8280426138133</v>
      </c>
      <c r="I310">
        <v>321.67298552586902</v>
      </c>
      <c r="J310">
        <v>163.57397543849601</v>
      </c>
      <c r="K310">
        <v>75.046963156236899</v>
      </c>
      <c r="L310">
        <v>0.51745727236331285</v>
      </c>
      <c r="M310">
        <v>-0.51637047308273309</v>
      </c>
      <c r="N310">
        <v>38.778960465995297</v>
      </c>
      <c r="O310">
        <v>38.779070448299699</v>
      </c>
      <c r="P310">
        <v>38.778962753973303</v>
      </c>
      <c r="Q310" t="s">
        <v>51</v>
      </c>
    </row>
    <row r="311" spans="1:17" x14ac:dyDescent="0.2">
      <c r="A311">
        <v>310</v>
      </c>
      <c r="B311">
        <v>776</v>
      </c>
      <c r="C311">
        <v>110</v>
      </c>
      <c r="D311">
        <v>0.48953962731735601</v>
      </c>
      <c r="E311">
        <v>110.905130651812</v>
      </c>
      <c r="F311">
        <v>1.4248649141938901</v>
      </c>
      <c r="G311">
        <v>-1850.522796936471</v>
      </c>
      <c r="H311">
        <v>-1519.9629867903036</v>
      </c>
      <c r="I311">
        <v>315.079089313765</v>
      </c>
      <c r="J311">
        <v>161.455010627419</v>
      </c>
      <c r="K311">
        <v>77.835540441078294</v>
      </c>
      <c r="L311">
        <v>0.24520985605498438</v>
      </c>
      <c r="M311">
        <v>-0.24394046130104144</v>
      </c>
      <c r="N311">
        <v>19.019657716032398</v>
      </c>
      <c r="O311">
        <v>19.019790669644198</v>
      </c>
      <c r="P311">
        <v>19.019660460704099</v>
      </c>
      <c r="Q311" t="s">
        <v>51</v>
      </c>
    </row>
    <row r="312" spans="1:17" x14ac:dyDescent="0.2">
      <c r="A312">
        <v>311</v>
      </c>
      <c r="B312">
        <v>774</v>
      </c>
      <c r="C312">
        <v>110</v>
      </c>
      <c r="D312">
        <v>0.48843097932483898</v>
      </c>
      <c r="E312">
        <v>110.905977701079</v>
      </c>
      <c r="F312">
        <v>1.41032576419117</v>
      </c>
      <c r="G312">
        <v>-1849.9092086917556</v>
      </c>
      <c r="H312">
        <v>-1522.5082206735215</v>
      </c>
      <c r="I312">
        <v>312.66457616071398</v>
      </c>
      <c r="J312">
        <v>160.787582762043</v>
      </c>
      <c r="K312">
        <v>78.638553245663999</v>
      </c>
      <c r="L312">
        <v>0.1590816324377328</v>
      </c>
      <c r="M312">
        <v>-0.15775299697858025</v>
      </c>
      <c r="N312">
        <v>12.439600432723299</v>
      </c>
      <c r="O312">
        <v>12.4397409857749</v>
      </c>
      <c r="P312">
        <v>12.439603249607901</v>
      </c>
      <c r="Q312" t="s">
        <v>51</v>
      </c>
    </row>
    <row r="313" spans="1:17" x14ac:dyDescent="0.2">
      <c r="A313">
        <v>312</v>
      </c>
      <c r="B313">
        <v>772</v>
      </c>
      <c r="C313">
        <v>110</v>
      </c>
      <c r="D313">
        <v>0.48731808831268297</v>
      </c>
      <c r="E313">
        <v>110.906107513175</v>
      </c>
      <c r="F313">
        <v>1.4056711453286701</v>
      </c>
      <c r="G313">
        <v>-1849.2873286724923</v>
      </c>
      <c r="H313">
        <v>-1523.8000333716054</v>
      </c>
      <c r="I313">
        <v>311.43199671008102</v>
      </c>
      <c r="J313">
        <v>160.550539353848</v>
      </c>
      <c r="K313">
        <v>78.899042554681799</v>
      </c>
      <c r="L313">
        <v>0.12210653576391858</v>
      </c>
      <c r="M313">
        <v>-0.12075098229337254</v>
      </c>
      <c r="N313">
        <v>9.5619348976038392</v>
      </c>
      <c r="O313">
        <v>9.5620787795595206</v>
      </c>
      <c r="P313">
        <v>9.5619376709830508</v>
      </c>
      <c r="Q313" t="s">
        <v>51</v>
      </c>
    </row>
    <row r="314" spans="1:17" x14ac:dyDescent="0.2">
      <c r="A314">
        <v>313</v>
      </c>
      <c r="B314">
        <v>770</v>
      </c>
      <c r="C314">
        <v>110</v>
      </c>
      <c r="D314">
        <v>0.486200929875856</v>
      </c>
      <c r="E314">
        <v>110.906072516668</v>
      </c>
      <c r="F314">
        <v>1.4042982138837801</v>
      </c>
      <c r="G314">
        <v>-1848.6647635424142</v>
      </c>
      <c r="H314">
        <v>-1524.6659099652711</v>
      </c>
      <c r="I314">
        <v>310.60229505507101</v>
      </c>
      <c r="J314">
        <v>160.463935889894</v>
      </c>
      <c r="K314">
        <v>78.976154366772505</v>
      </c>
      <c r="L314">
        <v>0.101525407741026</v>
      </c>
      <c r="M314">
        <v>-0.10015366141963887</v>
      </c>
      <c r="N314">
        <v>7.9448587434702196</v>
      </c>
      <c r="O314">
        <v>7.9450045010733001</v>
      </c>
      <c r="P314">
        <v>7.9448614234875601</v>
      </c>
      <c r="Q314" t="s">
        <v>51</v>
      </c>
    </row>
    <row r="315" spans="1:17" x14ac:dyDescent="0.2">
      <c r="A315">
        <v>314</v>
      </c>
      <c r="B315">
        <v>768</v>
      </c>
      <c r="C315">
        <v>110</v>
      </c>
      <c r="D315">
        <v>0.48507947942179502</v>
      </c>
      <c r="E315">
        <v>110.90598691419299</v>
      </c>
      <c r="F315">
        <v>1.40439099050225</v>
      </c>
      <c r="G315">
        <v>-1848.0428312413546</v>
      </c>
      <c r="H315">
        <v>-1525.340325866943</v>
      </c>
      <c r="I315">
        <v>309.953881746771</v>
      </c>
      <c r="J315">
        <v>160.447176651609</v>
      </c>
      <c r="K315">
        <v>78.970876105186306</v>
      </c>
      <c r="L315">
        <v>8.8255008658461517E-2</v>
      </c>
      <c r="M315">
        <v>-8.6871831404845903E-2</v>
      </c>
      <c r="N315">
        <v>6.8956021078683296</v>
      </c>
      <c r="O315">
        <v>6.8957490823227801</v>
      </c>
      <c r="P315">
        <v>6.8956046625612704</v>
      </c>
      <c r="Q315" t="s">
        <v>51</v>
      </c>
    </row>
    <row r="316" spans="1:17" x14ac:dyDescent="0.2">
      <c r="A316">
        <v>315</v>
      </c>
      <c r="B316">
        <v>766</v>
      </c>
      <c r="C316">
        <v>110</v>
      </c>
      <c r="D316">
        <v>0.483953712168602</v>
      </c>
      <c r="E316">
        <v>110.90588324002</v>
      </c>
      <c r="F316">
        <v>1.4052710268845701</v>
      </c>
      <c r="G316">
        <v>-1847.4217957762339</v>
      </c>
      <c r="H316">
        <v>-1525.9121642579712</v>
      </c>
      <c r="I316">
        <v>309.40253486710498</v>
      </c>
      <c r="J316">
        <v>160.46946571343099</v>
      </c>
      <c r="K316">
        <v>78.921347639176901</v>
      </c>
      <c r="L316">
        <v>7.8886140428188284E-2</v>
      </c>
      <c r="M316">
        <v>-7.7494061986925364E-2</v>
      </c>
      <c r="N316">
        <v>6.1512569755348903</v>
      </c>
      <c r="O316">
        <v>6.1514048081529697</v>
      </c>
      <c r="P316">
        <v>6.1512593792128598</v>
      </c>
      <c r="Q316" t="s">
        <v>51</v>
      </c>
    </row>
    <row r="317" spans="1:17" x14ac:dyDescent="0.2">
      <c r="A317">
        <v>316</v>
      </c>
      <c r="B317">
        <v>764</v>
      </c>
      <c r="C317">
        <v>110</v>
      </c>
      <c r="D317">
        <v>0.48282360314323097</v>
      </c>
      <c r="E317">
        <v>110.90577276308299</v>
      </c>
      <c r="F317">
        <v>1.40662869580344</v>
      </c>
      <c r="G317">
        <v>-1846.8016900593996</v>
      </c>
      <c r="H317">
        <v>-1526.4223592064654</v>
      </c>
      <c r="I317">
        <v>308.909385276016</v>
      </c>
      <c r="J317">
        <v>160.51657786431699</v>
      </c>
      <c r="K317">
        <v>78.845094724685694</v>
      </c>
      <c r="L317">
        <v>7.185782113973814E-2</v>
      </c>
      <c r="M317">
        <v>-7.0458351380356832E-2</v>
      </c>
      <c r="N317">
        <v>5.5906281864185301</v>
      </c>
      <c r="O317">
        <v>5.5907766561621797</v>
      </c>
      <c r="P317">
        <v>5.5906304158465101</v>
      </c>
      <c r="Q317" t="s">
        <v>51</v>
      </c>
    </row>
    <row r="318" spans="1:17" x14ac:dyDescent="0.2">
      <c r="A318">
        <v>317</v>
      </c>
      <c r="B318">
        <v>762</v>
      </c>
      <c r="C318">
        <v>110</v>
      </c>
      <c r="D318">
        <v>0.48168912717963802</v>
      </c>
      <c r="E318">
        <v>110.905659842413</v>
      </c>
      <c r="F318">
        <v>1.40830227763974</v>
      </c>
      <c r="G318">
        <v>-1846.182491184765</v>
      </c>
      <c r="H318">
        <v>-1526.8924323245587</v>
      </c>
      <c r="I318">
        <v>308.45396021274701</v>
      </c>
      <c r="J318">
        <v>160.58104858744201</v>
      </c>
      <c r="K318">
        <v>78.751317528425702</v>
      </c>
      <c r="L318">
        <v>6.635254414353646E-2</v>
      </c>
      <c r="M318">
        <v>-6.4946659856060573E-2</v>
      </c>
      <c r="N318">
        <v>5.1499452416845299</v>
      </c>
      <c r="O318">
        <v>5.1500941994713703</v>
      </c>
      <c r="P318">
        <v>5.1499472745295796</v>
      </c>
      <c r="Q318" t="s">
        <v>51</v>
      </c>
    </row>
    <row r="319" spans="1:17" x14ac:dyDescent="0.2">
      <c r="A319">
        <v>318</v>
      </c>
      <c r="B319">
        <v>760</v>
      </c>
      <c r="C319">
        <v>110</v>
      </c>
      <c r="D319">
        <v>0.480550258916906</v>
      </c>
      <c r="E319">
        <v>110.905546239251</v>
      </c>
      <c r="F319">
        <v>1.41019878827058</v>
      </c>
      <c r="G319">
        <v>-1845.5641652296511</v>
      </c>
      <c r="H319">
        <v>-1527.3348246494043</v>
      </c>
      <c r="I319">
        <v>308.02440573025802</v>
      </c>
      <c r="J319">
        <v>160.65859757658001</v>
      </c>
      <c r="K319">
        <v>78.645327993269802</v>
      </c>
      <c r="L319">
        <v>6.1899101930129388E-2</v>
      </c>
      <c r="M319">
        <v>-6.0487473248498562E-2</v>
      </c>
      <c r="N319">
        <v>4.7923208845835701</v>
      </c>
      <c r="O319">
        <v>4.7924702225751101</v>
      </c>
      <c r="P319">
        <v>4.7923226986766103</v>
      </c>
      <c r="Q319" t="s">
        <v>51</v>
      </c>
    </row>
    <row r="320" spans="1:17" x14ac:dyDescent="0.2">
      <c r="A320">
        <v>319</v>
      </c>
      <c r="B320">
        <v>806</v>
      </c>
      <c r="C320">
        <v>100</v>
      </c>
      <c r="D320">
        <v>0.51586943427697896</v>
      </c>
      <c r="E320">
        <v>110.891641867762</v>
      </c>
      <c r="F320">
        <v>1.4094546831177901</v>
      </c>
      <c r="G320">
        <v>-1860.8329145599041</v>
      </c>
      <c r="H320">
        <v>-1505.4834124485226</v>
      </c>
      <c r="I320">
        <v>329.29033571721499</v>
      </c>
      <c r="J320">
        <v>163.60420736214999</v>
      </c>
      <c r="K320">
        <v>78.676982804770802</v>
      </c>
      <c r="L320">
        <v>0.59627898036992821</v>
      </c>
      <c r="M320">
        <v>-0.59517878871862162</v>
      </c>
      <c r="N320">
        <v>46.859515093093499</v>
      </c>
      <c r="O320">
        <v>46.859643801084196</v>
      </c>
      <c r="P320">
        <v>46.859520383217202</v>
      </c>
      <c r="Q320" t="s">
        <v>51</v>
      </c>
    </row>
    <row r="321" spans="1:17" x14ac:dyDescent="0.2">
      <c r="A321">
        <v>320</v>
      </c>
      <c r="B321">
        <v>804</v>
      </c>
      <c r="C321">
        <v>100</v>
      </c>
      <c r="D321">
        <v>0.514840551455232</v>
      </c>
      <c r="E321">
        <v>110.891704589939</v>
      </c>
      <c r="F321">
        <v>1.4111098981230801</v>
      </c>
      <c r="G321">
        <v>-1860.1756698792356</v>
      </c>
      <c r="H321">
        <v>-1505.8564474695563</v>
      </c>
      <c r="I321">
        <v>328.94526474608699</v>
      </c>
      <c r="J321">
        <v>163.61165573444001</v>
      </c>
      <c r="K321">
        <v>78.584740095322601</v>
      </c>
      <c r="L321">
        <v>0.59547618424119775</v>
      </c>
      <c r="M321">
        <v>-0.59437298469203192</v>
      </c>
      <c r="N321">
        <v>46.741236850970402</v>
      </c>
      <c r="O321">
        <v>46.741365968684597</v>
      </c>
      <c r="P321">
        <v>46.741242323672701</v>
      </c>
      <c r="Q321" t="s">
        <v>51</v>
      </c>
    </row>
    <row r="322" spans="1:17" x14ac:dyDescent="0.2">
      <c r="A322">
        <v>321</v>
      </c>
      <c r="B322">
        <v>802</v>
      </c>
      <c r="C322">
        <v>100</v>
      </c>
      <c r="D322">
        <v>0.51380784076640695</v>
      </c>
      <c r="E322">
        <v>110.891757538353</v>
      </c>
      <c r="F322">
        <v>1.4118443035325099</v>
      </c>
      <c r="G322">
        <v>-1859.5190522229952</v>
      </c>
      <c r="H322">
        <v>-1506.3050305084296</v>
      </c>
      <c r="I322">
        <v>328.52923610459902</v>
      </c>
      <c r="J322">
        <v>163.57871600113501</v>
      </c>
      <c r="K322">
        <v>78.543899820182304</v>
      </c>
      <c r="L322">
        <v>0.59192543064803016</v>
      </c>
      <c r="M322">
        <v>-0.59081692451912127</v>
      </c>
      <c r="N322">
        <v>46.4376886385066</v>
      </c>
      <c r="O322">
        <v>46.437818513860499</v>
      </c>
      <c r="P322">
        <v>46.4376943081108</v>
      </c>
      <c r="Q322" t="s">
        <v>51</v>
      </c>
    </row>
    <row r="323" spans="1:17" x14ac:dyDescent="0.2">
      <c r="A323">
        <v>322</v>
      </c>
      <c r="B323">
        <v>800</v>
      </c>
      <c r="C323">
        <v>100</v>
      </c>
      <c r="D323">
        <v>0.51277128080883805</v>
      </c>
      <c r="E323">
        <v>110.891810657447</v>
      </c>
      <c r="F323">
        <v>1.41259745536971</v>
      </c>
      <c r="G323">
        <v>-1858.8632693578143</v>
      </c>
      <c r="H323">
        <v>-1506.7529098128509</v>
      </c>
      <c r="I323">
        <v>328.11309043396199</v>
      </c>
      <c r="J323">
        <v>163.548015161004</v>
      </c>
      <c r="K323">
        <v>78.502060325759103</v>
      </c>
      <c r="L323">
        <v>0.5883784460599748</v>
      </c>
      <c r="M323">
        <v>-0.58726460795566293</v>
      </c>
      <c r="N323">
        <v>46.134136768819602</v>
      </c>
      <c r="O323">
        <v>46.134267404327503</v>
      </c>
      <c r="P323">
        <v>46.134142634308603</v>
      </c>
      <c r="Q323" t="s">
        <v>51</v>
      </c>
    </row>
    <row r="324" spans="1:17" x14ac:dyDescent="0.2">
      <c r="A324">
        <v>323</v>
      </c>
      <c r="B324">
        <v>798</v>
      </c>
      <c r="C324">
        <v>100</v>
      </c>
      <c r="D324">
        <v>0.51173085002101004</v>
      </c>
      <c r="E324">
        <v>110.891863961745</v>
      </c>
      <c r="F324">
        <v>1.4133707350954601</v>
      </c>
      <c r="G324">
        <v>-1858.208321679158</v>
      </c>
      <c r="H324">
        <v>-1507.200004670241</v>
      </c>
      <c r="I324">
        <v>327.69690278460303</v>
      </c>
      <c r="J324">
        <v>163.519607208053</v>
      </c>
      <c r="K324">
        <v>78.459148196708099</v>
      </c>
      <c r="L324">
        <v>0.58483855211929425</v>
      </c>
      <c r="M324">
        <v>-0.58371935958838106</v>
      </c>
      <c r="N324">
        <v>45.8308092791397</v>
      </c>
      <c r="O324">
        <v>45.830940676707598</v>
      </c>
      <c r="P324">
        <v>45.830815339243401</v>
      </c>
      <c r="Q324" t="s">
        <v>51</v>
      </c>
    </row>
    <row r="325" spans="1:17" x14ac:dyDescent="0.2">
      <c r="A325">
        <v>324</v>
      </c>
      <c r="B325">
        <v>796</v>
      </c>
      <c r="C325">
        <v>100</v>
      </c>
      <c r="D325">
        <v>0.51068652668007097</v>
      </c>
      <c r="E325">
        <v>110.891917466148</v>
      </c>
      <c r="F325">
        <v>1.41416546987467</v>
      </c>
      <c r="G325">
        <v>-1857.5542094414236</v>
      </c>
      <c r="H325">
        <v>-1507.6462380196783</v>
      </c>
      <c r="I325">
        <v>327.28074522153202</v>
      </c>
      <c r="J325">
        <v>163.49354507406099</v>
      </c>
      <c r="K325">
        <v>78.415093444457696</v>
      </c>
      <c r="L325">
        <v>0.58130894721708604</v>
      </c>
      <c r="M325">
        <v>-0.58018438067108191</v>
      </c>
      <c r="N325">
        <v>45.527926961149802</v>
      </c>
      <c r="O325">
        <v>45.528059122076101</v>
      </c>
      <c r="P325">
        <v>45.527933214330403</v>
      </c>
      <c r="Q325" t="s">
        <v>51</v>
      </c>
    </row>
    <row r="326" spans="1:17" x14ac:dyDescent="0.2">
      <c r="A326">
        <v>325</v>
      </c>
      <c r="B326">
        <v>794</v>
      </c>
      <c r="C326">
        <v>100</v>
      </c>
      <c r="D326">
        <v>0.50963828890034402</v>
      </c>
      <c r="E326">
        <v>110.891971185765</v>
      </c>
      <c r="F326">
        <v>1.41498292356219</v>
      </c>
      <c r="G326">
        <v>-1856.9009327618755</v>
      </c>
      <c r="H326">
        <v>-1508.0915371518954</v>
      </c>
      <c r="I326">
        <v>326.86468614421199</v>
      </c>
      <c r="J326">
        <v>163.46988059646699</v>
      </c>
      <c r="K326">
        <v>78.369830009395002</v>
      </c>
      <c r="L326">
        <v>0.5777926771993751</v>
      </c>
      <c r="M326">
        <v>-0.57666271980572192</v>
      </c>
      <c r="N326">
        <v>45.225701278063497</v>
      </c>
      <c r="O326">
        <v>45.225834203043298</v>
      </c>
      <c r="P326">
        <v>45.225707722499997</v>
      </c>
      <c r="Q326" t="s">
        <v>51</v>
      </c>
    </row>
    <row r="327" spans="1:17" x14ac:dyDescent="0.2">
      <c r="A327">
        <v>326</v>
      </c>
      <c r="B327">
        <v>792</v>
      </c>
      <c r="C327">
        <v>100</v>
      </c>
      <c r="D327">
        <v>0.50858611463174297</v>
      </c>
      <c r="E327">
        <v>110.892025135807</v>
      </c>
      <c r="F327">
        <v>1.41582428920631</v>
      </c>
      <c r="G327">
        <v>-1856.2484916267481</v>
      </c>
      <c r="H327">
        <v>-1508.5358343074129</v>
      </c>
      <c r="I327">
        <v>326.44878969643798</v>
      </c>
      <c r="J327">
        <v>163.448664539502</v>
      </c>
      <c r="K327">
        <v>78.323296175382694</v>
      </c>
      <c r="L327">
        <v>0.57429260976887231</v>
      </c>
      <c r="M327">
        <v>-0.57315724732233708</v>
      </c>
      <c r="N327">
        <v>44.924332516992401</v>
      </c>
      <c r="O327">
        <v>44.924466206124499</v>
      </c>
      <c r="P327">
        <v>44.924339150565302</v>
      </c>
      <c r="Q327" t="s">
        <v>51</v>
      </c>
    </row>
    <row r="328" spans="1:17" x14ac:dyDescent="0.2">
      <c r="A328">
        <v>327</v>
      </c>
      <c r="B328">
        <v>790</v>
      </c>
      <c r="C328">
        <v>100</v>
      </c>
      <c r="D328">
        <v>0.507529981658283</v>
      </c>
      <c r="E328">
        <v>110.892090207929</v>
      </c>
      <c r="F328">
        <v>1.41488793818548</v>
      </c>
      <c r="G328">
        <v>-1855.5971425688101</v>
      </c>
      <c r="H328">
        <v>-1509.1618948283713</v>
      </c>
      <c r="I328">
        <v>325.86141393620898</v>
      </c>
      <c r="J328">
        <v>163.38712918108101</v>
      </c>
      <c r="K328">
        <v>78.375175316104603</v>
      </c>
      <c r="L328">
        <v>0.56310716467007715</v>
      </c>
      <c r="M328">
        <v>-0.56196065471185419</v>
      </c>
      <c r="N328">
        <v>44.076761406724998</v>
      </c>
      <c r="O328">
        <v>44.076896699439096</v>
      </c>
      <c r="P328">
        <v>44.076768271679498</v>
      </c>
      <c r="Q328" t="s">
        <v>51</v>
      </c>
    </row>
    <row r="329" spans="1:17" x14ac:dyDescent="0.2">
      <c r="A329">
        <v>328</v>
      </c>
      <c r="B329">
        <v>788</v>
      </c>
      <c r="C329">
        <v>100</v>
      </c>
      <c r="D329">
        <v>0.50646986759647905</v>
      </c>
      <c r="E329">
        <v>110.892166557873</v>
      </c>
      <c r="F329">
        <v>1.4118279968571199</v>
      </c>
      <c r="G329">
        <v>-1854.9474505835251</v>
      </c>
      <c r="H329">
        <v>-1510.0073180601848</v>
      </c>
      <c r="I329">
        <v>325.06669444432299</v>
      </c>
      <c r="J329">
        <v>163.27726592689999</v>
      </c>
      <c r="K329">
        <v>78.545096714848498</v>
      </c>
      <c r="L329">
        <v>0.54261867066480629</v>
      </c>
      <c r="M329">
        <v>-0.54145407783486588</v>
      </c>
      <c r="N329">
        <v>42.562033152130397</v>
      </c>
      <c r="O329">
        <v>42.562171072006201</v>
      </c>
      <c r="P329">
        <v>42.562040303502002</v>
      </c>
      <c r="Q329" t="s">
        <v>51</v>
      </c>
    </row>
    <row r="330" spans="1:17" x14ac:dyDescent="0.2">
      <c r="A330">
        <v>329</v>
      </c>
      <c r="B330">
        <v>786</v>
      </c>
      <c r="C330">
        <v>100</v>
      </c>
      <c r="D330">
        <v>0.50540574989378495</v>
      </c>
      <c r="E330">
        <v>110.892239956615</v>
      </c>
      <c r="F330">
        <v>1.4086641758994201</v>
      </c>
      <c r="G330">
        <v>-1854.2993134500166</v>
      </c>
      <c r="H330">
        <v>-1510.8683606934819</v>
      </c>
      <c r="I330">
        <v>324.25569700995499</v>
      </c>
      <c r="J330">
        <v>163.165807197699</v>
      </c>
      <c r="K330">
        <v>78.721558944885899</v>
      </c>
      <c r="L330">
        <v>0.52136607722362105</v>
      </c>
      <c r="M330">
        <v>-0.52018285025960842</v>
      </c>
      <c r="N330">
        <v>40.983564830042098</v>
      </c>
      <c r="O330">
        <v>40.983705469145399</v>
      </c>
      <c r="P330">
        <v>40.983572274301302</v>
      </c>
      <c r="Q330" t="s">
        <v>51</v>
      </c>
    </row>
    <row r="331" spans="1:17" x14ac:dyDescent="0.2">
      <c r="A331">
        <v>330</v>
      </c>
      <c r="B331">
        <v>784</v>
      </c>
      <c r="C331">
        <v>100</v>
      </c>
      <c r="D331">
        <v>0.50433760582698905</v>
      </c>
      <c r="E331">
        <v>110.89230837385701</v>
      </c>
      <c r="F331">
        <v>1.40519074601265</v>
      </c>
      <c r="G331">
        <v>-1853.6527480088589</v>
      </c>
      <c r="H331">
        <v>-1511.766469499112</v>
      </c>
      <c r="I331">
        <v>323.40806080226901</v>
      </c>
      <c r="J331">
        <v>163.04477308080499</v>
      </c>
      <c r="K331">
        <v>78.916196031409896</v>
      </c>
      <c r="L331">
        <v>0.49837194436056315</v>
      </c>
      <c r="M331">
        <v>-0.49716887160621187</v>
      </c>
      <c r="N331">
        <v>39.269165434493999</v>
      </c>
      <c r="O331">
        <v>39.269308984551401</v>
      </c>
      <c r="P331">
        <v>39.269173183495397</v>
      </c>
      <c r="Q331" t="s">
        <v>51</v>
      </c>
    </row>
    <row r="332" spans="1:17" x14ac:dyDescent="0.2">
      <c r="A332">
        <v>331</v>
      </c>
      <c r="B332">
        <v>782</v>
      </c>
      <c r="C332">
        <v>100</v>
      </c>
      <c r="D332">
        <v>0.50326541250059598</v>
      </c>
      <c r="E332">
        <v>110.903105751524</v>
      </c>
      <c r="F332">
        <v>1.37003578892292</v>
      </c>
      <c r="G332">
        <v>-1853.185791010297</v>
      </c>
      <c r="H332">
        <v>-1516.4873238520895</v>
      </c>
      <c r="I332">
        <v>319.10495694520102</v>
      </c>
      <c r="J332">
        <v>161.545865616301</v>
      </c>
      <c r="K332">
        <v>80.9490574247789</v>
      </c>
      <c r="L332">
        <v>0.32845882152640682</v>
      </c>
      <c r="M332">
        <v>-0.32713518278407538</v>
      </c>
      <c r="N332">
        <v>26.5200191618435</v>
      </c>
      <c r="O332">
        <v>26.520181166349499</v>
      </c>
      <c r="P332">
        <v>26.520028096947001</v>
      </c>
      <c r="Q332" t="s">
        <v>51</v>
      </c>
    </row>
    <row r="333" spans="1:17" x14ac:dyDescent="0.2">
      <c r="A333">
        <v>332</v>
      </c>
      <c r="B333">
        <v>780</v>
      </c>
      <c r="C333">
        <v>100</v>
      </c>
      <c r="D333">
        <v>0.50218914684517901</v>
      </c>
      <c r="E333">
        <v>110.90587291643</v>
      </c>
      <c r="F333">
        <v>1.34254323239023</v>
      </c>
      <c r="G333">
        <v>-1852.5970218031093</v>
      </c>
      <c r="H333">
        <v>-1520.5066248677379</v>
      </c>
      <c r="I333">
        <v>315.33590896513402</v>
      </c>
      <c r="J333">
        <v>160.21686543704999</v>
      </c>
      <c r="K333">
        <v>82.608790719518097</v>
      </c>
      <c r="L333">
        <v>0.18907113859622313</v>
      </c>
      <c r="M333">
        <v>-0.18764878248262221</v>
      </c>
      <c r="N333">
        <v>15.543726722298301</v>
      </c>
      <c r="O333">
        <v>15.543904461057499</v>
      </c>
      <c r="P333">
        <v>15.5437367145687</v>
      </c>
      <c r="Q333" t="s">
        <v>51</v>
      </c>
    </row>
    <row r="334" spans="1:17" x14ac:dyDescent="0.2">
      <c r="A334">
        <v>333</v>
      </c>
      <c r="B334">
        <v>778</v>
      </c>
      <c r="C334">
        <v>100</v>
      </c>
      <c r="D334">
        <v>0.501108785615755</v>
      </c>
      <c r="E334">
        <v>110.906315755913</v>
      </c>
      <c r="F334">
        <v>1.3335943867756199</v>
      </c>
      <c r="G334">
        <v>-1851.9754583173776</v>
      </c>
      <c r="H334">
        <v>-1522.3030189016786</v>
      </c>
      <c r="I334">
        <v>313.63577866367399</v>
      </c>
      <c r="J334">
        <v>159.730189361524</v>
      </c>
      <c r="K334">
        <v>83.163454237433797</v>
      </c>
      <c r="L334">
        <v>0.13493897327098739</v>
      </c>
      <c r="M334">
        <v>-0.13347646569017443</v>
      </c>
      <c r="N334">
        <v>11.1439690956894</v>
      </c>
      <c r="O334">
        <v>11.1441532969931</v>
      </c>
      <c r="P334">
        <v>11.1439796254115</v>
      </c>
      <c r="Q334" t="s">
        <v>51</v>
      </c>
    </row>
    <row r="335" spans="1:17" x14ac:dyDescent="0.2">
      <c r="A335">
        <v>334</v>
      </c>
      <c r="B335">
        <v>776</v>
      </c>
      <c r="C335">
        <v>100</v>
      </c>
      <c r="D335">
        <v>0.50002430539008103</v>
      </c>
      <c r="E335">
        <v>110.906374886316</v>
      </c>
      <c r="F335">
        <v>1.3304902289737199</v>
      </c>
      <c r="G335">
        <v>-1851.3502281307815</v>
      </c>
      <c r="H335">
        <v>-1523.3672538423375</v>
      </c>
      <c r="I335">
        <v>312.62343891958398</v>
      </c>
      <c r="J335">
        <v>159.53072710702</v>
      </c>
      <c r="K335">
        <v>83.357526775573604</v>
      </c>
      <c r="L335">
        <v>0.1079725021484999</v>
      </c>
      <c r="M335">
        <v>-0.10648838370577787</v>
      </c>
      <c r="N335">
        <v>8.92079717993815</v>
      </c>
      <c r="O335">
        <v>8.9209847975919203</v>
      </c>
      <c r="P335">
        <v>8.9208080704158004</v>
      </c>
      <c r="Q335" t="s">
        <v>51</v>
      </c>
    </row>
    <row r="336" spans="1:17" x14ac:dyDescent="0.2">
      <c r="A336">
        <v>335</v>
      </c>
      <c r="B336">
        <v>774</v>
      </c>
      <c r="C336">
        <v>100</v>
      </c>
      <c r="D336">
        <v>0.49893568256697302</v>
      </c>
      <c r="E336">
        <v>110.906326402606</v>
      </c>
      <c r="F336">
        <v>1.3296935953107201</v>
      </c>
      <c r="G336">
        <v>-1850.7249548234577</v>
      </c>
      <c r="H336">
        <v>-1524.1378629161604</v>
      </c>
      <c r="I336">
        <v>311.88755892205398</v>
      </c>
      <c r="J336">
        <v>159.44934400508799</v>
      </c>
      <c r="K336">
        <v>83.407430699619098</v>
      </c>
      <c r="L336">
        <v>9.1750494846043265E-2</v>
      </c>
      <c r="M336">
        <v>-9.0252057402567434E-2</v>
      </c>
      <c r="N336">
        <v>7.5721709064160798</v>
      </c>
      <c r="O336">
        <v>7.5723607204840402</v>
      </c>
      <c r="P336">
        <v>7.5721820817602996</v>
      </c>
      <c r="Q336" t="s">
        <v>51</v>
      </c>
    </row>
    <row r="337" spans="1:17" x14ac:dyDescent="0.2">
      <c r="A337">
        <v>336</v>
      </c>
      <c r="B337">
        <v>772</v>
      </c>
      <c r="C337">
        <v>100</v>
      </c>
      <c r="D337">
        <v>0.49784289336458698</v>
      </c>
      <c r="E337">
        <v>110.90624066846399</v>
      </c>
      <c r="F337">
        <v>1.3300350093350499</v>
      </c>
      <c r="G337">
        <v>-1850.1003952679059</v>
      </c>
      <c r="H337">
        <v>-1524.7632056742843</v>
      </c>
      <c r="I337">
        <v>311.288518123698</v>
      </c>
      <c r="J337">
        <v>159.42819524374801</v>
      </c>
      <c r="K337">
        <v>83.385955926010794</v>
      </c>
      <c r="L337">
        <v>8.080877819883861E-2</v>
      </c>
      <c r="M337">
        <v>-7.9299583242886246E-2</v>
      </c>
      <c r="N337">
        <v>6.6570943459193499</v>
      </c>
      <c r="O337">
        <v>6.6572857520346398</v>
      </c>
      <c r="P337">
        <v>6.6571057638582198</v>
      </c>
      <c r="Q337" t="s">
        <v>51</v>
      </c>
    </row>
    <row r="338" spans="1:17" x14ac:dyDescent="0.2">
      <c r="A338">
        <v>337</v>
      </c>
      <c r="B338">
        <v>770</v>
      </c>
      <c r="C338">
        <v>100</v>
      </c>
      <c r="D338">
        <v>0.49674591381872402</v>
      </c>
      <c r="E338">
        <v>110.906140488782</v>
      </c>
      <c r="F338">
        <v>1.3310265452979699</v>
      </c>
      <c r="G338">
        <v>-1849.4767145162295</v>
      </c>
      <c r="H338">
        <v>-1525.3059737135654</v>
      </c>
      <c r="I338">
        <v>310.76717135587103</v>
      </c>
      <c r="J338">
        <v>159.442701942193</v>
      </c>
      <c r="K338">
        <v>83.323763061354796</v>
      </c>
      <c r="L338">
        <v>7.2858253244349705E-2</v>
      </c>
      <c r="M338">
        <v>-7.1340303125570312E-2</v>
      </c>
      <c r="N338">
        <v>5.9890262506775001</v>
      </c>
      <c r="O338">
        <v>5.9892189038446402</v>
      </c>
      <c r="P338">
        <v>5.9890378827656301</v>
      </c>
      <c r="Q338" t="s">
        <v>51</v>
      </c>
    </row>
    <row r="339" spans="1:17" x14ac:dyDescent="0.2">
      <c r="A339">
        <v>338</v>
      </c>
      <c r="B339">
        <v>768</v>
      </c>
      <c r="C339">
        <v>100</v>
      </c>
      <c r="D339">
        <v>0.49564471978101199</v>
      </c>
      <c r="E339">
        <v>110.906034471376</v>
      </c>
      <c r="F339">
        <v>1.3324293584190501</v>
      </c>
      <c r="G339">
        <v>-1848.8539299362426</v>
      </c>
      <c r="H339">
        <v>-1525.7971186508937</v>
      </c>
      <c r="I339">
        <v>310.29425863831398</v>
      </c>
      <c r="J339">
        <v>159.48071109306201</v>
      </c>
      <c r="K339">
        <v>83.235958267211601</v>
      </c>
      <c r="L339">
        <v>6.6774861355607007E-2</v>
      </c>
      <c r="M339">
        <v>-6.5249394213770087E-2</v>
      </c>
      <c r="N339">
        <v>5.4757881958140997</v>
      </c>
      <c r="O339">
        <v>5.4759818786835703</v>
      </c>
      <c r="P339">
        <v>5.4758000201041996</v>
      </c>
      <c r="Q339" t="s">
        <v>51</v>
      </c>
    </row>
    <row r="340" spans="1:17" x14ac:dyDescent="0.2">
      <c r="A340">
        <v>339</v>
      </c>
      <c r="B340">
        <v>766</v>
      </c>
      <c r="C340">
        <v>100</v>
      </c>
      <c r="D340">
        <v>0.49453928691719501</v>
      </c>
      <c r="E340">
        <v>110.90592616667099</v>
      </c>
      <c r="F340">
        <v>1.33411260065523</v>
      </c>
      <c r="G340">
        <v>-1848.2320201696718</v>
      </c>
      <c r="H340">
        <v>-1526.2537083382272</v>
      </c>
      <c r="I340">
        <v>309.85361640329</v>
      </c>
      <c r="J340">
        <v>159.535540175107</v>
      </c>
      <c r="K340">
        <v>83.130858753751895</v>
      </c>
      <c r="L340">
        <v>6.1941106117830158E-2</v>
      </c>
      <c r="M340">
        <v>-6.0408940941548979E-2</v>
      </c>
      <c r="N340">
        <v>5.0665127270893597</v>
      </c>
      <c r="O340">
        <v>5.0667072924029499</v>
      </c>
      <c r="P340">
        <v>5.0665247249204004</v>
      </c>
      <c r="Q340" t="s">
        <v>51</v>
      </c>
    </row>
    <row r="341" spans="1:17" x14ac:dyDescent="0.2">
      <c r="A341">
        <v>340</v>
      </c>
      <c r="B341">
        <v>764</v>
      </c>
      <c r="C341">
        <v>100</v>
      </c>
      <c r="D341">
        <v>0.49342959070530001</v>
      </c>
      <c r="E341">
        <v>110.905817091019</v>
      </c>
      <c r="F341">
        <v>1.3359984123395301</v>
      </c>
      <c r="G341">
        <v>-1847.6109558323519</v>
      </c>
      <c r="H341">
        <v>-1526.6859557000021</v>
      </c>
      <c r="I341">
        <v>309.43555719003803</v>
      </c>
      <c r="J341">
        <v>159.60322370107701</v>
      </c>
      <c r="K341">
        <v>83.013434796532906</v>
      </c>
      <c r="L341">
        <v>5.7988567915220349E-2</v>
      </c>
      <c r="M341">
        <v>-5.6450273977589026E-2</v>
      </c>
      <c r="N341">
        <v>4.7307447670996297</v>
      </c>
      <c r="O341">
        <v>4.7309401092913497</v>
      </c>
      <c r="P341">
        <v>4.7307569215016603</v>
      </c>
      <c r="Q34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C5ADA-41BB-47D5-A595-64B7B9742610}">
  <sheetPr codeName="Sheet4"/>
  <dimension ref="A1:AI341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760</v>
      </c>
      <c r="C2">
        <v>300</v>
      </c>
      <c r="D2">
        <v>0.27825630353772701</v>
      </c>
      <c r="E2">
        <v>107.011502902817</v>
      </c>
      <c r="F2">
        <v>2.1995173103582699</v>
      </c>
      <c r="G2">
        <v>-1749.5456165913092</v>
      </c>
      <c r="H2">
        <v>-1457.3079704154368</v>
      </c>
      <c r="I2">
        <v>282.86081031396401</v>
      </c>
      <c r="J2">
        <v>145.272643137372</v>
      </c>
      <c r="K2">
        <v>48.6522667491015</v>
      </c>
      <c r="L2">
        <v>1.6211725507794993E-4</v>
      </c>
      <c r="M2">
        <v>1.7703220364029727E-5</v>
      </c>
      <c r="N2" s="1">
        <v>3.9805497978411702E-6</v>
      </c>
      <c r="O2" s="1">
        <v>1.0827048147571E-7</v>
      </c>
      <c r="P2" s="1">
        <v>-5.4132989972609204E-7</v>
      </c>
      <c r="Q2">
        <v>71.739951236587601</v>
      </c>
      <c r="R2">
        <v>8.9709982007432396E-2</v>
      </c>
      <c r="S2">
        <v>12.1108475710038</v>
      </c>
      <c r="T2">
        <v>0.225201904378939</v>
      </c>
      <c r="V2">
        <v>0.57094696408272005</v>
      </c>
      <c r="W2">
        <v>2.5230932439590199E-2</v>
      </c>
      <c r="X2">
        <v>0.112137477509291</v>
      </c>
      <c r="AA2">
        <v>0.73823839360282595</v>
      </c>
      <c r="AB2">
        <v>3.3174003763164901</v>
      </c>
      <c r="AC2">
        <v>4.3827064126547199</v>
      </c>
      <c r="AD2">
        <v>3.7379159169762699E-2</v>
      </c>
      <c r="AE2">
        <v>6.6502495902466698</v>
      </c>
    </row>
    <row r="3" spans="1:35" x14ac:dyDescent="0.2">
      <c r="A3">
        <v>2</v>
      </c>
      <c r="B3">
        <v>758</v>
      </c>
      <c r="C3">
        <v>300</v>
      </c>
      <c r="D3">
        <v>0.27672065169955901</v>
      </c>
      <c r="E3">
        <v>106.82472319938201</v>
      </c>
      <c r="F3">
        <v>2.20035618194377</v>
      </c>
      <c r="G3">
        <v>-1745.8744349777696</v>
      </c>
      <c r="H3">
        <v>-1454.9814996055118</v>
      </c>
      <c r="I3">
        <v>282.10535360738697</v>
      </c>
      <c r="J3">
        <v>145.00913772616201</v>
      </c>
      <c r="K3">
        <v>48.548832264517301</v>
      </c>
      <c r="L3">
        <v>1.6206949597758361E-4</v>
      </c>
      <c r="M3">
        <v>1.7686109011305343E-5</v>
      </c>
      <c r="N3" s="1">
        <v>3.9835240364743601E-6</v>
      </c>
      <c r="O3" s="1">
        <v>1.0791403297259E-7</v>
      </c>
      <c r="P3" s="1">
        <v>-5.4044219460055304E-7</v>
      </c>
      <c r="Q3">
        <v>71.701250118851604</v>
      </c>
      <c r="R3">
        <v>8.98668371186154E-2</v>
      </c>
      <c r="S3">
        <v>12.132023011014001</v>
      </c>
      <c r="T3">
        <v>0.226366017206589</v>
      </c>
      <c r="V3">
        <v>0.57125207378908505</v>
      </c>
      <c r="W3">
        <v>2.5275047939610201E-2</v>
      </c>
      <c r="X3">
        <v>0.11233354639827101</v>
      </c>
      <c r="AA3">
        <v>0.73952918045526705</v>
      </c>
      <c r="AB3">
        <v>3.3232007476154299</v>
      </c>
      <c r="AC3">
        <v>4.3903694383989302</v>
      </c>
      <c r="AD3">
        <v>3.7444515466088103E-2</v>
      </c>
      <c r="AE3">
        <v>6.6510894657464901</v>
      </c>
    </row>
    <row r="4" spans="1:35" x14ac:dyDescent="0.2">
      <c r="A4">
        <v>3</v>
      </c>
      <c r="B4">
        <v>756</v>
      </c>
      <c r="C4">
        <v>300</v>
      </c>
      <c r="D4">
        <v>0.27517903123937498</v>
      </c>
      <c r="E4">
        <v>106.359461353847</v>
      </c>
      <c r="F4">
        <v>2.2013220792660899</v>
      </c>
      <c r="G4">
        <v>-1737.5898241718667</v>
      </c>
      <c r="H4">
        <v>-1448.7476945435544</v>
      </c>
      <c r="I4">
        <v>280.66086540184801</v>
      </c>
      <c r="J4">
        <v>144.39812658854501</v>
      </c>
      <c r="K4">
        <v>48.316174337063302</v>
      </c>
      <c r="L4">
        <v>1.6215623297636744E-4</v>
      </c>
      <c r="M4">
        <v>1.7670914001726364E-5</v>
      </c>
      <c r="N4" s="1">
        <v>3.9782191933164802E-6</v>
      </c>
      <c r="O4" s="1">
        <v>1.07332377733455E-7</v>
      </c>
      <c r="P4" s="1">
        <v>-5.3883478784750995E-7</v>
      </c>
      <c r="Q4">
        <v>71.602006841354793</v>
      </c>
      <c r="R4">
        <v>9.0259953160742395E-2</v>
      </c>
      <c r="S4">
        <v>12.1850936767019</v>
      </c>
      <c r="T4">
        <v>0.228227083086496</v>
      </c>
      <c r="V4">
        <v>0.57296738009219095</v>
      </c>
      <c r="W4">
        <v>2.5385611826458099E-2</v>
      </c>
      <c r="X4">
        <v>0.112824941450932</v>
      </c>
      <c r="AA4">
        <v>0.74276419788526704</v>
      </c>
      <c r="AB4">
        <v>3.3377378512565601</v>
      </c>
      <c r="AC4">
        <v>4.4095747950402799</v>
      </c>
      <c r="AD4">
        <v>3.7608313816973098E-2</v>
      </c>
      <c r="AE4">
        <v>6.6555493543273601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105.898918364568</v>
      </c>
      <c r="F5">
        <v>2.2022876347735401</v>
      </c>
      <c r="G5">
        <v>-1729.3889032412519</v>
      </c>
      <c r="H5">
        <v>-1442.5775449409161</v>
      </c>
      <c r="I5">
        <v>279.23025682746902</v>
      </c>
      <c r="J5">
        <v>143.793341004013</v>
      </c>
      <c r="K5">
        <v>48.085870661239902</v>
      </c>
      <c r="L5">
        <v>1.6224323381732882E-4</v>
      </c>
      <c r="M5">
        <v>1.7655714413638493E-5</v>
      </c>
      <c r="N5" s="1">
        <v>3.9730305424215903E-6</v>
      </c>
      <c r="O5" s="1">
        <v>1.06757023150097E-7</v>
      </c>
      <c r="P5" s="1">
        <v>-5.3724867072765505E-7</v>
      </c>
      <c r="Q5">
        <v>71.502849425167895</v>
      </c>
      <c r="R5">
        <v>9.0652483974869899E-2</v>
      </c>
      <c r="S5">
        <v>12.2380853366097</v>
      </c>
      <c r="T5">
        <v>0.230101155768067</v>
      </c>
      <c r="V5">
        <v>0.57466593620039697</v>
      </c>
      <c r="W5">
        <v>2.5496011117931199E-2</v>
      </c>
      <c r="X5">
        <v>0.113315604968593</v>
      </c>
      <c r="AA5">
        <v>0.74599439937652001</v>
      </c>
      <c r="AB5">
        <v>3.3522533136539701</v>
      </c>
      <c r="AC5">
        <v>4.4287515608553996</v>
      </c>
      <c r="AD5">
        <v>3.7771868322858497E-2</v>
      </c>
      <c r="AE5">
        <v>6.6600629039836097</v>
      </c>
    </row>
    <row r="6" spans="1:35" x14ac:dyDescent="0.2">
      <c r="A6">
        <v>5</v>
      </c>
      <c r="B6">
        <v>752</v>
      </c>
      <c r="C6">
        <v>300</v>
      </c>
      <c r="D6">
        <v>0.27207774472028401</v>
      </c>
      <c r="E6">
        <v>105.443015460865</v>
      </c>
      <c r="F6">
        <v>2.20325285025217</v>
      </c>
      <c r="G6">
        <v>-1721.270287393296</v>
      </c>
      <c r="H6">
        <v>-1436.4699843175581</v>
      </c>
      <c r="I6">
        <v>277.81329861555702</v>
      </c>
      <c r="J6">
        <v>143.19467831032699</v>
      </c>
      <c r="K6">
        <v>47.857882243881697</v>
      </c>
      <c r="L6">
        <v>1.6233050437320555E-4</v>
      </c>
      <c r="M6">
        <v>1.7640510292885279E-5</v>
      </c>
      <c r="N6" s="1">
        <v>3.96795663158084E-6</v>
      </c>
      <c r="O6" s="1">
        <v>1.06187869915276E-7</v>
      </c>
      <c r="P6" s="1">
        <v>-5.3568353805156304E-7</v>
      </c>
      <c r="Q6">
        <v>71.403775579796502</v>
      </c>
      <c r="R6">
        <v>9.1044437206588696E-2</v>
      </c>
      <c r="S6">
        <v>12.290999022892199</v>
      </c>
      <c r="T6">
        <v>0.23198839405177299</v>
      </c>
      <c r="V6">
        <v>0.57634766515267999</v>
      </c>
      <c r="W6">
        <v>2.5606247964352E-2</v>
      </c>
      <c r="X6">
        <v>0.113805546508243</v>
      </c>
      <c r="AA6">
        <v>0.74921984784587004</v>
      </c>
      <c r="AB6">
        <v>3.3667474175352199</v>
      </c>
      <c r="AC6">
        <v>4.4479001093633004</v>
      </c>
      <c r="AD6">
        <v>3.7935182169407201E-2</v>
      </c>
      <c r="AE6">
        <v>6.6646305495137703</v>
      </c>
    </row>
    <row r="7" spans="1:35" x14ac:dyDescent="0.2">
      <c r="A7">
        <v>6</v>
      </c>
      <c r="B7">
        <v>750</v>
      </c>
      <c r="C7">
        <v>300</v>
      </c>
      <c r="D7">
        <v>0.270518008112205</v>
      </c>
      <c r="E7">
        <v>104.99167558606</v>
      </c>
      <c r="F7">
        <v>2.2042177272319798</v>
      </c>
      <c r="G7">
        <v>-1713.2326220369323</v>
      </c>
      <c r="H7">
        <v>-1430.4239693762738</v>
      </c>
      <c r="I7">
        <v>276.40976656468501</v>
      </c>
      <c r="J7">
        <v>142.60203810559</v>
      </c>
      <c r="K7">
        <v>47.632170946155298</v>
      </c>
      <c r="L7">
        <v>1.6241805069966593E-4</v>
      </c>
      <c r="M7">
        <v>1.7625301695746834E-5</v>
      </c>
      <c r="N7" s="1">
        <v>3.9629960514348703E-6</v>
      </c>
      <c r="O7" s="1">
        <v>1.05624821044236E-7</v>
      </c>
      <c r="P7" s="1">
        <v>-5.3413909254765998E-7</v>
      </c>
      <c r="Q7">
        <v>71.304783007753002</v>
      </c>
      <c r="R7">
        <v>9.1435820472559298E-2</v>
      </c>
      <c r="S7">
        <v>12.343835763799399</v>
      </c>
      <c r="T7">
        <v>0.233888958434078</v>
      </c>
      <c r="V7">
        <v>0.57801248821227902</v>
      </c>
      <c r="W7">
        <v>2.5716324507905799E-2</v>
      </c>
      <c r="X7">
        <v>0.11429477559071</v>
      </c>
      <c r="AA7">
        <v>0.75244060597207996</v>
      </c>
      <c r="AB7">
        <v>3.38122044455806</v>
      </c>
      <c r="AC7">
        <v>4.4670208126694604</v>
      </c>
      <c r="AD7">
        <v>3.8098258530226303E-2</v>
      </c>
      <c r="AE7">
        <v>6.6692527395000996</v>
      </c>
    </row>
    <row r="8" spans="1:35" x14ac:dyDescent="0.2">
      <c r="A8">
        <v>7</v>
      </c>
      <c r="B8">
        <v>748</v>
      </c>
      <c r="C8">
        <v>300</v>
      </c>
      <c r="D8">
        <v>0.26895216177838999</v>
      </c>
      <c r="E8">
        <v>104.544823348516</v>
      </c>
      <c r="F8">
        <v>2.2051822669824599</v>
      </c>
      <c r="G8">
        <v>-1705.2745819241534</v>
      </c>
      <c r="H8">
        <v>-1424.4384793389038</v>
      </c>
      <c r="I8">
        <v>275.01944139964701</v>
      </c>
      <c r="J8">
        <v>142.01532218448099</v>
      </c>
      <c r="K8">
        <v>47.408699459375597</v>
      </c>
      <c r="L8">
        <v>1.6250587904154587E-4</v>
      </c>
      <c r="M8">
        <v>1.7610088689215266E-5</v>
      </c>
      <c r="N8" s="1">
        <v>3.9581474345845097E-6</v>
      </c>
      <c r="O8" s="1">
        <v>1.05067781814055E-7</v>
      </c>
      <c r="P8" s="1">
        <v>-5.3261504467796701E-7</v>
      </c>
      <c r="Q8">
        <v>71.205869403521007</v>
      </c>
      <c r="R8">
        <v>9.1826641363170605E-2</v>
      </c>
      <c r="S8">
        <v>12.3965965840331</v>
      </c>
      <c r="T8">
        <v>0.23580301113049301</v>
      </c>
      <c r="V8">
        <v>0.579660324869397</v>
      </c>
      <c r="W8">
        <v>2.5826242883389802E-2</v>
      </c>
      <c r="X8">
        <v>0.11478330170397701</v>
      </c>
      <c r="AA8">
        <v>0.755656736217729</v>
      </c>
      <c r="AB8">
        <v>3.3956726754087501</v>
      </c>
      <c r="AC8">
        <v>4.4861140415960996</v>
      </c>
      <c r="AD8">
        <v>3.8261100567979101E-2</v>
      </c>
      <c r="AE8">
        <v>6.67392993670477</v>
      </c>
    </row>
    <row r="9" spans="1:35" x14ac:dyDescent="0.2">
      <c r="A9">
        <v>8</v>
      </c>
      <c r="B9">
        <v>746</v>
      </c>
      <c r="C9">
        <v>300</v>
      </c>
      <c r="D9">
        <v>0.26738016974930101</v>
      </c>
      <c r="E9">
        <v>104.10238497763299</v>
      </c>
      <c r="F9">
        <v>2.2061464705017002</v>
      </c>
      <c r="G9">
        <v>-1697.3948703761537</v>
      </c>
      <c r="H9">
        <v>-1418.5125153510594</v>
      </c>
      <c r="I9">
        <v>273.64210864454998</v>
      </c>
      <c r="J9">
        <v>141.43443448101999</v>
      </c>
      <c r="K9">
        <v>47.187431283272502</v>
      </c>
      <c r="L9">
        <v>1.6259399584048063E-4</v>
      </c>
      <c r="M9">
        <v>1.759487135146756E-5</v>
      </c>
      <c r="N9" s="1">
        <v>3.9534094549441299E-6</v>
      </c>
      <c r="O9" s="1">
        <v>1.04516659710384E-7</v>
      </c>
      <c r="P9" s="1">
        <v>-5.3111111248588696E-7</v>
      </c>
      <c r="Q9">
        <v>71.107032453084898</v>
      </c>
      <c r="R9">
        <v>9.2216907442253193E-2</v>
      </c>
      <c r="S9">
        <v>12.44928250471</v>
      </c>
      <c r="T9">
        <v>0.23773071608959401</v>
      </c>
      <c r="V9">
        <v>0.58129109282569202</v>
      </c>
      <c r="W9">
        <v>2.5936005218131501E-2</v>
      </c>
      <c r="X9">
        <v>0.11527113430283201</v>
      </c>
      <c r="AA9">
        <v>0.75886830082684198</v>
      </c>
      <c r="AB9">
        <v>3.4101043897914698</v>
      </c>
      <c r="AC9">
        <v>4.5051801656678796</v>
      </c>
      <c r="AD9">
        <v>3.8423711434262202E-2</v>
      </c>
      <c r="AE9">
        <v>6.67866261860605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103.664288278868</v>
      </c>
      <c r="F10">
        <v>2.2071103385106698</v>
      </c>
      <c r="G10">
        <v>-1689.5922184939845</v>
      </c>
      <c r="H10">
        <v>-1412.6450998726561</v>
      </c>
      <c r="I10">
        <v>272.277558493171</v>
      </c>
      <c r="J10">
        <v>140.859281010008</v>
      </c>
      <c r="K10">
        <v>46.968330703765197</v>
      </c>
      <c r="L10">
        <v>1.6268240774135485E-4</v>
      </c>
      <c r="M10">
        <v>1.7579649772175832E-5</v>
      </c>
      <c r="N10" s="1">
        <v>3.9487808269693597E-6</v>
      </c>
      <c r="O10" s="1">
        <v>1.0397136437188299E-7</v>
      </c>
      <c r="P10" s="1">
        <v>-5.2962702142996605E-7</v>
      </c>
      <c r="Q10">
        <v>71.008269833057298</v>
      </c>
      <c r="R10">
        <v>9.2606626248908405E-2</v>
      </c>
      <c r="S10">
        <v>12.501894543608801</v>
      </c>
      <c r="T10">
        <v>0.23967223901352699</v>
      </c>
      <c r="V10">
        <v>0.58290470799163097</v>
      </c>
      <c r="W10">
        <v>2.6045613632503101E-2</v>
      </c>
      <c r="X10">
        <v>0.115758282811153</v>
      </c>
      <c r="AA10">
        <v>0.76207536183993896</v>
      </c>
      <c r="AB10">
        <v>3.4245158664958901</v>
      </c>
      <c r="AC10">
        <v>4.5242195532013101</v>
      </c>
      <c r="AD10">
        <v>3.8586094270367799E-2</v>
      </c>
      <c r="AE10">
        <v>6.6834512778284898</v>
      </c>
    </row>
    <row r="11" spans="1:35" x14ac:dyDescent="0.2">
      <c r="A11">
        <v>10</v>
      </c>
      <c r="B11">
        <v>742</v>
      </c>
      <c r="C11">
        <v>300</v>
      </c>
      <c r="D11">
        <v>0.264217603309855</v>
      </c>
      <c r="E11">
        <v>103.230462588866</v>
      </c>
      <c r="F11">
        <v>2.2080738714461701</v>
      </c>
      <c r="G11">
        <v>-1681.8653843729855</v>
      </c>
      <c r="H11">
        <v>-1406.8352760692087</v>
      </c>
      <c r="I11">
        <v>270.92558568071399</v>
      </c>
      <c r="J11">
        <v>140.289769808796</v>
      </c>
      <c r="K11">
        <v>46.7513627708733</v>
      </c>
      <c r="L11">
        <v>1.6277112160067159E-4</v>
      </c>
      <c r="M11">
        <v>1.7564424052911336E-5</v>
      </c>
      <c r="N11" s="1">
        <v>3.9442603049185103E-6</v>
      </c>
      <c r="O11" s="1">
        <v>1.03431807536443E-7</v>
      </c>
      <c r="P11" s="1">
        <v>-5.2816250422668001E-7</v>
      </c>
      <c r="Q11">
        <v>70.909579209419803</v>
      </c>
      <c r="R11">
        <v>9.2995805300553194E-2</v>
      </c>
      <c r="S11">
        <v>12.554433715581601</v>
      </c>
      <c r="T11">
        <v>0.24162774738217099</v>
      </c>
      <c r="V11">
        <v>0.58450108449097504</v>
      </c>
      <c r="W11">
        <v>2.6155070240778001E-2</v>
      </c>
      <c r="X11">
        <v>0.116244756625711</v>
      </c>
      <c r="AA11">
        <v>0.76527798111909495</v>
      </c>
      <c r="AB11">
        <v>3.4389073835098198</v>
      </c>
      <c r="AC11">
        <v>4.54323257145347</v>
      </c>
      <c r="AD11">
        <v>3.8748252208551798E-2</v>
      </c>
      <c r="AE11">
        <v>6.6882964226673902</v>
      </c>
    </row>
    <row r="12" spans="1:35" x14ac:dyDescent="0.2">
      <c r="A12">
        <v>11</v>
      </c>
      <c r="B12">
        <v>740</v>
      </c>
      <c r="C12">
        <v>300</v>
      </c>
      <c r="D12">
        <v>0.26262695553471999</v>
      </c>
      <c r="E12">
        <v>102.800838735997</v>
      </c>
      <c r="F12">
        <v>2.2090370694492001</v>
      </c>
      <c r="G12">
        <v>-1674.2131524084793</v>
      </c>
      <c r="H12">
        <v>-1401.0821072780845</v>
      </c>
      <c r="I12">
        <v>269.58598937017598</v>
      </c>
      <c r="J12">
        <v>139.72581088601001</v>
      </c>
      <c r="K12">
        <v>46.536493279231799</v>
      </c>
      <c r="L12">
        <v>1.6286014449466064E-4</v>
      </c>
      <c r="M12">
        <v>1.7549194307645356E-5</v>
      </c>
      <c r="N12" s="1">
        <v>3.9398466823260997E-6</v>
      </c>
      <c r="O12" s="1">
        <v>1.02897902993845E-7</v>
      </c>
      <c r="P12" s="1">
        <v>-5.26717300718621E-7</v>
      </c>
      <c r="Q12">
        <v>70.810958237068405</v>
      </c>
      <c r="R12">
        <v>9.33844520924004E-2</v>
      </c>
      <c r="S12">
        <v>12.606901032481399</v>
      </c>
      <c r="T12">
        <v>0.24359741046674599</v>
      </c>
      <c r="V12">
        <v>0.58608013464435604</v>
      </c>
      <c r="W12">
        <v>2.62643771509849E-2</v>
      </c>
      <c r="X12">
        <v>0.116730565115521</v>
      </c>
      <c r="AA12">
        <v>0.76847622034366903</v>
      </c>
      <c r="AB12">
        <v>3.4532792179999898</v>
      </c>
      <c r="AC12">
        <v>4.5622195865968003</v>
      </c>
      <c r="AD12">
        <v>3.8910188371820802E-2</v>
      </c>
      <c r="AE12">
        <v>6.6931985776677196</v>
      </c>
    </row>
    <row r="13" spans="1:35" x14ac:dyDescent="0.2">
      <c r="A13">
        <v>12</v>
      </c>
      <c r="B13">
        <v>738</v>
      </c>
      <c r="C13">
        <v>300</v>
      </c>
      <c r="D13">
        <v>0.26103001532908299</v>
      </c>
      <c r="E13">
        <v>102.37534899899001</v>
      </c>
      <c r="F13">
        <v>2.20999993235734</v>
      </c>
      <c r="G13">
        <v>-1666.6343325710254</v>
      </c>
      <c r="H13">
        <v>-1395.3846764476764</v>
      </c>
      <c r="I13">
        <v>268.25857303401898</v>
      </c>
      <c r="J13">
        <v>139.16731616787499</v>
      </c>
      <c r="K13">
        <v>46.323688747713803</v>
      </c>
      <c r="L13">
        <v>1.6294948372754778E-4</v>
      </c>
      <c r="M13">
        <v>1.75339606631594E-5</v>
      </c>
      <c r="N13" s="1">
        <v>3.9355387913563998E-6</v>
      </c>
      <c r="O13" s="1">
        <v>1.0236956653612599E-7</v>
      </c>
      <c r="P13" s="1">
        <v>-5.2529115773118899E-7</v>
      </c>
      <c r="Q13">
        <v>70.712404558708698</v>
      </c>
      <c r="R13">
        <v>9.3772574099796696E-2</v>
      </c>
      <c r="S13">
        <v>12.6592975034812</v>
      </c>
      <c r="T13">
        <v>0.24558139935175899</v>
      </c>
      <c r="V13">
        <v>0.58764176896919595</v>
      </c>
      <c r="W13">
        <v>2.63735364655646E-2</v>
      </c>
      <c r="X13">
        <v>0.11721571762477</v>
      </c>
      <c r="AA13">
        <v>0.77167014102952702</v>
      </c>
      <c r="AB13">
        <v>3.46763164639846</v>
      </c>
      <c r="AC13">
        <v>4.5811809638330301</v>
      </c>
      <c r="AD13">
        <v>3.9071905874900399E-2</v>
      </c>
      <c r="AE13">
        <v>6.6981582841629601</v>
      </c>
    </row>
    <row r="14" spans="1:35" x14ac:dyDescent="0.2">
      <c r="A14">
        <v>13</v>
      </c>
      <c r="B14">
        <v>736</v>
      </c>
      <c r="C14">
        <v>300</v>
      </c>
      <c r="D14">
        <v>0.25942674528068399</v>
      </c>
      <c r="E14">
        <v>101.466246519615</v>
      </c>
      <c r="F14">
        <v>2.2109324111475699</v>
      </c>
      <c r="G14">
        <v>-1651.2334075699491</v>
      </c>
      <c r="H14">
        <v>-1383.0966660428639</v>
      </c>
      <c r="I14">
        <v>265.70553587383898</v>
      </c>
      <c r="J14">
        <v>137.96418856851901</v>
      </c>
      <c r="K14">
        <v>45.892966247190401</v>
      </c>
      <c r="L14">
        <v>1.6312571601567868E-4</v>
      </c>
      <c r="M14">
        <v>1.7525453191136801E-5</v>
      </c>
      <c r="N14" s="1">
        <v>3.9153427808465597E-6</v>
      </c>
      <c r="O14" s="1">
        <v>1.01426829227577E-7</v>
      </c>
      <c r="P14" s="1">
        <v>-5.2170868632650301E-7</v>
      </c>
      <c r="Q14">
        <v>70.603903098318696</v>
      </c>
      <c r="R14">
        <v>9.46127439349463E-2</v>
      </c>
      <c r="S14">
        <v>12.7153326043434</v>
      </c>
      <c r="T14">
        <v>0.248733406982837</v>
      </c>
      <c r="V14">
        <v>0.59205050095675604</v>
      </c>
      <c r="W14">
        <v>2.6609834231699402E-2</v>
      </c>
      <c r="X14">
        <v>0.118265929918716</v>
      </c>
      <c r="AA14">
        <v>0.77782882385971897</v>
      </c>
      <c r="AB14">
        <v>3.4870208363464998</v>
      </c>
      <c r="AC14">
        <v>4.5882261136697</v>
      </c>
      <c r="AD14">
        <v>3.94219766395408E-2</v>
      </c>
      <c r="AE14">
        <v>6.70799413079743</v>
      </c>
    </row>
    <row r="15" spans="1:35" x14ac:dyDescent="0.2">
      <c r="A15">
        <v>14</v>
      </c>
      <c r="B15">
        <v>734</v>
      </c>
      <c r="C15">
        <v>300</v>
      </c>
      <c r="D15">
        <v>0.25781710768008598</v>
      </c>
      <c r="E15">
        <v>38.785905456731797</v>
      </c>
      <c r="F15">
        <v>2.2152086361124299</v>
      </c>
      <c r="G15">
        <v>-631.30422425918198</v>
      </c>
      <c r="H15">
        <v>-529.21170144118241</v>
      </c>
      <c r="I15">
        <v>101.367743452315</v>
      </c>
      <c r="J15">
        <v>52.821941780744901</v>
      </c>
      <c r="K15">
        <v>17.508917591075701</v>
      </c>
      <c r="L15">
        <v>1.6315823270312291E-4</v>
      </c>
      <c r="M15">
        <v>1.7544679376783204E-5</v>
      </c>
      <c r="N15" s="1">
        <v>1.4979553492623799E-6</v>
      </c>
      <c r="O15" s="1">
        <v>3.8645031397964699E-8</v>
      </c>
      <c r="P15" s="1">
        <v>-1.97893161691577E-7</v>
      </c>
      <c r="Q15">
        <v>70.072938555912899</v>
      </c>
      <c r="R15">
        <v>0.13956302279178201</v>
      </c>
      <c r="S15">
        <v>13.3113903325967</v>
      </c>
      <c r="T15">
        <v>0.243034710685823</v>
      </c>
      <c r="V15">
        <v>0.58524979360965901</v>
      </c>
      <c r="W15">
        <v>6.9612916553178902E-2</v>
      </c>
      <c r="X15">
        <v>0.13165234290747399</v>
      </c>
      <c r="AA15">
        <v>0.74590189160785003</v>
      </c>
      <c r="AB15">
        <v>3.3444239071799302</v>
      </c>
      <c r="AC15">
        <v>4.5547251496720902</v>
      </c>
      <c r="AD15">
        <v>0.103130246745333</v>
      </c>
      <c r="AE15">
        <v>6.6983771297371799</v>
      </c>
    </row>
    <row r="16" spans="1:35" x14ac:dyDescent="0.2">
      <c r="A16">
        <v>15</v>
      </c>
      <c r="B16">
        <v>732</v>
      </c>
      <c r="C16">
        <v>300</v>
      </c>
      <c r="D16">
        <v>0.256201064517732</v>
      </c>
      <c r="E16">
        <v>22.597224635923101</v>
      </c>
      <c r="F16">
        <v>2.2203823145446102</v>
      </c>
      <c r="G16">
        <v>-367.82859229253972</v>
      </c>
      <c r="H16">
        <v>-308.67225194745964</v>
      </c>
      <c r="I16">
        <v>58.8532461275232</v>
      </c>
      <c r="J16">
        <v>30.8135947924813</v>
      </c>
      <c r="K16">
        <v>10.177177366213</v>
      </c>
      <c r="L16">
        <v>1.6253637824399718E-4</v>
      </c>
      <c r="M16">
        <v>1.7528063086529143E-5</v>
      </c>
      <c r="N16" s="1">
        <v>8.6934714996966195E-7</v>
      </c>
      <c r="O16" s="1">
        <v>2.2342072675492201E-8</v>
      </c>
      <c r="P16" s="1">
        <v>-1.13728377018487E-7</v>
      </c>
      <c r="Q16">
        <v>69.527334804561505</v>
      </c>
      <c r="R16">
        <v>0.132742896467963</v>
      </c>
      <c r="S16">
        <v>14.0076028872923</v>
      </c>
      <c r="T16">
        <v>0.23580855345549101</v>
      </c>
      <c r="V16">
        <v>0.57619881808403295</v>
      </c>
      <c r="W16">
        <v>0.118417599829651</v>
      </c>
      <c r="X16">
        <v>0.12833505196382899</v>
      </c>
      <c r="AA16">
        <v>0.758937230555773</v>
      </c>
      <c r="AB16">
        <v>3.0866774713496601</v>
      </c>
      <c r="AC16">
        <v>4.5938288618202501</v>
      </c>
      <c r="AD16">
        <v>0.17701288828337999</v>
      </c>
      <c r="AE16">
        <v>6.6571029363360301</v>
      </c>
    </row>
    <row r="17" spans="1:31" x14ac:dyDescent="0.2">
      <c r="A17">
        <v>16</v>
      </c>
      <c r="B17">
        <v>730</v>
      </c>
      <c r="C17">
        <v>300</v>
      </c>
      <c r="D17">
        <v>0.25457857748093798</v>
      </c>
      <c r="E17">
        <v>17.142560191558001</v>
      </c>
      <c r="F17">
        <v>2.22452200846771</v>
      </c>
      <c r="G17">
        <v>-279.04569715862124</v>
      </c>
      <c r="H17">
        <v>-234.38670067808948</v>
      </c>
      <c r="I17">
        <v>44.518762379037703</v>
      </c>
      <c r="J17">
        <v>23.3992966420901</v>
      </c>
      <c r="K17">
        <v>7.7061769343276199</v>
      </c>
      <c r="L17">
        <v>1.6207975189815309E-4</v>
      </c>
      <c r="M17">
        <v>1.7513391703329369E-5</v>
      </c>
      <c r="N17" s="1">
        <v>6.5806708911135004E-7</v>
      </c>
      <c r="O17" s="1">
        <v>1.68464442002675E-8</v>
      </c>
      <c r="P17" s="1">
        <v>-8.5391741781266095E-8</v>
      </c>
      <c r="Q17">
        <v>69.0973692722674</v>
      </c>
      <c r="R17">
        <v>0.13263890289366101</v>
      </c>
      <c r="S17">
        <v>14.545223975086699</v>
      </c>
      <c r="T17">
        <v>0.22807309953973601</v>
      </c>
      <c r="V17">
        <v>0.56278310809572096</v>
      </c>
      <c r="W17">
        <v>0.155257381285689</v>
      </c>
      <c r="X17">
        <v>0.12669089361337901</v>
      </c>
      <c r="AA17">
        <v>0.77928456538010404</v>
      </c>
      <c r="AB17">
        <v>2.8906945826491</v>
      </c>
      <c r="AC17">
        <v>4.6211978512340197</v>
      </c>
      <c r="AD17">
        <v>0.233337375240004</v>
      </c>
      <c r="AE17">
        <v>6.6274489927143803</v>
      </c>
    </row>
    <row r="18" spans="1:31" x14ac:dyDescent="0.2">
      <c r="A18">
        <v>17</v>
      </c>
      <c r="B18">
        <v>728</v>
      </c>
      <c r="C18">
        <v>300</v>
      </c>
      <c r="D18">
        <v>0.25294960795086002</v>
      </c>
      <c r="E18">
        <v>14.2299608495012</v>
      </c>
      <c r="F18">
        <v>2.22803948383328</v>
      </c>
      <c r="G18">
        <v>-231.63533023042541</v>
      </c>
      <c r="H18">
        <v>-194.72856751996628</v>
      </c>
      <c r="I18">
        <v>36.864368686469597</v>
      </c>
      <c r="J18">
        <v>19.441732717418098</v>
      </c>
      <c r="K18">
        <v>6.3867633193909796</v>
      </c>
      <c r="L18">
        <v>1.6177224804323487E-4</v>
      </c>
      <c r="M18">
        <v>1.7504913901474158E-5</v>
      </c>
      <c r="N18" s="1">
        <v>5.4587762980230303E-7</v>
      </c>
      <c r="O18" s="1">
        <v>1.39190862419468E-8</v>
      </c>
      <c r="P18" s="1">
        <v>-7.0324166009075503E-8</v>
      </c>
      <c r="Q18">
        <v>68.721404098037198</v>
      </c>
      <c r="R18">
        <v>0.132156170913275</v>
      </c>
      <c r="S18">
        <v>15.004297239537699</v>
      </c>
      <c r="T18">
        <v>0.22156934895656699</v>
      </c>
      <c r="V18">
        <v>0.55081186000925697</v>
      </c>
      <c r="W18">
        <v>0.18619126523889301</v>
      </c>
      <c r="X18">
        <v>0.12502573778607601</v>
      </c>
      <c r="AA18">
        <v>0.80043941285773801</v>
      </c>
      <c r="AB18">
        <v>2.7315836160619602</v>
      </c>
      <c r="AC18">
        <v>4.63772084770976</v>
      </c>
      <c r="AD18">
        <v>0.28109704884616199</v>
      </c>
      <c r="AE18">
        <v>6.6077033540452899</v>
      </c>
    </row>
    <row r="19" spans="1:31" x14ac:dyDescent="0.2">
      <c r="A19">
        <v>18</v>
      </c>
      <c r="B19">
        <v>726</v>
      </c>
      <c r="C19">
        <v>300</v>
      </c>
      <c r="D19">
        <v>0.251314116999449</v>
      </c>
      <c r="E19">
        <v>12.365697868501</v>
      </c>
      <c r="F19">
        <v>2.2311470991472802</v>
      </c>
      <c r="G19">
        <v>-201.28776852724812</v>
      </c>
      <c r="H19">
        <v>-169.34949302632046</v>
      </c>
      <c r="I19">
        <v>31.965446130138201</v>
      </c>
      <c r="J19">
        <v>16.909612569520601</v>
      </c>
      <c r="K19">
        <v>5.5423050650613801</v>
      </c>
      <c r="L19">
        <v>1.6156755017953178E-4</v>
      </c>
      <c r="M19">
        <v>1.7501013110701216E-5</v>
      </c>
      <c r="N19" s="1">
        <v>4.7451213623405802E-7</v>
      </c>
      <c r="O19" s="1">
        <v>1.20508814967772E-8</v>
      </c>
      <c r="P19" s="1">
        <v>-6.0726427192351995E-8</v>
      </c>
      <c r="Q19">
        <v>68.379473940522303</v>
      </c>
      <c r="R19">
        <v>0.131408104437027</v>
      </c>
      <c r="S19">
        <v>15.413361654642801</v>
      </c>
      <c r="T19">
        <v>0.21588177806387601</v>
      </c>
      <c r="V19">
        <v>0.53985162184050295</v>
      </c>
      <c r="W19">
        <v>0.213406376961189</v>
      </c>
      <c r="X19">
        <v>0.123347637595997</v>
      </c>
      <c r="AA19">
        <v>0.82155488348949401</v>
      </c>
      <c r="AB19">
        <v>2.59687946436244</v>
      </c>
      <c r="AC19">
        <v>4.6466302032558504</v>
      </c>
      <c r="AD19">
        <v>0.32347547566879797</v>
      </c>
      <c r="AE19">
        <v>6.5947288591596198</v>
      </c>
    </row>
    <row r="20" spans="1:31" x14ac:dyDescent="0.2">
      <c r="A20">
        <v>19</v>
      </c>
      <c r="B20">
        <v>724</v>
      </c>
      <c r="C20">
        <v>300</v>
      </c>
      <c r="D20">
        <v>0.249672065386352</v>
      </c>
      <c r="E20">
        <v>11.046381882151699</v>
      </c>
      <c r="F20">
        <v>2.2339612399573801</v>
      </c>
      <c r="G20">
        <v>-179.81013451533525</v>
      </c>
      <c r="H20">
        <v>-151.39231094488065</v>
      </c>
      <c r="I20">
        <v>28.499045851130301</v>
      </c>
      <c r="J20">
        <v>15.118383627912101</v>
      </c>
      <c r="K20">
        <v>4.9447509135666401</v>
      </c>
      <c r="L20">
        <v>1.6143832165312695E-4</v>
      </c>
      <c r="M20">
        <v>1.7500586415400788E-5</v>
      </c>
      <c r="N20" s="1">
        <v>4.24334832370032E-7</v>
      </c>
      <c r="O20" s="1">
        <v>1.07329857907116E-8</v>
      </c>
      <c r="P20" s="1">
        <v>-5.3969242834858102E-8</v>
      </c>
      <c r="Q20">
        <v>68.061373851083701</v>
      </c>
      <c r="R20">
        <v>0.13046679785398199</v>
      </c>
      <c r="S20">
        <v>15.7871338248965</v>
      </c>
      <c r="T20">
        <v>0.21078320926705599</v>
      </c>
      <c r="V20">
        <v>0.52964770981550802</v>
      </c>
      <c r="W20">
        <v>0.238025609902108</v>
      </c>
      <c r="X20">
        <v>0.121661216943138</v>
      </c>
      <c r="AA20">
        <v>0.84248835788660703</v>
      </c>
      <c r="AB20">
        <v>2.47968250182327</v>
      </c>
      <c r="AC20">
        <v>4.64991894358399</v>
      </c>
      <c r="AD20">
        <v>0.36210951627993698</v>
      </c>
      <c r="AE20">
        <v>6.58670846066404</v>
      </c>
    </row>
    <row r="21" spans="1:31" x14ac:dyDescent="0.2">
      <c r="A21">
        <v>20</v>
      </c>
      <c r="B21">
        <v>760</v>
      </c>
      <c r="C21">
        <v>290</v>
      </c>
      <c r="D21">
        <v>0.28890335382083798</v>
      </c>
      <c r="E21">
        <v>106.843571087309</v>
      </c>
      <c r="F21">
        <v>2.1998340008144202</v>
      </c>
      <c r="G21">
        <v>-1746.3936823715546</v>
      </c>
      <c r="H21">
        <v>-1455.5832805625546</v>
      </c>
      <c r="I21">
        <v>281.47936099211103</v>
      </c>
      <c r="J21">
        <v>144.897203159626</v>
      </c>
      <c r="K21">
        <v>48.568924313268298</v>
      </c>
      <c r="L21">
        <v>1.6048132587878015E-4</v>
      </c>
      <c r="M21">
        <v>1.77060583558423E-5</v>
      </c>
      <c r="N21" s="1">
        <v>3.8987420372961197E-6</v>
      </c>
      <c r="O21" s="1">
        <v>1.06774348092494E-7</v>
      </c>
      <c r="P21" s="1">
        <v>-5.3535719036394403E-7</v>
      </c>
      <c r="Q21">
        <v>71.852708795449601</v>
      </c>
      <c r="R21">
        <v>8.9850984034922796E-2</v>
      </c>
      <c r="S21">
        <v>12.1298828447151</v>
      </c>
      <c r="T21">
        <v>0.22665118632832101</v>
      </c>
      <c r="V21">
        <v>0.57085877133861396</v>
      </c>
      <c r="W21">
        <v>2.5270589259821799E-2</v>
      </c>
      <c r="X21">
        <v>0.112313730043655</v>
      </c>
      <c r="AA21">
        <v>0.73939872278738294</v>
      </c>
      <c r="AB21">
        <v>3.3226145137913998</v>
      </c>
      <c r="AC21">
        <v>4.38959494920607</v>
      </c>
      <c r="AD21">
        <v>3.7437910014550199E-2</v>
      </c>
      <c r="AE21">
        <v>6.5034170030304796</v>
      </c>
    </row>
    <row r="22" spans="1:31" x14ac:dyDescent="0.2">
      <c r="A22">
        <v>21</v>
      </c>
      <c r="B22">
        <v>758</v>
      </c>
      <c r="C22">
        <v>290</v>
      </c>
      <c r="D22">
        <v>0.28738835280996899</v>
      </c>
      <c r="E22">
        <v>106.67019063033899</v>
      </c>
      <c r="F22">
        <v>2.2006682952005199</v>
      </c>
      <c r="G22">
        <v>-1742.9463734885016</v>
      </c>
      <c r="H22">
        <v>-1453.4432605463007</v>
      </c>
      <c r="I22">
        <v>280.75751630916898</v>
      </c>
      <c r="J22">
        <v>144.65045141754399</v>
      </c>
      <c r="K22">
        <v>48.471726003859096</v>
      </c>
      <c r="L22">
        <v>1.6042509269416277E-4</v>
      </c>
      <c r="M22">
        <v>1.7688671318259558E-5</v>
      </c>
      <c r="N22" s="1">
        <v>3.9018475618069104E-6</v>
      </c>
      <c r="O22" s="1">
        <v>1.06431036531415E-7</v>
      </c>
      <c r="P22" s="1">
        <v>-5.3449259736866798E-7</v>
      </c>
      <c r="Q22">
        <v>71.817060822562894</v>
      </c>
      <c r="R22">
        <v>8.9997026753879106E-2</v>
      </c>
      <c r="S22">
        <v>12.149598611775</v>
      </c>
      <c r="T22">
        <v>0.22779105408314401</v>
      </c>
      <c r="V22">
        <v>0.57109245972821898</v>
      </c>
      <c r="W22">
        <v>2.5311663774527999E-2</v>
      </c>
      <c r="X22">
        <v>0.112496283442352</v>
      </c>
      <c r="AA22">
        <v>0.740600532662122</v>
      </c>
      <c r="AB22">
        <v>3.3280150518361098</v>
      </c>
      <c r="AC22">
        <v>4.39672974453834</v>
      </c>
      <c r="AD22">
        <v>3.7498761147447303E-2</v>
      </c>
      <c r="AE22">
        <v>6.5038079876958097</v>
      </c>
    </row>
    <row r="23" spans="1:31" x14ac:dyDescent="0.2">
      <c r="A23">
        <v>22</v>
      </c>
      <c r="B23">
        <v>756</v>
      </c>
      <c r="C23">
        <v>290</v>
      </c>
      <c r="D23">
        <v>0.28586746344070502</v>
      </c>
      <c r="E23">
        <v>106.21000488719901</v>
      </c>
      <c r="F23">
        <v>2.20163874800296</v>
      </c>
      <c r="G23">
        <v>-1734.7474262366536</v>
      </c>
      <c r="H23">
        <v>-1447.277576728213</v>
      </c>
      <c r="I23">
        <v>279.32745421798597</v>
      </c>
      <c r="J23">
        <v>144.0460035756</v>
      </c>
      <c r="K23">
        <v>48.241340675684597</v>
      </c>
      <c r="L23">
        <v>1.6050584847225041E-4</v>
      </c>
      <c r="M23">
        <v>1.7673141076759292E-5</v>
      </c>
      <c r="N23" s="1">
        <v>3.8965302642526602E-6</v>
      </c>
      <c r="O23" s="1">
        <v>1.05856994828561E-7</v>
      </c>
      <c r="P23" s="1">
        <v>-5.32888196697184E-7</v>
      </c>
      <c r="Q23">
        <v>71.719105186180101</v>
      </c>
      <c r="R23">
        <v>9.0386965052829102E-2</v>
      </c>
      <c r="S23">
        <v>12.2022402821336</v>
      </c>
      <c r="T23">
        <v>0.22965377903296599</v>
      </c>
      <c r="V23">
        <v>0.57277887090246704</v>
      </c>
      <c r="W23">
        <v>2.54213339211075E-2</v>
      </c>
      <c r="X23">
        <v>0.112983706316041</v>
      </c>
      <c r="AA23">
        <v>0.74380939991389605</v>
      </c>
      <c r="AB23">
        <v>3.3424346451826801</v>
      </c>
      <c r="AC23">
        <v>4.4157798551849297</v>
      </c>
      <c r="AD23">
        <v>3.7661235438675798E-2</v>
      </c>
      <c r="AE23">
        <v>6.5077447407406099</v>
      </c>
    </row>
    <row r="24" spans="1:31" x14ac:dyDescent="0.2">
      <c r="A24">
        <v>23</v>
      </c>
      <c r="B24">
        <v>754</v>
      </c>
      <c r="C24">
        <v>290</v>
      </c>
      <c r="D24">
        <v>0.28434065131675001</v>
      </c>
      <c r="E24">
        <v>105.754453668528</v>
      </c>
      <c r="F24">
        <v>2.2026090291495901</v>
      </c>
      <c r="G24">
        <v>-1726.6306753194781</v>
      </c>
      <c r="H24">
        <v>-1441.1744277553321</v>
      </c>
      <c r="I24">
        <v>277.91096486798</v>
      </c>
      <c r="J24">
        <v>143.44765732997601</v>
      </c>
      <c r="K24">
        <v>48.013266207920303</v>
      </c>
      <c r="L24">
        <v>1.6058674997608335E-4</v>
      </c>
      <c r="M24">
        <v>1.7657599566212806E-5</v>
      </c>
      <c r="N24" s="1">
        <v>3.8913215378240699E-6</v>
      </c>
      <c r="O24" s="1">
        <v>1.0528903040800401E-7</v>
      </c>
      <c r="P24" s="1">
        <v>-5.3130413505762203E-7</v>
      </c>
      <c r="Q24">
        <v>71.621244077528999</v>
      </c>
      <c r="R24">
        <v>9.0776318793058794E-2</v>
      </c>
      <c r="S24">
        <v>12.2548030370654</v>
      </c>
      <c r="T24">
        <v>0.23152951343477399</v>
      </c>
      <c r="V24">
        <v>0.57444853526824102</v>
      </c>
      <c r="W24">
        <v>2.5530839660546801E-2</v>
      </c>
      <c r="X24">
        <v>0.11347039849133</v>
      </c>
      <c r="AA24">
        <v>0.74701345673453301</v>
      </c>
      <c r="AB24">
        <v>3.3568326220349101</v>
      </c>
      <c r="AC24">
        <v>4.4348014077023299</v>
      </c>
      <c r="AD24">
        <v>3.7823466163770199E-2</v>
      </c>
      <c r="AE24">
        <v>6.5117263271219601</v>
      </c>
    </row>
    <row r="25" spans="1:31" x14ac:dyDescent="0.2">
      <c r="A25">
        <v>24</v>
      </c>
      <c r="B25">
        <v>752</v>
      </c>
      <c r="C25">
        <v>290</v>
      </c>
      <c r="D25">
        <v>0.28280788177339999</v>
      </c>
      <c r="E25">
        <v>105.30346042692901</v>
      </c>
      <c r="F25">
        <v>2.20357914354505</v>
      </c>
      <c r="G25">
        <v>-1718.5947741042639</v>
      </c>
      <c r="H25">
        <v>-1435.1327772406676</v>
      </c>
      <c r="I25">
        <v>276.50782506325498</v>
      </c>
      <c r="J25">
        <v>142.85531284586199</v>
      </c>
      <c r="K25">
        <v>47.787464650586898</v>
      </c>
      <c r="L25">
        <v>1.6066780040787827E-4</v>
      </c>
      <c r="M25">
        <v>1.7642046685426434E-5</v>
      </c>
      <c r="N25" s="1">
        <v>3.8862199191480496E-6</v>
      </c>
      <c r="O25" s="1">
        <v>1.0472704632637299E-7</v>
      </c>
      <c r="P25" s="1">
        <v>-5.2974010823807502E-7</v>
      </c>
      <c r="Q25">
        <v>71.523475478089395</v>
      </c>
      <c r="R25">
        <v>9.1165095250232503E-2</v>
      </c>
      <c r="S25">
        <v>12.307287858784701</v>
      </c>
      <c r="T25">
        <v>0.23341841507410499</v>
      </c>
      <c r="V25">
        <v>0.57610137358788305</v>
      </c>
      <c r="W25">
        <v>2.5640183039126699E-2</v>
      </c>
      <c r="X25">
        <v>0.1139563690628</v>
      </c>
      <c r="AA25">
        <v>0.75021276299668704</v>
      </c>
      <c r="AB25">
        <v>3.3712092514407801</v>
      </c>
      <c r="AC25">
        <v>4.4537947575371</v>
      </c>
      <c r="AD25">
        <v>3.7985456354257902E-2</v>
      </c>
      <c r="AE25">
        <v>6.5157529987828804</v>
      </c>
    </row>
    <row r="26" spans="1:31" x14ac:dyDescent="0.2">
      <c r="A26">
        <v>25</v>
      </c>
      <c r="B26">
        <v>750</v>
      </c>
      <c r="C26">
        <v>290</v>
      </c>
      <c r="D26">
        <v>0.281269119874895</v>
      </c>
      <c r="E26">
        <v>104.856950274996</v>
      </c>
      <c r="F26">
        <v>2.2045490959274399</v>
      </c>
      <c r="G26">
        <v>-1710.6384051972461</v>
      </c>
      <c r="H26">
        <v>-1429.1516112597963</v>
      </c>
      <c r="I26">
        <v>275.11781648580302</v>
      </c>
      <c r="J26">
        <v>142.268872471137</v>
      </c>
      <c r="K26">
        <v>47.563898880139803</v>
      </c>
      <c r="L26">
        <v>1.6074900307511369E-4</v>
      </c>
      <c r="M26">
        <v>1.7626482339474165E-5</v>
      </c>
      <c r="N26" s="1">
        <v>3.8812239834151703E-6</v>
      </c>
      <c r="O26" s="1">
        <v>1.0417094783582601E-7</v>
      </c>
      <c r="P26" s="1">
        <v>-5.2819581938087901E-7</v>
      </c>
      <c r="Q26">
        <v>71.425797369601995</v>
      </c>
      <c r="R26">
        <v>9.1553301663107406E-2</v>
      </c>
      <c r="S26">
        <v>12.359695724524601</v>
      </c>
      <c r="T26">
        <v>0.235320643392193</v>
      </c>
      <c r="V26">
        <v>0.57773730481541297</v>
      </c>
      <c r="W26">
        <v>2.5749366092747E-2</v>
      </c>
      <c r="X26">
        <v>0.114441627078898</v>
      </c>
      <c r="AA26">
        <v>0.75340737826929305</v>
      </c>
      <c r="AB26">
        <v>3.3855648010834898</v>
      </c>
      <c r="AC26">
        <v>4.4727602583325803</v>
      </c>
      <c r="AD26">
        <v>3.8147209026286003E-2</v>
      </c>
      <c r="AE26">
        <v>6.5198250161192304</v>
      </c>
    </row>
    <row r="27" spans="1:31" x14ac:dyDescent="0.2">
      <c r="A27">
        <v>26</v>
      </c>
      <c r="B27">
        <v>748</v>
      </c>
      <c r="C27">
        <v>290</v>
      </c>
      <c r="D27">
        <v>0.27972433041179201</v>
      </c>
      <c r="E27">
        <v>104.414849937624</v>
      </c>
      <c r="F27">
        <v>2.20551889086626</v>
      </c>
      <c r="G27">
        <v>-1702.7602796076787</v>
      </c>
      <c r="H27">
        <v>-1423.2299377038694</v>
      </c>
      <c r="I27">
        <v>273.74072555825097</v>
      </c>
      <c r="J27">
        <v>141.68824067426101</v>
      </c>
      <c r="K27">
        <v>47.342532575911598</v>
      </c>
      <c r="L27">
        <v>1.6083036139514375E-4</v>
      </c>
      <c r="M27">
        <v>1.761090643988482E-5</v>
      </c>
      <c r="N27" s="1">
        <v>3.8763323434665701E-6</v>
      </c>
      <c r="O27" s="1">
        <v>1.03620642325264E-7</v>
      </c>
      <c r="P27" s="1">
        <v>-5.2667097879993902E-7</v>
      </c>
      <c r="Q27">
        <v>71.328207733078102</v>
      </c>
      <c r="R27">
        <v>9.1940945236574007E-2</v>
      </c>
      <c r="S27">
        <v>12.4120276069431</v>
      </c>
      <c r="T27">
        <v>0.23723635950963201</v>
      </c>
      <c r="V27">
        <v>0.57935624610227998</v>
      </c>
      <c r="W27">
        <v>2.58583908477843E-2</v>
      </c>
      <c r="X27">
        <v>0.114926181545733</v>
      </c>
      <c r="AA27">
        <v>0.75659736184260995</v>
      </c>
      <c r="AB27">
        <v>3.3998995373939702</v>
      </c>
      <c r="AC27">
        <v>4.4916982620779402</v>
      </c>
      <c r="AD27">
        <v>3.83087271818962E-2</v>
      </c>
      <c r="AE27">
        <v>6.5239426482402596</v>
      </c>
    </row>
    <row r="28" spans="1:31" x14ac:dyDescent="0.2">
      <c r="A28">
        <v>27</v>
      </c>
      <c r="B28">
        <v>746</v>
      </c>
      <c r="C28">
        <v>290</v>
      </c>
      <c r="D28">
        <v>0.27817347789824898</v>
      </c>
      <c r="E28">
        <v>103.977087709381</v>
      </c>
      <c r="F28">
        <v>2.20648853275768</v>
      </c>
      <c r="G28">
        <v>-1694.9591359974715</v>
      </c>
      <c r="H28">
        <v>-1417.3667857029061</v>
      </c>
      <c r="I28">
        <v>272.37634331998697</v>
      </c>
      <c r="J28">
        <v>141.113323988612</v>
      </c>
      <c r="K28">
        <v>47.123330198970002</v>
      </c>
      <c r="L28">
        <v>1.6091187889866952E-4</v>
      </c>
      <c r="M28">
        <v>1.7595318904847367E-5</v>
      </c>
      <c r="N28" s="1">
        <v>3.87154364903754E-6</v>
      </c>
      <c r="O28" s="1">
        <v>1.03076039266776E-7</v>
      </c>
      <c r="P28" s="1">
        <v>-5.2516530381648099E-7</v>
      </c>
      <c r="Q28">
        <v>71.230704548550605</v>
      </c>
      <c r="R28">
        <v>9.2328033141614196E-2</v>
      </c>
      <c r="S28">
        <v>12.4642844741242</v>
      </c>
      <c r="T28">
        <v>0.23916572624032501</v>
      </c>
      <c r="V28">
        <v>0.58095811278321796</v>
      </c>
      <c r="W28">
        <v>2.5967259321076599E-2</v>
      </c>
      <c r="X28">
        <v>0.115410041427035</v>
      </c>
      <c r="AA28">
        <v>0.75978277272783201</v>
      </c>
      <c r="AB28">
        <v>3.4142137255490801</v>
      </c>
      <c r="AC28">
        <v>4.5106091191053697</v>
      </c>
      <c r="AD28">
        <v>3.8470013808995097E-2</v>
      </c>
      <c r="AE28">
        <v>6.5281061732205998</v>
      </c>
    </row>
    <row r="29" spans="1:31" x14ac:dyDescent="0.2">
      <c r="A29">
        <v>28</v>
      </c>
      <c r="B29">
        <v>744</v>
      </c>
      <c r="C29">
        <v>290</v>
      </c>
      <c r="D29">
        <v>0.27661652656933799</v>
      </c>
      <c r="E29">
        <v>103.54359341085799</v>
      </c>
      <c r="F29">
        <v>2.2074580258199301</v>
      </c>
      <c r="G29">
        <v>-1687.2337399155733</v>
      </c>
      <c r="H29">
        <v>-1411.5612050339728</v>
      </c>
      <c r="I29">
        <v>271.024465301676</v>
      </c>
      <c r="J29">
        <v>140.544030955708</v>
      </c>
      <c r="K29">
        <v>46.906256970570603</v>
      </c>
      <c r="L29">
        <v>1.6099355923512569E-4</v>
      </c>
      <c r="M29">
        <v>1.7579719659482555E-5</v>
      </c>
      <c r="N29" s="1">
        <v>3.8668565859844104E-6</v>
      </c>
      <c r="O29" s="1">
        <v>1.02537050162529E-7</v>
      </c>
      <c r="P29" s="1">
        <v>-5.2367851859821497E-7</v>
      </c>
      <c r="Q29">
        <v>71.1332857942499</v>
      </c>
      <c r="R29">
        <v>9.2714572517372001E-2</v>
      </c>
      <c r="S29">
        <v>12.516467289852899</v>
      </c>
      <c r="T29">
        <v>0.24110890811232699</v>
      </c>
      <c r="V29">
        <v>0.58254281837616595</v>
      </c>
      <c r="W29">
        <v>2.6075973520508E-2</v>
      </c>
      <c r="X29">
        <v>0.11589321564673601</v>
      </c>
      <c r="AA29">
        <v>0.76296366967416496</v>
      </c>
      <c r="AB29">
        <v>3.42850762954841</v>
      </c>
      <c r="AC29">
        <v>4.52949317819174</v>
      </c>
      <c r="AD29">
        <v>3.8631071882225199E-2</v>
      </c>
      <c r="AE29">
        <v>6.5323158784274202</v>
      </c>
    </row>
    <row r="30" spans="1:31" x14ac:dyDescent="0.2">
      <c r="A30">
        <v>29</v>
      </c>
      <c r="B30">
        <v>742</v>
      </c>
      <c r="C30">
        <v>290</v>
      </c>
      <c r="D30">
        <v>0.27505344037826801</v>
      </c>
      <c r="E30">
        <v>103.114298349093</v>
      </c>
      <c r="F30">
        <v>2.2084273740888101</v>
      </c>
      <c r="G30">
        <v>-1679.5828831008184</v>
      </c>
      <c r="H30">
        <v>-1405.8122655859063</v>
      </c>
      <c r="I30">
        <v>269.68489141005</v>
      </c>
      <c r="J30">
        <v>139.98027207349801</v>
      </c>
      <c r="K30">
        <v>46.691278852508397</v>
      </c>
      <c r="L30">
        <v>1.6107540617587185E-4</v>
      </c>
      <c r="M30">
        <v>1.7564108636031462E-5</v>
      </c>
      <c r="N30" s="1">
        <v>3.8622698755904001E-6</v>
      </c>
      <c r="O30" s="1">
        <v>1.0200358849476E-7</v>
      </c>
      <c r="P30" s="1">
        <v>-5.2221035400606902E-7</v>
      </c>
      <c r="Q30">
        <v>71.035949446436206</v>
      </c>
      <c r="R30">
        <v>9.3100570470833699E-2</v>
      </c>
      <c r="S30">
        <v>12.568577013571</v>
      </c>
      <c r="T30">
        <v>0.24306607138139499</v>
      </c>
      <c r="V30">
        <v>0.584110274567473</v>
      </c>
      <c r="W30">
        <v>2.6184535444918802E-2</v>
      </c>
      <c r="X30">
        <v>0.11637571308856499</v>
      </c>
      <c r="AA30">
        <v>0.76614011116618896</v>
      </c>
      <c r="AB30">
        <v>3.4427815122024401</v>
      </c>
      <c r="AC30">
        <v>4.5483507865430797</v>
      </c>
      <c r="AD30">
        <v>3.8791904362832898E-2</v>
      </c>
      <c r="AE30">
        <v>6.53657206076499</v>
      </c>
    </row>
    <row r="31" spans="1:31" x14ac:dyDescent="0.2">
      <c r="A31">
        <v>30</v>
      </c>
      <c r="B31">
        <v>740</v>
      </c>
      <c r="C31">
        <v>290</v>
      </c>
      <c r="D31">
        <v>0.27348418299363703</v>
      </c>
      <c r="E31">
        <v>102.689135276171</v>
      </c>
      <c r="F31">
        <v>2.2093965814117</v>
      </c>
      <c r="G31">
        <v>-1672.0053827566642</v>
      </c>
      <c r="H31">
        <v>-1400.1190567977235</v>
      </c>
      <c r="I31">
        <v>268.35742580954502</v>
      </c>
      <c r="J31">
        <v>139.421959742631</v>
      </c>
      <c r="K31">
        <v>46.478362526730102</v>
      </c>
      <c r="L31">
        <v>1.6115742362081799E-4</v>
      </c>
      <c r="M31">
        <v>1.7548485774199032E-5</v>
      </c>
      <c r="N31" s="1">
        <v>3.8577822738712201E-6</v>
      </c>
      <c r="O31" s="1">
        <v>1.01475569676498E-7</v>
      </c>
      <c r="P31" s="1">
        <v>-5.2076054744836703E-7</v>
      </c>
      <c r="Q31">
        <v>70.938693478406506</v>
      </c>
      <c r="R31">
        <v>9.3486034079284297E-2</v>
      </c>
      <c r="S31">
        <v>12.620614600712299</v>
      </c>
      <c r="T31">
        <v>0.24503738405252201</v>
      </c>
      <c r="V31">
        <v>0.58566039121309399</v>
      </c>
      <c r="W31">
        <v>2.62929470847953E-2</v>
      </c>
      <c r="X31">
        <v>0.11685754259913</v>
      </c>
      <c r="AA31">
        <v>0.76931215544406095</v>
      </c>
      <c r="AB31">
        <v>3.4570356352232499</v>
      </c>
      <c r="AC31">
        <v>4.5671822899142098</v>
      </c>
      <c r="AD31">
        <v>3.89525141996864E-2</v>
      </c>
      <c r="AE31">
        <v>6.5408750270710598</v>
      </c>
    </row>
    <row r="32" spans="1:31" x14ac:dyDescent="0.2">
      <c r="A32">
        <v>31</v>
      </c>
      <c r="B32">
        <v>738</v>
      </c>
      <c r="C32">
        <v>290</v>
      </c>
      <c r="D32">
        <v>0.27190871779657</v>
      </c>
      <c r="E32">
        <v>102.268038351654</v>
      </c>
      <c r="F32">
        <v>2.21036565144535</v>
      </c>
      <c r="G32">
        <v>-1664.5000808895377</v>
      </c>
      <c r="H32">
        <v>-1394.4806871503611</v>
      </c>
      <c r="I32">
        <v>267.04187681271497</v>
      </c>
      <c r="J32">
        <v>138.869008217329</v>
      </c>
      <c r="K32">
        <v>46.267475376655902</v>
      </c>
      <c r="L32">
        <v>1.612396156007556E-4</v>
      </c>
      <c r="M32">
        <v>1.7532851021256324E-5</v>
      </c>
      <c r="N32" s="1">
        <v>3.8533925708787096E-6</v>
      </c>
      <c r="O32" s="1">
        <v>1.00952911003294E-7</v>
      </c>
      <c r="P32" s="1">
        <v>-5.1932884272994701E-7</v>
      </c>
      <c r="Q32">
        <v>70.841515860264906</v>
      </c>
      <c r="R32">
        <v>9.3870970390478106E-2</v>
      </c>
      <c r="S32">
        <v>12.672581002724</v>
      </c>
      <c r="T32">
        <v>0.247023015895045</v>
      </c>
      <c r="V32">
        <v>0.58719307632678797</v>
      </c>
      <c r="W32">
        <v>2.64012104223184E-2</v>
      </c>
      <c r="X32">
        <v>0.117338712988124</v>
      </c>
      <c r="AA32">
        <v>0.77247986050492301</v>
      </c>
      <c r="AB32">
        <v>3.4712702592309199</v>
      </c>
      <c r="AC32">
        <v>4.5859880326172799</v>
      </c>
      <c r="AD32">
        <v>3.91129043293496E-2</v>
      </c>
      <c r="AE32">
        <v>6.5452250943057404</v>
      </c>
    </row>
    <row r="33" spans="1:31" x14ac:dyDescent="0.2">
      <c r="A33">
        <v>32</v>
      </c>
      <c r="B33">
        <v>736</v>
      </c>
      <c r="C33">
        <v>290</v>
      </c>
      <c r="D33">
        <v>0.27032700787792002</v>
      </c>
      <c r="E33">
        <v>49.171407394660399</v>
      </c>
      <c r="F33">
        <v>2.2139176007214298</v>
      </c>
      <c r="G33">
        <v>-800.15387811517598</v>
      </c>
      <c r="H33">
        <v>-670.81233083516815</v>
      </c>
      <c r="I33">
        <v>128.16880273498199</v>
      </c>
      <c r="J33">
        <v>66.8372469656166</v>
      </c>
      <c r="K33">
        <v>22.210134369335702</v>
      </c>
      <c r="L33">
        <v>1.6119936555537067E-4</v>
      </c>
      <c r="M33">
        <v>1.7530943528386382E-5</v>
      </c>
      <c r="N33" s="1">
        <v>1.85360691506717E-6</v>
      </c>
      <c r="O33" s="1">
        <v>4.8368154536504299E-8</v>
      </c>
      <c r="P33" s="1">
        <v>-2.4827605468026002E-7</v>
      </c>
      <c r="Q33">
        <v>70.452441720170199</v>
      </c>
      <c r="R33">
        <v>0.129499673457873</v>
      </c>
      <c r="S33">
        <v>13.071671789408599</v>
      </c>
      <c r="T33">
        <v>0.24906468334936999</v>
      </c>
      <c r="V33">
        <v>0.59571629400324699</v>
      </c>
      <c r="W33">
        <v>5.4909959731842997E-2</v>
      </c>
      <c r="X33">
        <v>0.13251534064805301</v>
      </c>
      <c r="AA33">
        <v>0.74473769419100599</v>
      </c>
      <c r="AB33">
        <v>3.3744509550622701</v>
      </c>
      <c r="AC33">
        <v>4.5804252879648297</v>
      </c>
      <c r="AD33">
        <v>8.1348088491509499E-2</v>
      </c>
      <c r="AE33">
        <v>6.5332185135210503</v>
      </c>
    </row>
    <row r="34" spans="1:31" x14ac:dyDescent="0.2">
      <c r="A34">
        <v>33</v>
      </c>
      <c r="B34">
        <v>734</v>
      </c>
      <c r="C34">
        <v>290</v>
      </c>
      <c r="D34">
        <v>0.268739016035347</v>
      </c>
      <c r="E34">
        <v>25.006113225830902</v>
      </c>
      <c r="F34">
        <v>2.21947926667336</v>
      </c>
      <c r="G34">
        <v>-406.9729829701007</v>
      </c>
      <c r="H34">
        <v>-341.57556712254137</v>
      </c>
      <c r="I34">
        <v>64.933143868896593</v>
      </c>
      <c r="J34">
        <v>34.033808984538503</v>
      </c>
      <c r="K34">
        <v>11.2666577252199</v>
      </c>
      <c r="L34">
        <v>1.6042320357546999E-4</v>
      </c>
      <c r="M34">
        <v>1.7504729512375351E-5</v>
      </c>
      <c r="N34" s="1">
        <v>9.3747823166683097E-7</v>
      </c>
      <c r="O34" s="1">
        <v>2.43719509589531E-8</v>
      </c>
      <c r="P34" s="1">
        <v>-1.24259351839411E-7</v>
      </c>
      <c r="Q34">
        <v>69.881690558329694</v>
      </c>
      <c r="R34">
        <v>0.13705917221667799</v>
      </c>
      <c r="S34">
        <v>13.8108962956416</v>
      </c>
      <c r="T34">
        <v>0.235971306672596</v>
      </c>
      <c r="V34">
        <v>0.57334251015397297</v>
      </c>
      <c r="W34">
        <v>0.10727451244386201</v>
      </c>
      <c r="X34">
        <v>0.13258743064834799</v>
      </c>
      <c r="AA34">
        <v>0.75342767166729896</v>
      </c>
      <c r="AB34">
        <v>3.09526657155669</v>
      </c>
      <c r="AC34">
        <v>4.6300548210240198</v>
      </c>
      <c r="AD34">
        <v>0.15996088491909199</v>
      </c>
      <c r="AE34">
        <v>6.4824682647260197</v>
      </c>
    </row>
    <row r="35" spans="1:31" x14ac:dyDescent="0.2">
      <c r="A35">
        <v>34</v>
      </c>
      <c r="B35">
        <v>732</v>
      </c>
      <c r="C35">
        <v>290</v>
      </c>
      <c r="D35">
        <v>0.267144704770434</v>
      </c>
      <c r="E35">
        <v>18.272178294236799</v>
      </c>
      <c r="F35">
        <v>2.2238042556017099</v>
      </c>
      <c r="G35">
        <v>-297.38624860170171</v>
      </c>
      <c r="H35">
        <v>-249.83793869658183</v>
      </c>
      <c r="I35">
        <v>47.304690747768802</v>
      </c>
      <c r="J35">
        <v>24.894705233324899</v>
      </c>
      <c r="K35">
        <v>8.2166306895985208</v>
      </c>
      <c r="L35">
        <v>1.5991505826355457E-4</v>
      </c>
      <c r="M35">
        <v>1.748763234260486E-5</v>
      </c>
      <c r="N35" s="1">
        <v>6.8316641134846205E-7</v>
      </c>
      <c r="O35" s="1">
        <v>1.76923892855239E-8</v>
      </c>
      <c r="P35" s="1">
        <v>-8.9786230639260802E-8</v>
      </c>
      <c r="Q35">
        <v>69.433771833840396</v>
      </c>
      <c r="R35">
        <v>0.13708373365686499</v>
      </c>
      <c r="S35">
        <v>14.373521171597799</v>
      </c>
      <c r="T35">
        <v>0.22786619847138601</v>
      </c>
      <c r="V35">
        <v>0.55955826755640703</v>
      </c>
      <c r="W35">
        <v>0.145965932929181</v>
      </c>
      <c r="X35">
        <v>0.130949228614683</v>
      </c>
      <c r="AA35">
        <v>0.77338391087088498</v>
      </c>
      <c r="AB35">
        <v>2.8870273037556902</v>
      </c>
      <c r="AC35">
        <v>4.6618509389892404</v>
      </c>
      <c r="AD35">
        <v>0.21891204954209001</v>
      </c>
      <c r="AE35">
        <v>6.4501094301752504</v>
      </c>
    </row>
    <row r="36" spans="1:31" x14ac:dyDescent="0.2">
      <c r="A36">
        <v>35</v>
      </c>
      <c r="B36">
        <v>730</v>
      </c>
      <c r="C36">
        <v>290</v>
      </c>
      <c r="D36">
        <v>0.265544036285703</v>
      </c>
      <c r="E36">
        <v>14.925243061360099</v>
      </c>
      <c r="F36">
        <v>2.22742141106826</v>
      </c>
      <c r="G36">
        <v>-242.91478200363642</v>
      </c>
      <c r="H36">
        <v>-204.25116977054671</v>
      </c>
      <c r="I36">
        <v>38.542204289577498</v>
      </c>
      <c r="J36">
        <v>20.3538951231412</v>
      </c>
      <c r="K36">
        <v>6.7006822270788904</v>
      </c>
      <c r="L36">
        <v>1.5957398930732666E-4</v>
      </c>
      <c r="M36">
        <v>1.7477461739017852E-5</v>
      </c>
      <c r="N36" s="1">
        <v>5.5744805616513203E-7</v>
      </c>
      <c r="O36" s="1">
        <v>1.43800441441846E-8</v>
      </c>
      <c r="P36" s="1">
        <v>-7.2720428661029498E-8</v>
      </c>
      <c r="Q36">
        <v>69.048590647733107</v>
      </c>
      <c r="R36">
        <v>0.13666525859478701</v>
      </c>
      <c r="S36">
        <v>14.8458576063565</v>
      </c>
      <c r="T36">
        <v>0.22116232025635499</v>
      </c>
      <c r="V36">
        <v>0.54739929966720402</v>
      </c>
      <c r="W36">
        <v>0.17785399256142101</v>
      </c>
      <c r="X36">
        <v>0.129283603977046</v>
      </c>
      <c r="AA36">
        <v>0.794231691842189</v>
      </c>
      <c r="AB36">
        <v>2.72122587718883</v>
      </c>
      <c r="AC36">
        <v>4.6810494527725703</v>
      </c>
      <c r="AD36">
        <v>0.26800233560985698</v>
      </c>
      <c r="AE36">
        <v>6.4286779134400502</v>
      </c>
    </row>
    <row r="37" spans="1:31" x14ac:dyDescent="0.2">
      <c r="A37">
        <v>36</v>
      </c>
      <c r="B37">
        <v>728</v>
      </c>
      <c r="C37">
        <v>290</v>
      </c>
      <c r="D37">
        <v>0.26393697248164799</v>
      </c>
      <c r="E37">
        <v>12.8557811881837</v>
      </c>
      <c r="F37">
        <v>2.2305912814733699</v>
      </c>
      <c r="G37">
        <v>-209.23227241031222</v>
      </c>
      <c r="H37">
        <v>-176.06973237014995</v>
      </c>
      <c r="I37">
        <v>33.124446926197201</v>
      </c>
      <c r="J37">
        <v>17.547302289662099</v>
      </c>
      <c r="K37">
        <v>5.7633961429689302</v>
      </c>
      <c r="L37">
        <v>1.5934329948608569E-4</v>
      </c>
      <c r="M37">
        <v>1.7472210232575782E-5</v>
      </c>
      <c r="N37" s="1">
        <v>4.8018232159400695E-7</v>
      </c>
      <c r="O37" s="1">
        <v>1.2337704064536799E-8</v>
      </c>
      <c r="P37" s="1">
        <v>-6.22173033235138E-8</v>
      </c>
      <c r="Q37">
        <v>68.701410524568601</v>
      </c>
      <c r="R37">
        <v>0.13594769122651601</v>
      </c>
      <c r="S37">
        <v>15.2630317980166</v>
      </c>
      <c r="T37">
        <v>0.21535021627914899</v>
      </c>
      <c r="V37">
        <v>0.53633431059508196</v>
      </c>
      <c r="W37">
        <v>0.205629465467949</v>
      </c>
      <c r="X37">
        <v>0.12760168688434401</v>
      </c>
      <c r="AA37">
        <v>0.81499802530536503</v>
      </c>
      <c r="AB37">
        <v>2.5823915030123201</v>
      </c>
      <c r="AC37">
        <v>4.6917553152271996</v>
      </c>
      <c r="AD37">
        <v>0.31114406362684299</v>
      </c>
      <c r="AE37">
        <v>6.4144053997899499</v>
      </c>
    </row>
    <row r="38" spans="1:31" x14ac:dyDescent="0.2">
      <c r="A38">
        <v>37</v>
      </c>
      <c r="B38">
        <v>726</v>
      </c>
      <c r="C38">
        <v>290</v>
      </c>
      <c r="D38">
        <v>0.26232347495371</v>
      </c>
      <c r="E38">
        <v>11.4208565543803</v>
      </c>
      <c r="F38">
        <v>2.2334486067689201</v>
      </c>
      <c r="G38">
        <v>-185.87627118565501</v>
      </c>
      <c r="H38">
        <v>-156.5329854076094</v>
      </c>
      <c r="I38">
        <v>29.368248789516599</v>
      </c>
      <c r="J38">
        <v>15.6020199514982</v>
      </c>
      <c r="K38">
        <v>5.11355243177172</v>
      </c>
      <c r="L38">
        <v>1.5919147698717522E-4</v>
      </c>
      <c r="M38">
        <v>1.7470590816850085E-5</v>
      </c>
      <c r="N38" s="1">
        <v>4.26945713936199E-7</v>
      </c>
      <c r="O38" s="1">
        <v>1.0925878932150299E-8</v>
      </c>
      <c r="P38" s="1">
        <v>-5.49706712074826E-8</v>
      </c>
      <c r="Q38">
        <v>68.380276752450598</v>
      </c>
      <c r="R38">
        <v>0.13501732784618101</v>
      </c>
      <c r="S38">
        <v>15.642153202926099</v>
      </c>
      <c r="T38">
        <v>0.21016679821484099</v>
      </c>
      <c r="V38">
        <v>0.526068647243085</v>
      </c>
      <c r="W38">
        <v>0.230596593396692</v>
      </c>
      <c r="X38">
        <v>0.125909379668563</v>
      </c>
      <c r="AA38">
        <v>0.83554944277538701</v>
      </c>
      <c r="AB38">
        <v>2.4624432766511601</v>
      </c>
      <c r="AC38">
        <v>4.6963484952481602</v>
      </c>
      <c r="AD38">
        <v>0.35023642762185703</v>
      </c>
      <c r="AE38">
        <v>6.4052336559573</v>
      </c>
    </row>
    <row r="39" spans="1:31" x14ac:dyDescent="0.2">
      <c r="A39">
        <v>38</v>
      </c>
      <c r="B39">
        <v>724</v>
      </c>
      <c r="C39">
        <v>290</v>
      </c>
      <c r="D39">
        <v>0.26070350498922301</v>
      </c>
      <c r="E39">
        <v>10.352792621694901</v>
      </c>
      <c r="F39">
        <v>2.23607272134169</v>
      </c>
      <c r="G39">
        <v>-168.49075153564993</v>
      </c>
      <c r="H39">
        <v>-141.99372544598685</v>
      </c>
      <c r="I39">
        <v>26.572758451249101</v>
      </c>
      <c r="J39">
        <v>14.154641392630401</v>
      </c>
      <c r="K39">
        <v>4.6298997894321801</v>
      </c>
      <c r="L39">
        <v>1.5909950608188791E-4</v>
      </c>
      <c r="M39">
        <v>1.7471786518421541E-5</v>
      </c>
      <c r="N39" s="1">
        <v>3.8757625118123603E-7</v>
      </c>
      <c r="O39" s="1">
        <v>9.8783333684825306E-9</v>
      </c>
      <c r="P39" s="1">
        <v>-4.9604468132371201E-8</v>
      </c>
      <c r="Q39">
        <v>68.078333347866902</v>
      </c>
      <c r="R39">
        <v>0.133928699184827</v>
      </c>
      <c r="S39">
        <v>15.993047144659499</v>
      </c>
      <c r="T39">
        <v>0.20545688140662599</v>
      </c>
      <c r="V39">
        <v>0.51642263580502301</v>
      </c>
      <c r="W39">
        <v>0.253503121395589</v>
      </c>
      <c r="X39">
        <v>0.124210193170604</v>
      </c>
      <c r="AA39">
        <v>0.85589975199513002</v>
      </c>
      <c r="AB39">
        <v>2.3565977249714201</v>
      </c>
      <c r="AC39">
        <v>4.6963021669278797</v>
      </c>
      <c r="AD39">
        <v>0.38636918038955798</v>
      </c>
      <c r="AE39">
        <v>6.3999291522268003</v>
      </c>
    </row>
    <row r="40" spans="1:31" x14ac:dyDescent="0.2">
      <c r="A40">
        <v>39</v>
      </c>
      <c r="B40">
        <v>760</v>
      </c>
      <c r="C40">
        <v>280</v>
      </c>
      <c r="D40">
        <v>0.29955040410395301</v>
      </c>
      <c r="E40">
        <v>106.67821623587101</v>
      </c>
      <c r="F40">
        <v>2.2001480939667499</v>
      </c>
      <c r="G40">
        <v>-1743.2938204768925</v>
      </c>
      <c r="H40">
        <v>-1453.8929505368515</v>
      </c>
      <c r="I40">
        <v>280.115055838979</v>
      </c>
      <c r="J40">
        <v>144.52635341978299</v>
      </c>
      <c r="K40">
        <v>48.486834376469602</v>
      </c>
      <c r="L40">
        <v>1.5883910461448862E-4</v>
      </c>
      <c r="M40">
        <v>1.7704235963838674E-5</v>
      </c>
      <c r="N40" s="1">
        <v>3.8177949283812397E-6</v>
      </c>
      <c r="O40" s="1">
        <v>1.05271548842456E-7</v>
      </c>
      <c r="P40" s="1">
        <v>-5.2919098495322701E-7</v>
      </c>
      <c r="Q40">
        <v>71.9640829298028</v>
      </c>
      <c r="R40">
        <v>8.9990256106025096E-2</v>
      </c>
      <c r="S40">
        <v>12.1486845743137</v>
      </c>
      <c r="T40">
        <v>0.22810325212781299</v>
      </c>
      <c r="V40">
        <v>0.57075315591491205</v>
      </c>
      <c r="W40">
        <v>2.5309759529819401E-2</v>
      </c>
      <c r="X40">
        <v>0.112487820132532</v>
      </c>
      <c r="AA40">
        <v>0.74054481587249599</v>
      </c>
      <c r="AB40">
        <v>3.3277646789206998</v>
      </c>
      <c r="AC40">
        <v>4.3963989701797299</v>
      </c>
      <c r="AD40">
        <v>3.7495940044176397E-2</v>
      </c>
      <c r="AE40">
        <v>6.3583838470550997</v>
      </c>
    </row>
    <row r="41" spans="1:31" x14ac:dyDescent="0.2">
      <c r="A41">
        <v>40</v>
      </c>
      <c r="B41">
        <v>758</v>
      </c>
      <c r="C41">
        <v>280</v>
      </c>
      <c r="D41">
        <v>0.29805605392037998</v>
      </c>
      <c r="E41">
        <v>106.5147154751</v>
      </c>
      <c r="F41">
        <v>2.2009779106600198</v>
      </c>
      <c r="G41">
        <v>-1740.0122424438209</v>
      </c>
      <c r="H41">
        <v>-1451.8900829488296</v>
      </c>
      <c r="I41">
        <v>279.41828007078601</v>
      </c>
      <c r="J41">
        <v>144.292002753086</v>
      </c>
      <c r="K41">
        <v>48.394268274668299</v>
      </c>
      <c r="L41">
        <v>1.5877683482094757E-4</v>
      </c>
      <c r="M41">
        <v>1.7686655630328531E-5</v>
      </c>
      <c r="N41" s="1">
        <v>3.8209494709592803E-6</v>
      </c>
      <c r="O41" s="1">
        <v>1.04939005660072E-7</v>
      </c>
      <c r="P41" s="1">
        <v>-5.2834425389630697E-7</v>
      </c>
      <c r="Q41">
        <v>71.930686206422706</v>
      </c>
      <c r="R41">
        <v>9.0128391717332196E-2</v>
      </c>
      <c r="S41">
        <v>12.1673328818407</v>
      </c>
      <c r="T41">
        <v>0.229227028712672</v>
      </c>
      <c r="V41">
        <v>0.57093313883390395</v>
      </c>
      <c r="W41">
        <v>2.5348610170499299E-2</v>
      </c>
      <c r="X41">
        <v>0.112660489646667</v>
      </c>
      <c r="AA41">
        <v>0.74168155684054105</v>
      </c>
      <c r="AB41">
        <v>3.3328728187138199</v>
      </c>
      <c r="AC41">
        <v>4.4031474703570801</v>
      </c>
      <c r="AD41">
        <v>3.7553496548886803E-2</v>
      </c>
      <c r="AE41">
        <v>6.3584279101950099</v>
      </c>
    </row>
    <row r="42" spans="1:31" x14ac:dyDescent="0.2">
      <c r="A42">
        <v>41</v>
      </c>
      <c r="B42">
        <v>756</v>
      </c>
      <c r="C42">
        <v>280</v>
      </c>
      <c r="D42">
        <v>0.29655589564203599</v>
      </c>
      <c r="E42">
        <v>106.059716030169</v>
      </c>
      <c r="F42">
        <v>2.2019514377327898</v>
      </c>
      <c r="G42">
        <v>-1731.9010348960946</v>
      </c>
      <c r="H42">
        <v>-1445.7940568589788</v>
      </c>
      <c r="I42">
        <v>278.00318518886002</v>
      </c>
      <c r="J42">
        <v>143.694313122941</v>
      </c>
      <c r="K42">
        <v>48.166237553073401</v>
      </c>
      <c r="L42">
        <v>1.5885236023013225E-4</v>
      </c>
      <c r="M42">
        <v>1.7670844629666923E-5</v>
      </c>
      <c r="N42" s="1">
        <v>3.8156512512132897E-6</v>
      </c>
      <c r="O42" s="1">
        <v>1.04373328131897E-7</v>
      </c>
      <c r="P42" s="1">
        <v>-5.2674806721111296E-7</v>
      </c>
      <c r="Q42">
        <v>71.833985218159498</v>
      </c>
      <c r="R42">
        <v>9.0515045290799206E-2</v>
      </c>
      <c r="S42">
        <v>12.219531114259301</v>
      </c>
      <c r="T42">
        <v>0.23109101821592001</v>
      </c>
      <c r="V42">
        <v>0.57259008734083705</v>
      </c>
      <c r="W42">
        <v>2.5457356488036698E-2</v>
      </c>
      <c r="X42">
        <v>0.113143806613503</v>
      </c>
      <c r="AA42">
        <v>0.74486339353886</v>
      </c>
      <c r="AB42">
        <v>3.3471709456493</v>
      </c>
      <c r="AC42">
        <v>4.4220371084774497</v>
      </c>
      <c r="AD42">
        <v>3.7714602204497301E-2</v>
      </c>
      <c r="AE42">
        <v>6.3619003037619102</v>
      </c>
    </row>
    <row r="43" spans="1:31" x14ac:dyDescent="0.2">
      <c r="A43">
        <v>42</v>
      </c>
      <c r="B43">
        <v>754</v>
      </c>
      <c r="C43">
        <v>280</v>
      </c>
      <c r="D43">
        <v>0.29504989534147702</v>
      </c>
      <c r="E43">
        <v>105.609263631003</v>
      </c>
      <c r="F43">
        <v>2.2029249441885801</v>
      </c>
      <c r="G43">
        <v>-1723.8704795439066</v>
      </c>
      <c r="H43">
        <v>-1439.7594001026919</v>
      </c>
      <c r="I43">
        <v>276.60135271500098</v>
      </c>
      <c r="J43">
        <v>143.10259809536399</v>
      </c>
      <c r="K43">
        <v>47.940472919699403</v>
      </c>
      <c r="L43">
        <v>1.5892792814487617E-4</v>
      </c>
      <c r="M43">
        <v>1.7655016392350045E-5</v>
      </c>
      <c r="N43" s="1">
        <v>3.8104544567614298E-6</v>
      </c>
      <c r="O43" s="1">
        <v>1.0381350796769999E-7</v>
      </c>
      <c r="P43" s="1">
        <v>-5.2517129691718403E-7</v>
      </c>
      <c r="Q43">
        <v>71.737385880255005</v>
      </c>
      <c r="R43">
        <v>9.0901116719668607E-2</v>
      </c>
      <c r="S43">
        <v>12.2716507571569</v>
      </c>
      <c r="T43">
        <v>0.232968020115183</v>
      </c>
      <c r="V43">
        <v>0.57423030720776902</v>
      </c>
      <c r="W43">
        <v>2.5565939077406199E-2</v>
      </c>
      <c r="X43">
        <v>0.11362639589959</v>
      </c>
      <c r="AA43">
        <v>0.74804043967226297</v>
      </c>
      <c r="AB43">
        <v>3.3614475453626902</v>
      </c>
      <c r="AC43">
        <v>4.4408983064086502</v>
      </c>
      <c r="AD43">
        <v>3.7875465299858899E-2</v>
      </c>
      <c r="AE43">
        <v>6.3654098268248802</v>
      </c>
    </row>
    <row r="44" spans="1:31" x14ac:dyDescent="0.2">
      <c r="A44">
        <v>43</v>
      </c>
      <c r="B44">
        <v>752</v>
      </c>
      <c r="C44">
        <v>280</v>
      </c>
      <c r="D44">
        <v>0.29353801882651298</v>
      </c>
      <c r="E44">
        <v>105.163283977121</v>
      </c>
      <c r="F44">
        <v>2.2038984375061501</v>
      </c>
      <c r="G44">
        <v>-1715.9192684379727</v>
      </c>
      <c r="H44">
        <v>-1433.7851066990884</v>
      </c>
      <c r="I44">
        <v>275.21256571124599</v>
      </c>
      <c r="J44">
        <v>142.516760719784</v>
      </c>
      <c r="K44">
        <v>47.716937490150301</v>
      </c>
      <c r="L44">
        <v>1.5900353951634207E-4</v>
      </c>
      <c r="M44">
        <v>1.7639170691915285E-5</v>
      </c>
      <c r="N44" s="1">
        <v>3.8053576274843099E-6</v>
      </c>
      <c r="O44" s="1">
        <v>1.03259450848123E-7</v>
      </c>
      <c r="P44" s="1">
        <v>-5.2361364175685304E-7</v>
      </c>
      <c r="Q44">
        <v>71.640886407321702</v>
      </c>
      <c r="R44">
        <v>9.1286612940773407E-2</v>
      </c>
      <c r="S44">
        <v>12.323692747006399</v>
      </c>
      <c r="T44">
        <v>0.23485819123594501</v>
      </c>
      <c r="V44">
        <v>0.57585371713899702</v>
      </c>
      <c r="W44">
        <v>2.56743598895917E-2</v>
      </c>
      <c r="X44">
        <v>0.114108266175972</v>
      </c>
      <c r="AA44">
        <v>0.75121275232510298</v>
      </c>
      <c r="AB44">
        <v>3.3757028743722799</v>
      </c>
      <c r="AC44">
        <v>4.4597314030438397</v>
      </c>
      <c r="AD44">
        <v>3.8036088725318697E-2</v>
      </c>
      <c r="AE44">
        <v>6.3689565798239904</v>
      </c>
    </row>
    <row r="45" spans="1:31" x14ac:dyDescent="0.2">
      <c r="A45">
        <v>44</v>
      </c>
      <c r="B45">
        <v>750</v>
      </c>
      <c r="C45">
        <v>280</v>
      </c>
      <c r="D45">
        <v>0.292020231637589</v>
      </c>
      <c r="E45">
        <v>104.721704368779</v>
      </c>
      <c r="F45">
        <v>2.2048719250660298</v>
      </c>
      <c r="G45">
        <v>-1708.0461218216694</v>
      </c>
      <c r="H45">
        <v>-1427.8701923348981</v>
      </c>
      <c r="I45">
        <v>273.83661192080399</v>
      </c>
      <c r="J45">
        <v>141.93670614532601</v>
      </c>
      <c r="K45">
        <v>47.4955951764153</v>
      </c>
      <c r="L45">
        <v>1.5907919534274579E-4</v>
      </c>
      <c r="M45">
        <v>1.7623307305002985E-5</v>
      </c>
      <c r="N45" s="1">
        <v>3.8003593380230399E-6</v>
      </c>
      <c r="O45" s="1">
        <v>1.02711064528107E-7</v>
      </c>
      <c r="P45" s="1">
        <v>-5.2207480731549503E-7</v>
      </c>
      <c r="Q45">
        <v>71.544485019068603</v>
      </c>
      <c r="R45">
        <v>9.1671540850724806E-2</v>
      </c>
      <c r="S45">
        <v>12.375658014851</v>
      </c>
      <c r="T45">
        <v>0.23676169003245401</v>
      </c>
      <c r="V45">
        <v>0.57746023402629498</v>
      </c>
      <c r="W45">
        <v>2.57826208642652E-2</v>
      </c>
      <c r="X45">
        <v>0.114589426063415</v>
      </c>
      <c r="AA45">
        <v>0.75438038825073905</v>
      </c>
      <c r="AB45">
        <v>3.3899371877089899</v>
      </c>
      <c r="AC45">
        <v>4.4785367353111596</v>
      </c>
      <c r="AD45">
        <v>3.8196475354463397E-2</v>
      </c>
      <c r="AE45">
        <v>6.3725406676177698</v>
      </c>
    </row>
    <row r="46" spans="1:31" x14ac:dyDescent="0.2">
      <c r="A46">
        <v>45</v>
      </c>
      <c r="B46">
        <v>748</v>
      </c>
      <c r="C46">
        <v>280</v>
      </c>
      <c r="D46">
        <v>0.29049649904519698</v>
      </c>
      <c r="E46">
        <v>104.28445366616</v>
      </c>
      <c r="F46">
        <v>2.205845414153</v>
      </c>
      <c r="G46">
        <v>-1700.2497874095588</v>
      </c>
      <c r="H46">
        <v>-1422.0136938132468</v>
      </c>
      <c r="I46">
        <v>272.47328364717299</v>
      </c>
      <c r="J46">
        <v>141.36234156709901</v>
      </c>
      <c r="K46">
        <v>47.276410666430699</v>
      </c>
      <c r="L46">
        <v>1.5915489666676037E-4</v>
      </c>
      <c r="M46">
        <v>1.7607426011189547E-5</v>
      </c>
      <c r="N46" s="1">
        <v>3.7954581969027701E-6</v>
      </c>
      <c r="O46" s="1">
        <v>1.02168258781609E-7</v>
      </c>
      <c r="P46" s="1">
        <v>-5.2055450583737695E-7</v>
      </c>
      <c r="Q46">
        <v>71.448179940726007</v>
      </c>
      <c r="R46">
        <v>9.2055907304573401E-2</v>
      </c>
      <c r="S46">
        <v>12.427547486121201</v>
      </c>
      <c r="T46">
        <v>0.238678676597918</v>
      </c>
      <c r="V46">
        <v>0.57904977292863502</v>
      </c>
      <c r="W46">
        <v>2.58907239294098E-2</v>
      </c>
      <c r="X46">
        <v>0.115069884130727</v>
      </c>
      <c r="AA46">
        <v>0.75754340386052998</v>
      </c>
      <c r="AB46">
        <v>3.4041507388669201</v>
      </c>
      <c r="AC46">
        <v>4.4973146381084996</v>
      </c>
      <c r="AD46">
        <v>3.8356628043565801E-2</v>
      </c>
      <c r="AE46">
        <v>6.3761621993819304</v>
      </c>
    </row>
    <row r="47" spans="1:31" x14ac:dyDescent="0.2">
      <c r="A47">
        <v>46</v>
      </c>
      <c r="B47">
        <v>746</v>
      </c>
      <c r="C47">
        <v>280</v>
      </c>
      <c r="D47">
        <v>0.288966786047197</v>
      </c>
      <c r="E47">
        <v>103.851462244884</v>
      </c>
      <c r="F47">
        <v>2.20681891195184</v>
      </c>
      <c r="G47">
        <v>-1692.529039608434</v>
      </c>
      <c r="H47">
        <v>-1416.2146684497332</v>
      </c>
      <c r="I47">
        <v>271.12237762714199</v>
      </c>
      <c r="J47">
        <v>140.79357616845701</v>
      </c>
      <c r="K47">
        <v>47.059349402181702</v>
      </c>
      <c r="L47">
        <v>1.5923064458111161E-4</v>
      </c>
      <c r="M47">
        <v>1.7591526593281318E-5</v>
      </c>
      <c r="N47" s="1">
        <v>3.7906528457365201E-6</v>
      </c>
      <c r="O47" s="1">
        <v>1.01630945349089E-7</v>
      </c>
      <c r="P47" s="1">
        <v>-5.19052456066506E-7</v>
      </c>
      <c r="Q47">
        <v>71.351969402013296</v>
      </c>
      <c r="R47">
        <v>9.2439719118861702E-2</v>
      </c>
      <c r="S47">
        <v>12.4793620810505</v>
      </c>
      <c r="T47">
        <v>0.240609312687177</v>
      </c>
      <c r="V47">
        <v>0.58062224707752497</v>
      </c>
      <c r="W47">
        <v>2.59986710021783E-2</v>
      </c>
      <c r="X47">
        <v>0.115549648898589</v>
      </c>
      <c r="AA47">
        <v>0.76070185524894196</v>
      </c>
      <c r="AB47">
        <v>3.41834377991611</v>
      </c>
      <c r="AC47">
        <v>4.51606544445234</v>
      </c>
      <c r="AD47">
        <v>3.85165496328519E-2</v>
      </c>
      <c r="AE47">
        <v>6.37982128890149</v>
      </c>
    </row>
    <row r="48" spans="1:31" x14ac:dyDescent="0.2">
      <c r="A48">
        <v>47</v>
      </c>
      <c r="B48">
        <v>744</v>
      </c>
      <c r="C48">
        <v>280</v>
      </c>
      <c r="D48">
        <v>0.28743105736617303</v>
      </c>
      <c r="E48">
        <v>103.42266195803801</v>
      </c>
      <c r="F48">
        <v>2.20779242554595</v>
      </c>
      <c r="G48">
        <v>-1684.8826788464448</v>
      </c>
      <c r="H48">
        <v>-1410.4721935595592</v>
      </c>
      <c r="I48">
        <v>269.78369491902498</v>
      </c>
      <c r="J48">
        <v>140.23032107117899</v>
      </c>
      <c r="K48">
        <v>46.844377560749898</v>
      </c>
      <c r="L48">
        <v>1.5930644022822004E-4</v>
      </c>
      <c r="M48">
        <v>1.7575608837318371E-5</v>
      </c>
      <c r="N48" s="1">
        <v>3.7859419584884898E-6</v>
      </c>
      <c r="O48" s="1">
        <v>1.01099037887778E-7</v>
      </c>
      <c r="P48" s="1">
        <v>-5.1756838308683295E-7</v>
      </c>
      <c r="Q48">
        <v>71.255851637463905</v>
      </c>
      <c r="R48">
        <v>9.2822983070143403E-2</v>
      </c>
      <c r="S48">
        <v>12.5311027144741</v>
      </c>
      <c r="T48">
        <v>0.24255376172624701</v>
      </c>
      <c r="V48">
        <v>0.58217756785588504</v>
      </c>
      <c r="W48">
        <v>2.6106463988475999E-2</v>
      </c>
      <c r="X48">
        <v>0.116028728837692</v>
      </c>
      <c r="AA48">
        <v>0.76385579818136096</v>
      </c>
      <c r="AB48">
        <v>3.4325165614478599</v>
      </c>
      <c r="AC48">
        <v>4.53478948540553</v>
      </c>
      <c r="AD48">
        <v>3.8676242945885099E-2</v>
      </c>
      <c r="AE48">
        <v>6.3835180546028401</v>
      </c>
    </row>
    <row r="49" spans="1:31" x14ac:dyDescent="0.2">
      <c r="A49">
        <v>48</v>
      </c>
      <c r="B49">
        <v>742</v>
      </c>
      <c r="C49">
        <v>280</v>
      </c>
      <c r="D49">
        <v>0.28588927744668102</v>
      </c>
      <c r="E49">
        <v>102.99798609617299</v>
      </c>
      <c r="F49">
        <v>2.2087659619144699</v>
      </c>
      <c r="G49">
        <v>-1677.3095308705308</v>
      </c>
      <c r="H49">
        <v>-1404.7853659153081</v>
      </c>
      <c r="I49">
        <v>268.457040787295</v>
      </c>
      <c r="J49">
        <v>139.67248928335499</v>
      </c>
      <c r="K49">
        <v>46.631462034528298</v>
      </c>
      <c r="L49">
        <v>1.5938228480350992E-4</v>
      </c>
      <c r="M49">
        <v>1.7559672532751229E-5</v>
      </c>
      <c r="N49" s="1">
        <v>3.78132424073842E-6</v>
      </c>
      <c r="O49" s="1">
        <v>1.00572451922705E-7</v>
      </c>
      <c r="P49" s="1">
        <v>-5.1610201817064499E-7</v>
      </c>
      <c r="Q49">
        <v>71.1598248858934</v>
      </c>
      <c r="R49">
        <v>9.3205705896388102E-2</v>
      </c>
      <c r="S49">
        <v>12.582770296017401</v>
      </c>
      <c r="T49">
        <v>0.24451218883029899</v>
      </c>
      <c r="V49">
        <v>0.58371564479409299</v>
      </c>
      <c r="W49">
        <v>2.6214104783357201E-2</v>
      </c>
      <c r="X49">
        <v>0.11650713237049901</v>
      </c>
      <c r="AA49">
        <v>0.76700528810566404</v>
      </c>
      <c r="AB49">
        <v>3.4466693326266902</v>
      </c>
      <c r="AC49">
        <v>4.5534870901459898</v>
      </c>
      <c r="AD49">
        <v>3.8835710790153098E-2</v>
      </c>
      <c r="AE49">
        <v>6.3872526197458797</v>
      </c>
    </row>
    <row r="50" spans="1:31" x14ac:dyDescent="0.2">
      <c r="A50">
        <v>49</v>
      </c>
      <c r="B50">
        <v>740</v>
      </c>
      <c r="C50">
        <v>280</v>
      </c>
      <c r="D50">
        <v>0.28434141045255101</v>
      </c>
      <c r="E50">
        <v>102.577369347458</v>
      </c>
      <c r="F50">
        <v>2.2097395279318102</v>
      </c>
      <c r="G50">
        <v>-1669.808446047532</v>
      </c>
      <c r="H50">
        <v>-1399.1533012064738</v>
      </c>
      <c r="I50">
        <v>267.142224587729</v>
      </c>
      <c r="J50">
        <v>139.119995647471</v>
      </c>
      <c r="K50">
        <v>46.420570411510901</v>
      </c>
      <c r="L50">
        <v>1.5945817955812698E-4</v>
      </c>
      <c r="M50">
        <v>1.7543717472535831E-5</v>
      </c>
      <c r="N50" s="1">
        <v>3.7767984288997101E-6</v>
      </c>
      <c r="O50" s="1">
        <v>1.0005110479741901E-7</v>
      </c>
      <c r="P50" s="1">
        <v>-5.1465309862273199E-7</v>
      </c>
      <c r="Q50">
        <v>71.063887389675301</v>
      </c>
      <c r="R50">
        <v>9.3587894299398205E-2</v>
      </c>
      <c r="S50">
        <v>12.6343657304243</v>
      </c>
      <c r="T50">
        <v>0.2464847608247</v>
      </c>
      <c r="V50">
        <v>0.58523638557170199</v>
      </c>
      <c r="W50">
        <v>2.63215952717036E-2</v>
      </c>
      <c r="X50">
        <v>0.116984867874263</v>
      </c>
      <c r="AA50">
        <v>0.77015038017209902</v>
      </c>
      <c r="AB50">
        <v>3.46080234127965</v>
      </c>
      <c r="AC50">
        <v>4.5721585860846696</v>
      </c>
      <c r="AD50">
        <v>3.8994955958073098E-2</v>
      </c>
      <c r="AE50">
        <v>6.3910251125639599</v>
      </c>
    </row>
    <row r="51" spans="1:31" x14ac:dyDescent="0.2">
      <c r="A51">
        <v>50</v>
      </c>
      <c r="B51">
        <v>738</v>
      </c>
      <c r="C51">
        <v>280</v>
      </c>
      <c r="D51">
        <v>0.28278742026405701</v>
      </c>
      <c r="E51">
        <v>102.16074776228599</v>
      </c>
      <c r="F51">
        <v>2.2107131303640002</v>
      </c>
      <c r="G51">
        <v>-1662.3782987404018</v>
      </c>
      <c r="H51">
        <v>-1393.575133560764</v>
      </c>
      <c r="I51">
        <v>265.83905966437999</v>
      </c>
      <c r="J51">
        <v>138.572756794177</v>
      </c>
      <c r="K51">
        <v>46.211670957717203</v>
      </c>
      <c r="L51">
        <v>1.5953412580099638E-4</v>
      </c>
      <c r="M51">
        <v>1.7527743453279137E-5</v>
      </c>
      <c r="N51" s="1">
        <v>3.7723632895903102E-6</v>
      </c>
      <c r="O51" s="1">
        <v>9.9534915629611005E-8</v>
      </c>
      <c r="P51" s="1">
        <v>-5.1322136764299099E-7</v>
      </c>
      <c r="Q51">
        <v>70.968037394703302</v>
      </c>
      <c r="R51">
        <v>9.3969554944312805E-2</v>
      </c>
      <c r="S51">
        <v>12.685889917488399</v>
      </c>
      <c r="T51">
        <v>0.24847164625729401</v>
      </c>
      <c r="V51">
        <v>0.58673969600227005</v>
      </c>
      <c r="W51">
        <v>2.64289373280856E-2</v>
      </c>
      <c r="X51">
        <v>0.11746194368040801</v>
      </c>
      <c r="AA51">
        <v>0.77329112922920495</v>
      </c>
      <c r="AB51">
        <v>3.4749158338780402</v>
      </c>
      <c r="AC51">
        <v>4.5908042988413804</v>
      </c>
      <c r="AD51">
        <v>3.91539812267864E-2</v>
      </c>
      <c r="AE51">
        <v>6.3948356664204704</v>
      </c>
    </row>
    <row r="52" spans="1:31" x14ac:dyDescent="0.2">
      <c r="A52">
        <v>51</v>
      </c>
      <c r="B52">
        <v>736</v>
      </c>
      <c r="C52">
        <v>280</v>
      </c>
      <c r="D52">
        <v>0.281227270475152</v>
      </c>
      <c r="E52">
        <v>28.203637317856799</v>
      </c>
      <c r="F52">
        <v>2.2184114282118599</v>
      </c>
      <c r="G52">
        <v>-458.94590858264888</v>
      </c>
      <c r="H52">
        <v>-385.24555048646999</v>
      </c>
      <c r="I52">
        <v>73.032114250784204</v>
      </c>
      <c r="J52">
        <v>38.314784858717204</v>
      </c>
      <c r="K52">
        <v>12.7134385259591</v>
      </c>
      <c r="L52">
        <v>1.5839633674596211E-4</v>
      </c>
      <c r="M52">
        <v>1.7481766829758865E-5</v>
      </c>
      <c r="N52" s="1">
        <v>1.03090686639083E-6</v>
      </c>
      <c r="O52" s="1">
        <v>2.71075509361748E-8</v>
      </c>
      <c r="P52" s="1">
        <v>-1.38436746941453E-7</v>
      </c>
      <c r="Q52">
        <v>70.235076691892402</v>
      </c>
      <c r="R52">
        <v>0.14133538068055301</v>
      </c>
      <c r="S52">
        <v>13.604955442808199</v>
      </c>
      <c r="T52">
        <v>0.23641452759127099</v>
      </c>
      <c r="V52">
        <v>0.57097318799736396</v>
      </c>
      <c r="W52">
        <v>9.5367549903302401E-2</v>
      </c>
      <c r="X52">
        <v>0.13687739278614</v>
      </c>
      <c r="AA52">
        <v>0.74790240920075501</v>
      </c>
      <c r="AB52">
        <v>3.1111279729318899</v>
      </c>
      <c r="AC52">
        <v>4.6624915077518096</v>
      </c>
      <c r="AD52">
        <v>0.14182567854335601</v>
      </c>
      <c r="AE52">
        <v>6.3156522579128298</v>
      </c>
    </row>
    <row r="53" spans="1:31" x14ac:dyDescent="0.2">
      <c r="A53">
        <v>52</v>
      </c>
      <c r="B53">
        <v>734</v>
      </c>
      <c r="C53">
        <v>280</v>
      </c>
      <c r="D53">
        <v>0.27966092439060802</v>
      </c>
      <c r="E53">
        <v>19.607056295667402</v>
      </c>
      <c r="F53">
        <v>2.2229624190714898</v>
      </c>
      <c r="G53">
        <v>-319.06731677153965</v>
      </c>
      <c r="H53">
        <v>-268.094447253792</v>
      </c>
      <c r="I53">
        <v>50.6110008615872</v>
      </c>
      <c r="J53">
        <v>26.665006571555299</v>
      </c>
      <c r="K53">
        <v>8.8202374126761303</v>
      </c>
      <c r="L53">
        <v>1.5782817064005303E-4</v>
      </c>
      <c r="M53">
        <v>1.7461867361591382E-5</v>
      </c>
      <c r="N53" s="1">
        <v>7.1428484790427297E-7</v>
      </c>
      <c r="O53" s="1">
        <v>1.8711062100422699E-8</v>
      </c>
      <c r="P53" s="1">
        <v>-9.5068118608702194E-8</v>
      </c>
      <c r="Q53">
        <v>69.765024042481599</v>
      </c>
      <c r="R53">
        <v>0.14152494545562799</v>
      </c>
      <c r="S53">
        <v>14.198072038990199</v>
      </c>
      <c r="T53">
        <v>0.22785427789443999</v>
      </c>
      <c r="V53">
        <v>0.55672248926685897</v>
      </c>
      <c r="W53">
        <v>0.13633394058866199</v>
      </c>
      <c r="X53">
        <v>0.13524963806941201</v>
      </c>
      <c r="AA53">
        <v>0.76757199143843902</v>
      </c>
      <c r="AB53">
        <v>2.88777661974677</v>
      </c>
      <c r="AC53">
        <v>4.6997239830033699</v>
      </c>
      <c r="AD53">
        <v>0.204008186628134</v>
      </c>
      <c r="AE53">
        <v>6.2801378464363404</v>
      </c>
    </row>
    <row r="54" spans="1:31" x14ac:dyDescent="0.2">
      <c r="A54">
        <v>53</v>
      </c>
      <c r="B54">
        <v>732</v>
      </c>
      <c r="C54">
        <v>280</v>
      </c>
      <c r="D54">
        <v>0.27808834502313201</v>
      </c>
      <c r="E54">
        <v>15.707939691077099</v>
      </c>
      <c r="F54">
        <v>2.22669230167944</v>
      </c>
      <c r="G54">
        <v>-255.61824425027788</v>
      </c>
      <c r="H54">
        <v>-214.96959604393291</v>
      </c>
      <c r="I54">
        <v>40.440380248067399</v>
      </c>
      <c r="J54">
        <v>21.382810625558701</v>
      </c>
      <c r="K54">
        <v>7.0543827179129002</v>
      </c>
      <c r="L54">
        <v>1.5745157639681805E-4</v>
      </c>
      <c r="M54">
        <v>1.7449923981930981E-5</v>
      </c>
      <c r="N54" s="1">
        <v>5.7143006714217295E-7</v>
      </c>
      <c r="O54" s="1">
        <v>1.49109398152817E-8</v>
      </c>
      <c r="P54" s="1">
        <v>-7.5472750946234703E-8</v>
      </c>
      <c r="Q54">
        <v>69.369009520655496</v>
      </c>
      <c r="R54">
        <v>0.14118515078949101</v>
      </c>
      <c r="S54">
        <v>14.685639390702701</v>
      </c>
      <c r="T54">
        <v>0.22091884115643301</v>
      </c>
      <c r="V54">
        <v>0.54433900621113096</v>
      </c>
      <c r="W54">
        <v>0.16933153498369499</v>
      </c>
      <c r="X54">
        <v>0.13358590163192</v>
      </c>
      <c r="AA54">
        <v>0.78817847866061197</v>
      </c>
      <c r="AB54">
        <v>2.71421550908443</v>
      </c>
      <c r="AC54">
        <v>4.7220009984287596</v>
      </c>
      <c r="AD54">
        <v>0.25464829116104898</v>
      </c>
      <c r="AE54">
        <v>6.2569473765341197</v>
      </c>
    </row>
    <row r="55" spans="1:31" x14ac:dyDescent="0.2">
      <c r="A55">
        <v>54</v>
      </c>
      <c r="B55">
        <v>730</v>
      </c>
      <c r="C55">
        <v>280</v>
      </c>
      <c r="D55">
        <v>0.27650949509046802</v>
      </c>
      <c r="E55">
        <v>13.3930732777307</v>
      </c>
      <c r="F55">
        <v>2.2299290475922602</v>
      </c>
      <c r="G55">
        <v>-217.94691244321464</v>
      </c>
      <c r="H55">
        <v>-183.43632511837831</v>
      </c>
      <c r="I55">
        <v>34.4022203307943</v>
      </c>
      <c r="J55">
        <v>18.247972121733401</v>
      </c>
      <c r="K55">
        <v>6.0060535523278897</v>
      </c>
      <c r="L55">
        <v>1.5719504810296112E-4</v>
      </c>
      <c r="M55">
        <v>1.7443347781114382E-5</v>
      </c>
      <c r="N55" s="1">
        <v>4.8711816991001801E-7</v>
      </c>
      <c r="O55" s="1">
        <v>1.2660911611900201E-8</v>
      </c>
      <c r="P55" s="1">
        <v>-6.38912868641884E-8</v>
      </c>
      <c r="Q55">
        <v>69.015712228700096</v>
      </c>
      <c r="R55">
        <v>0.14050454179401001</v>
      </c>
      <c r="S55">
        <v>15.1118689054586</v>
      </c>
      <c r="T55">
        <v>0.21496735001233899</v>
      </c>
      <c r="V55">
        <v>0.53315227704867696</v>
      </c>
      <c r="W55">
        <v>0.19774551707256499</v>
      </c>
      <c r="X55">
        <v>0.13190182083407001</v>
      </c>
      <c r="AA55">
        <v>0.80862827737469101</v>
      </c>
      <c r="AB55">
        <v>2.5707403638113902</v>
      </c>
      <c r="AC55">
        <v>4.7346957370549099</v>
      </c>
      <c r="AD55">
        <v>0.29866184684021702</v>
      </c>
      <c r="AE55">
        <v>6.2414211339983199</v>
      </c>
    </row>
    <row r="56" spans="1:31" x14ac:dyDescent="0.2">
      <c r="A56">
        <v>55</v>
      </c>
      <c r="B56">
        <v>728</v>
      </c>
      <c r="C56">
        <v>280</v>
      </c>
      <c r="D56">
        <v>0.27492433701243602</v>
      </c>
      <c r="E56">
        <v>11.824629872448901</v>
      </c>
      <c r="F56">
        <v>2.2328307362542699</v>
      </c>
      <c r="G56">
        <v>-192.42123445786126</v>
      </c>
      <c r="H56">
        <v>-162.07509161630497</v>
      </c>
      <c r="I56">
        <v>30.311284863962602</v>
      </c>
      <c r="J56">
        <v>16.124751334640401</v>
      </c>
      <c r="K56">
        <v>5.2958021763375998</v>
      </c>
      <c r="L56">
        <v>1.5702168577948772E-4</v>
      </c>
      <c r="M56">
        <v>1.7440607811344443E-5</v>
      </c>
      <c r="N56" s="1">
        <v>4.30344503472948E-7</v>
      </c>
      <c r="O56" s="1">
        <v>1.11408265068215E-8</v>
      </c>
      <c r="P56" s="1">
        <v>-5.6081652893729603E-8</v>
      </c>
      <c r="Q56">
        <v>68.690978169682595</v>
      </c>
      <c r="R56">
        <v>0.139588078168007</v>
      </c>
      <c r="S56">
        <v>15.496874810127601</v>
      </c>
      <c r="T56">
        <v>0.20969100170989899</v>
      </c>
      <c r="V56">
        <v>0.522816091388424</v>
      </c>
      <c r="W56">
        <v>0.22310780151985399</v>
      </c>
      <c r="X56">
        <v>0.130204985488168</v>
      </c>
      <c r="AA56">
        <v>0.82881604089891903</v>
      </c>
      <c r="AB56">
        <v>2.44775921843515</v>
      </c>
      <c r="AC56">
        <v>4.7406950346311598</v>
      </c>
      <c r="AD56">
        <v>0.33827697299115</v>
      </c>
      <c r="AE56">
        <v>6.2311917949589999</v>
      </c>
    </row>
    <row r="57" spans="1:31" x14ac:dyDescent="0.2">
      <c r="A57">
        <v>56</v>
      </c>
      <c r="B57">
        <v>726</v>
      </c>
      <c r="C57">
        <v>280</v>
      </c>
      <c r="D57">
        <v>0.273332832907971</v>
      </c>
      <c r="E57">
        <v>10.674482103743999</v>
      </c>
      <c r="F57">
        <v>2.2354868174623399</v>
      </c>
      <c r="G57">
        <v>-173.70216097709729</v>
      </c>
      <c r="H57">
        <v>-146.41372786711077</v>
      </c>
      <c r="I57">
        <v>27.311648010795601</v>
      </c>
      <c r="J57">
        <v>14.5683659153659</v>
      </c>
      <c r="K57">
        <v>4.7750145607485104</v>
      </c>
      <c r="L57">
        <v>1.5691015664854606E-4</v>
      </c>
      <c r="M57">
        <v>1.7440777360635974E-5</v>
      </c>
      <c r="N57" s="1">
        <v>3.8897477393412702E-7</v>
      </c>
      <c r="O57" s="1">
        <v>1.0029506689984999E-8</v>
      </c>
      <c r="P57" s="1">
        <v>-5.0383092481978898E-8</v>
      </c>
      <c r="Q57">
        <v>68.386980433393006</v>
      </c>
      <c r="R57">
        <v>0.13849923265132799</v>
      </c>
      <c r="S57">
        <v>15.8517879579328</v>
      </c>
      <c r="T57">
        <v>0.204914636504237</v>
      </c>
      <c r="V57">
        <v>0.51312794573718301</v>
      </c>
      <c r="W57">
        <v>0.24626454488886301</v>
      </c>
      <c r="X57">
        <v>0.128499691332498</v>
      </c>
      <c r="AA57">
        <v>0.84877595703724396</v>
      </c>
      <c r="AB57">
        <v>2.3398177546594501</v>
      </c>
      <c r="AC57">
        <v>4.7417077228953701</v>
      </c>
      <c r="AD57">
        <v>0.37472543970911798</v>
      </c>
      <c r="AE57">
        <v>6.2248986832587496</v>
      </c>
    </row>
    <row r="58" spans="1:31" x14ac:dyDescent="0.2">
      <c r="A58">
        <v>57</v>
      </c>
      <c r="B58">
        <v>760</v>
      </c>
      <c r="C58">
        <v>270</v>
      </c>
      <c r="D58">
        <v>0.31019745438706797</v>
      </c>
      <c r="E58">
        <v>106.515075011498</v>
      </c>
      <c r="F58">
        <v>2.2004693023330502</v>
      </c>
      <c r="G58">
        <v>-1740.2381960701096</v>
      </c>
      <c r="H58">
        <v>-1452.2323465410868</v>
      </c>
      <c r="I58">
        <v>278.76479652424302</v>
      </c>
      <c r="J58">
        <v>144.15922371341199</v>
      </c>
      <c r="K58">
        <v>48.405617337431501</v>
      </c>
      <c r="L58">
        <v>1.5718532441152516E-4</v>
      </c>
      <c r="M58">
        <v>1.7697397924551356E-5</v>
      </c>
      <c r="N58" s="1">
        <v>3.7375168713514701E-6</v>
      </c>
      <c r="O58" s="1">
        <v>1.0375774261070899E-7</v>
      </c>
      <c r="P58" s="1">
        <v>-5.2280772992527103E-7</v>
      </c>
      <c r="Q58">
        <v>72.074304967376094</v>
      </c>
      <c r="R58">
        <v>9.0128087493377196E-2</v>
      </c>
      <c r="S58">
        <v>12.167291811606299</v>
      </c>
      <c r="T58">
        <v>0.22955909538550301</v>
      </c>
      <c r="V58">
        <v>0.57063171820463698</v>
      </c>
      <c r="W58">
        <v>2.5348524607512201E-2</v>
      </c>
      <c r="X58">
        <v>0.11266010936672199</v>
      </c>
      <c r="AA58">
        <v>0.74167905333091499</v>
      </c>
      <c r="AB58">
        <v>3.3328615687654999</v>
      </c>
      <c r="AC58">
        <v>4.4031326077493302</v>
      </c>
      <c r="AD58">
        <v>3.7553369788906499E-2</v>
      </c>
      <c r="AE58">
        <v>6.2148490863251302</v>
      </c>
    </row>
    <row r="59" spans="1:31" x14ac:dyDescent="0.2">
      <c r="A59">
        <v>58</v>
      </c>
      <c r="B59">
        <v>758</v>
      </c>
      <c r="C59">
        <v>270</v>
      </c>
      <c r="D59">
        <v>0.30872375503079302</v>
      </c>
      <c r="E59">
        <v>106.356923185894</v>
      </c>
      <c r="F59">
        <v>2.2012954701846499</v>
      </c>
      <c r="G59">
        <v>-1737.0474296107777</v>
      </c>
      <c r="H59">
        <v>-1450.3030730331079</v>
      </c>
      <c r="I59">
        <v>278.08209918796399</v>
      </c>
      <c r="J59">
        <v>143.93166664102699</v>
      </c>
      <c r="K59">
        <v>48.315605345325402</v>
      </c>
      <c r="L59">
        <v>1.5711985425203391E-4</v>
      </c>
      <c r="M59">
        <v>1.7679709136364062E-5</v>
      </c>
      <c r="N59" s="1">
        <v>3.7406113220905398E-6</v>
      </c>
      <c r="O59" s="1">
        <v>1.03432824192646E-7</v>
      </c>
      <c r="P59" s="1">
        <v>-5.2197097509684996E-7</v>
      </c>
      <c r="Q59">
        <v>72.042142396508794</v>
      </c>
      <c r="R59">
        <v>9.0262107180562295E-2</v>
      </c>
      <c r="S59">
        <v>12.1853844693767</v>
      </c>
      <c r="T59">
        <v>0.230677687017217</v>
      </c>
      <c r="V59">
        <v>0.57078087421054102</v>
      </c>
      <c r="W59">
        <v>2.5386217644532801E-2</v>
      </c>
      <c r="X59">
        <v>0.112827633975705</v>
      </c>
      <c r="AA59">
        <v>0.74278192367337303</v>
      </c>
      <c r="AB59">
        <v>3.3378175051145198</v>
      </c>
      <c r="AC59">
        <v>4.4096800278836401</v>
      </c>
      <c r="AD59">
        <v>3.76092113252329E-2</v>
      </c>
      <c r="AE59">
        <v>6.2146499460890396</v>
      </c>
    </row>
    <row r="60" spans="1:31" x14ac:dyDescent="0.2">
      <c r="A60">
        <v>59</v>
      </c>
      <c r="B60">
        <v>756</v>
      </c>
      <c r="C60">
        <v>270</v>
      </c>
      <c r="D60">
        <v>0.30724432784336703</v>
      </c>
      <c r="E60">
        <v>105.907242981511</v>
      </c>
      <c r="F60">
        <v>2.2022706189845298</v>
      </c>
      <c r="G60">
        <v>-1729.0264140716649</v>
      </c>
      <c r="H60">
        <v>-1444.2785592110095</v>
      </c>
      <c r="I60">
        <v>276.6825582866</v>
      </c>
      <c r="J60">
        <v>143.340956308096</v>
      </c>
      <c r="K60">
        <v>48.090022210960299</v>
      </c>
      <c r="L60">
        <v>1.5719086578159594E-4</v>
      </c>
      <c r="M60">
        <v>1.7663672224951675E-5</v>
      </c>
      <c r="N60" s="1">
        <v>3.7353624730067199E-6</v>
      </c>
      <c r="O60" s="1">
        <v>1.02876267492396E-7</v>
      </c>
      <c r="P60" s="1">
        <v>-5.2038819880288802E-7</v>
      </c>
      <c r="Q60">
        <v>71.946669349013405</v>
      </c>
      <c r="R60">
        <v>9.0645358426297298E-2</v>
      </c>
      <c r="S60">
        <v>12.2371233875516</v>
      </c>
      <c r="T60">
        <v>0.23254252787215701</v>
      </c>
      <c r="V60">
        <v>0.57240771774722699</v>
      </c>
      <c r="W60">
        <v>2.5494007057395501E-2</v>
      </c>
      <c r="X60">
        <v>0.11330669803287501</v>
      </c>
      <c r="AA60">
        <v>0.74593576204973</v>
      </c>
      <c r="AB60">
        <v>3.35198981680574</v>
      </c>
      <c r="AC60">
        <v>4.4284034481179297</v>
      </c>
      <c r="AD60">
        <v>3.7768899344288002E-2</v>
      </c>
      <c r="AE60">
        <v>6.2177130279813202</v>
      </c>
    </row>
    <row r="61" spans="1:31" x14ac:dyDescent="0.2">
      <c r="A61">
        <v>60</v>
      </c>
      <c r="B61">
        <v>754</v>
      </c>
      <c r="C61">
        <v>270</v>
      </c>
      <c r="D61">
        <v>0.30575913936620902</v>
      </c>
      <c r="E61">
        <v>105.462018950366</v>
      </c>
      <c r="F61">
        <v>2.20324588139556</v>
      </c>
      <c r="G61">
        <v>-1721.0844511966077</v>
      </c>
      <c r="H61">
        <v>-1438.3142009940964</v>
      </c>
      <c r="I61">
        <v>275.295964759296</v>
      </c>
      <c r="J61">
        <v>142.75609010916801</v>
      </c>
      <c r="K61">
        <v>47.866658842255902</v>
      </c>
      <c r="L61">
        <v>1.5726183000581325E-4</v>
      </c>
      <c r="M61">
        <v>1.7647612765442414E-5</v>
      </c>
      <c r="N61" s="1">
        <v>3.7302083152817999E-6</v>
      </c>
      <c r="O61" s="1">
        <v>1.02325350434183E-7</v>
      </c>
      <c r="P61" s="1">
        <v>-5.1882393724940199E-7</v>
      </c>
      <c r="Q61">
        <v>71.851303664850803</v>
      </c>
      <c r="R61">
        <v>9.1028031660555203E-2</v>
      </c>
      <c r="S61">
        <v>12.2887842741768</v>
      </c>
      <c r="T61">
        <v>0.234420384297128</v>
      </c>
      <c r="V61">
        <v>0.57401786542858801</v>
      </c>
      <c r="W61">
        <v>2.5601633904530401E-2</v>
      </c>
      <c r="X61">
        <v>0.11378503957569901</v>
      </c>
      <c r="AA61">
        <v>0.74908484387330798</v>
      </c>
      <c r="AB61">
        <v>3.3661407541142201</v>
      </c>
      <c r="AC61">
        <v>4.4470986300832003</v>
      </c>
      <c r="AD61">
        <v>3.7928346525228002E-2</v>
      </c>
      <c r="AE61">
        <v>6.2208065315098802</v>
      </c>
    </row>
    <row r="62" spans="1:31" x14ac:dyDescent="0.2">
      <c r="A62">
        <v>61</v>
      </c>
      <c r="B62">
        <v>752</v>
      </c>
      <c r="C62">
        <v>270</v>
      </c>
      <c r="D62">
        <v>0.30426815587962902</v>
      </c>
      <c r="E62">
        <v>105.02117906455599</v>
      </c>
      <c r="F62">
        <v>2.2042212670190802</v>
      </c>
      <c r="G62">
        <v>-1713.2202722654097</v>
      </c>
      <c r="H62">
        <v>-1432.4090231502769</v>
      </c>
      <c r="I62">
        <v>273.92210809650601</v>
      </c>
      <c r="J62">
        <v>142.176974032918</v>
      </c>
      <c r="K62">
        <v>47.645479442534999</v>
      </c>
      <c r="L62">
        <v>1.5733274598321283E-4</v>
      </c>
      <c r="M62">
        <v>1.7631530424718611E-5</v>
      </c>
      <c r="N62" s="1">
        <v>3.7251474040613499E-6</v>
      </c>
      <c r="O62" s="1">
        <v>1.0177998154609999E-7</v>
      </c>
      <c r="P62" s="1">
        <v>-5.1727789385068098E-7</v>
      </c>
      <c r="Q62">
        <v>71.756043757689397</v>
      </c>
      <c r="R62">
        <v>9.1410133513155203E-2</v>
      </c>
      <c r="S62">
        <v>12.3403680242783</v>
      </c>
      <c r="T62">
        <v>0.236311412219841</v>
      </c>
      <c r="V62">
        <v>0.57561123411928505</v>
      </c>
      <c r="W62">
        <v>2.5709100050573998E-2</v>
      </c>
      <c r="X62">
        <v>0.11426266689145</v>
      </c>
      <c r="AA62">
        <v>0.75222922370199297</v>
      </c>
      <c r="AB62">
        <v>3.3802705622051401</v>
      </c>
      <c r="AC62">
        <v>4.4657658976737196</v>
      </c>
      <c r="AD62">
        <v>3.80875556304772E-2</v>
      </c>
      <c r="AE62">
        <v>6.2239304320266102</v>
      </c>
    </row>
    <row r="63" spans="1:31" x14ac:dyDescent="0.2">
      <c r="A63">
        <v>62</v>
      </c>
      <c r="B63">
        <v>750</v>
      </c>
      <c r="C63">
        <v>270</v>
      </c>
      <c r="D63">
        <v>0.302771343400284</v>
      </c>
      <c r="E63">
        <v>104.584652839348</v>
      </c>
      <c r="F63">
        <v>2.2051967854164598</v>
      </c>
      <c r="G63">
        <v>-1705.4326357325833</v>
      </c>
      <c r="H63">
        <v>-1426.5620713433841</v>
      </c>
      <c r="I63">
        <v>272.56078227942999</v>
      </c>
      <c r="J63">
        <v>141.60351608733001</v>
      </c>
      <c r="K63">
        <v>47.426448982237702</v>
      </c>
      <c r="L63">
        <v>1.5740361276796123E-4</v>
      </c>
      <c r="M63">
        <v>1.7615424869926601E-5</v>
      </c>
      <c r="N63" s="1">
        <v>3.7201783258078598E-6</v>
      </c>
      <c r="O63" s="1">
        <v>1.01240071313339E-7</v>
      </c>
      <c r="P63" s="1">
        <v>-5.1574977837588203E-7</v>
      </c>
      <c r="Q63">
        <v>71.660888050851696</v>
      </c>
      <c r="R63">
        <v>9.1791670568975206E-2</v>
      </c>
      <c r="S63">
        <v>12.391875526814299</v>
      </c>
      <c r="T63">
        <v>0.23821576916582701</v>
      </c>
      <c r="V63">
        <v>0.57718773885879304</v>
      </c>
      <c r="W63">
        <v>2.5816407347523301E-2</v>
      </c>
      <c r="X63">
        <v>0.114739588211226</v>
      </c>
      <c r="AA63">
        <v>0.75536895572384199</v>
      </c>
      <c r="AB63">
        <v>3.39437948458181</v>
      </c>
      <c r="AC63">
        <v>4.4844055725882201</v>
      </c>
      <c r="AD63">
        <v>3.8246529403734901E-2</v>
      </c>
      <c r="AE63">
        <v>6.2270847058839198</v>
      </c>
    </row>
    <row r="64" spans="1:31" x14ac:dyDescent="0.2">
      <c r="A64">
        <v>63</v>
      </c>
      <c r="B64">
        <v>748</v>
      </c>
      <c r="C64">
        <v>270</v>
      </c>
      <c r="D64">
        <v>0.301268667678598</v>
      </c>
      <c r="E64">
        <v>104.15237129396</v>
      </c>
      <c r="F64">
        <v>2.2061724461063901</v>
      </c>
      <c r="G64">
        <v>-1697.7203265352077</v>
      </c>
      <c r="H64">
        <v>-1420.7724116029437</v>
      </c>
      <c r="I64">
        <v>271.21178566544</v>
      </c>
      <c r="J64">
        <v>141.035626248379</v>
      </c>
      <c r="K64">
        <v>47.209533179410101</v>
      </c>
      <c r="L64">
        <v>1.5747442941025931E-4</v>
      </c>
      <c r="M64">
        <v>1.7599295768554927E-5</v>
      </c>
      <c r="N64" s="1">
        <v>3.7152996975686902E-6</v>
      </c>
      <c r="O64" s="1">
        <v>1.00705532128723E-7</v>
      </c>
      <c r="P64" s="1">
        <v>-5.1423930679212504E-7</v>
      </c>
      <c r="Q64">
        <v>71.565834977537094</v>
      </c>
      <c r="R64">
        <v>9.2172649366811299E-2</v>
      </c>
      <c r="S64">
        <v>12.4433076645226</v>
      </c>
      <c r="T64">
        <v>0.24013361426829999</v>
      </c>
      <c r="V64">
        <v>0.57874729284253201</v>
      </c>
      <c r="W64">
        <v>2.59235576344145E-2</v>
      </c>
      <c r="X64">
        <v>0.11521581170852201</v>
      </c>
      <c r="AA64">
        <v>0.758504093747699</v>
      </c>
      <c r="AB64">
        <v>3.4084677630434399</v>
      </c>
      <c r="AC64">
        <v>4.5030179742741403</v>
      </c>
      <c r="AD64">
        <v>3.8405270569499203E-2</v>
      </c>
      <c r="AE64">
        <v>6.2302693304848198</v>
      </c>
    </row>
    <row r="65" spans="1:31" x14ac:dyDescent="0.2">
      <c r="A65">
        <v>64</v>
      </c>
      <c r="B65">
        <v>746</v>
      </c>
      <c r="C65">
        <v>270</v>
      </c>
      <c r="D65">
        <v>0.29976009419614502</v>
      </c>
      <c r="E65">
        <v>103.724266909775</v>
      </c>
      <c r="F65">
        <v>2.20714825856495</v>
      </c>
      <c r="G65">
        <v>-1690.0821553596247</v>
      </c>
      <c r="H65">
        <v>-1415.0391297573581</v>
      </c>
      <c r="I65">
        <v>269.87492086765002</v>
      </c>
      <c r="J65">
        <v>140.473216405594</v>
      </c>
      <c r="K65">
        <v>46.9946984790299</v>
      </c>
      <c r="L65">
        <v>1.5754519495819456E-4</v>
      </c>
      <c r="M65">
        <v>1.7583142788503878E-5</v>
      </c>
      <c r="N65" s="1">
        <v>3.7105101661461502E-6</v>
      </c>
      <c r="O65" s="1">
        <v>1.00176278241443E-7</v>
      </c>
      <c r="P65" s="1">
        <v>-5.1274620110074501E-7</v>
      </c>
      <c r="Q65">
        <v>71.4708829802141</v>
      </c>
      <c r="R65">
        <v>9.2553076401597198E-2</v>
      </c>
      <c r="S65">
        <v>12.494665314219301</v>
      </c>
      <c r="T65">
        <v>0.24206510828810901</v>
      </c>
      <c r="V65">
        <v>0.58028980742314495</v>
      </c>
      <c r="W65">
        <v>2.6030552737947799E-2</v>
      </c>
      <c r="X65">
        <v>0.11569134550200599</v>
      </c>
      <c r="AA65">
        <v>0.761634691221455</v>
      </c>
      <c r="AB65">
        <v>3.4225356377672802</v>
      </c>
      <c r="AC65">
        <v>4.52160342003602</v>
      </c>
      <c r="AD65">
        <v>3.8563781833992297E-2</v>
      </c>
      <c r="AE65">
        <v>6.2334842843549403</v>
      </c>
    </row>
    <row r="66" spans="1:31" x14ac:dyDescent="0.2">
      <c r="A66">
        <v>65</v>
      </c>
      <c r="B66">
        <v>744</v>
      </c>
      <c r="C66">
        <v>270</v>
      </c>
      <c r="D66">
        <v>0.298245588163005</v>
      </c>
      <c r="E66">
        <v>103.300273593763</v>
      </c>
      <c r="F66">
        <v>2.2081242322250398</v>
      </c>
      <c r="G66">
        <v>-1682.5169579952301</v>
      </c>
      <c r="H66">
        <v>-1409.3613309395892</v>
      </c>
      <c r="I66">
        <v>268.54999464743702</v>
      </c>
      <c r="J66">
        <v>139.916200314082</v>
      </c>
      <c r="K66">
        <v>46.781912034755102</v>
      </c>
      <c r="L66">
        <v>1.5761590845672559E-4</v>
      </c>
      <c r="M66">
        <v>1.7566965598059682E-5</v>
      </c>
      <c r="N66" s="1">
        <v>3.70580840737307E-6</v>
      </c>
      <c r="O66" s="1">
        <v>9.9652225709662395E-8</v>
      </c>
      <c r="P66" s="1">
        <v>-5.1127018918329904E-7</v>
      </c>
      <c r="Q66">
        <v>71.376030510946805</v>
      </c>
      <c r="R66">
        <v>9.2932958123160006E-2</v>
      </c>
      <c r="S66">
        <v>12.5459493466312</v>
      </c>
      <c r="T66">
        <v>0.244010413623276</v>
      </c>
      <c r="V66">
        <v>0.58181519209114296</v>
      </c>
      <c r="W66">
        <v>2.6137394472137001E-2</v>
      </c>
      <c r="X66">
        <v>0.11616619765396299</v>
      </c>
      <c r="AA66">
        <v>0.76476080122181</v>
      </c>
      <c r="AB66">
        <v>3.4365833472625398</v>
      </c>
      <c r="AC66">
        <v>4.5401622249747797</v>
      </c>
      <c r="AD66">
        <v>3.8722065884641797E-2</v>
      </c>
      <c r="AE66">
        <v>6.2367295471143702</v>
      </c>
    </row>
    <row r="67" spans="1:31" x14ac:dyDescent="0.2">
      <c r="A67">
        <v>66</v>
      </c>
      <c r="B67">
        <v>742</v>
      </c>
      <c r="C67">
        <v>270</v>
      </c>
      <c r="D67">
        <v>0.29672511451509398</v>
      </c>
      <c r="E67">
        <v>102.880326639039</v>
      </c>
      <c r="F67">
        <v>2.20910037647577</v>
      </c>
      <c r="G67">
        <v>-1675.0235946427854</v>
      </c>
      <c r="H67">
        <v>-1403.7381390520184</v>
      </c>
      <c r="I67">
        <v>267.23681780108001</v>
      </c>
      <c r="J67">
        <v>139.364493543197</v>
      </c>
      <c r="K67">
        <v>46.571141689435898</v>
      </c>
      <c r="L67">
        <v>1.5768656895007546E-4</v>
      </c>
      <c r="M67">
        <v>1.7550763865999123E-5</v>
      </c>
      <c r="N67" s="1">
        <v>3.7011931253446901E-6</v>
      </c>
      <c r="O67" s="1">
        <v>9.9133292352670207E-8</v>
      </c>
      <c r="P67" s="1">
        <v>-5.0981100465014096E-7</v>
      </c>
      <c r="Q67">
        <v>71.281276030728094</v>
      </c>
      <c r="R67">
        <v>9.3312300938567697E-2</v>
      </c>
      <c r="S67">
        <v>12.597160626711601</v>
      </c>
      <c r="T67">
        <v>0.24596969432931301</v>
      </c>
      <c r="V67">
        <v>0.58332335447709105</v>
      </c>
      <c r="W67">
        <v>2.6244084638970301E-2</v>
      </c>
      <c r="X67">
        <v>0.116640376173223</v>
      </c>
      <c r="AA67">
        <v>0.76788247647359997</v>
      </c>
      <c r="AB67">
        <v>3.45061112845729</v>
      </c>
      <c r="AC67">
        <v>4.5586947021024802</v>
      </c>
      <c r="AD67">
        <v>3.8880125391060998E-2</v>
      </c>
      <c r="AE67">
        <v>6.2400050995785996</v>
      </c>
    </row>
    <row r="68" spans="1:31" x14ac:dyDescent="0.2">
      <c r="A68">
        <v>67</v>
      </c>
      <c r="B68">
        <v>740</v>
      </c>
      <c r="C68">
        <v>270</v>
      </c>
      <c r="D68">
        <v>0.295198637911468</v>
      </c>
      <c r="E68">
        <v>102.464362689944</v>
      </c>
      <c r="F68">
        <v>2.21007670066414</v>
      </c>
      <c r="G68">
        <v>-1667.6009492977996</v>
      </c>
      <c r="H68">
        <v>-1398.1686962943156</v>
      </c>
      <c r="I68">
        <v>265.93520505698399</v>
      </c>
      <c r="J68">
        <v>138.81801343069401</v>
      </c>
      <c r="K68">
        <v>46.362355957670196</v>
      </c>
      <c r="L68">
        <v>1.5775717547992818E-4</v>
      </c>
      <c r="M68">
        <v>1.753453726148163E-5</v>
      </c>
      <c r="N68" s="1">
        <v>3.69666305168272E-6</v>
      </c>
      <c r="O68" s="1">
        <v>9.8619397704939903E-8</v>
      </c>
      <c r="P68" s="1">
        <v>-5.0836838668797801E-7</v>
      </c>
      <c r="Q68">
        <v>71.186618009709306</v>
      </c>
      <c r="R68">
        <v>9.3691111211511593E-2</v>
      </c>
      <c r="S68">
        <v>12.6483000135597</v>
      </c>
      <c r="T68">
        <v>0.24794311613043399</v>
      </c>
      <c r="V68">
        <v>0.58481420033567999</v>
      </c>
      <c r="W68">
        <v>2.63506250282355E-2</v>
      </c>
      <c r="X68">
        <v>0.117113889014405</v>
      </c>
      <c r="AA68">
        <v>0.77099976934469805</v>
      </c>
      <c r="AB68">
        <v>3.4646192166755099</v>
      </c>
      <c r="AC68">
        <v>4.5772011623118702</v>
      </c>
      <c r="AD68">
        <v>3.9037963004786499E-2</v>
      </c>
      <c r="AE68">
        <v>6.24331092367379</v>
      </c>
    </row>
    <row r="69" spans="1:31" x14ac:dyDescent="0.2">
      <c r="A69">
        <v>68</v>
      </c>
      <c r="B69">
        <v>738</v>
      </c>
      <c r="C69">
        <v>270</v>
      </c>
      <c r="D69">
        <v>0.29366612273154402</v>
      </c>
      <c r="E69">
        <v>32.7666060522576</v>
      </c>
      <c r="F69">
        <v>2.2171949884152702</v>
      </c>
      <c r="G69">
        <v>-533.1331603077698</v>
      </c>
      <c r="H69">
        <v>-447.56443331542198</v>
      </c>
      <c r="I69">
        <v>84.625156497401505</v>
      </c>
      <c r="J69">
        <v>44.432370918406399</v>
      </c>
      <c r="K69">
        <v>14.7784052478295</v>
      </c>
      <c r="L69">
        <v>1.5643050006318985E-4</v>
      </c>
      <c r="M69">
        <v>1.7457048842885021E-5</v>
      </c>
      <c r="N69" s="1">
        <v>1.16805703247238E-6</v>
      </c>
      <c r="O69" s="1">
        <v>3.10618757185052E-8</v>
      </c>
      <c r="P69" s="1">
        <v>-1.5890635098713599E-7</v>
      </c>
      <c r="Q69">
        <v>70.592995344024303</v>
      </c>
      <c r="R69">
        <v>0.14885497831581801</v>
      </c>
      <c r="S69">
        <v>13.384889926987899</v>
      </c>
      <c r="T69">
        <v>0.23610376492148399</v>
      </c>
      <c r="V69">
        <v>0.56648681809018997</v>
      </c>
      <c r="W69">
        <v>8.2400966267088496E-2</v>
      </c>
      <c r="X69">
        <v>0.14194340153726101</v>
      </c>
      <c r="AA69">
        <v>0.74214219138345305</v>
      </c>
      <c r="AB69">
        <v>3.1355495622034901</v>
      </c>
      <c r="AC69">
        <v>4.6917394262168601</v>
      </c>
      <c r="AD69">
        <v>0.122075505580723</v>
      </c>
      <c r="AE69">
        <v>6.1548181144713103</v>
      </c>
    </row>
    <row r="70" spans="1:31" x14ac:dyDescent="0.2">
      <c r="A70">
        <v>69</v>
      </c>
      <c r="B70">
        <v>736</v>
      </c>
      <c r="C70">
        <v>270</v>
      </c>
      <c r="D70">
        <v>0.29212753307238798</v>
      </c>
      <c r="E70">
        <v>21.191484775098498</v>
      </c>
      <c r="F70">
        <v>2.2220269149512899</v>
      </c>
      <c r="G70">
        <v>-344.80865220278542</v>
      </c>
      <c r="H70">
        <v>-289.76224603317439</v>
      </c>
      <c r="I70">
        <v>54.547298389348498</v>
      </c>
      <c r="J70">
        <v>28.768934000819499</v>
      </c>
      <c r="K70">
        <v>9.5370063398008096</v>
      </c>
      <c r="L70">
        <v>1.558042382416193E-4</v>
      </c>
      <c r="M70">
        <v>1.7435325612413248E-5</v>
      </c>
      <c r="N70" s="1">
        <v>7.5244116766107198E-7</v>
      </c>
      <c r="O70" s="1">
        <v>1.9934976468097401E-8</v>
      </c>
      <c r="P70" s="1">
        <v>-1.01402413125221E-7</v>
      </c>
      <c r="Q70">
        <v>70.0912088192825</v>
      </c>
      <c r="R70">
        <v>0.145973410543386</v>
      </c>
      <c r="S70">
        <v>14.0200593835223</v>
      </c>
      <c r="T70">
        <v>0.228012496660429</v>
      </c>
      <c r="V70">
        <v>0.55422683034226705</v>
      </c>
      <c r="W70">
        <v>0.126440422404272</v>
      </c>
      <c r="X70">
        <v>0.139589368037632</v>
      </c>
      <c r="AA70">
        <v>0.76188023706109098</v>
      </c>
      <c r="AB70">
        <v>2.8924217570015398</v>
      </c>
      <c r="AC70">
        <v>4.73496338495233</v>
      </c>
      <c r="AD70">
        <v>0.188755060933324</v>
      </c>
      <c r="AE70">
        <v>6.1164688292587703</v>
      </c>
    </row>
    <row r="71" spans="1:31" x14ac:dyDescent="0.2">
      <c r="A71">
        <v>70</v>
      </c>
      <c r="B71">
        <v>734</v>
      </c>
      <c r="C71">
        <v>270</v>
      </c>
      <c r="D71">
        <v>0.29058283274586499</v>
      </c>
      <c r="E71">
        <v>16.585296831999401</v>
      </c>
      <c r="F71">
        <v>2.2258842843908999</v>
      </c>
      <c r="G71">
        <v>-269.86314194158473</v>
      </c>
      <c r="H71">
        <v>-226.98351587981261</v>
      </c>
      <c r="I71">
        <v>42.5752132867716</v>
      </c>
      <c r="J71">
        <v>22.537729982875199</v>
      </c>
      <c r="K71">
        <v>7.4511046905288403</v>
      </c>
      <c r="L71">
        <v>1.5538953008672831E-4</v>
      </c>
      <c r="M71">
        <v>1.7421487368220198E-5</v>
      </c>
      <c r="N71" s="1">
        <v>5.8781771471293196E-7</v>
      </c>
      <c r="O71" s="1">
        <v>1.5513889794395101E-8</v>
      </c>
      <c r="P71" s="1">
        <v>-7.8589623186923998E-8</v>
      </c>
      <c r="Q71">
        <v>69.682643613832695</v>
      </c>
      <c r="R71">
        <v>0.14572970594555901</v>
      </c>
      <c r="S71">
        <v>14.524956995875201</v>
      </c>
      <c r="T71">
        <v>0.22081080259743999</v>
      </c>
      <c r="V71">
        <v>0.541577024874206</v>
      </c>
      <c r="W71">
        <v>0.16071276203934801</v>
      </c>
      <c r="X71">
        <v>0.137929992217003</v>
      </c>
      <c r="AA71">
        <v>0.78234419562402202</v>
      </c>
      <c r="AB71">
        <v>2.70990268128784</v>
      </c>
      <c r="AC71">
        <v>4.76079872632274</v>
      </c>
      <c r="AD71">
        <v>0.24117747427185501</v>
      </c>
      <c r="AE71">
        <v>6.0914160251119798</v>
      </c>
    </row>
    <row r="72" spans="1:31" x14ac:dyDescent="0.2">
      <c r="A72">
        <v>71</v>
      </c>
      <c r="B72">
        <v>732</v>
      </c>
      <c r="C72">
        <v>270</v>
      </c>
      <c r="D72">
        <v>0.28903198527583002</v>
      </c>
      <c r="E72">
        <v>13.977927258175701</v>
      </c>
      <c r="F72">
        <v>2.22919250308632</v>
      </c>
      <c r="G72">
        <v>-227.43707759225546</v>
      </c>
      <c r="H72">
        <v>-191.45454091482719</v>
      </c>
      <c r="I72">
        <v>35.798176070664297</v>
      </c>
      <c r="J72">
        <v>19.011766263385798</v>
      </c>
      <c r="K72">
        <v>6.2703993660588901</v>
      </c>
      <c r="L72">
        <v>1.5510715201730321E-4</v>
      </c>
      <c r="M72">
        <v>1.7413600263901577E-5</v>
      </c>
      <c r="N72" s="1">
        <v>4.9517108944203504E-7</v>
      </c>
      <c r="O72" s="1">
        <v>1.3017826770108501E-8</v>
      </c>
      <c r="P72" s="1">
        <v>-6.5732539625501901E-8</v>
      </c>
      <c r="Q72">
        <v>69.322405966672704</v>
      </c>
      <c r="R72">
        <v>0.14509308943549101</v>
      </c>
      <c r="S72">
        <v>14.961135253281</v>
      </c>
      <c r="T72">
        <v>0.214705355133092</v>
      </c>
      <c r="V72">
        <v>0.53025142476140397</v>
      </c>
      <c r="W72">
        <v>0.18983959604841799</v>
      </c>
      <c r="X72">
        <v>0.13624534352147</v>
      </c>
      <c r="AA72">
        <v>0.80251874490506003</v>
      </c>
      <c r="AB72">
        <v>2.56127685680914</v>
      </c>
      <c r="AC72">
        <v>4.7756908825448301</v>
      </c>
      <c r="AD72">
        <v>0.28616546116667801</v>
      </c>
      <c r="AE72">
        <v>6.0746720257206297</v>
      </c>
    </row>
    <row r="73" spans="1:31" x14ac:dyDescent="0.2">
      <c r="A73">
        <v>72</v>
      </c>
      <c r="B73">
        <v>730</v>
      </c>
      <c r="C73">
        <v>270</v>
      </c>
      <c r="D73">
        <v>0.28747495389523398</v>
      </c>
      <c r="E73">
        <v>12.256437799714799</v>
      </c>
      <c r="F73">
        <v>2.2321394517313902</v>
      </c>
      <c r="G73">
        <v>-199.42414824784368</v>
      </c>
      <c r="H73">
        <v>-168.00166947991272</v>
      </c>
      <c r="I73">
        <v>31.323808770304399</v>
      </c>
      <c r="J73">
        <v>16.684632570756399</v>
      </c>
      <c r="K73">
        <v>5.4908925113114799</v>
      </c>
      <c r="L73">
        <v>1.5491319658226711E-4</v>
      </c>
      <c r="M73">
        <v>1.7409804890584164E-5</v>
      </c>
      <c r="N73" s="1">
        <v>4.3437171047307399E-7</v>
      </c>
      <c r="O73" s="1">
        <v>1.13744400004713E-8</v>
      </c>
      <c r="P73" s="1">
        <v>-5.7282973819820398E-8</v>
      </c>
      <c r="Q73">
        <v>68.993576796946897</v>
      </c>
      <c r="R73">
        <v>0.144193435004453</v>
      </c>
      <c r="S73">
        <v>15.352480232403099</v>
      </c>
      <c r="T73">
        <v>0.20932890154801601</v>
      </c>
      <c r="V73">
        <v>0.51983672596018204</v>
      </c>
      <c r="W73">
        <v>0.21563840392703701</v>
      </c>
      <c r="X73">
        <v>0.13454523853310801</v>
      </c>
      <c r="AA73">
        <v>0.82236293962102303</v>
      </c>
      <c r="AB73">
        <v>2.4350074128425798</v>
      </c>
      <c r="AC73">
        <v>4.7831994110623999</v>
      </c>
      <c r="AD73">
        <v>0.32635909922234901</v>
      </c>
      <c r="AE73">
        <v>6.0634714029287498</v>
      </c>
    </row>
    <row r="74" spans="1:31" x14ac:dyDescent="0.2">
      <c r="A74">
        <v>73</v>
      </c>
      <c r="B74">
        <v>728</v>
      </c>
      <c r="C74">
        <v>270</v>
      </c>
      <c r="D74">
        <v>0.28591170154322698</v>
      </c>
      <c r="E74">
        <v>11.014482388287499</v>
      </c>
      <c r="F74">
        <v>2.2348267136807598</v>
      </c>
      <c r="G74">
        <v>-179.21335577511039</v>
      </c>
      <c r="H74">
        <v>-151.08507518624199</v>
      </c>
      <c r="I74">
        <v>28.095970223111699</v>
      </c>
      <c r="J74">
        <v>15.006349323061301</v>
      </c>
      <c r="K74">
        <v>4.9285621658543297</v>
      </c>
      <c r="L74">
        <v>1.5478351666349508E-4</v>
      </c>
      <c r="M74">
        <v>1.7409038059697174E-5</v>
      </c>
      <c r="N74" s="1">
        <v>3.9077921284547902E-7</v>
      </c>
      <c r="O74" s="1">
        <v>1.0192267190344801E-8</v>
      </c>
      <c r="P74" s="1">
        <v>-5.1216150872175302E-8</v>
      </c>
      <c r="Q74">
        <v>68.687175687293404</v>
      </c>
      <c r="R74">
        <v>0.14310531116865899</v>
      </c>
      <c r="S74">
        <v>15.711670510986</v>
      </c>
      <c r="T74">
        <v>0.204482264954186</v>
      </c>
      <c r="V74">
        <v>0.51010262135152795</v>
      </c>
      <c r="W74">
        <v>0.239071991239758</v>
      </c>
      <c r="X74">
        <v>0.132834947550733</v>
      </c>
      <c r="AA74">
        <v>0.84194406044452297</v>
      </c>
      <c r="AB74">
        <v>2.3248296413124399</v>
      </c>
      <c r="AC74">
        <v>4.7853244846755896</v>
      </c>
      <c r="AD74">
        <v>0.36315823649073697</v>
      </c>
      <c r="AE74">
        <v>6.0563002425322701</v>
      </c>
    </row>
    <row r="75" spans="1:31" x14ac:dyDescent="0.2">
      <c r="A75">
        <v>74</v>
      </c>
      <c r="B75">
        <v>760</v>
      </c>
      <c r="C75">
        <v>260</v>
      </c>
      <c r="D75">
        <v>0.320844504670183</v>
      </c>
      <c r="E75">
        <v>106.35378372954401</v>
      </c>
      <c r="F75">
        <v>2.2008078645871101</v>
      </c>
      <c r="G75">
        <v>-1737.2189411385068</v>
      </c>
      <c r="H75">
        <v>-1450.59684298768</v>
      </c>
      <c r="I75">
        <v>277.42544466033701</v>
      </c>
      <c r="J75">
        <v>143.794934759249</v>
      </c>
      <c r="K75">
        <v>48.324883530665097</v>
      </c>
      <c r="L75">
        <v>1.5551442054372169E-4</v>
      </c>
      <c r="M75">
        <v>1.7685149751088484E-5</v>
      </c>
      <c r="N75" s="1">
        <v>3.6577135189728799E-6</v>
      </c>
      <c r="O75" s="1">
        <v>1.02228391338084E-7</v>
      </c>
      <c r="P75" s="1">
        <v>-5.1618199332277401E-7</v>
      </c>
      <c r="Q75">
        <v>72.1836095603757</v>
      </c>
      <c r="R75">
        <v>9.0264771626862403E-2</v>
      </c>
      <c r="S75">
        <v>12.185744169626799</v>
      </c>
      <c r="T75">
        <v>0.23101975296666399</v>
      </c>
      <c r="V75">
        <v>0.570496055526311</v>
      </c>
      <c r="W75">
        <v>2.5386967020054801E-2</v>
      </c>
      <c r="X75">
        <v>0.11283096453357901</v>
      </c>
      <c r="AA75">
        <v>0.74280384984605197</v>
      </c>
      <c r="AB75">
        <v>3.3379160341183298</v>
      </c>
      <c r="AC75">
        <v>4.4098101971872898</v>
      </c>
      <c r="AD75">
        <v>3.7610321511191799E-2</v>
      </c>
      <c r="AE75">
        <v>6.0725073556610196</v>
      </c>
    </row>
    <row r="76" spans="1:31" x14ac:dyDescent="0.2">
      <c r="A76">
        <v>75</v>
      </c>
      <c r="B76">
        <v>758</v>
      </c>
      <c r="C76">
        <v>260</v>
      </c>
      <c r="D76">
        <v>0.31939145614120401</v>
      </c>
      <c r="E76">
        <v>106.19532043393301</v>
      </c>
      <c r="F76">
        <v>2.2016320573500798</v>
      </c>
      <c r="G76">
        <v>-1734.0253286968291</v>
      </c>
      <c r="H76">
        <v>-1448.6616569714181</v>
      </c>
      <c r="I76">
        <v>276.74312343054902</v>
      </c>
      <c r="J76">
        <v>143.567165641793</v>
      </c>
      <c r="K76">
        <v>48.2348174752468</v>
      </c>
      <c r="L76">
        <v>1.5544903317935891E-4</v>
      </c>
      <c r="M76">
        <v>1.7667439135993067E-5</v>
      </c>
      <c r="N76" s="1">
        <v>3.6606105559614099E-6</v>
      </c>
      <c r="O76" s="1">
        <v>1.0190712066887E-7</v>
      </c>
      <c r="P76" s="1">
        <v>-5.1534454368133496E-7</v>
      </c>
      <c r="Q76">
        <v>72.151422076471206</v>
      </c>
      <c r="R76">
        <v>9.0399463561790905E-2</v>
      </c>
      <c r="S76">
        <v>12.2039275808431</v>
      </c>
      <c r="T76">
        <v>0.23214720458325899</v>
      </c>
      <c r="V76">
        <v>0.57064303613943101</v>
      </c>
      <c r="W76">
        <v>2.54248491267531E-2</v>
      </c>
      <c r="X76">
        <v>0.112999329452242</v>
      </c>
      <c r="AA76">
        <v>0.74391225222722901</v>
      </c>
      <c r="AB76">
        <v>3.3428968296286801</v>
      </c>
      <c r="AC76">
        <v>4.4163904594248597</v>
      </c>
      <c r="AD76">
        <v>3.76664431507438E-2</v>
      </c>
      <c r="AE76">
        <v>6.0721704753905898</v>
      </c>
    </row>
    <row r="77" spans="1:31" x14ac:dyDescent="0.2">
      <c r="A77">
        <v>76</v>
      </c>
      <c r="B77">
        <v>756</v>
      </c>
      <c r="C77">
        <v>260</v>
      </c>
      <c r="D77">
        <v>0.317932760044698</v>
      </c>
      <c r="E77">
        <v>105.751116886312</v>
      </c>
      <c r="F77">
        <v>2.2026073920907998</v>
      </c>
      <c r="G77">
        <v>-1726.0973651518291</v>
      </c>
      <c r="H77">
        <v>-1442.7108520523666</v>
      </c>
      <c r="I77">
        <v>275.35977563956902</v>
      </c>
      <c r="J77">
        <v>142.983684495771</v>
      </c>
      <c r="K77">
        <v>48.011786969410402</v>
      </c>
      <c r="L77">
        <v>1.5551621830082102E-4</v>
      </c>
      <c r="M77">
        <v>1.7651231859366583E-5</v>
      </c>
      <c r="N77" s="1">
        <v>3.6554403722543599E-6</v>
      </c>
      <c r="O77" s="1">
        <v>1.01360453386565E-7</v>
      </c>
      <c r="P77" s="1">
        <v>-5.1378039335203799E-7</v>
      </c>
      <c r="Q77">
        <v>72.057156387625596</v>
      </c>
      <c r="R77">
        <v>9.0779183073031594E-2</v>
      </c>
      <c r="S77">
        <v>12.2551897148617</v>
      </c>
      <c r="T77">
        <v>0.23401246216154001</v>
      </c>
      <c r="V77">
        <v>0.57223904989024299</v>
      </c>
      <c r="W77">
        <v>2.5531645239289202E-2</v>
      </c>
      <c r="X77">
        <v>0.11347397884129599</v>
      </c>
      <c r="AA77">
        <v>0.74703702737180799</v>
      </c>
      <c r="AB77">
        <v>3.3569385407214001</v>
      </c>
      <c r="AC77">
        <v>4.4349413397135002</v>
      </c>
      <c r="AD77">
        <v>3.7824659613758901E-2</v>
      </c>
      <c r="AE77">
        <v>6.07487601088667</v>
      </c>
    </row>
    <row r="78" spans="1:31" x14ac:dyDescent="0.2">
      <c r="A78">
        <v>77</v>
      </c>
      <c r="B78">
        <v>754</v>
      </c>
      <c r="C78">
        <v>260</v>
      </c>
      <c r="D78">
        <v>0.31646838339093702</v>
      </c>
      <c r="E78">
        <v>105.31127498604199</v>
      </c>
      <c r="F78">
        <v>2.2035829597896601</v>
      </c>
      <c r="G78">
        <v>-1718.2467944058353</v>
      </c>
      <c r="H78">
        <v>-1436.8189372858426</v>
      </c>
      <c r="I78">
        <v>273.98905429585898</v>
      </c>
      <c r="J78">
        <v>142.405913107023</v>
      </c>
      <c r="K78">
        <v>47.790928187289097</v>
      </c>
      <c r="L78">
        <v>1.5558327846945506E-4</v>
      </c>
      <c r="M78">
        <v>1.7634997324245945E-5</v>
      </c>
      <c r="N78" s="1">
        <v>3.6503585049085098E-6</v>
      </c>
      <c r="O78" s="1">
        <v>1.00819209139561E-7</v>
      </c>
      <c r="P78" s="1">
        <v>-5.1223387124058096E-7</v>
      </c>
      <c r="Q78">
        <v>71.963002479757094</v>
      </c>
      <c r="R78">
        <v>9.1158330399784104E-2</v>
      </c>
      <c r="S78">
        <v>12.306374603974101</v>
      </c>
      <c r="T78">
        <v>0.235890738615854</v>
      </c>
      <c r="V78">
        <v>0.57381841505819198</v>
      </c>
      <c r="W78">
        <v>2.5638280424938101E-2</v>
      </c>
      <c r="X78">
        <v>0.113947912999739</v>
      </c>
      <c r="AA78">
        <v>0.75015709391487095</v>
      </c>
      <c r="AB78">
        <v>3.37095909290858</v>
      </c>
      <c r="AC78">
        <v>4.4534642664058204</v>
      </c>
      <c r="AD78">
        <v>3.7982637666571097E-2</v>
      </c>
      <c r="AE78">
        <v>6.0776061478743504</v>
      </c>
    </row>
    <row r="79" spans="1:31" x14ac:dyDescent="0.2">
      <c r="A79">
        <v>78</v>
      </c>
      <c r="B79">
        <v>752</v>
      </c>
      <c r="C79">
        <v>260</v>
      </c>
      <c r="D79">
        <v>0.31499829293274201</v>
      </c>
      <c r="E79">
        <v>104.87572501039</v>
      </c>
      <c r="F79">
        <v>2.20455877180882</v>
      </c>
      <c r="G79">
        <v>-1710.47238761678</v>
      </c>
      <c r="H79">
        <v>-1430.9849686301773</v>
      </c>
      <c r="I79">
        <v>272.63075548612699</v>
      </c>
      <c r="J79">
        <v>141.83376046282899</v>
      </c>
      <c r="K79">
        <v>47.572206443986602</v>
      </c>
      <c r="L79">
        <v>1.5565021114734005E-4</v>
      </c>
      <c r="M79">
        <v>1.7618735106084141E-5</v>
      </c>
      <c r="N79" s="1">
        <v>3.64536353417691E-6</v>
      </c>
      <c r="O79" s="1">
        <v>1.0028329949213499E-7</v>
      </c>
      <c r="P79" s="1">
        <v>-5.10704686893201E-7</v>
      </c>
      <c r="Q79">
        <v>71.868958937029902</v>
      </c>
      <c r="R79">
        <v>9.1536911893090697E-2</v>
      </c>
      <c r="S79">
        <v>12.357483105571101</v>
      </c>
      <c r="T79">
        <v>0.23778218903210999</v>
      </c>
      <c r="V79">
        <v>0.57538104686149305</v>
      </c>
      <c r="W79">
        <v>2.57447564699303E-2</v>
      </c>
      <c r="X79">
        <v>0.11442113986637401</v>
      </c>
      <c r="AA79">
        <v>0.75327250412020297</v>
      </c>
      <c r="AB79">
        <v>3.38495872104646</v>
      </c>
      <c r="AC79">
        <v>4.4719595497766802</v>
      </c>
      <c r="AD79">
        <v>3.8140379955447799E-2</v>
      </c>
      <c r="AE79">
        <v>6.08036075837708</v>
      </c>
    </row>
    <row r="80" spans="1:31" x14ac:dyDescent="0.2">
      <c r="A80">
        <v>79</v>
      </c>
      <c r="B80">
        <v>750</v>
      </c>
      <c r="C80">
        <v>260</v>
      </c>
      <c r="D80">
        <v>0.313522455162978</v>
      </c>
      <c r="E80">
        <v>104.444398721266</v>
      </c>
      <c r="F80">
        <v>2.2055348395099901</v>
      </c>
      <c r="G80">
        <v>-1702.7729420857363</v>
      </c>
      <c r="H80">
        <v>-1425.2080221533768</v>
      </c>
      <c r="I80">
        <v>271.284679599627</v>
      </c>
      <c r="J80">
        <v>141.26713748916001</v>
      </c>
      <c r="K80">
        <v>47.355587792243199</v>
      </c>
      <c r="L80">
        <v>1.5571701375454206E-4</v>
      </c>
      <c r="M80">
        <v>1.760244477858556E-5</v>
      </c>
      <c r="N80" s="1">
        <v>3.6404540686624102E-6</v>
      </c>
      <c r="O80" s="1">
        <v>9.9752637856274196E-8</v>
      </c>
      <c r="P80" s="1">
        <v>-5.09192555775902E-7</v>
      </c>
      <c r="Q80">
        <v>71.775024356703597</v>
      </c>
      <c r="R80">
        <v>9.1914933855093195E-2</v>
      </c>
      <c r="S80">
        <v>12.4085160704418</v>
      </c>
      <c r="T80">
        <v>0.23968697006517201</v>
      </c>
      <c r="V80">
        <v>0.57692685868492</v>
      </c>
      <c r="W80">
        <v>2.58510751467434E-2</v>
      </c>
      <c r="X80">
        <v>0.114893667318878</v>
      </c>
      <c r="AA80">
        <v>0.75638330984918001</v>
      </c>
      <c r="AB80">
        <v>3.3989376581830002</v>
      </c>
      <c r="AC80">
        <v>4.4904274977119698</v>
      </c>
      <c r="AD80">
        <v>3.8297889106281499E-2</v>
      </c>
      <c r="AE80">
        <v>6.0831397129331997</v>
      </c>
    </row>
    <row r="81" spans="1:31" x14ac:dyDescent="0.2">
      <c r="A81">
        <v>80</v>
      </c>
      <c r="B81">
        <v>748</v>
      </c>
      <c r="C81">
        <v>260</v>
      </c>
      <c r="D81">
        <v>0.31204083631200402</v>
      </c>
      <c r="E81">
        <v>104.01722932647399</v>
      </c>
      <c r="F81">
        <v>2.20651117425433</v>
      </c>
      <c r="G81">
        <v>-1695.1472805743242</v>
      </c>
      <c r="H81">
        <v>-1419.4871935086844</v>
      </c>
      <c r="I81">
        <v>269.95063121543302</v>
      </c>
      <c r="J81">
        <v>140.70595700004199</v>
      </c>
      <c r="K81">
        <v>47.141039003179401</v>
      </c>
      <c r="L81">
        <v>1.5578368366879846E-4</v>
      </c>
      <c r="M81">
        <v>1.7586125913708189E-5</v>
      </c>
      <c r="N81" s="1">
        <v>3.6356287445514401E-6</v>
      </c>
      <c r="O81" s="1">
        <v>9.9227139443209997E-8</v>
      </c>
      <c r="P81" s="1">
        <v>-5.0769719911736301E-7</v>
      </c>
      <c r="Q81">
        <v>71.681197349141698</v>
      </c>
      <c r="R81">
        <v>9.2292402539093404E-2</v>
      </c>
      <c r="S81">
        <v>12.4594743427827</v>
      </c>
      <c r="T81">
        <v>0.24160523995185801</v>
      </c>
      <c r="V81">
        <v>0.57845576206855698</v>
      </c>
      <c r="W81">
        <v>2.5957238214118199E-2</v>
      </c>
      <c r="X81">
        <v>0.115365503173881</v>
      </c>
      <c r="AA81">
        <v>0.75948956256125999</v>
      </c>
      <c r="AB81">
        <v>3.41289613556006</v>
      </c>
      <c r="AC81">
        <v>4.5088684157114898</v>
      </c>
      <c r="AD81">
        <v>3.84551677246135E-2</v>
      </c>
      <c r="AE81">
        <v>6.0859428805705296</v>
      </c>
    </row>
    <row r="82" spans="1:31" x14ac:dyDescent="0.2">
      <c r="A82">
        <v>81</v>
      </c>
      <c r="B82">
        <v>746</v>
      </c>
      <c r="C82">
        <v>260</v>
      </c>
      <c r="D82">
        <v>0.31055340234509199</v>
      </c>
      <c r="E82">
        <v>103.594151442872</v>
      </c>
      <c r="F82">
        <v>2.2074877874040202</v>
      </c>
      <c r="G82">
        <v>-1687.5942506543092</v>
      </c>
      <c r="H82">
        <v>-1413.8215974361963</v>
      </c>
      <c r="I82">
        <v>268.62841899437001</v>
      </c>
      <c r="J82">
        <v>140.15013364925201</v>
      </c>
      <c r="K82">
        <v>46.928527547913497</v>
      </c>
      <c r="L82">
        <v>1.5585021822355595E-4</v>
      </c>
      <c r="M82">
        <v>1.7569778081562052E-5</v>
      </c>
      <c r="N82" s="1">
        <v>3.6308862248465E-6</v>
      </c>
      <c r="O82" s="1">
        <v>9.8706721215873194E-8</v>
      </c>
      <c r="P82" s="1">
        <v>-5.0621834375113904E-7</v>
      </c>
      <c r="Q82">
        <v>71.587476538052698</v>
      </c>
      <c r="R82">
        <v>9.2669324149000906E-2</v>
      </c>
      <c r="S82">
        <v>12.510358760120599</v>
      </c>
      <c r="T82">
        <v>0.24353715852216901</v>
      </c>
      <c r="V82">
        <v>0.57996766669321898</v>
      </c>
      <c r="W82">
        <v>2.6063247416904502E-2</v>
      </c>
      <c r="X82">
        <v>0.115836655186266</v>
      </c>
      <c r="AA82">
        <v>0.76259131330945495</v>
      </c>
      <c r="AB82">
        <v>3.42683438259309</v>
      </c>
      <c r="AC82">
        <v>4.5272826068621397</v>
      </c>
      <c r="AD82">
        <v>3.8612218395407599E-2</v>
      </c>
      <c r="AE82">
        <v>6.08877012869889</v>
      </c>
    </row>
    <row r="83" spans="1:31" x14ac:dyDescent="0.2">
      <c r="A83">
        <v>82</v>
      </c>
      <c r="B83">
        <v>744</v>
      </c>
      <c r="C83">
        <v>260</v>
      </c>
      <c r="D83">
        <v>0.30906011895984098</v>
      </c>
      <c r="E83">
        <v>103.175101057265</v>
      </c>
      <c r="F83">
        <v>2.20846469032369</v>
      </c>
      <c r="G83">
        <v>-1680.1127240216119</v>
      </c>
      <c r="H83">
        <v>-1408.2103672321573</v>
      </c>
      <c r="I83">
        <v>267.31785556648902</v>
      </c>
      <c r="J83">
        <v>139.59958387938701</v>
      </c>
      <c r="K83">
        <v>46.7180215782139</v>
      </c>
      <c r="L83">
        <v>1.5591661470889821E-4</v>
      </c>
      <c r="M83">
        <v>1.7553400850420497E-5</v>
      </c>
      <c r="N83" s="1">
        <v>3.6262251985661799E-6</v>
      </c>
      <c r="O83" s="1">
        <v>9.8191301841216401E-8</v>
      </c>
      <c r="P83" s="1">
        <v>-5.0475572196092904E-7</v>
      </c>
      <c r="Q83">
        <v>71.493860559885604</v>
      </c>
      <c r="R83">
        <v>9.3045704841829099E-2</v>
      </c>
      <c r="S83">
        <v>12.561170153652901</v>
      </c>
      <c r="T83">
        <v>0.24548288721941899</v>
      </c>
      <c r="V83">
        <v>0.58146248038344694</v>
      </c>
      <c r="W83">
        <v>2.6169104486762199E-2</v>
      </c>
      <c r="X83">
        <v>0.116307131052303</v>
      </c>
      <c r="AA83">
        <v>0.76568861276084998</v>
      </c>
      <c r="AB83">
        <v>3.4407526269632802</v>
      </c>
      <c r="AC83">
        <v>4.5456703719596403</v>
      </c>
      <c r="AD83">
        <v>3.8769043684085097E-2</v>
      </c>
      <c r="AE83">
        <v>6.0916213231097398</v>
      </c>
    </row>
    <row r="84" spans="1:31" x14ac:dyDescent="0.2">
      <c r="A84">
        <v>83</v>
      </c>
      <c r="B84">
        <v>742</v>
      </c>
      <c r="C84">
        <v>260</v>
      </c>
      <c r="D84">
        <v>0.30756095158350699</v>
      </c>
      <c r="E84">
        <v>100.778002157393</v>
      </c>
      <c r="F84">
        <v>2.2101729117617599</v>
      </c>
      <c r="G84">
        <v>-1639.7782195733498</v>
      </c>
      <c r="H84">
        <v>-1375.1780445523591</v>
      </c>
      <c r="I84">
        <v>260.65130770919598</v>
      </c>
      <c r="J84">
        <v>136.30147240090201</v>
      </c>
      <c r="K84">
        <v>45.597338389719901</v>
      </c>
      <c r="L84">
        <v>1.5554022847425405E-4</v>
      </c>
      <c r="M84">
        <v>1.7497810601456677E-5</v>
      </c>
      <c r="N84" s="1">
        <v>3.5360315299150201E-6</v>
      </c>
      <c r="O84" s="1">
        <v>9.5405322072935006E-8</v>
      </c>
      <c r="P84" s="1">
        <v>-4.9163632548156696E-7</v>
      </c>
      <c r="Q84">
        <v>71.420278171103703</v>
      </c>
      <c r="R84">
        <v>9.5258883828706495E-2</v>
      </c>
      <c r="S84">
        <v>12.59095367834</v>
      </c>
      <c r="T84">
        <v>0.25229331791883802</v>
      </c>
      <c r="V84">
        <v>0.59441904023124803</v>
      </c>
      <c r="W84">
        <v>2.6791561076821201E-2</v>
      </c>
      <c r="X84">
        <v>0.119073604785902</v>
      </c>
      <c r="AA84">
        <v>0.74543224010565801</v>
      </c>
      <c r="AB84">
        <v>3.4151299022903201</v>
      </c>
      <c r="AC84">
        <v>4.6332234318408396</v>
      </c>
      <c r="AD84">
        <v>3.9691201595282603E-2</v>
      </c>
      <c r="AE84">
        <v>6.0674549668825204</v>
      </c>
    </row>
    <row r="85" spans="1:31" x14ac:dyDescent="0.2">
      <c r="A85">
        <v>84</v>
      </c>
      <c r="B85">
        <v>740</v>
      </c>
      <c r="C85">
        <v>260</v>
      </c>
      <c r="D85">
        <v>0.30605586537038199</v>
      </c>
      <c r="E85">
        <v>38.636309445092898</v>
      </c>
      <c r="F85">
        <v>2.21585517512163</v>
      </c>
      <c r="G85">
        <v>-628.54622653609579</v>
      </c>
      <c r="H85">
        <v>-527.69293275649977</v>
      </c>
      <c r="I85">
        <v>99.544286413261702</v>
      </c>
      <c r="J85">
        <v>52.301652552856403</v>
      </c>
      <c r="K85">
        <v>17.436297226858301</v>
      </c>
      <c r="L85">
        <v>1.5459145576632703E-4</v>
      </c>
      <c r="M85">
        <v>1.7438625422723323E-5</v>
      </c>
      <c r="N85" s="1">
        <v>1.3446338711377999E-6</v>
      </c>
      <c r="O85" s="1">
        <v>3.6156465864290902E-8</v>
      </c>
      <c r="P85" s="1">
        <v>-1.8528408988857699E-7</v>
      </c>
      <c r="Q85">
        <v>70.932150500337201</v>
      </c>
      <c r="R85">
        <v>0.141452340442969</v>
      </c>
      <c r="S85">
        <v>13.1766185187491</v>
      </c>
      <c r="T85">
        <v>0.240758698658291</v>
      </c>
      <c r="V85">
        <v>0.57413194708273396</v>
      </c>
      <c r="W85">
        <v>6.9882450958111297E-2</v>
      </c>
      <c r="X85">
        <v>0.14368816647596999</v>
      </c>
      <c r="AA85">
        <v>0.73661628508562105</v>
      </c>
      <c r="AB85">
        <v>3.1639105821273898</v>
      </c>
      <c r="AC85">
        <v>4.71285538448309</v>
      </c>
      <c r="AD85">
        <v>0.10352955697487</v>
      </c>
      <c r="AE85">
        <v>6.0044055686245601</v>
      </c>
    </row>
    <row r="86" spans="1:31" x14ac:dyDescent="0.2">
      <c r="A86">
        <v>85</v>
      </c>
      <c r="B86">
        <v>738</v>
      </c>
      <c r="C86">
        <v>260</v>
      </c>
      <c r="D86">
        <v>0.30454482519902998</v>
      </c>
      <c r="E86">
        <v>23.078834635966501</v>
      </c>
      <c r="F86">
        <v>2.2210286607191398</v>
      </c>
      <c r="G86">
        <v>-375.47775869758021</v>
      </c>
      <c r="H86">
        <v>-315.57175901701669</v>
      </c>
      <c r="I86">
        <v>59.245413322022898</v>
      </c>
      <c r="J86">
        <v>31.277203466112599</v>
      </c>
      <c r="K86">
        <v>10.3910566505223</v>
      </c>
      <c r="L86">
        <v>1.5382930599276842E-4</v>
      </c>
      <c r="M86">
        <v>1.7407263847368702E-5</v>
      </c>
      <c r="N86" s="1">
        <v>7.9883056456872597E-7</v>
      </c>
      <c r="O86" s="1">
        <v>2.1402638391902398E-8</v>
      </c>
      <c r="P86" s="1">
        <v>-1.08983841192839E-7</v>
      </c>
      <c r="Q86">
        <v>70.411990994882601</v>
      </c>
      <c r="R86">
        <v>0.15044096518500999</v>
      </c>
      <c r="S86">
        <v>13.841040065951001</v>
      </c>
      <c r="T86">
        <v>0.22831439557257799</v>
      </c>
      <c r="V86">
        <v>0.55202473872688596</v>
      </c>
      <c r="W86">
        <v>0.116389813982386</v>
      </c>
      <c r="X86">
        <v>0.143965860444522</v>
      </c>
      <c r="AA86">
        <v>0.75631811130329596</v>
      </c>
      <c r="AB86">
        <v>2.9003577278517199</v>
      </c>
      <c r="AC86">
        <v>4.7677065098126903</v>
      </c>
      <c r="AD86">
        <v>0.173318976589873</v>
      </c>
      <c r="AE86">
        <v>5.9581318396973</v>
      </c>
    </row>
    <row r="87" spans="1:31" x14ac:dyDescent="0.2">
      <c r="A87">
        <v>86</v>
      </c>
      <c r="B87">
        <v>736</v>
      </c>
      <c r="C87">
        <v>260</v>
      </c>
      <c r="D87">
        <v>0.30302779566962401</v>
      </c>
      <c r="E87">
        <v>17.562225800791701</v>
      </c>
      <c r="F87">
        <v>2.22502976362951</v>
      </c>
      <c r="G87">
        <v>-285.72901141882278</v>
      </c>
      <c r="H87">
        <v>-240.36081313969908</v>
      </c>
      <c r="I87">
        <v>44.956843164171602</v>
      </c>
      <c r="J87">
        <v>23.824718317561199</v>
      </c>
      <c r="K87">
        <v>7.8930296070034798</v>
      </c>
      <c r="L87">
        <v>1.5337327255215603E-4</v>
      </c>
      <c r="M87">
        <v>1.7391359472031484E-5</v>
      </c>
      <c r="N87" s="1">
        <v>6.0650513750486598E-7</v>
      </c>
      <c r="O87" s="1">
        <v>1.6188365053505701E-8</v>
      </c>
      <c r="P87" s="1">
        <v>-8.2065220658550797E-8</v>
      </c>
      <c r="Q87">
        <v>69.989100282183998</v>
      </c>
      <c r="R87">
        <v>0.15031438983127099</v>
      </c>
      <c r="S87">
        <v>14.3654332866688</v>
      </c>
      <c r="T87">
        <v>0.22080870217940801</v>
      </c>
      <c r="V87">
        <v>0.539061260175692</v>
      </c>
      <c r="W87">
        <v>0.15210674248365699</v>
      </c>
      <c r="X87">
        <v>0.14231339451911901</v>
      </c>
      <c r="AA87">
        <v>0.77679020190826298</v>
      </c>
      <c r="AB87">
        <v>2.7075545889091699</v>
      </c>
      <c r="AC87">
        <v>4.7976698327597003</v>
      </c>
      <c r="AD87">
        <v>0.227761563105052</v>
      </c>
      <c r="AE87">
        <v>5.9310857552757401</v>
      </c>
    </row>
    <row r="88" spans="1:31" x14ac:dyDescent="0.2">
      <c r="A88">
        <v>87</v>
      </c>
      <c r="B88">
        <v>734</v>
      </c>
      <c r="C88">
        <v>260</v>
      </c>
      <c r="D88">
        <v>0.30150474110112602</v>
      </c>
      <c r="E88">
        <v>14.6084811997021</v>
      </c>
      <c r="F88">
        <v>2.2284135430411798</v>
      </c>
      <c r="G88">
        <v>-237.67220802403529</v>
      </c>
      <c r="H88">
        <v>-200.09941257021649</v>
      </c>
      <c r="I88">
        <v>37.306057145230398</v>
      </c>
      <c r="J88">
        <v>19.8358505242246</v>
      </c>
      <c r="K88">
        <v>6.5555521529300904</v>
      </c>
      <c r="L88">
        <v>1.5306499636719446E-4</v>
      </c>
      <c r="M88">
        <v>1.7382167757970422E-5</v>
      </c>
      <c r="N88" s="1">
        <v>5.04119138172556E-7</v>
      </c>
      <c r="O88" s="1">
        <v>1.34036621678555E-8</v>
      </c>
      <c r="P88" s="1">
        <v>-6.7713944020070196E-8</v>
      </c>
      <c r="Q88">
        <v>69.621186111364395</v>
      </c>
      <c r="R88">
        <v>0.149729173516609</v>
      </c>
      <c r="S88">
        <v>14.812338192452501</v>
      </c>
      <c r="T88">
        <v>0.21453581202372299</v>
      </c>
      <c r="V88">
        <v>0.52758028369994603</v>
      </c>
      <c r="W88">
        <v>0.18201213802535501</v>
      </c>
      <c r="X88">
        <v>0.14062966288006701</v>
      </c>
      <c r="AA88">
        <v>0.796742841801104</v>
      </c>
      <c r="AB88">
        <v>2.55329445385056</v>
      </c>
      <c r="AC88">
        <v>4.8149780367074699</v>
      </c>
      <c r="AD88">
        <v>0.273813543332109</v>
      </c>
      <c r="AE88">
        <v>5.9131597503459696</v>
      </c>
    </row>
    <row r="89" spans="1:31" x14ac:dyDescent="0.2">
      <c r="A89">
        <v>88</v>
      </c>
      <c r="B89">
        <v>732</v>
      </c>
      <c r="C89">
        <v>260</v>
      </c>
      <c r="D89">
        <v>0.29997562552852802</v>
      </c>
      <c r="E89">
        <v>12.7134271685467</v>
      </c>
      <c r="F89">
        <v>2.2314059873492398</v>
      </c>
      <c r="G89">
        <v>-206.83835937969775</v>
      </c>
      <c r="H89">
        <v>-174.27404358187846</v>
      </c>
      <c r="I89">
        <v>32.3974688333277</v>
      </c>
      <c r="J89">
        <v>17.2775951846697</v>
      </c>
      <c r="K89">
        <v>5.6974962156704398</v>
      </c>
      <c r="L89">
        <v>1.5285140134168102E-4</v>
      </c>
      <c r="M89">
        <v>1.737738040470296E-5</v>
      </c>
      <c r="N89" s="1">
        <v>4.3882133065154798E-7</v>
      </c>
      <c r="O89" s="1">
        <v>1.16219206915792E-8</v>
      </c>
      <c r="P89" s="1">
        <v>-5.8547889792727802E-8</v>
      </c>
      <c r="Q89">
        <v>69.287867329670604</v>
      </c>
      <c r="R89">
        <v>0.14884893822565801</v>
      </c>
      <c r="S89">
        <v>15.2103532105022</v>
      </c>
      <c r="T89">
        <v>0.20905359064606099</v>
      </c>
      <c r="V89">
        <v>0.51708053550380895</v>
      </c>
      <c r="W89">
        <v>0.208279694554731</v>
      </c>
      <c r="X89">
        <v>0.13892740372506901</v>
      </c>
      <c r="AA89">
        <v>0.81626595787941503</v>
      </c>
      <c r="AB89">
        <v>2.4235278154643898</v>
      </c>
      <c r="AC89">
        <v>4.8240937919845903</v>
      </c>
      <c r="AD89">
        <v>0.31462798716360202</v>
      </c>
      <c r="AE89">
        <v>5.9010737446798398</v>
      </c>
    </row>
    <row r="90" spans="1:31" x14ac:dyDescent="0.2">
      <c r="A90">
        <v>89</v>
      </c>
      <c r="B90">
        <v>730</v>
      </c>
      <c r="C90">
        <v>260</v>
      </c>
      <c r="D90">
        <v>0.29844041269999899</v>
      </c>
      <c r="E90">
        <v>11.370060544557999</v>
      </c>
      <c r="F90">
        <v>2.2341231028650901</v>
      </c>
      <c r="G90">
        <v>-184.97965319986693</v>
      </c>
      <c r="H90">
        <v>-155.97064110119234</v>
      </c>
      <c r="I90">
        <v>28.917920648631299</v>
      </c>
      <c r="J90">
        <v>15.464738242439701</v>
      </c>
      <c r="K90">
        <v>5.0892721757260198</v>
      </c>
      <c r="L90">
        <v>1.5270494684146234E-4</v>
      </c>
      <c r="M90">
        <v>1.7375764640672464E-5</v>
      </c>
      <c r="N90" s="1">
        <v>3.9281334805695598E-7</v>
      </c>
      <c r="O90" s="1">
        <v>1.03624111740644E-8</v>
      </c>
      <c r="P90" s="1">
        <v>-5.2080255379283903E-8</v>
      </c>
      <c r="Q90">
        <v>68.978807917049394</v>
      </c>
      <c r="R90">
        <v>0.14776203665912899</v>
      </c>
      <c r="S90">
        <v>15.5739697873711</v>
      </c>
      <c r="T90">
        <v>0.20413422529002301</v>
      </c>
      <c r="V90">
        <v>0.507298023868204</v>
      </c>
      <c r="W90">
        <v>0.23200875403135701</v>
      </c>
      <c r="X90">
        <v>0.13721308150845701</v>
      </c>
      <c r="AA90">
        <v>0.83547933628621995</v>
      </c>
      <c r="AB90">
        <v>2.3110176319783902</v>
      </c>
      <c r="AC90">
        <v>4.8273770112626897</v>
      </c>
      <c r="AD90">
        <v>0.35180111700497102</v>
      </c>
      <c r="AE90">
        <v>5.8931310776900396</v>
      </c>
    </row>
    <row r="91" spans="1:31" x14ac:dyDescent="0.2">
      <c r="A91">
        <v>90</v>
      </c>
      <c r="B91">
        <v>728</v>
      </c>
      <c r="C91">
        <v>260</v>
      </c>
      <c r="D91">
        <v>0.29689906607401501</v>
      </c>
      <c r="E91">
        <v>10.3553504567013</v>
      </c>
      <c r="F91">
        <v>2.2366336261902999</v>
      </c>
      <c r="G91">
        <v>-168.46780906073846</v>
      </c>
      <c r="H91">
        <v>-142.14784503064428</v>
      </c>
      <c r="I91">
        <v>26.289730839628501</v>
      </c>
      <c r="J91">
        <v>14.0958742345238</v>
      </c>
      <c r="K91">
        <v>4.6298823085923901</v>
      </c>
      <c r="L91">
        <v>1.5260928083358623E-4</v>
      </c>
      <c r="M91">
        <v>1.7376577287711901E-5</v>
      </c>
      <c r="N91" s="1">
        <v>3.5827383795268198E-7</v>
      </c>
      <c r="O91" s="1">
        <v>9.41374539803411E-9</v>
      </c>
      <c r="P91" s="1">
        <v>-4.7217901559123098E-8</v>
      </c>
      <c r="Q91">
        <v>68.687904570044793</v>
      </c>
      <c r="R91">
        <v>0.14652269426540199</v>
      </c>
      <c r="S91">
        <v>15.911726582706899</v>
      </c>
      <c r="T91">
        <v>0.19964221973249299</v>
      </c>
      <c r="V91">
        <v>0.49807347287613102</v>
      </c>
      <c r="W91">
        <v>0.25384691603882198</v>
      </c>
      <c r="X91">
        <v>0.135490482130422</v>
      </c>
      <c r="AA91">
        <v>0.85447581086985902</v>
      </c>
      <c r="AB91">
        <v>2.2114659174648201</v>
      </c>
      <c r="AC91">
        <v>4.8262515749824404</v>
      </c>
      <c r="AD91">
        <v>0.38627374483499899</v>
      </c>
      <c r="AE91">
        <v>5.8883260140528</v>
      </c>
    </row>
    <row r="92" spans="1:31" x14ac:dyDescent="0.2">
      <c r="A92">
        <v>91</v>
      </c>
      <c r="B92">
        <v>760</v>
      </c>
      <c r="C92">
        <v>250</v>
      </c>
      <c r="D92">
        <v>0.33149155495329902</v>
      </c>
      <c r="E92">
        <v>106.19397429020999</v>
      </c>
      <c r="F92">
        <v>2.2011746828040799</v>
      </c>
      <c r="G92">
        <v>-1734.2280647791531</v>
      </c>
      <c r="H92">
        <v>-1448.9817712868296</v>
      </c>
      <c r="I92">
        <v>276.093784534988</v>
      </c>
      <c r="J92">
        <v>143.43258793216901</v>
      </c>
      <c r="K92">
        <v>48.244228465743397</v>
      </c>
      <c r="L92">
        <v>1.5382045393076709E-4</v>
      </c>
      <c r="M92">
        <v>1.7667051097080847E-5</v>
      </c>
      <c r="N92" s="1">
        <v>3.5781854623917802E-6</v>
      </c>
      <c r="O92" s="1">
        <v>1.00678698701856E-7</v>
      </c>
      <c r="P92" s="1">
        <v>-5.0928607866530197E-7</v>
      </c>
      <c r="Q92">
        <v>72.292237401556903</v>
      </c>
      <c r="R92">
        <v>9.0400609489996106E-2</v>
      </c>
      <c r="S92">
        <v>12.2040822811501</v>
      </c>
      <c r="T92">
        <v>0.23248631859490199</v>
      </c>
      <c r="V92">
        <v>0.57034777917309099</v>
      </c>
      <c r="W92">
        <v>2.5425171419061199E-2</v>
      </c>
      <c r="X92">
        <v>0.113000761862496</v>
      </c>
      <c r="AA92">
        <v>0.74392168226142297</v>
      </c>
      <c r="AB92">
        <v>3.3429392050987898</v>
      </c>
      <c r="AC92">
        <v>4.4164464427924601</v>
      </c>
      <c r="AD92">
        <v>3.7666920620830699E-2</v>
      </c>
      <c r="AE92">
        <v>5.9310454259799004</v>
      </c>
    </row>
    <row r="93" spans="1:31" x14ac:dyDescent="0.2">
      <c r="A93">
        <v>92</v>
      </c>
      <c r="B93">
        <v>758</v>
      </c>
      <c r="C93">
        <v>250</v>
      </c>
      <c r="D93">
        <v>0.330059157251614</v>
      </c>
      <c r="E93">
        <v>106.02827272507901</v>
      </c>
      <c r="F93">
        <v>2.2019995553152998</v>
      </c>
      <c r="G93">
        <v>-1730.9169467094539</v>
      </c>
      <c r="H93">
        <v>-1446.9432683446591</v>
      </c>
      <c r="I93">
        <v>275.39512036541203</v>
      </c>
      <c r="J93">
        <v>143.19603767395199</v>
      </c>
      <c r="K93">
        <v>48.1509056026567</v>
      </c>
      <c r="L93">
        <v>1.5375893462059873E-4</v>
      </c>
      <c r="M93">
        <v>1.7649406188669586E-5</v>
      </c>
      <c r="N93" s="1">
        <v>3.5807180078621399E-6</v>
      </c>
      <c r="O93" s="1">
        <v>1.00356200803881E-7</v>
      </c>
      <c r="P93" s="1">
        <v>-5.0843433017734201E-7</v>
      </c>
      <c r="Q93">
        <v>72.258492858459903</v>
      </c>
      <c r="R93">
        <v>9.0541888057460607E-2</v>
      </c>
      <c r="S93">
        <v>12.2231548877582</v>
      </c>
      <c r="T93">
        <v>0.233640264393318</v>
      </c>
      <c r="V93">
        <v>0.57052771780606903</v>
      </c>
      <c r="W93">
        <v>2.5464906016160398E-2</v>
      </c>
      <c r="X93">
        <v>0.11317736007182801</v>
      </c>
      <c r="AA93">
        <v>0.74508428713951402</v>
      </c>
      <c r="AB93">
        <v>3.3481635687914801</v>
      </c>
      <c r="AC93">
        <v>4.42334848947376</v>
      </c>
      <c r="AD93">
        <v>3.7725786690606798E-2</v>
      </c>
      <c r="AE93">
        <v>5.93067798534166</v>
      </c>
    </row>
    <row r="94" spans="1:31" x14ac:dyDescent="0.2">
      <c r="A94">
        <v>93</v>
      </c>
      <c r="B94">
        <v>756</v>
      </c>
      <c r="C94">
        <v>250</v>
      </c>
      <c r="D94">
        <v>0.32862119224602798</v>
      </c>
      <c r="E94">
        <v>105.58972962619799</v>
      </c>
      <c r="F94">
        <v>2.2029736455751201</v>
      </c>
      <c r="G94">
        <v>-1723.0853371366716</v>
      </c>
      <c r="H94">
        <v>-1441.0687375765867</v>
      </c>
      <c r="I94">
        <v>274.02866400435698</v>
      </c>
      <c r="J94">
        <v>142.62006720195399</v>
      </c>
      <c r="K94">
        <v>47.930545986460103</v>
      </c>
      <c r="L94">
        <v>1.5382295660835573E-4</v>
      </c>
      <c r="M94">
        <v>1.7633085108703985E-5</v>
      </c>
      <c r="N94" s="1">
        <v>3.5756549952354602E-6</v>
      </c>
      <c r="O94" s="1">
        <v>9.9820209014625804E-8</v>
      </c>
      <c r="P94" s="1">
        <v>-5.0689406873499605E-7</v>
      </c>
      <c r="Q94">
        <v>72.165419986755495</v>
      </c>
      <c r="R94">
        <v>9.0917933344325796E-2</v>
      </c>
      <c r="S94">
        <v>12.273921001486</v>
      </c>
      <c r="T94">
        <v>0.23550547982307901</v>
      </c>
      <c r="V94">
        <v>0.57209208595189598</v>
      </c>
      <c r="W94">
        <v>2.5570668753090799E-2</v>
      </c>
      <c r="X94">
        <v>0.113647416680413</v>
      </c>
      <c r="AA94">
        <v>0.74817882647933598</v>
      </c>
      <c r="AB94">
        <v>3.3620694101286501</v>
      </c>
      <c r="AC94">
        <v>4.44171986859239</v>
      </c>
      <c r="AD94">
        <v>3.7882472226798899E-2</v>
      </c>
      <c r="AE94">
        <v>5.9330748497783796</v>
      </c>
    </row>
    <row r="95" spans="1:31" x14ac:dyDescent="0.2">
      <c r="A95">
        <v>94</v>
      </c>
      <c r="B95">
        <v>754</v>
      </c>
      <c r="C95">
        <v>250</v>
      </c>
      <c r="D95">
        <v>0.32717762741566497</v>
      </c>
      <c r="E95">
        <v>105.15544973036501</v>
      </c>
      <c r="F95">
        <v>2.20394807485579</v>
      </c>
      <c r="G95">
        <v>-1715.3293951809196</v>
      </c>
      <c r="H95">
        <v>-1435.25177619032</v>
      </c>
      <c r="I95">
        <v>272.67450614866198</v>
      </c>
      <c r="J95">
        <v>142.04966777956801</v>
      </c>
      <c r="K95">
        <v>47.712308166446</v>
      </c>
      <c r="L95">
        <v>1.5388678711945048E-4</v>
      </c>
      <c r="M95">
        <v>1.7616732616142917E-5</v>
      </c>
      <c r="N95" s="1">
        <v>3.5706742392249798E-6</v>
      </c>
      <c r="O95" s="1">
        <v>9.9289423849326404E-8</v>
      </c>
      <c r="P95" s="1">
        <v>-5.0537055926268598E-7</v>
      </c>
      <c r="Q95">
        <v>72.072462117206399</v>
      </c>
      <c r="R95">
        <v>9.1293413937328205E-2</v>
      </c>
      <c r="S95">
        <v>12.3246108815421</v>
      </c>
      <c r="T95">
        <v>0.237383717418473</v>
      </c>
      <c r="V95">
        <v>0.57363986714790505</v>
      </c>
      <c r="W95">
        <v>2.5676272669872501E-2</v>
      </c>
      <c r="X95">
        <v>0.114116767421668</v>
      </c>
      <c r="AA95">
        <v>0.75126871885924695</v>
      </c>
      <c r="AB95">
        <v>3.3759543695573599</v>
      </c>
      <c r="AC95">
        <v>4.4600636600629597</v>
      </c>
      <c r="AD95">
        <v>3.8038922473881902E-2</v>
      </c>
      <c r="AE95">
        <v>5.9354912917026503</v>
      </c>
    </row>
    <row r="96" spans="1:31" x14ac:dyDescent="0.2">
      <c r="A96">
        <v>95</v>
      </c>
      <c r="B96">
        <v>752</v>
      </c>
      <c r="C96">
        <v>250</v>
      </c>
      <c r="D96">
        <v>0.32572842998585799</v>
      </c>
      <c r="E96">
        <v>104.725365657184</v>
      </c>
      <c r="F96">
        <v>2.2049228559820802</v>
      </c>
      <c r="G96">
        <v>-1707.6479325965156</v>
      </c>
      <c r="H96">
        <v>-1429.4914718409696</v>
      </c>
      <c r="I96">
        <v>271.332449646925</v>
      </c>
      <c r="J96">
        <v>141.48475145471701</v>
      </c>
      <c r="K96">
        <v>47.496158594872703</v>
      </c>
      <c r="L96">
        <v>1.5395042227185957E-4</v>
      </c>
      <c r="M96">
        <v>1.7600348207931711E-5</v>
      </c>
      <c r="N96" s="1">
        <v>3.5657743534314301E-6</v>
      </c>
      <c r="O96" s="1">
        <v>9.8763760073097395E-8</v>
      </c>
      <c r="P96" s="1">
        <v>-5.03863518716337E-7</v>
      </c>
      <c r="Q96">
        <v>71.979617979746294</v>
      </c>
      <c r="R96">
        <v>9.1668335935206305E-2</v>
      </c>
      <c r="S96">
        <v>12.3752253512561</v>
      </c>
      <c r="T96">
        <v>0.23927513147684501</v>
      </c>
      <c r="V96">
        <v>0.57517097514623605</v>
      </c>
      <c r="W96">
        <v>2.57817194817755E-2</v>
      </c>
      <c r="X96">
        <v>0.114585419919017</v>
      </c>
      <c r="AA96">
        <v>0.75435401446678396</v>
      </c>
      <c r="AB96">
        <v>3.3898186726038801</v>
      </c>
      <c r="AC96">
        <v>4.4783801618342496</v>
      </c>
      <c r="AD96">
        <v>3.8195139972996901E-2</v>
      </c>
      <c r="AE96">
        <v>5.9379270981604897</v>
      </c>
    </row>
    <row r="97" spans="1:31" x14ac:dyDescent="0.2">
      <c r="A97">
        <v>96</v>
      </c>
      <c r="B97">
        <v>750</v>
      </c>
      <c r="C97">
        <v>250</v>
      </c>
      <c r="D97">
        <v>0.324273566925672</v>
      </c>
      <c r="E97">
        <v>104.29941145076501</v>
      </c>
      <c r="F97">
        <v>2.20589800180784</v>
      </c>
      <c r="G97">
        <v>-1700.0397862236052</v>
      </c>
      <c r="H97">
        <v>-1423.7869314839697</v>
      </c>
      <c r="I97">
        <v>270.00230146081702</v>
      </c>
      <c r="J97">
        <v>140.92523213198001</v>
      </c>
      <c r="K97">
        <v>47.282064431486504</v>
      </c>
      <c r="L97">
        <v>1.5401385811260093E-4</v>
      </c>
      <c r="M97">
        <v>1.7583931377722953E-5</v>
      </c>
      <c r="N97" s="1">
        <v>3.5609539771116001E-6</v>
      </c>
      <c r="O97" s="1">
        <v>9.8243134192659098E-8</v>
      </c>
      <c r="P97" s="1">
        <v>-5.0237266956162701E-7</v>
      </c>
      <c r="Q97">
        <v>71.886886319949994</v>
      </c>
      <c r="R97">
        <v>9.2042705385080803E-2</v>
      </c>
      <c r="S97">
        <v>12.4257652269897</v>
      </c>
      <c r="T97">
        <v>0.24117987783956599</v>
      </c>
      <c r="V97">
        <v>0.57668532186451504</v>
      </c>
      <c r="W97">
        <v>2.58870108895525E-2</v>
      </c>
      <c r="X97">
        <v>0.115053381731361</v>
      </c>
      <c r="AA97">
        <v>0.75743476306470603</v>
      </c>
      <c r="AB97">
        <v>3.4036625428856802</v>
      </c>
      <c r="AC97">
        <v>4.4966696693332899</v>
      </c>
      <c r="AD97">
        <v>3.8351127243776997E-2</v>
      </c>
      <c r="AE97">
        <v>5.9403820528226303</v>
      </c>
    </row>
    <row r="98" spans="1:31" x14ac:dyDescent="0.2">
      <c r="A98">
        <v>97</v>
      </c>
      <c r="B98">
        <v>748</v>
      </c>
      <c r="C98">
        <v>250</v>
      </c>
      <c r="D98">
        <v>0.32281300494540499</v>
      </c>
      <c r="E98">
        <v>103.877522543428</v>
      </c>
      <c r="F98">
        <v>2.2068735252213401</v>
      </c>
      <c r="G98">
        <v>-1692.5038173469211</v>
      </c>
      <c r="H98">
        <v>-1418.1372808843059</v>
      </c>
      <c r="I98">
        <v>268.68387255801201</v>
      </c>
      <c r="J98">
        <v>140.371025524895</v>
      </c>
      <c r="K98">
        <v>47.069993525346902</v>
      </c>
      <c r="L98">
        <v>1.5407709061330787E-4</v>
      </c>
      <c r="M98">
        <v>1.7567481615594946E-5</v>
      </c>
      <c r="N98" s="1">
        <v>3.55621177435085E-6</v>
      </c>
      <c r="O98" s="1">
        <v>9.7727464408181698E-8</v>
      </c>
      <c r="P98" s="1">
        <v>-5.0089773960742204E-7</v>
      </c>
      <c r="Q98">
        <v>71.794265899394603</v>
      </c>
      <c r="R98">
        <v>9.2416528282013299E-2</v>
      </c>
      <c r="S98">
        <v>12.4762313180766</v>
      </c>
      <c r="T98">
        <v>0.243098113903219</v>
      </c>
      <c r="V98">
        <v>0.57818281737204102</v>
      </c>
      <c r="W98">
        <v>2.5992148579314402E-2</v>
      </c>
      <c r="X98">
        <v>0.11552066035253</v>
      </c>
      <c r="AA98">
        <v>0.76051101398737497</v>
      </c>
      <c r="AB98">
        <v>3.4174862020951302</v>
      </c>
      <c r="AC98">
        <v>4.5149324754437501</v>
      </c>
      <c r="AD98">
        <v>3.8506886784163898E-2</v>
      </c>
      <c r="AE98">
        <v>5.9428559357291899</v>
      </c>
    </row>
    <row r="99" spans="1:31" x14ac:dyDescent="0.2">
      <c r="A99">
        <v>98</v>
      </c>
      <c r="B99">
        <v>746</v>
      </c>
      <c r="C99">
        <v>250</v>
      </c>
      <c r="D99">
        <v>0.32134671049404001</v>
      </c>
      <c r="E99">
        <v>103.45963571861</v>
      </c>
      <c r="F99">
        <v>2.2078494391445802</v>
      </c>
      <c r="G99">
        <v>-1685.0389110438514</v>
      </c>
      <c r="H99">
        <v>-1412.541664113448</v>
      </c>
      <c r="I99">
        <v>267.37697780542902</v>
      </c>
      <c r="J99">
        <v>139.82204910766899</v>
      </c>
      <c r="K99">
        <v>46.8599143964706</v>
      </c>
      <c r="L99">
        <v>1.5414011567117965E-4</v>
      </c>
      <c r="M99">
        <v>1.7550998408125271E-5</v>
      </c>
      <c r="N99" s="1">
        <v>3.5515464333525199E-6</v>
      </c>
      <c r="O99" s="1">
        <v>9.7216670568923705E-8</v>
      </c>
      <c r="P99" s="1">
        <v>-4.9943846186411104E-7</v>
      </c>
      <c r="Q99">
        <v>71.701755495338105</v>
      </c>
      <c r="R99">
        <v>9.2789810570281697E-2</v>
      </c>
      <c r="S99">
        <v>12.526624426994101</v>
      </c>
      <c r="T99">
        <v>0.245029998635729</v>
      </c>
      <c r="V99">
        <v>0.57966336988638001</v>
      </c>
      <c r="W99">
        <v>2.6097134222889399E-2</v>
      </c>
      <c r="X99">
        <v>0.11598726321286899</v>
      </c>
      <c r="AA99">
        <v>0.76358281615124202</v>
      </c>
      <c r="AB99">
        <v>3.4312898700466801</v>
      </c>
      <c r="AC99">
        <v>4.5331688705684101</v>
      </c>
      <c r="AD99">
        <v>3.8662421070940201E-2</v>
      </c>
      <c r="AE99">
        <v>5.9453485233022896</v>
      </c>
    </row>
    <row r="100" spans="1:31" x14ac:dyDescent="0.2">
      <c r="A100">
        <v>99</v>
      </c>
      <c r="B100">
        <v>744</v>
      </c>
      <c r="C100">
        <v>250</v>
      </c>
      <c r="D100">
        <v>0.31987464975667701</v>
      </c>
      <c r="E100">
        <v>100.885173167579</v>
      </c>
      <c r="F100">
        <v>2.2096024752479302</v>
      </c>
      <c r="G100">
        <v>-1641.7555726543142</v>
      </c>
      <c r="H100">
        <v>-1377.040499233922</v>
      </c>
      <c r="I100">
        <v>260.25175580827897</v>
      </c>
      <c r="J100">
        <v>136.282552563678</v>
      </c>
      <c r="K100">
        <v>45.657612307054997</v>
      </c>
      <c r="L100">
        <v>1.5373739319000053E-4</v>
      </c>
      <c r="M100">
        <v>1.7492523607204535E-5</v>
      </c>
      <c r="N100" s="1">
        <v>3.4560919989079598E-6</v>
      </c>
      <c r="O100" s="1">
        <v>9.4269303891474406E-8</v>
      </c>
      <c r="P100" s="1">
        <v>-4.85488478830808E-7</v>
      </c>
      <c r="Q100">
        <v>71.629525770444502</v>
      </c>
      <c r="R100">
        <v>9.5157689664207498E-2</v>
      </c>
      <c r="S100">
        <v>12.5543781814584</v>
      </c>
      <c r="T100">
        <v>0.25224680597504201</v>
      </c>
      <c r="V100">
        <v>0.59358827579824203</v>
      </c>
      <c r="W100">
        <v>2.67631002180552E-2</v>
      </c>
      <c r="X100">
        <v>0.118947112080283</v>
      </c>
      <c r="AA100">
        <v>0.74145437339931197</v>
      </c>
      <c r="AB100">
        <v>3.4019510531453099</v>
      </c>
      <c r="AC100">
        <v>4.6267353020450201</v>
      </c>
      <c r="AD100">
        <v>3.9649037360071797E-2</v>
      </c>
      <c r="AE100">
        <v>5.91960329841144</v>
      </c>
    </row>
    <row r="101" spans="1:31" x14ac:dyDescent="0.2">
      <c r="A101">
        <v>100</v>
      </c>
      <c r="B101">
        <v>742</v>
      </c>
      <c r="C101">
        <v>250</v>
      </c>
      <c r="D101">
        <v>0.318396788651924</v>
      </c>
      <c r="E101">
        <v>47.266739479858401</v>
      </c>
      <c r="F101">
        <v>2.2144350686194798</v>
      </c>
      <c r="G101">
        <v>-768.84386736097088</v>
      </c>
      <c r="H101">
        <v>-645.50048188559845</v>
      </c>
      <c r="I101">
        <v>121.502620770696</v>
      </c>
      <c r="J101">
        <v>63.877084710683903</v>
      </c>
      <c r="K101">
        <v>21.344829726402899</v>
      </c>
      <c r="L101">
        <v>1.5280684067986149E-4</v>
      </c>
      <c r="M101">
        <v>1.7419662161765598E-5</v>
      </c>
      <c r="N101" s="1">
        <v>1.60645856344538E-6</v>
      </c>
      <c r="O101" s="1">
        <v>4.3673648975608199E-8</v>
      </c>
      <c r="P101" s="1">
        <v>-2.2417621234316101E-7</v>
      </c>
      <c r="Q101">
        <v>71.267576109900503</v>
      </c>
      <c r="R101">
        <v>0.13177726719778299</v>
      </c>
      <c r="S101">
        <v>12.9661461341092</v>
      </c>
      <c r="T101">
        <v>0.24638573685474699</v>
      </c>
      <c r="V101">
        <v>0.58388706591192396</v>
      </c>
      <c r="W101">
        <v>5.7122620043419302E-2</v>
      </c>
      <c r="X101">
        <v>0.144968761663954</v>
      </c>
      <c r="AA101">
        <v>0.73037662969053496</v>
      </c>
      <c r="AB101">
        <v>3.1985812601285599</v>
      </c>
      <c r="AC101">
        <v>4.7291313369908599</v>
      </c>
      <c r="AD101">
        <v>8.4626103767950697E-2</v>
      </c>
      <c r="AE101">
        <v>5.8594209737404803</v>
      </c>
    </row>
    <row r="102" spans="1:31" x14ac:dyDescent="0.2">
      <c r="A102">
        <v>101</v>
      </c>
      <c r="B102">
        <v>740</v>
      </c>
      <c r="C102">
        <v>250</v>
      </c>
      <c r="D102">
        <v>0.31691309282929903</v>
      </c>
      <c r="E102">
        <v>25.507423762605399</v>
      </c>
      <c r="F102">
        <v>2.2200129624573401</v>
      </c>
      <c r="G102">
        <v>-414.95773469018661</v>
      </c>
      <c r="H102">
        <v>-348.79166593109233</v>
      </c>
      <c r="I102">
        <v>65.307278052701093</v>
      </c>
      <c r="J102">
        <v>34.509195544126399</v>
      </c>
      <c r="K102">
        <v>11.4897634356022</v>
      </c>
      <c r="L102">
        <v>1.5185910121849415E-4</v>
      </c>
      <c r="M102">
        <v>1.7373332888342737E-5</v>
      </c>
      <c r="N102" s="1">
        <v>8.6039190232741403E-7</v>
      </c>
      <c r="O102" s="1">
        <v>2.3310352935333099E-8</v>
      </c>
      <c r="P102" s="1">
        <v>-1.18812830470401E-7</v>
      </c>
      <c r="Q102">
        <v>70.735159230702195</v>
      </c>
      <c r="R102">
        <v>0.16296498072875901</v>
      </c>
      <c r="S102">
        <v>13.653136294551899</v>
      </c>
      <c r="T102">
        <v>0.22645372424499599</v>
      </c>
      <c r="V102">
        <v>0.54438419736475796</v>
      </c>
      <c r="W102">
        <v>0.105851536600786</v>
      </c>
      <c r="X102">
        <v>0.15011028107761901</v>
      </c>
      <c r="AA102">
        <v>0.75048635804598496</v>
      </c>
      <c r="AB102">
        <v>2.9124472857981201</v>
      </c>
      <c r="AC102">
        <v>4.8001723748259302</v>
      </c>
      <c r="AD102">
        <v>0.15681709126027299</v>
      </c>
      <c r="AE102">
        <v>5.8020166447985</v>
      </c>
    </row>
    <row r="103" spans="1:31" x14ac:dyDescent="0.2">
      <c r="A103">
        <v>102</v>
      </c>
      <c r="B103">
        <v>738</v>
      </c>
      <c r="C103">
        <v>250</v>
      </c>
      <c r="D103">
        <v>0.31542352766652099</v>
      </c>
      <c r="E103">
        <v>18.638157903493202</v>
      </c>
      <c r="F103">
        <v>2.2241627663078498</v>
      </c>
      <c r="G103">
        <v>-303.20635512895984</v>
      </c>
      <c r="H103">
        <v>-255.09462194349865</v>
      </c>
      <c r="I103">
        <v>47.581202774525302</v>
      </c>
      <c r="J103">
        <v>25.242428560514199</v>
      </c>
      <c r="K103">
        <v>8.3798533928489594</v>
      </c>
      <c r="L103">
        <v>1.5138861358889732E-4</v>
      </c>
      <c r="M103">
        <v>1.7358742347412842E-5</v>
      </c>
      <c r="N103" s="1">
        <v>6.2718652116098499E-7</v>
      </c>
      <c r="O103" s="1">
        <v>1.6928352586131402E-8</v>
      </c>
      <c r="P103" s="1">
        <v>-8.5864541775610597E-8</v>
      </c>
      <c r="Q103">
        <v>70.287551976395605</v>
      </c>
      <c r="R103">
        <v>0.15495719851729101</v>
      </c>
      <c r="S103">
        <v>14.2091092840394</v>
      </c>
      <c r="T103">
        <v>0.22087974887133199</v>
      </c>
      <c r="V103">
        <v>0.536738799539491</v>
      </c>
      <c r="W103">
        <v>0.14365109287331301</v>
      </c>
      <c r="X103">
        <v>0.14673389497817399</v>
      </c>
      <c r="AA103">
        <v>0.77157711949586505</v>
      </c>
      <c r="AB103">
        <v>2.7062980615971401</v>
      </c>
      <c r="AC103">
        <v>4.8328668939996797</v>
      </c>
      <c r="AD103">
        <v>0.21461348383814499</v>
      </c>
      <c r="AE103">
        <v>5.7750224458543702</v>
      </c>
    </row>
    <row r="104" spans="1:31" x14ac:dyDescent="0.2">
      <c r="A104">
        <v>103</v>
      </c>
      <c r="B104">
        <v>736</v>
      </c>
      <c r="C104">
        <v>250</v>
      </c>
      <c r="D104">
        <v>0.31392805826685999</v>
      </c>
      <c r="E104">
        <v>15.279153800696999</v>
      </c>
      <c r="F104">
        <v>2.22762492389541</v>
      </c>
      <c r="G104">
        <v>-248.56132841602843</v>
      </c>
      <c r="H104">
        <v>-209.29516800670831</v>
      </c>
      <c r="I104">
        <v>38.910132695159298</v>
      </c>
      <c r="J104">
        <v>20.712398460903501</v>
      </c>
      <c r="K104">
        <v>6.8589436384912501</v>
      </c>
      <c r="L104">
        <v>1.5105453701219182E-4</v>
      </c>
      <c r="M104">
        <v>1.7348251903005014E-5</v>
      </c>
      <c r="N104" s="1">
        <v>5.1362273713843E-7</v>
      </c>
      <c r="O104" s="1">
        <v>1.3810225448107699E-8</v>
      </c>
      <c r="P104" s="1">
        <v>-6.9790332660590995E-8</v>
      </c>
      <c r="Q104">
        <v>69.911385134704801</v>
      </c>
      <c r="R104">
        <v>0.154430736058881</v>
      </c>
      <c r="S104">
        <v>14.667300730067801</v>
      </c>
      <c r="T104">
        <v>0.214428366802805</v>
      </c>
      <c r="V104">
        <v>0.52508793024418499</v>
      </c>
      <c r="W104">
        <v>0.17438433786004401</v>
      </c>
      <c r="X104">
        <v>0.14505236646059799</v>
      </c>
      <c r="AA104">
        <v>0.79137657500671599</v>
      </c>
      <c r="AB104">
        <v>2.5459909005519301</v>
      </c>
      <c r="AC104">
        <v>4.8528075218019904</v>
      </c>
      <c r="AD104">
        <v>0.26179460277515498</v>
      </c>
      <c r="AE104">
        <v>5.7559607976650096</v>
      </c>
    </row>
    <row r="105" spans="1:31" x14ac:dyDescent="0.2">
      <c r="A105">
        <v>104</v>
      </c>
      <c r="B105">
        <v>734</v>
      </c>
      <c r="C105">
        <v>250</v>
      </c>
      <c r="D105">
        <v>0.31242664945638698</v>
      </c>
      <c r="E105">
        <v>13.1903553528152</v>
      </c>
      <c r="F105">
        <v>2.23066193257965</v>
      </c>
      <c r="G105">
        <v>-214.5784165778355</v>
      </c>
      <c r="H105">
        <v>-180.82087338330723</v>
      </c>
      <c r="I105">
        <v>33.517890279033203</v>
      </c>
      <c r="J105">
        <v>17.896378024813799</v>
      </c>
      <c r="K105">
        <v>5.9132023370126703</v>
      </c>
      <c r="L105">
        <v>1.5082239818420642E-4</v>
      </c>
      <c r="M105">
        <v>1.7342540548657485E-5</v>
      </c>
      <c r="N105" s="1">
        <v>4.43418182708694E-7</v>
      </c>
      <c r="O105" s="1">
        <v>1.18763864638121E-8</v>
      </c>
      <c r="P105" s="1">
        <v>-5.9838605187805807E-8</v>
      </c>
      <c r="Q105">
        <v>69.573326602964897</v>
      </c>
      <c r="R105">
        <v>0.15357184065785301</v>
      </c>
      <c r="S105">
        <v>15.0721311032485</v>
      </c>
      <c r="T105">
        <v>0.20883711136074701</v>
      </c>
      <c r="V105">
        <v>0.51449902811884096</v>
      </c>
      <c r="W105">
        <v>0.201139044121557</v>
      </c>
      <c r="X105">
        <v>0.14334886501629801</v>
      </c>
      <c r="AA105">
        <v>0.81060388624856405</v>
      </c>
      <c r="AB105">
        <v>2.4125945801746398</v>
      </c>
      <c r="AC105">
        <v>4.8636133457668898</v>
      </c>
      <c r="AD105">
        <v>0.303251875556105</v>
      </c>
      <c r="AE105">
        <v>5.7430827167649099</v>
      </c>
    </row>
    <row r="106" spans="1:31" x14ac:dyDescent="0.2">
      <c r="A106">
        <v>105</v>
      </c>
      <c r="B106">
        <v>732</v>
      </c>
      <c r="C106">
        <v>250</v>
      </c>
      <c r="D106">
        <v>0.31091926578122597</v>
      </c>
      <c r="E106">
        <v>11.736872076206099</v>
      </c>
      <c r="F106">
        <v>2.2334066810142001</v>
      </c>
      <c r="G106">
        <v>-190.93021565234184</v>
      </c>
      <c r="H106">
        <v>-161.01125418759418</v>
      </c>
      <c r="I106">
        <v>29.7656682731409</v>
      </c>
      <c r="J106">
        <v>15.9375342597402</v>
      </c>
      <c r="K106">
        <v>5.25514326431421</v>
      </c>
      <c r="L106">
        <v>1.5066061807281176E-4</v>
      </c>
      <c r="M106">
        <v>1.7340166093768229E-5</v>
      </c>
      <c r="N106" s="1">
        <v>3.9485779833716198E-7</v>
      </c>
      <c r="O106" s="1">
        <v>1.05343843114786E-8</v>
      </c>
      <c r="P106" s="1">
        <v>-5.2944841697603101E-8</v>
      </c>
      <c r="Q106">
        <v>69.261475758413496</v>
      </c>
      <c r="R106">
        <v>0.152485925746078</v>
      </c>
      <c r="S106">
        <v>15.4401744049539</v>
      </c>
      <c r="T106">
        <v>0.203844512971011</v>
      </c>
      <c r="V106">
        <v>0.50466771506285402</v>
      </c>
      <c r="W106">
        <v>0.22517118997503099</v>
      </c>
      <c r="X106">
        <v>0.141631287513134</v>
      </c>
      <c r="AA106">
        <v>0.82945995797935101</v>
      </c>
      <c r="AB106">
        <v>2.2977202207586398</v>
      </c>
      <c r="AC106">
        <v>4.8680855727983703</v>
      </c>
      <c r="AD106">
        <v>0.34080630461172601</v>
      </c>
      <c r="AE106">
        <v>5.7344771492162803</v>
      </c>
    </row>
    <row r="107" spans="1:31" x14ac:dyDescent="0.2">
      <c r="A107">
        <v>106</v>
      </c>
      <c r="B107">
        <v>730</v>
      </c>
      <c r="C107">
        <v>250</v>
      </c>
      <c r="D107">
        <v>0.30940587150476501</v>
      </c>
      <c r="E107">
        <v>10.6524428390096</v>
      </c>
      <c r="F107">
        <v>2.2359353598071601</v>
      </c>
      <c r="G107">
        <v>-173.2855453867214</v>
      </c>
      <c r="H107">
        <v>-146.23443542322642</v>
      </c>
      <c r="I107">
        <v>26.966166538897401</v>
      </c>
      <c r="J107">
        <v>14.476553561111601</v>
      </c>
      <c r="K107">
        <v>4.7641998201273204</v>
      </c>
      <c r="L107">
        <v>1.5055112767362212E-4</v>
      </c>
      <c r="M107">
        <v>1.7340296118045601E-5</v>
      </c>
      <c r="N107" s="1">
        <v>3.5884494648707401E-7</v>
      </c>
      <c r="O107" s="1">
        <v>9.5358756120383898E-9</v>
      </c>
      <c r="P107" s="1">
        <v>-4.7824902997990598E-8</v>
      </c>
      <c r="Q107">
        <v>68.969003094276701</v>
      </c>
      <c r="R107">
        <v>0.15123518626118501</v>
      </c>
      <c r="S107">
        <v>15.7809183646287</v>
      </c>
      <c r="T107">
        <v>0.19930003909226501</v>
      </c>
      <c r="V107">
        <v>0.49541688647781701</v>
      </c>
      <c r="W107">
        <v>0.24719961456970499</v>
      </c>
      <c r="X107">
        <v>0.13990410120472399</v>
      </c>
      <c r="AA107">
        <v>0.84807005259635304</v>
      </c>
      <c r="AB107">
        <v>2.1965505905031102</v>
      </c>
      <c r="AC107">
        <v>4.8678498403871098</v>
      </c>
      <c r="AD107">
        <v>0.37550072414790298</v>
      </c>
      <c r="AE107">
        <v>5.7290515058542697</v>
      </c>
    </row>
    <row r="108" spans="1:31" x14ac:dyDescent="0.2">
      <c r="A108">
        <v>107</v>
      </c>
      <c r="B108">
        <v>760</v>
      </c>
      <c r="C108">
        <v>240</v>
      </c>
      <c r="D108">
        <v>0.34213860523641398</v>
      </c>
      <c r="E108">
        <v>106.035269778453</v>
      </c>
      <c r="F108">
        <v>2.2015814814196299</v>
      </c>
      <c r="G108">
        <v>-1731.2573556138002</v>
      </c>
      <c r="H108">
        <v>-1447.3823647364711</v>
      </c>
      <c r="I108">
        <v>274.76648199905998</v>
      </c>
      <c r="J108">
        <v>143.07125401746401</v>
      </c>
      <c r="K108">
        <v>48.163227513196198</v>
      </c>
      <c r="L108">
        <v>1.5209702243121399E-4</v>
      </c>
      <c r="M108">
        <v>1.7642607843895573E-5</v>
      </c>
      <c r="N108" s="1">
        <v>3.4987256846372801E-6</v>
      </c>
      <c r="O108" s="1">
        <v>9.9103540537640794E-8</v>
      </c>
      <c r="P108" s="1">
        <v>-5.0208957600349996E-7</v>
      </c>
      <c r="Q108">
        <v>72.400438231943596</v>
      </c>
      <c r="R108">
        <v>9.0535913381065897E-2</v>
      </c>
      <c r="S108">
        <v>12.222348306444401</v>
      </c>
      <c r="T108">
        <v>0.23395995842478801</v>
      </c>
      <c r="V108">
        <v>0.57018853283341597</v>
      </c>
      <c r="W108">
        <v>2.54632256384246E-2</v>
      </c>
      <c r="X108">
        <v>0.113169891726333</v>
      </c>
      <c r="AA108">
        <v>0.74503512053168497</v>
      </c>
      <c r="AB108">
        <v>3.3479426302373101</v>
      </c>
      <c r="AC108">
        <v>4.4230566016374402</v>
      </c>
      <c r="AD108">
        <v>3.7723297242109897E-2</v>
      </c>
      <c r="AE108">
        <v>5.7901382899593399</v>
      </c>
    </row>
    <row r="109" spans="1:31" x14ac:dyDescent="0.2">
      <c r="A109">
        <v>108</v>
      </c>
      <c r="B109">
        <v>758</v>
      </c>
      <c r="C109">
        <v>240</v>
      </c>
      <c r="D109">
        <v>0.34072685836202499</v>
      </c>
      <c r="E109">
        <v>105.85397834557401</v>
      </c>
      <c r="F109">
        <v>2.2024108310766701</v>
      </c>
      <c r="G109">
        <v>-1727.6904485284824</v>
      </c>
      <c r="H109">
        <v>-1445.1229839521145</v>
      </c>
      <c r="I109">
        <v>274.03138687520499</v>
      </c>
      <c r="J109">
        <v>142.81559880418899</v>
      </c>
      <c r="K109">
        <v>48.062775959844899</v>
      </c>
      <c r="L109">
        <v>1.5204372201402513E-4</v>
      </c>
      <c r="M109">
        <v>1.7625115923503589E-5</v>
      </c>
      <c r="N109" s="1">
        <v>3.5006951883591099E-6</v>
      </c>
      <c r="O109" s="1">
        <v>9.8773971412982794E-8</v>
      </c>
      <c r="P109" s="1">
        <v>-5.0120685208339499E-7</v>
      </c>
      <c r="Q109">
        <v>72.363295064126305</v>
      </c>
      <c r="R109">
        <v>9.0690970240717803E-2</v>
      </c>
      <c r="S109">
        <v>12.243280982498</v>
      </c>
      <c r="T109">
        <v>0.235162149898962</v>
      </c>
      <c r="V109">
        <v>0.57044387229176396</v>
      </c>
      <c r="W109">
        <v>2.5506835380201501E-2</v>
      </c>
      <c r="X109">
        <v>0.1133637128009</v>
      </c>
      <c r="AA109">
        <v>0.74631110927256705</v>
      </c>
      <c r="AB109">
        <v>3.3536765036931699</v>
      </c>
      <c r="AC109">
        <v>4.43063177530163</v>
      </c>
      <c r="AD109">
        <v>3.77879042669639E-2</v>
      </c>
      <c r="AE109">
        <v>5.7898491202287499</v>
      </c>
    </row>
    <row r="110" spans="1:31" x14ac:dyDescent="0.2">
      <c r="A110">
        <v>109</v>
      </c>
      <c r="B110">
        <v>756</v>
      </c>
      <c r="C110">
        <v>240</v>
      </c>
      <c r="D110">
        <v>0.33930962444735902</v>
      </c>
      <c r="E110">
        <v>105.42130794601501</v>
      </c>
      <c r="F110">
        <v>2.2033822408871502</v>
      </c>
      <c r="G110">
        <v>-1719.9589741273271</v>
      </c>
      <c r="H110">
        <v>-1439.3276902791263</v>
      </c>
      <c r="I110">
        <v>272.68258645309197</v>
      </c>
      <c r="J110">
        <v>142.24745505003699</v>
      </c>
      <c r="K110">
        <v>47.8452199485682</v>
      </c>
      <c r="L110">
        <v>1.5210522423281594E-4</v>
      </c>
      <c r="M110">
        <v>1.7608738932805299E-5</v>
      </c>
      <c r="N110" s="1">
        <v>3.4957672399136101E-6</v>
      </c>
      <c r="O110" s="1">
        <v>9.8249463827550601E-8</v>
      </c>
      <c r="P110" s="1">
        <v>-4.9969581514496505E-7</v>
      </c>
      <c r="Q110">
        <v>72.271406499508601</v>
      </c>
      <c r="R110">
        <v>9.1063184350891294E-2</v>
      </c>
      <c r="S110">
        <v>12.293529887371999</v>
      </c>
      <c r="T110">
        <v>0.237026837194666</v>
      </c>
      <c r="V110">
        <v>0.57197567869833099</v>
      </c>
      <c r="W110">
        <v>2.5611520598687602E-2</v>
      </c>
      <c r="X110">
        <v>0.113828980438619</v>
      </c>
      <c r="AA110">
        <v>0.749374121220866</v>
      </c>
      <c r="AB110">
        <v>3.3674406713089402</v>
      </c>
      <c r="AC110">
        <v>4.4488159854756804</v>
      </c>
      <c r="AD110">
        <v>3.79429934795351E-2</v>
      </c>
      <c r="AE110">
        <v>5.7919836403530196</v>
      </c>
    </row>
    <row r="111" spans="1:31" x14ac:dyDescent="0.2">
      <c r="A111">
        <v>110</v>
      </c>
      <c r="B111">
        <v>754</v>
      </c>
      <c r="C111">
        <v>240</v>
      </c>
      <c r="D111">
        <v>0.33788687144039198</v>
      </c>
      <c r="E111">
        <v>104.992798121131</v>
      </c>
      <c r="F111">
        <v>2.2043540837701001</v>
      </c>
      <c r="G111">
        <v>-1712.3013718957989</v>
      </c>
      <c r="H111">
        <v>-1433.5885862884531</v>
      </c>
      <c r="I111">
        <v>271.34574853462999</v>
      </c>
      <c r="J111">
        <v>141.68473890005501</v>
      </c>
      <c r="K111">
        <v>47.629733759270898</v>
      </c>
      <c r="L111">
        <v>1.521664787311421E-4</v>
      </c>
      <c r="M111">
        <v>1.7592326897757534E-5</v>
      </c>
      <c r="N111" s="1">
        <v>3.4909157688087902E-6</v>
      </c>
      <c r="O111" s="1">
        <v>9.7729945895194395E-8</v>
      </c>
      <c r="P111" s="1">
        <v>-4.98200660387318E-7</v>
      </c>
      <c r="Q111">
        <v>72.1796350474674</v>
      </c>
      <c r="R111">
        <v>9.1434842882503697E-2</v>
      </c>
      <c r="S111">
        <v>12.3437037891408</v>
      </c>
      <c r="T111">
        <v>0.23890454971985101</v>
      </c>
      <c r="V111">
        <v>0.57349097400105198</v>
      </c>
      <c r="W111">
        <v>2.57160495607032E-2</v>
      </c>
      <c r="X111">
        <v>0.114293553603137</v>
      </c>
      <c r="AA111">
        <v>0.75243256122058799</v>
      </c>
      <c r="AB111">
        <v>3.3811842940924901</v>
      </c>
      <c r="AC111">
        <v>4.46697305332206</v>
      </c>
      <c r="AD111">
        <v>3.8097851201038403E-2</v>
      </c>
      <c r="AE111">
        <v>5.7941334337882404</v>
      </c>
    </row>
    <row r="112" spans="1:31" x14ac:dyDescent="0.2">
      <c r="A112">
        <v>111</v>
      </c>
      <c r="B112">
        <v>752</v>
      </c>
      <c r="C112">
        <v>240</v>
      </c>
      <c r="D112">
        <v>0.33645856703896998</v>
      </c>
      <c r="E112">
        <v>104.568383872043</v>
      </c>
      <c r="F112">
        <v>2.2053263737704101</v>
      </c>
      <c r="G112">
        <v>-1704.7164949310065</v>
      </c>
      <c r="H112">
        <v>-1427.9047918670901</v>
      </c>
      <c r="I112">
        <v>270.02068288925102</v>
      </c>
      <c r="J112">
        <v>141.12736552471199</v>
      </c>
      <c r="K112">
        <v>47.416285006950602</v>
      </c>
      <c r="L112">
        <v>1.5222748049864541E-4</v>
      </c>
      <c r="M112">
        <v>1.7575879247706198E-5</v>
      </c>
      <c r="N112" s="1">
        <v>3.4861394287983602E-6</v>
      </c>
      <c r="O112" s="1">
        <v>9.7215335723153596E-8</v>
      </c>
      <c r="P112" s="1">
        <v>-4.9672111328469305E-7</v>
      </c>
      <c r="Q112">
        <v>72.0879795618049</v>
      </c>
      <c r="R112">
        <v>9.1805951708571504E-2</v>
      </c>
      <c r="S112">
        <v>12.393803480660701</v>
      </c>
      <c r="T112">
        <v>0.24079544103813399</v>
      </c>
      <c r="V112">
        <v>0.57498967066595896</v>
      </c>
      <c r="W112">
        <v>2.5820423918034501E-2</v>
      </c>
      <c r="X112">
        <v>0.114757439635724</v>
      </c>
      <c r="AA112">
        <v>0.75548647760176602</v>
      </c>
      <c r="AB112">
        <v>3.3949075892231</v>
      </c>
      <c r="AC112">
        <v>4.4851032657621701</v>
      </c>
      <c r="AD112">
        <v>3.8252479878565303E-2</v>
      </c>
      <c r="AE112">
        <v>5.7962982181022298</v>
      </c>
    </row>
    <row r="113" spans="1:31" x14ac:dyDescent="0.2">
      <c r="A113">
        <v>112</v>
      </c>
      <c r="B113">
        <v>750</v>
      </c>
      <c r="C113">
        <v>240</v>
      </c>
      <c r="D113">
        <v>0.335024678688366</v>
      </c>
      <c r="E113">
        <v>104.14800156504199</v>
      </c>
      <c r="F113">
        <v>2.2062991249902901</v>
      </c>
      <c r="G113">
        <v>-1697.2032203708955</v>
      </c>
      <c r="H113">
        <v>-1422.2754454042879</v>
      </c>
      <c r="I113">
        <v>268.707203212244</v>
      </c>
      <c r="J113">
        <v>140.57525187022</v>
      </c>
      <c r="K113">
        <v>47.204841984198701</v>
      </c>
      <c r="L113">
        <v>1.5228822442614891E-4</v>
      </c>
      <c r="M113">
        <v>1.755939540714539E-5</v>
      </c>
      <c r="N113" s="1">
        <v>3.48143689672132E-6</v>
      </c>
      <c r="O113" s="1">
        <v>9.6705553054321598E-8</v>
      </c>
      <c r="P113" s="1">
        <v>-4.9525690440892103E-7</v>
      </c>
      <c r="Q113">
        <v>71.996438914543205</v>
      </c>
      <c r="R113">
        <v>9.2176516646887099E-2</v>
      </c>
      <c r="S113">
        <v>12.4438297473337</v>
      </c>
      <c r="T113">
        <v>0.24269966623011099</v>
      </c>
      <c r="V113">
        <v>0.57647167931773602</v>
      </c>
      <c r="W113">
        <v>2.5924645306935602E-2</v>
      </c>
      <c r="X113">
        <v>0.11522064580862</v>
      </c>
      <c r="AA113">
        <v>0.75853591823998601</v>
      </c>
      <c r="AB113">
        <v>3.4086107718378802</v>
      </c>
      <c r="AC113">
        <v>4.5032069070194298</v>
      </c>
      <c r="AD113">
        <v>3.8406881936196097E-2</v>
      </c>
      <c r="AE113">
        <v>5.7984777057791801</v>
      </c>
    </row>
    <row r="114" spans="1:31" x14ac:dyDescent="0.2">
      <c r="A114">
        <v>113</v>
      </c>
      <c r="B114">
        <v>748</v>
      </c>
      <c r="C114">
        <v>240</v>
      </c>
      <c r="D114">
        <v>0.33358517357881101</v>
      </c>
      <c r="E114">
        <v>103.731588894034</v>
      </c>
      <c r="F114">
        <v>2.2072723515884798</v>
      </c>
      <c r="G114">
        <v>-1689.7604487353249</v>
      </c>
      <c r="H114">
        <v>-1416.6997032813638</v>
      </c>
      <c r="I114">
        <v>267.40512701754</v>
      </c>
      <c r="J114">
        <v>140.02831660978401</v>
      </c>
      <c r="K114">
        <v>46.9953736426693</v>
      </c>
      <c r="L114">
        <v>1.523487053073976E-4</v>
      </c>
      <c r="M114">
        <v>1.7542874795827549E-5</v>
      </c>
      <c r="N114" s="1">
        <v>3.4768068717951602E-6</v>
      </c>
      <c r="O114" s="1">
        <v>9.6200519223822796E-8</v>
      </c>
      <c r="P114" s="1">
        <v>-4.93807769291909E-7</v>
      </c>
      <c r="Q114">
        <v>71.905011995332501</v>
      </c>
      <c r="R114">
        <v>9.2546543462348294E-2</v>
      </c>
      <c r="S114">
        <v>12.493783367421299</v>
      </c>
      <c r="T114">
        <v>0.24461738191226901</v>
      </c>
      <c r="V114">
        <v>0.57793690874290904</v>
      </c>
      <c r="W114">
        <v>2.6028715348783999E-2</v>
      </c>
      <c r="X114">
        <v>0.115683179327947</v>
      </c>
      <c r="AA114">
        <v>0.76158093057554999</v>
      </c>
      <c r="AB114">
        <v>3.4222940551179502</v>
      </c>
      <c r="AC114">
        <v>4.5212842587330799</v>
      </c>
      <c r="AD114">
        <v>3.8561059775970997E-2</v>
      </c>
      <c r="AE114">
        <v>5.8006716042493096</v>
      </c>
    </row>
    <row r="115" spans="1:31" x14ac:dyDescent="0.2">
      <c r="A115">
        <v>114</v>
      </c>
      <c r="B115">
        <v>746</v>
      </c>
      <c r="C115">
        <v>240</v>
      </c>
      <c r="D115">
        <v>0.33214001864298798</v>
      </c>
      <c r="E115">
        <v>100.91334692271801</v>
      </c>
      <c r="F115">
        <v>2.209090168725</v>
      </c>
      <c r="G115">
        <v>-1642.4256662359435</v>
      </c>
      <c r="H115">
        <v>-1377.8072550951345</v>
      </c>
      <c r="I115">
        <v>259.646186666152</v>
      </c>
      <c r="J115">
        <v>136.15634296897599</v>
      </c>
      <c r="K115">
        <v>45.680954245956002</v>
      </c>
      <c r="L115">
        <v>1.5190879717414061E-4</v>
      </c>
      <c r="M115">
        <v>1.7480426464461918E-5</v>
      </c>
      <c r="N115" s="1">
        <v>3.3737671907589398E-6</v>
      </c>
      <c r="O115" s="1">
        <v>9.3025527969327796E-8</v>
      </c>
      <c r="P115" s="1">
        <v>-4.78694374514187E-7</v>
      </c>
      <c r="Q115">
        <v>71.834457217645095</v>
      </c>
      <c r="R115">
        <v>9.5131122817203997E-2</v>
      </c>
      <c r="S115">
        <v>12.5188612201148</v>
      </c>
      <c r="T115">
        <v>0.25240511847245301</v>
      </c>
      <c r="V115">
        <v>0.59321673353115101</v>
      </c>
      <c r="W115">
        <v>2.6755628292336599E-2</v>
      </c>
      <c r="X115">
        <v>0.11891390352152099</v>
      </c>
      <c r="AA115">
        <v>0.73689877013840499</v>
      </c>
      <c r="AB115">
        <v>3.3878509500752698</v>
      </c>
      <c r="AC115">
        <v>4.6231597013741004</v>
      </c>
      <c r="AD115">
        <v>3.9637967840491499E-2</v>
      </c>
      <c r="AE115">
        <v>5.7727116661770204</v>
      </c>
    </row>
    <row r="116" spans="1:31" x14ac:dyDescent="0.2">
      <c r="A116">
        <v>115</v>
      </c>
      <c r="B116">
        <v>744</v>
      </c>
      <c r="C116">
        <v>240</v>
      </c>
      <c r="D116">
        <v>0.33068918055350899</v>
      </c>
      <c r="E116">
        <v>60.735418434920703</v>
      </c>
      <c r="F116">
        <v>2.21296357350105</v>
      </c>
      <c r="G116">
        <v>-987.79987090315865</v>
      </c>
      <c r="H116">
        <v>-829.34059449022072</v>
      </c>
      <c r="I116">
        <v>155.787520437436</v>
      </c>
      <c r="J116">
        <v>81.945028286899998</v>
      </c>
      <c r="K116">
        <v>27.445286114146501</v>
      </c>
      <c r="L116">
        <v>1.5107177979972768E-4</v>
      </c>
      <c r="M116">
        <v>1.7400320040178762E-5</v>
      </c>
      <c r="N116" s="1">
        <v>2.0163914899308501E-6</v>
      </c>
      <c r="O116" s="1">
        <v>5.5417110043838999E-8</v>
      </c>
      <c r="P116" s="1">
        <v>-2.8489545324674402E-7</v>
      </c>
      <c r="Q116">
        <v>71.596278324926999</v>
      </c>
      <c r="R116">
        <v>0.119259697034894</v>
      </c>
      <c r="S116">
        <v>12.7578964953185</v>
      </c>
      <c r="T116">
        <v>0.25323634643621601</v>
      </c>
      <c r="V116">
        <v>0.59637735473769404</v>
      </c>
      <c r="W116">
        <v>4.4455114817269499E-2</v>
      </c>
      <c r="X116">
        <v>0.14563385528026801</v>
      </c>
      <c r="AA116">
        <v>0.72239894874867605</v>
      </c>
      <c r="AB116">
        <v>3.2395368322437501</v>
      </c>
      <c r="AC116">
        <v>4.7396330614829303</v>
      </c>
      <c r="AD116">
        <v>6.5859429358864796E-2</v>
      </c>
      <c r="AE116">
        <v>5.71943453961378</v>
      </c>
    </row>
    <row r="117" spans="1:31" x14ac:dyDescent="0.2">
      <c r="A117">
        <v>116</v>
      </c>
      <c r="B117">
        <v>742</v>
      </c>
      <c r="C117">
        <v>240</v>
      </c>
      <c r="D117">
        <v>0.32923262572033701</v>
      </c>
      <c r="E117">
        <v>27.984607415079399</v>
      </c>
      <c r="F117">
        <v>2.2189817217272898</v>
      </c>
      <c r="G117">
        <v>-455.21313448129251</v>
      </c>
      <c r="H117">
        <v>-382.66064427397447</v>
      </c>
      <c r="I117">
        <v>71.469723890378901</v>
      </c>
      <c r="J117">
        <v>37.799803856959102</v>
      </c>
      <c r="K117">
        <v>12.611463691235601</v>
      </c>
      <c r="L117">
        <v>1.4997243948920583E-4</v>
      </c>
      <c r="M117">
        <v>1.7343711537263286E-5</v>
      </c>
      <c r="N117" s="1">
        <v>9.2052772412153197E-7</v>
      </c>
      <c r="O117" s="1">
        <v>2.5215389350595301E-8</v>
      </c>
      <c r="P117" s="1">
        <v>-1.2861623526490299E-7</v>
      </c>
      <c r="Q117">
        <v>71.032749155079301</v>
      </c>
      <c r="R117">
        <v>0.15918850089739101</v>
      </c>
      <c r="S117">
        <v>13.489772878783</v>
      </c>
      <c r="T117">
        <v>0.22930163529631101</v>
      </c>
      <c r="V117">
        <v>0.54851688637796903</v>
      </c>
      <c r="W117">
        <v>9.6481610763793399E-2</v>
      </c>
      <c r="X117">
        <v>0.15275594262690501</v>
      </c>
      <c r="AA117">
        <v>0.74549437516824801</v>
      </c>
      <c r="AB117">
        <v>2.9226066256865</v>
      </c>
      <c r="AC117">
        <v>4.8263101732322804</v>
      </c>
      <c r="AD117">
        <v>0.142935719649946</v>
      </c>
      <c r="AE117">
        <v>5.6538864964381998</v>
      </c>
    </row>
    <row r="118" spans="1:31" x14ac:dyDescent="0.2">
      <c r="A118">
        <v>117</v>
      </c>
      <c r="B118">
        <v>740</v>
      </c>
      <c r="C118">
        <v>240</v>
      </c>
      <c r="D118">
        <v>0.32777032028821201</v>
      </c>
      <c r="E118">
        <v>19.801815340442001</v>
      </c>
      <c r="F118">
        <v>2.22332039316511</v>
      </c>
      <c r="G118">
        <v>-322.11161938052862</v>
      </c>
      <c r="H118">
        <v>-271.03185688213216</v>
      </c>
      <c r="I118">
        <v>50.4167818174964</v>
      </c>
      <c r="J118">
        <v>26.775100431776998</v>
      </c>
      <c r="K118">
        <v>8.9064155581518101</v>
      </c>
      <c r="L118">
        <v>1.4942124951927295E-4</v>
      </c>
      <c r="M118">
        <v>1.7322805353574781E-5</v>
      </c>
      <c r="N118" s="1">
        <v>6.4920244770709098E-7</v>
      </c>
      <c r="O118" s="1">
        <v>1.7717874774319701E-8</v>
      </c>
      <c r="P118" s="1">
        <v>-8.9900094470290905E-8</v>
      </c>
      <c r="Q118">
        <v>70.576652525053504</v>
      </c>
      <c r="R118">
        <v>0.15967987575690301</v>
      </c>
      <c r="S118">
        <v>14.058575992170899</v>
      </c>
      <c r="T118">
        <v>0.22098567569333</v>
      </c>
      <c r="V118">
        <v>0.53455295299068895</v>
      </c>
      <c r="W118">
        <v>0.13552188790486799</v>
      </c>
      <c r="X118">
        <v>0.15118967450940499</v>
      </c>
      <c r="AA118">
        <v>0.76676942273135695</v>
      </c>
      <c r="AB118">
        <v>2.7050495312399998</v>
      </c>
      <c r="AC118">
        <v>4.8666951544881298</v>
      </c>
      <c r="AD118">
        <v>0.20200168172584401</v>
      </c>
      <c r="AE118">
        <v>5.6223256257348702</v>
      </c>
    </row>
    <row r="119" spans="1:31" x14ac:dyDescent="0.2">
      <c r="A119">
        <v>118</v>
      </c>
      <c r="B119">
        <v>738</v>
      </c>
      <c r="C119">
        <v>240</v>
      </c>
      <c r="D119">
        <v>0.326302230134007</v>
      </c>
      <c r="E119">
        <v>15.978553282759901</v>
      </c>
      <c r="F119">
        <v>2.2268613100847001</v>
      </c>
      <c r="G119">
        <v>-259.9190445199763</v>
      </c>
      <c r="H119">
        <v>-218.88662310366288</v>
      </c>
      <c r="I119">
        <v>40.579954918966898</v>
      </c>
      <c r="J119">
        <v>21.625803089270399</v>
      </c>
      <c r="K119">
        <v>7.1753697504189002</v>
      </c>
      <c r="L119">
        <v>1.4906189026536956E-4</v>
      </c>
      <c r="M119">
        <v>1.7311033249091781E-5</v>
      </c>
      <c r="N119" s="1">
        <v>5.2316850517182002E-7</v>
      </c>
      <c r="O119" s="1">
        <v>1.4224220902281801E-8</v>
      </c>
      <c r="P119" s="1">
        <v>-7.1889674727587801E-8</v>
      </c>
      <c r="Q119">
        <v>70.191930777296307</v>
      </c>
      <c r="R119">
        <v>0.15921864205713901</v>
      </c>
      <c r="S119">
        <v>14.528240167938</v>
      </c>
      <c r="T119">
        <v>0.214349359615153</v>
      </c>
      <c r="V119">
        <v>0.52272196909944102</v>
      </c>
      <c r="W119">
        <v>0.167104045794919</v>
      </c>
      <c r="X119">
        <v>0.14951129761001</v>
      </c>
      <c r="AA119">
        <v>0.78650161234802896</v>
      </c>
      <c r="AB119">
        <v>2.5384266180972799</v>
      </c>
      <c r="AC119">
        <v>4.8894593643885598</v>
      </c>
      <c r="AD119">
        <v>0.25033555474068803</v>
      </c>
      <c r="AE119">
        <v>5.6022005910143902</v>
      </c>
    </row>
    <row r="120" spans="1:31" x14ac:dyDescent="0.2">
      <c r="A120">
        <v>119</v>
      </c>
      <c r="B120">
        <v>736</v>
      </c>
      <c r="C120">
        <v>240</v>
      </c>
      <c r="D120">
        <v>0.32482832086409602</v>
      </c>
      <c r="E120">
        <v>13.678573980772899</v>
      </c>
      <c r="F120">
        <v>2.2299401129433201</v>
      </c>
      <c r="G120">
        <v>-222.50354127308944</v>
      </c>
      <c r="H120">
        <v>-187.52423983568812</v>
      </c>
      <c r="I120">
        <v>34.662142830502198</v>
      </c>
      <c r="J120">
        <v>18.529175750570399</v>
      </c>
      <c r="K120">
        <v>6.1340544086264197</v>
      </c>
      <c r="L120">
        <v>1.4881261376653037E-4</v>
      </c>
      <c r="M120">
        <v>1.7304478443244078E-5</v>
      </c>
      <c r="N120" s="1">
        <v>4.4779223721906901E-7</v>
      </c>
      <c r="O120" s="1">
        <v>1.2128075578447901E-8</v>
      </c>
      <c r="P120" s="1">
        <v>-6.1102146925733002E-8</v>
      </c>
      <c r="Q120">
        <v>69.849089365807501</v>
      </c>
      <c r="R120">
        <v>0.15838172834209599</v>
      </c>
      <c r="S120">
        <v>14.9397605029754</v>
      </c>
      <c r="T120">
        <v>0.208649438591853</v>
      </c>
      <c r="V120">
        <v>0.51204362985152496</v>
      </c>
      <c r="W120">
        <v>0.19434406777233301</v>
      </c>
      <c r="X120">
        <v>0.14780717861120601</v>
      </c>
      <c r="AA120">
        <v>0.80546068651397995</v>
      </c>
      <c r="AB120">
        <v>2.4013870713877501</v>
      </c>
      <c r="AC120">
        <v>4.9020079032975596</v>
      </c>
      <c r="AD120">
        <v>0.292428143870538</v>
      </c>
      <c r="AE120">
        <v>5.5886402829780701</v>
      </c>
    </row>
    <row r="121" spans="1:31" x14ac:dyDescent="0.2">
      <c r="A121">
        <v>120</v>
      </c>
      <c r="B121">
        <v>734</v>
      </c>
      <c r="C121">
        <v>240</v>
      </c>
      <c r="D121">
        <v>0.32334855781164801</v>
      </c>
      <c r="E121">
        <v>12.108387620006599</v>
      </c>
      <c r="F121">
        <v>2.2327089518954799</v>
      </c>
      <c r="G121">
        <v>-196.95872330405527</v>
      </c>
      <c r="H121">
        <v>-166.11784453715498</v>
      </c>
      <c r="I121">
        <v>30.621931953433201</v>
      </c>
      <c r="J121">
        <v>16.415832685148999</v>
      </c>
      <c r="K121">
        <v>5.4231822780694801</v>
      </c>
      <c r="L121">
        <v>1.4863714397967594E-4</v>
      </c>
      <c r="M121">
        <v>1.7301444007902798E-5</v>
      </c>
      <c r="N121" s="1">
        <v>3.9663604059317899E-7</v>
      </c>
      <c r="O121" s="1">
        <v>1.07008416397505E-8</v>
      </c>
      <c r="P121" s="1">
        <v>-5.3769889262244E-8</v>
      </c>
      <c r="Q121">
        <v>69.534473773999807</v>
      </c>
      <c r="R121">
        <v>0.15729542059615101</v>
      </c>
      <c r="S121">
        <v>15.312030198081899</v>
      </c>
      <c r="T121">
        <v>0.203585821938429</v>
      </c>
      <c r="V121">
        <v>0.50216605161689198</v>
      </c>
      <c r="W121">
        <v>0.218671985540972</v>
      </c>
      <c r="X121">
        <v>0.14608687543504201</v>
      </c>
      <c r="AA121">
        <v>0.82396878501489301</v>
      </c>
      <c r="AB121">
        <v>2.2842076181526298</v>
      </c>
      <c r="AC121">
        <v>4.9076752206572003</v>
      </c>
      <c r="AD121">
        <v>0.33034951684101699</v>
      </c>
      <c r="AE121">
        <v>5.57948873212497</v>
      </c>
    </row>
    <row r="122" spans="1:31" x14ac:dyDescent="0.2">
      <c r="A122">
        <v>121</v>
      </c>
      <c r="B122">
        <v>732</v>
      </c>
      <c r="C122">
        <v>240</v>
      </c>
      <c r="D122">
        <v>0.32186290603392398</v>
      </c>
      <c r="E122">
        <v>10.9513722926038</v>
      </c>
      <c r="F122">
        <v>2.23525209221201</v>
      </c>
      <c r="G122">
        <v>-178.13457703084353</v>
      </c>
      <c r="H122">
        <v>-150.34745769480097</v>
      </c>
      <c r="I122">
        <v>27.644748879314101</v>
      </c>
      <c r="J122">
        <v>14.8590961261107</v>
      </c>
      <c r="K122">
        <v>4.8993902436151302</v>
      </c>
      <c r="L122">
        <v>1.4851553275729021E-4</v>
      </c>
      <c r="M122">
        <v>1.7300996273237299E-5</v>
      </c>
      <c r="N122" s="1">
        <v>3.5916363755690802E-7</v>
      </c>
      <c r="O122" s="1">
        <v>9.6519600244553796E-9</v>
      </c>
      <c r="P122" s="1">
        <v>-4.8390938901687298E-8</v>
      </c>
      <c r="Q122">
        <v>69.2404725739258</v>
      </c>
      <c r="R122">
        <v>0.15603109229109</v>
      </c>
      <c r="S122">
        <v>15.655550700019401</v>
      </c>
      <c r="T122">
        <v>0.19899157000378001</v>
      </c>
      <c r="V122">
        <v>0.49289231753672103</v>
      </c>
      <c r="W122">
        <v>0.24088265254906099</v>
      </c>
      <c r="X122">
        <v>0.14435561551429299</v>
      </c>
      <c r="AA122">
        <v>0.84219543429502897</v>
      </c>
      <c r="AB122">
        <v>2.1814997245133201</v>
      </c>
      <c r="AC122">
        <v>4.90831697335343</v>
      </c>
      <c r="AD122">
        <v>0.365251029105639</v>
      </c>
      <c r="AE122">
        <v>5.57356031689228</v>
      </c>
    </row>
    <row r="123" spans="1:31" x14ac:dyDescent="0.2">
      <c r="A123">
        <v>122</v>
      </c>
      <c r="B123">
        <v>760</v>
      </c>
      <c r="C123">
        <v>230</v>
      </c>
      <c r="D123">
        <v>0.35278565551952901</v>
      </c>
      <c r="E123">
        <v>105.877279616756</v>
      </c>
      <c r="F123">
        <v>2.2020409932131901</v>
      </c>
      <c r="G123">
        <v>-1728.2982737194354</v>
      </c>
      <c r="H123">
        <v>-1445.7936981111916</v>
      </c>
      <c r="I123">
        <v>273.44003833736002</v>
      </c>
      <c r="J123">
        <v>142.709960682716</v>
      </c>
      <c r="K123">
        <v>48.081429883946697</v>
      </c>
      <c r="L123">
        <v>1.5033715697217745E-4</v>
      </c>
      <c r="M123">
        <v>1.7611262626638032E-5</v>
      </c>
      <c r="N123" s="1">
        <v>3.41911671213643E-6</v>
      </c>
      <c r="O123" s="1">
        <v>9.7497384943363906E-8</v>
      </c>
      <c r="P123" s="1">
        <v>-4.9455883609337497E-7</v>
      </c>
      <c r="Q123">
        <v>72.508474224033606</v>
      </c>
      <c r="R123">
        <v>9.0671011143742E-2</v>
      </c>
      <c r="S123">
        <v>12.2405865044057</v>
      </c>
      <c r="T123">
        <v>0.23544192907411399</v>
      </c>
      <c r="V123">
        <v>0.57002001284659398</v>
      </c>
      <c r="W123">
        <v>2.5501221884177201E-2</v>
      </c>
      <c r="X123">
        <v>0.113338763929679</v>
      </c>
      <c r="AA123">
        <v>0.74614686253703999</v>
      </c>
      <c r="AB123">
        <v>3.3529384329196001</v>
      </c>
      <c r="AC123">
        <v>4.4296566902515098</v>
      </c>
      <c r="AD123">
        <v>3.7779587976558199E-2</v>
      </c>
      <c r="AE123">
        <v>5.6494447589975696</v>
      </c>
    </row>
    <row r="124" spans="1:31" x14ac:dyDescent="0.2">
      <c r="A124">
        <v>123</v>
      </c>
      <c r="B124">
        <v>758</v>
      </c>
      <c r="C124">
        <v>230</v>
      </c>
      <c r="D124">
        <v>0.35139455947243498</v>
      </c>
      <c r="E124">
        <v>105.670437886223</v>
      </c>
      <c r="F124">
        <v>2.20287995262869</v>
      </c>
      <c r="G124">
        <v>-1724.3106256456952</v>
      </c>
      <c r="H124">
        <v>-1443.1730974140687</v>
      </c>
      <c r="I124">
        <v>272.644647463149</v>
      </c>
      <c r="J124">
        <v>142.42290008305599</v>
      </c>
      <c r="K124">
        <v>47.969222181230002</v>
      </c>
      <c r="L124">
        <v>1.5029706513930183E-4</v>
      </c>
      <c r="M124">
        <v>1.7594009203845203E-5</v>
      </c>
      <c r="N124" s="1">
        <v>3.4202912703935099E-6</v>
      </c>
      <c r="O124" s="1">
        <v>9.7153853895459204E-8</v>
      </c>
      <c r="P124" s="1">
        <v>-4.9362526478632597E-7</v>
      </c>
      <c r="Q124">
        <v>72.465738807006801</v>
      </c>
      <c r="R124">
        <v>9.0848492653512802E-2</v>
      </c>
      <c r="S124">
        <v>12.2645465082252</v>
      </c>
      <c r="T124">
        <v>0.23671885701723699</v>
      </c>
      <c r="V124">
        <v>0.57040147560032395</v>
      </c>
      <c r="W124">
        <v>2.5551138558800101E-2</v>
      </c>
      <c r="X124">
        <v>0.113560615816893</v>
      </c>
      <c r="AA124">
        <v>0.74760738746119304</v>
      </c>
      <c r="AB124">
        <v>3.35950155124966</v>
      </c>
      <c r="AC124">
        <v>4.43832740151006</v>
      </c>
      <c r="AD124">
        <v>3.7853538605628602E-2</v>
      </c>
      <c r="AE124">
        <v>5.6493442262945699</v>
      </c>
    </row>
    <row r="125" spans="1:31" x14ac:dyDescent="0.2">
      <c r="A125">
        <v>124</v>
      </c>
      <c r="B125">
        <v>756</v>
      </c>
      <c r="C125">
        <v>230</v>
      </c>
      <c r="D125">
        <v>0.34999805664869299</v>
      </c>
      <c r="E125">
        <v>105.243883152907</v>
      </c>
      <c r="F125">
        <v>2.2038472300581202</v>
      </c>
      <c r="G125">
        <v>-1716.683586900464</v>
      </c>
      <c r="H125">
        <v>-1437.4604330429813</v>
      </c>
      <c r="I125">
        <v>271.31434082250598</v>
      </c>
      <c r="J125">
        <v>141.862936762316</v>
      </c>
      <c r="K125">
        <v>47.754618250073499</v>
      </c>
      <c r="L125">
        <v>1.5035667476365704E-4</v>
      </c>
      <c r="M125">
        <v>1.7577635830812739E-5</v>
      </c>
      <c r="N125" s="1">
        <v>3.4155258078410799E-6</v>
      </c>
      <c r="O125" s="1">
        <v>9.6641666546291205E-8</v>
      </c>
      <c r="P125" s="1">
        <v>-4.9214888256944298E-7</v>
      </c>
      <c r="Q125">
        <v>72.375032136480996</v>
      </c>
      <c r="R125">
        <v>9.1216702694752502E-2</v>
      </c>
      <c r="S125">
        <v>12.314254863793201</v>
      </c>
      <c r="T125">
        <v>0.23858250021778599</v>
      </c>
      <c r="V125">
        <v>0.57189969365258697</v>
      </c>
      <c r="W125">
        <v>2.5654697632898502E-2</v>
      </c>
      <c r="X125">
        <v>0.114020878368445</v>
      </c>
      <c r="AA125">
        <v>0.75063744925889198</v>
      </c>
      <c r="AB125">
        <v>3.3731176517329802</v>
      </c>
      <c r="AC125">
        <v>4.4563159962330703</v>
      </c>
      <c r="AD125">
        <v>3.8006959456144102E-2</v>
      </c>
      <c r="AE125">
        <v>5.6512604704781699</v>
      </c>
    </row>
    <row r="126" spans="1:31" x14ac:dyDescent="0.2">
      <c r="A126">
        <v>125</v>
      </c>
      <c r="B126">
        <v>754</v>
      </c>
      <c r="C126">
        <v>230</v>
      </c>
      <c r="D126">
        <v>0.34859611546511998</v>
      </c>
      <c r="E126">
        <v>104.821381917799</v>
      </c>
      <c r="F126">
        <v>2.2048150235600699</v>
      </c>
      <c r="G126">
        <v>-1709.128549731472</v>
      </c>
      <c r="H126">
        <v>-1431.8025161299504</v>
      </c>
      <c r="I126">
        <v>269.99565165898002</v>
      </c>
      <c r="J126">
        <v>141.30825247369</v>
      </c>
      <c r="K126">
        <v>47.542029965192398</v>
      </c>
      <c r="L126">
        <v>1.5041599004814063E-4</v>
      </c>
      <c r="M126">
        <v>1.7561224281259648E-5</v>
      </c>
      <c r="N126" s="1">
        <v>3.4108312975299999E-6</v>
      </c>
      <c r="O126" s="1">
        <v>9.6134250732033202E-8</v>
      </c>
      <c r="P126" s="1">
        <v>-4.9068751644862099E-7</v>
      </c>
      <c r="Q126">
        <v>72.284443652234302</v>
      </c>
      <c r="R126">
        <v>9.1584367848998094E-2</v>
      </c>
      <c r="S126">
        <v>12.363889659617</v>
      </c>
      <c r="T126">
        <v>0.24045917121428301</v>
      </c>
      <c r="V126">
        <v>0.57338149048714404</v>
      </c>
      <c r="W126">
        <v>2.57581034575299E-2</v>
      </c>
      <c r="X126">
        <v>0.114480459811254</v>
      </c>
      <c r="AA126">
        <v>0.75366302709069999</v>
      </c>
      <c r="AB126">
        <v>3.3867136027493299</v>
      </c>
      <c r="AC126">
        <v>4.4742779709560496</v>
      </c>
      <c r="AD126">
        <v>3.8160153270412001E-2</v>
      </c>
      <c r="AE126">
        <v>5.65318834126293</v>
      </c>
    </row>
    <row r="127" spans="1:31" x14ac:dyDescent="0.2">
      <c r="A127">
        <v>126</v>
      </c>
      <c r="B127">
        <v>752</v>
      </c>
      <c r="C127">
        <v>230</v>
      </c>
      <c r="D127">
        <v>0.34718870409208602</v>
      </c>
      <c r="E127">
        <v>104.40287160878</v>
      </c>
      <c r="F127">
        <v>2.2057833482100402</v>
      </c>
      <c r="G127">
        <v>-1701.6444094198769</v>
      </c>
      <c r="H127">
        <v>-1426.1984994151971</v>
      </c>
      <c r="I127">
        <v>268.688396824542</v>
      </c>
      <c r="J127">
        <v>140.75876557695199</v>
      </c>
      <c r="K127">
        <v>47.331426131900599</v>
      </c>
      <c r="L127">
        <v>1.5047500503180162E-4</v>
      </c>
      <c r="M127">
        <v>1.7544773925677993E-5</v>
      </c>
      <c r="N127" s="1">
        <v>3.4062064388949199E-6</v>
      </c>
      <c r="O127" s="1">
        <v>9.5631528021042403E-8</v>
      </c>
      <c r="P127" s="1">
        <v>-4.8924090135462203E-7</v>
      </c>
      <c r="Q127">
        <v>72.193972313670599</v>
      </c>
      <c r="R127">
        <v>9.1951493786237307E-2</v>
      </c>
      <c r="S127">
        <v>12.413451661144601</v>
      </c>
      <c r="T127">
        <v>0.24234902287968499</v>
      </c>
      <c r="V127">
        <v>0.57484677744065005</v>
      </c>
      <c r="W127">
        <v>2.58613576273783E-2</v>
      </c>
      <c r="X127">
        <v>0.114939367232803</v>
      </c>
      <c r="AA127">
        <v>0.75668416761589596</v>
      </c>
      <c r="AB127">
        <v>3.4002896139701502</v>
      </c>
      <c r="AC127">
        <v>4.4922136026815602</v>
      </c>
      <c r="AD127">
        <v>3.8313122410927797E-2</v>
      </c>
      <c r="AE127">
        <v>5.6551274995394296</v>
      </c>
    </row>
    <row r="128" spans="1:31" x14ac:dyDescent="0.2">
      <c r="A128">
        <v>127</v>
      </c>
      <c r="B128">
        <v>750</v>
      </c>
      <c r="C128">
        <v>230</v>
      </c>
      <c r="D128">
        <v>0.34577579045105999</v>
      </c>
      <c r="E128">
        <v>103.98829095505</v>
      </c>
      <c r="F128">
        <v>2.20675221915939</v>
      </c>
      <c r="G128">
        <v>-1694.2300841688821</v>
      </c>
      <c r="H128">
        <v>-1420.6475532787499</v>
      </c>
      <c r="I128">
        <v>267.392396901854</v>
      </c>
      <c r="J128">
        <v>140.214396121741</v>
      </c>
      <c r="K128">
        <v>47.122776201245799</v>
      </c>
      <c r="L128">
        <v>1.5053371363741211E-4</v>
      </c>
      <c r="M128">
        <v>1.752828412871829E-5</v>
      </c>
      <c r="N128" s="1">
        <v>3.4016499520917999E-6</v>
      </c>
      <c r="O128" s="1">
        <v>9.5133421513913604E-8</v>
      </c>
      <c r="P128" s="1">
        <v>-4.8780877692994104E-7</v>
      </c>
      <c r="Q128">
        <v>72.103617099504007</v>
      </c>
      <c r="R128">
        <v>9.2318086121347995E-2</v>
      </c>
      <c r="S128">
        <v>12.4629416263857</v>
      </c>
      <c r="T128">
        <v>0.244252209588392</v>
      </c>
      <c r="V128">
        <v>0.57629546402330201</v>
      </c>
      <c r="W128">
        <v>2.59644617216277E-2</v>
      </c>
      <c r="X128">
        <v>0.115397607651695</v>
      </c>
      <c r="AA128">
        <v>0.75970091704023801</v>
      </c>
      <c r="AB128">
        <v>3.4138458930288902</v>
      </c>
      <c r="AC128">
        <v>4.5101231657196799</v>
      </c>
      <c r="AD128">
        <v>3.8465869217221997E-2</v>
      </c>
      <c r="AE128">
        <v>5.6570775999977796</v>
      </c>
    </row>
    <row r="129" spans="1:31" x14ac:dyDescent="0.2">
      <c r="A129">
        <v>128</v>
      </c>
      <c r="B129">
        <v>748</v>
      </c>
      <c r="C129">
        <v>230</v>
      </c>
      <c r="D129">
        <v>0.34435734221221198</v>
      </c>
      <c r="E129">
        <v>100.83967043205099</v>
      </c>
      <c r="F129">
        <v>2.2086606531622799</v>
      </c>
      <c r="G129">
        <v>-1641.4063000527426</v>
      </c>
      <c r="H129">
        <v>-1377.1606845420117</v>
      </c>
      <c r="I129">
        <v>258.77257553809898</v>
      </c>
      <c r="J129">
        <v>135.89143994027501</v>
      </c>
      <c r="K129">
        <v>45.6564797709744</v>
      </c>
      <c r="L129">
        <v>1.5004300628816239E-4</v>
      </c>
      <c r="M129">
        <v>1.7460458301843465E-5</v>
      </c>
      <c r="N129" s="1">
        <v>3.2881177669397799E-6</v>
      </c>
      <c r="O129" s="1">
        <v>9.1646524101515199E-8</v>
      </c>
      <c r="P129" s="1">
        <v>-4.7110953920372102E-7</v>
      </c>
      <c r="Q129">
        <v>72.035080254963802</v>
      </c>
      <c r="R129">
        <v>9.5200628471599796E-2</v>
      </c>
      <c r="S129">
        <v>12.4845251904155</v>
      </c>
      <c r="T129">
        <v>0.25282671316093802</v>
      </c>
      <c r="V129">
        <v>0.59343673837269195</v>
      </c>
      <c r="W129">
        <v>2.6775176757635299E-2</v>
      </c>
      <c r="X129">
        <v>0.119000785589517</v>
      </c>
      <c r="AA129">
        <v>0.73160520985613597</v>
      </c>
      <c r="AB129">
        <v>3.37246664191859</v>
      </c>
      <c r="AC129">
        <v>4.6233051663779898</v>
      </c>
      <c r="AD129">
        <v>3.9666928529822801E-2</v>
      </c>
      <c r="AE129">
        <v>5.62611056558569</v>
      </c>
    </row>
    <row r="130" spans="1:31" x14ac:dyDescent="0.2">
      <c r="A130">
        <v>129</v>
      </c>
      <c r="B130">
        <v>746</v>
      </c>
      <c r="C130">
        <v>230</v>
      </c>
      <c r="D130">
        <v>0.342933326791936</v>
      </c>
      <c r="E130">
        <v>92.256027464737002</v>
      </c>
      <c r="F130">
        <v>2.2115265808709701</v>
      </c>
      <c r="G130">
        <v>-1499.7868853414277</v>
      </c>
      <c r="H130">
        <v>-1259.0452482579881</v>
      </c>
      <c r="I130">
        <v>236.21806121124399</v>
      </c>
      <c r="J130">
        <v>124.25858833473301</v>
      </c>
      <c r="K130">
        <v>41.715993044227098</v>
      </c>
      <c r="L130">
        <v>1.495494588012228E-4</v>
      </c>
      <c r="M130">
        <v>1.738981771730929E-5</v>
      </c>
      <c r="N130" s="1">
        <v>2.9962591338329501E-6</v>
      </c>
      <c r="O130" s="1">
        <v>8.3232225584943903E-8</v>
      </c>
      <c r="P130" s="1">
        <v>-4.28765195956424E-7</v>
      </c>
      <c r="Q130">
        <v>71.915277520455206</v>
      </c>
      <c r="R130">
        <v>0.1040582416544</v>
      </c>
      <c r="S130">
        <v>12.5124855972846</v>
      </c>
      <c r="T130">
        <v>0.27700475323650597</v>
      </c>
      <c r="V130">
        <v>0.64806194299683895</v>
      </c>
      <c r="W130">
        <v>2.9266380465294801E-2</v>
      </c>
      <c r="X130">
        <v>0.130072802068042</v>
      </c>
      <c r="AA130">
        <v>0.70834240799178805</v>
      </c>
      <c r="AB130">
        <v>3.3104830162097998</v>
      </c>
      <c r="AC130">
        <v>4.73065309837604</v>
      </c>
      <c r="AD130">
        <v>4.3357600689309203E-2</v>
      </c>
      <c r="AE130">
        <v>5.59093663857211</v>
      </c>
    </row>
    <row r="131" spans="1:31" x14ac:dyDescent="0.2">
      <c r="A131">
        <v>130</v>
      </c>
      <c r="B131">
        <v>744</v>
      </c>
      <c r="C131">
        <v>230</v>
      </c>
      <c r="D131">
        <v>0.34150371135034502</v>
      </c>
      <c r="E131">
        <v>30.7517973212783</v>
      </c>
      <c r="F131">
        <v>2.21802369801435</v>
      </c>
      <c r="G131">
        <v>-500.18412971430791</v>
      </c>
      <c r="H131">
        <v>-420.49994780866569</v>
      </c>
      <c r="I131">
        <v>78.340639930828402</v>
      </c>
      <c r="J131">
        <v>41.4726235044417</v>
      </c>
      <c r="K131">
        <v>13.864503498681399</v>
      </c>
      <c r="L131">
        <v>1.480849058413352E-4</v>
      </c>
      <c r="M131">
        <v>1.7309943123235694E-5</v>
      </c>
      <c r="N131" s="1">
        <v>9.8616907722433894E-7</v>
      </c>
      <c r="O131" s="1">
        <v>2.7310214531516599E-8</v>
      </c>
      <c r="P131" s="1">
        <v>-1.39361047649726E-7</v>
      </c>
      <c r="Q131">
        <v>71.318551270973103</v>
      </c>
      <c r="R131">
        <v>0.15507222926946801</v>
      </c>
      <c r="S131">
        <v>13.3369972127454</v>
      </c>
      <c r="T131">
        <v>0.23221411211113599</v>
      </c>
      <c r="V131">
        <v>0.55286930748297303</v>
      </c>
      <c r="W131">
        <v>8.7799746199896098E-2</v>
      </c>
      <c r="X131">
        <v>0.15536994063645801</v>
      </c>
      <c r="AA131">
        <v>0.74060362108278199</v>
      </c>
      <c r="AB131">
        <v>2.9314175551322998</v>
      </c>
      <c r="AC131">
        <v>4.8510720163463903</v>
      </c>
      <c r="AD131">
        <v>0.13007369807375299</v>
      </c>
      <c r="AE131">
        <v>5.5079592899462497</v>
      </c>
    </row>
    <row r="132" spans="1:31" x14ac:dyDescent="0.2">
      <c r="A132">
        <v>131</v>
      </c>
      <c r="B132">
        <v>742</v>
      </c>
      <c r="C132">
        <v>230</v>
      </c>
      <c r="D132">
        <v>0.34006846278875003</v>
      </c>
      <c r="E132">
        <v>21.023248119677799</v>
      </c>
      <c r="F132">
        <v>2.2225443709144002</v>
      </c>
      <c r="G132">
        <v>-341.95772076399578</v>
      </c>
      <c r="H132">
        <v>-287.76431748865144</v>
      </c>
      <c r="I132">
        <v>53.384626188587198</v>
      </c>
      <c r="J132">
        <v>28.381934747132298</v>
      </c>
      <c r="K132">
        <v>9.4590903987344799</v>
      </c>
      <c r="L132">
        <v>1.4745625898169565E-4</v>
      </c>
      <c r="M132">
        <v>1.7282655465720852E-5</v>
      </c>
      <c r="N132" s="1">
        <v>6.7132355937133104E-7</v>
      </c>
      <c r="O132" s="1">
        <v>1.8524499856459098E-8</v>
      </c>
      <c r="P132" s="1">
        <v>-9.3998351311841197E-8</v>
      </c>
      <c r="Q132">
        <v>70.854435739131603</v>
      </c>
      <c r="R132">
        <v>0.16450951857299501</v>
      </c>
      <c r="S132">
        <v>13.917120079686001</v>
      </c>
      <c r="T132">
        <v>0.221080278403671</v>
      </c>
      <c r="V132">
        <v>0.53243991048558703</v>
      </c>
      <c r="W132">
        <v>0.127944493115487</v>
      </c>
      <c r="X132">
        <v>0.15567944538241199</v>
      </c>
      <c r="AA132">
        <v>0.76244437293224998</v>
      </c>
      <c r="AB132">
        <v>2.7024327588142998</v>
      </c>
      <c r="AC132">
        <v>4.8995473484319803</v>
      </c>
      <c r="AD132">
        <v>0.190265556360318</v>
      </c>
      <c r="AE132">
        <v>5.4721004986832202</v>
      </c>
    </row>
    <row r="133" spans="1:31" x14ac:dyDescent="0.2">
      <c r="A133">
        <v>132</v>
      </c>
      <c r="B133">
        <v>740</v>
      </c>
      <c r="C133">
        <v>230</v>
      </c>
      <c r="D133">
        <v>0.33862754774713</v>
      </c>
      <c r="E133">
        <v>16.6868121937888</v>
      </c>
      <c r="F133">
        <v>2.22616028488607</v>
      </c>
      <c r="G133">
        <v>-271.4222076130452</v>
      </c>
      <c r="H133">
        <v>-228.60269731193404</v>
      </c>
      <c r="I133">
        <v>42.263742092593503</v>
      </c>
      <c r="J133">
        <v>22.5491380422561</v>
      </c>
      <c r="K133">
        <v>7.4957820005502702</v>
      </c>
      <c r="L133">
        <v>1.4707296088383923E-4</v>
      </c>
      <c r="M133">
        <v>1.7269649189326564E-5</v>
      </c>
      <c r="N133" s="1">
        <v>5.3200499627960003E-7</v>
      </c>
      <c r="O133" s="1">
        <v>1.46252246905345E-8</v>
      </c>
      <c r="P133" s="1">
        <v>-7.3902668321663895E-8</v>
      </c>
      <c r="Q133">
        <v>70.461295306112703</v>
      </c>
      <c r="R133">
        <v>0.164117632182495</v>
      </c>
      <c r="S133">
        <v>14.397848813200399</v>
      </c>
      <c r="T133">
        <v>0.21426046716733399</v>
      </c>
      <c r="V133">
        <v>0.52042657827483596</v>
      </c>
      <c r="W133">
        <v>0.16035172938217501</v>
      </c>
      <c r="X133">
        <v>0.154004626303019</v>
      </c>
      <c r="AA133">
        <v>0.78220961082886398</v>
      </c>
      <c r="AB133">
        <v>2.5294818351494799</v>
      </c>
      <c r="AC133">
        <v>4.9252613609231002</v>
      </c>
      <c r="AD133">
        <v>0.23971025463328699</v>
      </c>
      <c r="AE133">
        <v>5.4510317858421198</v>
      </c>
    </row>
    <row r="134" spans="1:31" x14ac:dyDescent="0.2">
      <c r="A134">
        <v>133</v>
      </c>
      <c r="B134">
        <v>738</v>
      </c>
      <c r="C134">
        <v>230</v>
      </c>
      <c r="D134">
        <v>0.33718093260149401</v>
      </c>
      <c r="E134">
        <v>14.1648444575554</v>
      </c>
      <c r="F134">
        <v>2.2292754111566602</v>
      </c>
      <c r="G134">
        <v>-230.39836565376879</v>
      </c>
      <c r="H134">
        <v>-194.20341692379421</v>
      </c>
      <c r="I134">
        <v>35.795825278123402</v>
      </c>
      <c r="J134">
        <v>19.158071875233698</v>
      </c>
      <c r="K134">
        <v>6.3540127822098</v>
      </c>
      <c r="L134">
        <v>1.4680847176616068E-4</v>
      </c>
      <c r="M134">
        <v>1.7262354507518581E-5</v>
      </c>
      <c r="N134" s="1">
        <v>4.5145270232748998E-7</v>
      </c>
      <c r="O134" s="1">
        <v>1.2363495681997E-8</v>
      </c>
      <c r="P134" s="1">
        <v>-6.2266012748564798E-8</v>
      </c>
      <c r="Q134">
        <v>70.113917817670099</v>
      </c>
      <c r="R134">
        <v>0.16330120045171501</v>
      </c>
      <c r="S134">
        <v>14.8155533247071</v>
      </c>
      <c r="T134">
        <v>0.20845753305551901</v>
      </c>
      <c r="V134">
        <v>0.50966423958361995</v>
      </c>
      <c r="W134">
        <v>0.18804674337063401</v>
      </c>
      <c r="X134">
        <v>0.15230011695201001</v>
      </c>
      <c r="AA134">
        <v>0.80092810711630502</v>
      </c>
      <c r="AB134">
        <v>2.3889619194989602</v>
      </c>
      <c r="AC134">
        <v>4.9395533870657298</v>
      </c>
      <c r="AD134">
        <v>0.28238926392567298</v>
      </c>
      <c r="AE134">
        <v>5.43692634660247</v>
      </c>
    </row>
    <row r="135" spans="1:31" x14ac:dyDescent="0.2">
      <c r="A135">
        <v>134</v>
      </c>
      <c r="B135">
        <v>736</v>
      </c>
      <c r="C135">
        <v>230</v>
      </c>
      <c r="D135">
        <v>0.335728583461332</v>
      </c>
      <c r="E135">
        <v>12.475256994290801</v>
      </c>
      <c r="F135">
        <v>2.2320629678436701</v>
      </c>
      <c r="G135">
        <v>-202.91302980755424</v>
      </c>
      <c r="H135">
        <v>-171.16272455553215</v>
      </c>
      <c r="I135">
        <v>31.462424071765401</v>
      </c>
      <c r="J135">
        <v>16.886983329090299</v>
      </c>
      <c r="K135">
        <v>5.5891151701436099</v>
      </c>
      <c r="L135">
        <v>1.4662126201287428E-4</v>
      </c>
      <c r="M135">
        <v>1.7258773734350356E-5</v>
      </c>
      <c r="N135" s="1">
        <v>3.97801418194477E-7</v>
      </c>
      <c r="O135" s="1">
        <v>1.0852208055793E-8</v>
      </c>
      <c r="P135" s="1">
        <v>-5.4503681934892403E-8</v>
      </c>
      <c r="Q135">
        <v>69.7967724184209</v>
      </c>
      <c r="R135">
        <v>0.16221143280407099</v>
      </c>
      <c r="S135">
        <v>15.191584361978901</v>
      </c>
      <c r="T135">
        <v>0.203328787675085</v>
      </c>
      <c r="V135">
        <v>0.49974696666058699</v>
      </c>
      <c r="W135">
        <v>0.21264337970489899</v>
      </c>
      <c r="X135">
        <v>0.15057730121379001</v>
      </c>
      <c r="AA135">
        <v>0.81909528870076798</v>
      </c>
      <c r="AB135">
        <v>2.26966079361878</v>
      </c>
      <c r="AC135">
        <v>4.9463840681389799</v>
      </c>
      <c r="AD135">
        <v>0.32063467725123002</v>
      </c>
      <c r="AE135">
        <v>5.42736052383189</v>
      </c>
    </row>
    <row r="136" spans="1:31" x14ac:dyDescent="0.2">
      <c r="A136">
        <v>135</v>
      </c>
      <c r="B136">
        <v>734</v>
      </c>
      <c r="C136">
        <v>230</v>
      </c>
      <c r="D136">
        <v>0.33427046616690598</v>
      </c>
      <c r="E136">
        <v>11.2451926781322</v>
      </c>
      <c r="F136">
        <v>2.2346155781636301</v>
      </c>
      <c r="G136">
        <v>-182.90184413947267</v>
      </c>
      <c r="H136">
        <v>-154.39202902655421</v>
      </c>
      <c r="I136">
        <v>28.307417080790898</v>
      </c>
      <c r="J136">
        <v>15.2341016109071</v>
      </c>
      <c r="K136">
        <v>5.0322716748324696</v>
      </c>
      <c r="L136">
        <v>1.4648941748425151E-4</v>
      </c>
      <c r="M136">
        <v>1.7257862325283036E-5</v>
      </c>
      <c r="N136" s="1">
        <v>3.5896967073313498E-7</v>
      </c>
      <c r="O136" s="1">
        <v>9.7548030216332301E-9</v>
      </c>
      <c r="P136" s="1">
        <v>-4.8876930790094002E-8</v>
      </c>
      <c r="Q136">
        <v>69.501443098581007</v>
      </c>
      <c r="R136">
        <v>0.16092998937877601</v>
      </c>
      <c r="S136">
        <v>15.5374743622337</v>
      </c>
      <c r="T136">
        <v>0.198690130656799</v>
      </c>
      <c r="V136">
        <v>0.49045664027943398</v>
      </c>
      <c r="W136">
        <v>0.23501366476228999</v>
      </c>
      <c r="X136">
        <v>0.14884221362536601</v>
      </c>
      <c r="AA136">
        <v>0.83693884540145402</v>
      </c>
      <c r="AB136">
        <v>2.1655860269355101</v>
      </c>
      <c r="AC136">
        <v>4.9478631997025504</v>
      </c>
      <c r="AD136">
        <v>0.355707555617778</v>
      </c>
      <c r="AE136">
        <v>5.4210542728252804</v>
      </c>
    </row>
    <row r="137" spans="1:31" x14ac:dyDescent="0.2">
      <c r="A137">
        <v>136</v>
      </c>
      <c r="B137">
        <v>732</v>
      </c>
      <c r="C137">
        <v>230</v>
      </c>
      <c r="D137">
        <v>0.33280654628662198</v>
      </c>
      <c r="E137">
        <v>10.2991558900948</v>
      </c>
      <c r="F137">
        <v>2.2369896217437701</v>
      </c>
      <c r="G137">
        <v>-167.51043188675231</v>
      </c>
      <c r="H137">
        <v>-141.4963600722979</v>
      </c>
      <c r="I137">
        <v>25.8807857677504</v>
      </c>
      <c r="J137">
        <v>13.9632736491057</v>
      </c>
      <c r="K137">
        <v>4.60402488683272</v>
      </c>
      <c r="L137">
        <v>1.4639973175293417E-4</v>
      </c>
      <c r="M137">
        <v>1.7258993106349157E-5</v>
      </c>
      <c r="N137" s="1">
        <v>3.2927838093903099E-7</v>
      </c>
      <c r="O137" s="1">
        <v>8.9129720661341003E-9</v>
      </c>
      <c r="P137" s="1">
        <v>-4.4568196059282098E-8</v>
      </c>
      <c r="Q137">
        <v>69.222759328040496</v>
      </c>
      <c r="R137">
        <v>0.15950726748584801</v>
      </c>
      <c r="S137">
        <v>15.860286410426101</v>
      </c>
      <c r="T137">
        <v>0.19442903023868699</v>
      </c>
      <c r="V137">
        <v>0.48165951594277401</v>
      </c>
      <c r="W137">
        <v>0.25569224134053797</v>
      </c>
      <c r="X137">
        <v>0.147098471801097</v>
      </c>
      <c r="AA137">
        <v>0.85458480185443797</v>
      </c>
      <c r="AB137">
        <v>2.0730902200542598</v>
      </c>
      <c r="AC137">
        <v>4.9452755473643597</v>
      </c>
      <c r="AD137">
        <v>0.388381343352174</v>
      </c>
      <c r="AE137">
        <v>5.4172358220990402</v>
      </c>
    </row>
    <row r="138" spans="1:31" x14ac:dyDescent="0.2">
      <c r="A138">
        <v>137</v>
      </c>
      <c r="B138">
        <v>760</v>
      </c>
      <c r="C138">
        <v>220</v>
      </c>
      <c r="D138">
        <v>0.36343270580264397</v>
      </c>
      <c r="E138">
        <v>105.719594143187</v>
      </c>
      <c r="F138">
        <v>2.2025671786890202</v>
      </c>
      <c r="G138">
        <v>-1725.3418291355622</v>
      </c>
      <c r="H138">
        <v>-1444.2106203994338</v>
      </c>
      <c r="I138">
        <v>272.11073777876197</v>
      </c>
      <c r="J138">
        <v>142.347678325348</v>
      </c>
      <c r="K138">
        <v>47.998351726149103</v>
      </c>
      <c r="L138">
        <v>1.4853319897134581E-4</v>
      </c>
      <c r="M138">
        <v>1.7572383453147026E-5</v>
      </c>
      <c r="N138" s="1">
        <v>3.3391273856628601E-6</v>
      </c>
      <c r="O138" s="1">
        <v>9.5854199687606894E-8</v>
      </c>
      <c r="P138" s="1">
        <v>-4.8665635119927698E-7</v>
      </c>
      <c r="Q138">
        <v>72.616623836109696</v>
      </c>
      <c r="R138">
        <v>9.0806250986904799E-2</v>
      </c>
      <c r="S138">
        <v>12.258843883232601</v>
      </c>
      <c r="T138">
        <v>0.236933598692148</v>
      </c>
      <c r="V138">
        <v>0.56984399080781201</v>
      </c>
      <c r="W138">
        <v>2.55392580900668E-2</v>
      </c>
      <c r="X138">
        <v>0.113507813733632</v>
      </c>
      <c r="AA138">
        <v>0.74725977374640096</v>
      </c>
      <c r="AB138">
        <v>3.3579394896199002</v>
      </c>
      <c r="AC138">
        <v>4.4362637200893698</v>
      </c>
      <c r="AD138">
        <v>3.7835937911209497E-2</v>
      </c>
      <c r="AE138">
        <v>5.5086024469800901</v>
      </c>
    </row>
    <row r="139" spans="1:31" x14ac:dyDescent="0.2">
      <c r="A139">
        <v>138</v>
      </c>
      <c r="B139">
        <v>758</v>
      </c>
      <c r="C139">
        <v>220</v>
      </c>
      <c r="D139">
        <v>0.36206226058284502</v>
      </c>
      <c r="E139">
        <v>105.475418461508</v>
      </c>
      <c r="F139">
        <v>2.20342244692982</v>
      </c>
      <c r="G139">
        <v>-1720.7382737872449</v>
      </c>
      <c r="H139">
        <v>-1441.0626181326788</v>
      </c>
      <c r="I139">
        <v>271.22693658009598</v>
      </c>
      <c r="J139">
        <v>142.01467722209199</v>
      </c>
      <c r="K139">
        <v>47.868904398461602</v>
      </c>
      <c r="L139">
        <v>1.4851202909199328E-4</v>
      </c>
      <c r="M139">
        <v>1.7555450273304286E-5</v>
      </c>
      <c r="N139" s="1">
        <v>3.3392397164812399E-6</v>
      </c>
      <c r="O139" s="1">
        <v>9.5488685203089104E-8</v>
      </c>
      <c r="P139" s="1">
        <v>-4.8564877170636105E-7</v>
      </c>
      <c r="Q139">
        <v>72.5657002320591</v>
      </c>
      <c r="R139">
        <v>9.1016467533650405E-2</v>
      </c>
      <c r="S139">
        <v>12.287223117043901</v>
      </c>
      <c r="T139">
        <v>0.23831722950784201</v>
      </c>
      <c r="V139">
        <v>0.57041172154798603</v>
      </c>
      <c r="W139">
        <v>2.55983814938388E-2</v>
      </c>
      <c r="X139">
        <v>0.113770584417066</v>
      </c>
      <c r="AA139">
        <v>0.74898968074565897</v>
      </c>
      <c r="AB139">
        <v>3.3657131223380801</v>
      </c>
      <c r="AC139">
        <v>4.4465336743001096</v>
      </c>
      <c r="AD139">
        <v>3.79235281390191E-2</v>
      </c>
      <c r="AE139">
        <v>5.5088022608736704</v>
      </c>
    </row>
    <row r="140" spans="1:31" x14ac:dyDescent="0.2">
      <c r="A140">
        <v>139</v>
      </c>
      <c r="B140">
        <v>756</v>
      </c>
      <c r="C140">
        <v>220</v>
      </c>
      <c r="D140">
        <v>0.36068648885002402</v>
      </c>
      <c r="E140">
        <v>105.05525548441901</v>
      </c>
      <c r="F140">
        <v>2.2043841142651601</v>
      </c>
      <c r="G140">
        <v>-1713.2205329406618</v>
      </c>
      <c r="H140">
        <v>-1435.4364382221947</v>
      </c>
      <c r="I140">
        <v>269.91604209149898</v>
      </c>
      <c r="J140">
        <v>141.463288953318</v>
      </c>
      <c r="K140">
        <v>47.657418144405</v>
      </c>
      <c r="L140">
        <v>1.4857036017687988E-4</v>
      </c>
      <c r="M140">
        <v>1.7539141969450335E-5</v>
      </c>
      <c r="N140" s="1">
        <v>3.3346637909594899E-6</v>
      </c>
      <c r="O140" s="1">
        <v>9.4989685530155302E-8</v>
      </c>
      <c r="P140" s="1">
        <v>-4.8421258647000299E-7</v>
      </c>
      <c r="Q140">
        <v>72.476179278620407</v>
      </c>
      <c r="R140">
        <v>9.1380483115610298E-2</v>
      </c>
      <c r="S140">
        <v>12.336365220609199</v>
      </c>
      <c r="T140">
        <v>0.24017927994538599</v>
      </c>
      <c r="V140">
        <v>0.57187520317138296</v>
      </c>
      <c r="W140">
        <v>2.5700760876264699E-2</v>
      </c>
      <c r="X140">
        <v>0.114225603894518</v>
      </c>
      <c r="AA140">
        <v>0.75198522563886505</v>
      </c>
      <c r="AB140">
        <v>3.37917411521261</v>
      </c>
      <c r="AC140">
        <v>4.4643173522103696</v>
      </c>
      <c r="AD140">
        <v>3.8075201298167702E-2</v>
      </c>
      <c r="AE140">
        <v>5.5105422754071096</v>
      </c>
    </row>
    <row r="141" spans="1:31" x14ac:dyDescent="0.2">
      <c r="A141">
        <v>140</v>
      </c>
      <c r="B141">
        <v>754</v>
      </c>
      <c r="C141">
        <v>220</v>
      </c>
      <c r="D141">
        <v>0.35930535948985198</v>
      </c>
      <c r="E141">
        <v>104.63903423598001</v>
      </c>
      <c r="F141">
        <v>2.2053463702723799</v>
      </c>
      <c r="G141">
        <v>-1705.7728434030626</v>
      </c>
      <c r="H141">
        <v>-1429.8634976847804</v>
      </c>
      <c r="I141">
        <v>268.616410181844</v>
      </c>
      <c r="J141">
        <v>140.91702566805901</v>
      </c>
      <c r="K141">
        <v>47.447891019067598</v>
      </c>
      <c r="L141">
        <v>1.4862835944205811E-4</v>
      </c>
      <c r="M141">
        <v>1.7522792844973121E-5</v>
      </c>
      <c r="N141" s="1">
        <v>3.3301535288904602E-6</v>
      </c>
      <c r="O141" s="1">
        <v>9.4495237719014994E-8</v>
      </c>
      <c r="P141" s="1">
        <v>-4.8279055331043301E-7</v>
      </c>
      <c r="Q141">
        <v>72.3867766154696</v>
      </c>
      <c r="R141">
        <v>9.1743966007468994E-2</v>
      </c>
      <c r="S141">
        <v>12.3854354110122</v>
      </c>
      <c r="T141">
        <v>0.24205435987577101</v>
      </c>
      <c r="V141">
        <v>0.57332236722611796</v>
      </c>
      <c r="W141">
        <v>2.5802990439599199E-2</v>
      </c>
      <c r="X141">
        <v>0.11467995750934699</v>
      </c>
      <c r="AA141">
        <v>0.75497638693644198</v>
      </c>
      <c r="AB141">
        <v>3.3926154096510701</v>
      </c>
      <c r="AC141">
        <v>4.4820750059895298</v>
      </c>
      <c r="AD141">
        <v>3.8226652503105502E-2</v>
      </c>
      <c r="AE141">
        <v>5.5122908773796198</v>
      </c>
    </row>
    <row r="142" spans="1:31" x14ac:dyDescent="0.2">
      <c r="A142">
        <v>141</v>
      </c>
      <c r="B142">
        <v>752</v>
      </c>
      <c r="C142">
        <v>220</v>
      </c>
      <c r="D142">
        <v>0.35791884114519901</v>
      </c>
      <c r="E142">
        <v>104.226694613761</v>
      </c>
      <c r="F142">
        <v>2.20630923090655</v>
      </c>
      <c r="G142">
        <v>-1698.3941434394667</v>
      </c>
      <c r="H142">
        <v>-1424.3429827029054</v>
      </c>
      <c r="I142">
        <v>267.32786493348402</v>
      </c>
      <c r="J142">
        <v>140.37580897735899</v>
      </c>
      <c r="K142">
        <v>47.240293044024199</v>
      </c>
      <c r="L142">
        <v>1.4868602013127664E-4</v>
      </c>
      <c r="M142">
        <v>1.750640221892168E-5</v>
      </c>
      <c r="N142" s="1">
        <v>3.3257076798318899E-6</v>
      </c>
      <c r="O142" s="1">
        <v>9.4005266897153805E-8</v>
      </c>
      <c r="P142" s="1">
        <v>-4.8138241741526798E-7</v>
      </c>
      <c r="Q142">
        <v>72.297491290530601</v>
      </c>
      <c r="R142">
        <v>9.2106921701541694E-2</v>
      </c>
      <c r="S142">
        <v>12.4344344297132</v>
      </c>
      <c r="T142">
        <v>0.24394262153065999</v>
      </c>
      <c r="V142">
        <v>0.574753124094044</v>
      </c>
      <c r="W142">
        <v>2.5905071728556699E-2</v>
      </c>
      <c r="X142">
        <v>0.115133652126941</v>
      </c>
      <c r="AA142">
        <v>0.75796320983557597</v>
      </c>
      <c r="AB142">
        <v>3.4060372087547699</v>
      </c>
      <c r="AC142">
        <v>4.4998069039602697</v>
      </c>
      <c r="AD142">
        <v>3.8377884042300497E-2</v>
      </c>
      <c r="AE142">
        <v>5.5140476819814097</v>
      </c>
    </row>
    <row r="143" spans="1:31" x14ac:dyDescent="0.2">
      <c r="A143">
        <v>142</v>
      </c>
      <c r="B143">
        <v>750</v>
      </c>
      <c r="C143">
        <v>220</v>
      </c>
      <c r="D143">
        <v>0.356526902213751</v>
      </c>
      <c r="E143">
        <v>100.63839308121401</v>
      </c>
      <c r="F143">
        <v>2.2083406048957501</v>
      </c>
      <c r="G143">
        <v>-1638.2672240025836</v>
      </c>
      <c r="H143">
        <v>-1374.7427044659767</v>
      </c>
      <c r="I143">
        <v>257.56196015892698</v>
      </c>
      <c r="J143">
        <v>135.452679879426</v>
      </c>
      <c r="K143">
        <v>45.571952468792603</v>
      </c>
      <c r="L143">
        <v>1.4812814528834204E-4</v>
      </c>
      <c r="M143">
        <v>1.7431459367880777E-5</v>
      </c>
      <c r="N143" s="1">
        <v>3.19818504748192E-6</v>
      </c>
      <c r="O143" s="1">
        <v>9.0103198799809404E-8</v>
      </c>
      <c r="P143" s="1">
        <v>-4.6258184285113101E-7</v>
      </c>
      <c r="Q143">
        <v>72.231289967545493</v>
      </c>
      <c r="R143">
        <v>9.5391030262707094E-2</v>
      </c>
      <c r="S143">
        <v>12.4515262628972</v>
      </c>
      <c r="T143">
        <v>0.25357926785635798</v>
      </c>
      <c r="V143">
        <v>0.59440145197479199</v>
      </c>
      <c r="W143">
        <v>2.68287272613837E-2</v>
      </c>
      <c r="X143">
        <v>0.119238787828404</v>
      </c>
      <c r="AA143">
        <v>0.72541778571219195</v>
      </c>
      <c r="AB143">
        <v>3.35537088671872</v>
      </c>
      <c r="AC143">
        <v>4.6280821622685799</v>
      </c>
      <c r="AD143">
        <v>3.9746262609449003E-2</v>
      </c>
      <c r="AE143">
        <v>5.4791274070646203</v>
      </c>
    </row>
    <row r="144" spans="1:31" x14ac:dyDescent="0.2">
      <c r="A144">
        <v>143</v>
      </c>
      <c r="B144">
        <v>748</v>
      </c>
      <c r="C144">
        <v>220</v>
      </c>
      <c r="D144">
        <v>0.355129510845618</v>
      </c>
      <c r="E144">
        <v>96.921940674612401</v>
      </c>
      <c r="F144">
        <v>2.2105310231284001</v>
      </c>
      <c r="G144">
        <v>-1576.1103007680019</v>
      </c>
      <c r="H144">
        <v>-1323.3951650706647</v>
      </c>
      <c r="I144">
        <v>247.48091435865101</v>
      </c>
      <c r="J144">
        <v>130.360476565689</v>
      </c>
      <c r="K144">
        <v>43.845546459441103</v>
      </c>
      <c r="L144">
        <v>1.4752645554063289E-4</v>
      </c>
      <c r="M144">
        <v>1.7352675839696106E-5</v>
      </c>
      <c r="N144" s="1">
        <v>3.0659539425081202E-6</v>
      </c>
      <c r="O144" s="1">
        <v>8.6097324500485501E-8</v>
      </c>
      <c r="P144" s="1">
        <v>-4.4311369942500198E-7</v>
      </c>
      <c r="Q144">
        <v>72.161544284846997</v>
      </c>
      <c r="R144">
        <v>9.9048780216128604E-2</v>
      </c>
      <c r="S144">
        <v>12.4699920459383</v>
      </c>
      <c r="T144">
        <v>0.26425017238186799</v>
      </c>
      <c r="V144">
        <v>0.61634112323009005</v>
      </c>
      <c r="W144">
        <v>2.7857469435783301E-2</v>
      </c>
      <c r="X144">
        <v>0.123810975270183</v>
      </c>
      <c r="AA144">
        <v>0.69720968930083604</v>
      </c>
      <c r="AB144">
        <v>3.2965226944872299</v>
      </c>
      <c r="AC144">
        <v>4.7605927881770196</v>
      </c>
      <c r="AD144">
        <v>4.1270325090039701E-2</v>
      </c>
      <c r="AE144">
        <v>5.4415596516253997</v>
      </c>
    </row>
    <row r="145" spans="1:31" x14ac:dyDescent="0.2">
      <c r="A145">
        <v>144</v>
      </c>
      <c r="B145">
        <v>746</v>
      </c>
      <c r="C145">
        <v>220</v>
      </c>
      <c r="D145">
        <v>0.35372663494088302</v>
      </c>
      <c r="E145">
        <v>33.658252043636999</v>
      </c>
      <c r="F145">
        <v>2.2172008375479102</v>
      </c>
      <c r="G145">
        <v>-547.41996870680805</v>
      </c>
      <c r="H145">
        <v>-460.25393141271644</v>
      </c>
      <c r="I145">
        <v>85.528172785253901</v>
      </c>
      <c r="J145">
        <v>45.323506014866702</v>
      </c>
      <c r="K145">
        <v>15.1805156635521</v>
      </c>
      <c r="L145">
        <v>1.4617655139687733E-4</v>
      </c>
      <c r="M145">
        <v>1.7270804095196808E-5</v>
      </c>
      <c r="N145" s="1">
        <v>1.05175918721419E-6</v>
      </c>
      <c r="O145" s="1">
        <v>2.9444965879020801E-8</v>
      </c>
      <c r="P145" s="1">
        <v>-1.50257550330793E-7</v>
      </c>
      <c r="Q145">
        <v>71.588704163891805</v>
      </c>
      <c r="R145">
        <v>0.15093969485971701</v>
      </c>
      <c r="S145">
        <v>13.2005628298832</v>
      </c>
      <c r="T145">
        <v>0.23502362526694601</v>
      </c>
      <c r="V145">
        <v>0.55713653881807901</v>
      </c>
      <c r="W145">
        <v>8.0218069449920298E-2</v>
      </c>
      <c r="X145">
        <v>0.15801498613095299</v>
      </c>
      <c r="AA145">
        <v>0.73586673659983304</v>
      </c>
      <c r="AB145">
        <v>2.9363016126578998</v>
      </c>
      <c r="AC145">
        <v>4.8752981294212701</v>
      </c>
      <c r="AD145">
        <v>0.118841584370166</v>
      </c>
      <c r="AE145">
        <v>5.3630920286501196</v>
      </c>
    </row>
    <row r="146" spans="1:31" x14ac:dyDescent="0.2">
      <c r="A146">
        <v>145</v>
      </c>
      <c r="B146">
        <v>744</v>
      </c>
      <c r="C146">
        <v>220</v>
      </c>
      <c r="D146">
        <v>0.352318242147177</v>
      </c>
      <c r="E146">
        <v>22.3141317234012</v>
      </c>
      <c r="F146">
        <v>2.2218918009162598</v>
      </c>
      <c r="G146">
        <v>-362.93713259336744</v>
      </c>
      <c r="H146">
        <v>-305.45717455282818</v>
      </c>
      <c r="I146">
        <v>56.510797857286697</v>
      </c>
      <c r="J146">
        <v>30.078078399799999</v>
      </c>
      <c r="K146">
        <v>10.0428525431343</v>
      </c>
      <c r="L146">
        <v>1.4546480502247947E-4</v>
      </c>
      <c r="M146">
        <v>1.723556645663645E-5</v>
      </c>
      <c r="N146" s="1">
        <v>6.93566005766661E-7</v>
      </c>
      <c r="O146" s="1">
        <v>1.9349431265844399E-8</v>
      </c>
      <c r="P146" s="1">
        <v>-9.8155228149511904E-8</v>
      </c>
      <c r="Q146">
        <v>71.122104764587306</v>
      </c>
      <c r="R146">
        <v>0.17375408825583999</v>
      </c>
      <c r="S146">
        <v>13.783708401129299</v>
      </c>
      <c r="T146">
        <v>0.22003051397216999</v>
      </c>
      <c r="V146">
        <v>0.52764040299833204</v>
      </c>
      <c r="W146">
        <v>0.120999554608161</v>
      </c>
      <c r="X146">
        <v>0.16107955940836299</v>
      </c>
      <c r="AA146">
        <v>0.75848877044507101</v>
      </c>
      <c r="AB146">
        <v>2.69752389057822</v>
      </c>
      <c r="AC146">
        <v>4.9329665785543897</v>
      </c>
      <c r="AD146">
        <v>0.17925859941936201</v>
      </c>
      <c r="AE146">
        <v>5.32244487604342</v>
      </c>
    </row>
    <row r="147" spans="1:31" x14ac:dyDescent="0.2">
      <c r="A147">
        <v>146</v>
      </c>
      <c r="B147">
        <v>742</v>
      </c>
      <c r="C147">
        <v>220</v>
      </c>
      <c r="D147">
        <v>0.35090429985716198</v>
      </c>
      <c r="E147">
        <v>17.372679976082399</v>
      </c>
      <c r="F147">
        <v>2.2255632520983002</v>
      </c>
      <c r="G147">
        <v>-282.56263989024484</v>
      </c>
      <c r="H147">
        <v>-238.01657464813326</v>
      </c>
      <c r="I147">
        <v>43.881264091130902</v>
      </c>
      <c r="J147">
        <v>23.440320920081099</v>
      </c>
      <c r="K147">
        <v>7.8059699986972397</v>
      </c>
      <c r="L147">
        <v>1.4507311630117422E-4</v>
      </c>
      <c r="M147">
        <v>1.7223172544605757E-5</v>
      </c>
      <c r="N147" s="1">
        <v>5.3908430807630305E-7</v>
      </c>
      <c r="O147" s="1">
        <v>1.4983701099877699E-8</v>
      </c>
      <c r="P147" s="1">
        <v>-7.5672718571775802E-8</v>
      </c>
      <c r="Q147">
        <v>70.717447486434907</v>
      </c>
      <c r="R147">
        <v>0.16915736785521901</v>
      </c>
      <c r="S147">
        <v>14.2793634579795</v>
      </c>
      <c r="T147">
        <v>0.21411752118893601</v>
      </c>
      <c r="V147">
        <v>0.51814075578865404</v>
      </c>
      <c r="W147">
        <v>0.154345503235678</v>
      </c>
      <c r="X147">
        <v>0.158530899865966</v>
      </c>
      <c r="AA147">
        <v>0.77860813664246198</v>
      </c>
      <c r="AB147">
        <v>2.5178183220452501</v>
      </c>
      <c r="AC147">
        <v>4.9606070018219297</v>
      </c>
      <c r="AD147">
        <v>0.23024657136968199</v>
      </c>
      <c r="AE147">
        <v>5.3016169757717098</v>
      </c>
    </row>
    <row r="148" spans="1:31" x14ac:dyDescent="0.2">
      <c r="A148">
        <v>147</v>
      </c>
      <c r="B148">
        <v>740</v>
      </c>
      <c r="C148">
        <v>220</v>
      </c>
      <c r="D148">
        <v>0.34948477520604299</v>
      </c>
      <c r="E148">
        <v>14.6301590830746</v>
      </c>
      <c r="F148">
        <v>2.2287054975706799</v>
      </c>
      <c r="G148">
        <v>-237.95376200885832</v>
      </c>
      <c r="H148">
        <v>-200.59869974496539</v>
      </c>
      <c r="I148">
        <v>36.870218885547899</v>
      </c>
      <c r="J148">
        <v>19.757491837301199</v>
      </c>
      <c r="K148">
        <v>6.5644200631360397</v>
      </c>
      <c r="L148">
        <v>1.4479610567995761E-4</v>
      </c>
      <c r="M148">
        <v>1.7215277871471753E-5</v>
      </c>
      <c r="N148" s="1">
        <v>4.5376841473412402E-7</v>
      </c>
      <c r="O148" s="1">
        <v>1.2564696993829701E-8</v>
      </c>
      <c r="P148" s="1">
        <v>-6.3234556043948305E-8</v>
      </c>
      <c r="Q148">
        <v>70.366171366104894</v>
      </c>
      <c r="R148">
        <v>0.16835657922178901</v>
      </c>
      <c r="S148">
        <v>14.7022360260264</v>
      </c>
      <c r="T148">
        <v>0.208224552690462</v>
      </c>
      <c r="V148">
        <v>0.50730801504483902</v>
      </c>
      <c r="W148">
        <v>0.18242693652962799</v>
      </c>
      <c r="X148">
        <v>0.15682569440472899</v>
      </c>
      <c r="AA148">
        <v>0.79710877077019204</v>
      </c>
      <c r="AB148">
        <v>2.3742295666379398</v>
      </c>
      <c r="AC148">
        <v>4.9765619736794697</v>
      </c>
      <c r="AD148">
        <v>0.273407826755795</v>
      </c>
      <c r="AE148">
        <v>5.2871426921336901</v>
      </c>
    </row>
    <row r="149" spans="1:31" x14ac:dyDescent="0.2">
      <c r="A149">
        <v>148</v>
      </c>
      <c r="B149">
        <v>738</v>
      </c>
      <c r="C149">
        <v>220</v>
      </c>
      <c r="D149">
        <v>0.34805963506898102</v>
      </c>
      <c r="E149">
        <v>12.8247030866361</v>
      </c>
      <c r="F149">
        <v>2.2315039992543402</v>
      </c>
      <c r="G149">
        <v>-208.58530377792314</v>
      </c>
      <c r="H149">
        <v>-175.9712669463151</v>
      </c>
      <c r="I149">
        <v>32.254400268612898</v>
      </c>
      <c r="J149">
        <v>17.333798248144401</v>
      </c>
      <c r="K149">
        <v>5.74711185412239</v>
      </c>
      <c r="L149">
        <v>1.4459955508858195E-4</v>
      </c>
      <c r="M149">
        <v>1.7211286555200221E-5</v>
      </c>
      <c r="N149" s="1">
        <v>3.9792846386314002E-7</v>
      </c>
      <c r="O149" s="1">
        <v>1.0976332054698E-8</v>
      </c>
      <c r="P149" s="1">
        <v>-5.5081109195249201E-8</v>
      </c>
      <c r="Q149">
        <v>70.046996241198997</v>
      </c>
      <c r="R149">
        <v>0.167257902749441</v>
      </c>
      <c r="S149">
        <v>15.0812258010466</v>
      </c>
      <c r="T149">
        <v>0.20304135861445799</v>
      </c>
      <c r="V149">
        <v>0.49736296497522597</v>
      </c>
      <c r="W149">
        <v>0.20724002337205</v>
      </c>
      <c r="X149">
        <v>0.15510018054574401</v>
      </c>
      <c r="AA149">
        <v>0.81493763631501304</v>
      </c>
      <c r="AB149">
        <v>2.2531541614224202</v>
      </c>
      <c r="AC149">
        <v>4.98447013862096</v>
      </c>
      <c r="AD149">
        <v>0.311898059001674</v>
      </c>
      <c r="AE149">
        <v>5.27731553213731</v>
      </c>
    </row>
    <row r="150" spans="1:31" x14ac:dyDescent="0.2">
      <c r="A150">
        <v>149</v>
      </c>
      <c r="B150">
        <v>736</v>
      </c>
      <c r="C150">
        <v>220</v>
      </c>
      <c r="D150">
        <v>0.34662884605856398</v>
      </c>
      <c r="E150">
        <v>11.524699814397099</v>
      </c>
      <c r="F150">
        <v>2.2340594280656298</v>
      </c>
      <c r="G150">
        <v>-187.43760231106938</v>
      </c>
      <c r="H150">
        <v>-158.24232320084158</v>
      </c>
      <c r="I150">
        <v>28.9305644455509</v>
      </c>
      <c r="J150">
        <v>15.589185976546799</v>
      </c>
      <c r="K150">
        <v>5.15863618917954</v>
      </c>
      <c r="L150">
        <v>1.444596372495925E-4</v>
      </c>
      <c r="M150">
        <v>1.7210039435949619E-5</v>
      </c>
      <c r="N150" s="1">
        <v>3.5795329144812402E-7</v>
      </c>
      <c r="O150" s="1">
        <v>9.8355471034435801E-9</v>
      </c>
      <c r="P150" s="1">
        <v>-4.92351431532068E-8</v>
      </c>
      <c r="Q150">
        <v>69.750734866010504</v>
      </c>
      <c r="R150">
        <v>0.165954030151786</v>
      </c>
      <c r="S150">
        <v>15.4288356016154</v>
      </c>
      <c r="T150">
        <v>0.198367045679499</v>
      </c>
      <c r="V150">
        <v>0.48806610733927402</v>
      </c>
      <c r="W150">
        <v>0.22972921644133901</v>
      </c>
      <c r="X150">
        <v>0.15336118732149001</v>
      </c>
      <c r="AA150">
        <v>0.83239486747288205</v>
      </c>
      <c r="AB150">
        <v>2.1480002937051701</v>
      </c>
      <c r="AC150">
        <v>4.9867084083272601</v>
      </c>
      <c r="AD150">
        <v>0.34708062373976201</v>
      </c>
      <c r="AE150">
        <v>5.2707677521955096</v>
      </c>
    </row>
    <row r="151" spans="1:31" x14ac:dyDescent="0.2">
      <c r="A151">
        <v>150</v>
      </c>
      <c r="B151">
        <v>734</v>
      </c>
      <c r="C151">
        <v>220</v>
      </c>
      <c r="D151">
        <v>0.345192374522167</v>
      </c>
      <c r="E151">
        <v>10.5324510543165</v>
      </c>
      <c r="F151">
        <v>2.2364318439216899</v>
      </c>
      <c r="G151">
        <v>-171.29532174548171</v>
      </c>
      <c r="H151">
        <v>-144.71321718480885</v>
      </c>
      <c r="I151">
        <v>26.3933918092368</v>
      </c>
      <c r="J151">
        <v>14.257986333217501</v>
      </c>
      <c r="K151">
        <v>4.7094889490785299</v>
      </c>
      <c r="L151">
        <v>1.4436233012136472E-4</v>
      </c>
      <c r="M151">
        <v>1.7210861047120468E-5</v>
      </c>
      <c r="N151" s="1">
        <v>3.2761698252545999E-7</v>
      </c>
      <c r="O151" s="1">
        <v>8.9670108739823196E-9</v>
      </c>
      <c r="P151" s="1">
        <v>-4.47919865056142E-8</v>
      </c>
      <c r="Q151">
        <v>69.471832389839406</v>
      </c>
      <c r="R151">
        <v>0.1645006613053</v>
      </c>
      <c r="S151">
        <v>15.7526012243351</v>
      </c>
      <c r="T151">
        <v>0.19408124969146701</v>
      </c>
      <c r="V151">
        <v>0.47927401805053799</v>
      </c>
      <c r="W151">
        <v>0.25046449128500398</v>
      </c>
      <c r="X151">
        <v>0.15161273855500801</v>
      </c>
      <c r="AA151">
        <v>0.84963444289201295</v>
      </c>
      <c r="AB151">
        <v>2.0548387211539398</v>
      </c>
      <c r="AC151">
        <v>4.98468769098272</v>
      </c>
      <c r="AD151">
        <v>0.379778645954856</v>
      </c>
      <c r="AE151">
        <v>5.2666937259545197</v>
      </c>
    </row>
    <row r="152" spans="1:31" x14ac:dyDescent="0.2">
      <c r="A152">
        <v>151</v>
      </c>
      <c r="B152">
        <v>760</v>
      </c>
      <c r="C152">
        <v>210</v>
      </c>
      <c r="D152">
        <v>0.374079756085759</v>
      </c>
      <c r="E152">
        <v>105.561778474837</v>
      </c>
      <c r="F152">
        <v>2.2031754864518098</v>
      </c>
      <c r="G152">
        <v>-1722.3784436859185</v>
      </c>
      <c r="H152">
        <v>-1442.6276790052186</v>
      </c>
      <c r="I152">
        <v>270.77458711774602</v>
      </c>
      <c r="J152">
        <v>141.983303916126</v>
      </c>
      <c r="K152">
        <v>47.913468139046302</v>
      </c>
      <c r="L152">
        <v>1.4667665483604283E-4</v>
      </c>
      <c r="M152">
        <v>1.7525249999397624E-5</v>
      </c>
      <c r="N152" s="1">
        <v>3.2585091630897801E-6</v>
      </c>
      <c r="O152" s="1">
        <v>9.4167344213890499E-8</v>
      </c>
      <c r="P152" s="1">
        <v>-4.78340023482637E-7</v>
      </c>
      <c r="Q152">
        <v>72.725186245626006</v>
      </c>
      <c r="R152">
        <v>9.0942007028503899E-2</v>
      </c>
      <c r="S152">
        <v>12.2771709488485</v>
      </c>
      <c r="T152">
        <v>0.23843647173525401</v>
      </c>
      <c r="V152">
        <v>0.569662339080377</v>
      </c>
      <c r="W152">
        <v>2.5577439476766502E-2</v>
      </c>
      <c r="X152">
        <v>0.113677508785631</v>
      </c>
      <c r="AA152">
        <v>0.74837693283872697</v>
      </c>
      <c r="AB152">
        <v>3.3629596349081998</v>
      </c>
      <c r="AC152">
        <v>4.4428959683716496</v>
      </c>
      <c r="AD152">
        <v>3.7892502928542501E-2</v>
      </c>
      <c r="AE152">
        <v>5.3672220003717301</v>
      </c>
    </row>
    <row r="153" spans="1:31" x14ac:dyDescent="0.2">
      <c r="A153">
        <v>152</v>
      </c>
      <c r="B153">
        <v>758</v>
      </c>
      <c r="C153">
        <v>210</v>
      </c>
      <c r="D153">
        <v>0.37272996169325601</v>
      </c>
      <c r="E153">
        <v>105.26641163639199</v>
      </c>
      <c r="F153">
        <v>2.2040556082248499</v>
      </c>
      <c r="G153">
        <v>-1716.9294623636827</v>
      </c>
      <c r="H153">
        <v>-1438.7566816909721</v>
      </c>
      <c r="I153">
        <v>269.76946193348198</v>
      </c>
      <c r="J153">
        <v>141.58729178050399</v>
      </c>
      <c r="K153">
        <v>47.7603247593077</v>
      </c>
      <c r="L153">
        <v>1.4668094238396779E-4</v>
      </c>
      <c r="M153">
        <v>1.7508712428454022E-5</v>
      </c>
      <c r="N153" s="1">
        <v>3.2572544783305999E-6</v>
      </c>
      <c r="O153" s="1">
        <v>9.3770604102321506E-8</v>
      </c>
      <c r="P153" s="1">
        <v>-4.7723194028997304E-7</v>
      </c>
      <c r="Q153">
        <v>72.663016732557793</v>
      </c>
      <c r="R153">
        <v>9.1197181045365297E-2</v>
      </c>
      <c r="S153">
        <v>12.311619441125201</v>
      </c>
      <c r="T153">
        <v>0.23996512317607699</v>
      </c>
      <c r="V153">
        <v>0.57048725542065903</v>
      </c>
      <c r="W153">
        <v>2.5649207169008599E-2</v>
      </c>
      <c r="X153">
        <v>0.113996476306709</v>
      </c>
      <c r="AA153">
        <v>0.75047680235248004</v>
      </c>
      <c r="AB153">
        <v>3.3723957574067001</v>
      </c>
      <c r="AC153">
        <v>4.45536228232036</v>
      </c>
      <c r="AD153">
        <v>3.79988254355672E-2</v>
      </c>
      <c r="AE153">
        <v>5.3678349156838996</v>
      </c>
    </row>
    <row r="154" spans="1:31" x14ac:dyDescent="0.2">
      <c r="A154">
        <v>153</v>
      </c>
      <c r="B154">
        <v>756</v>
      </c>
      <c r="C154">
        <v>210</v>
      </c>
      <c r="D154">
        <v>0.371374921051355</v>
      </c>
      <c r="E154">
        <v>104.85295214964501</v>
      </c>
      <c r="F154">
        <v>2.2050101529796202</v>
      </c>
      <c r="G154">
        <v>-1709.5264877106633</v>
      </c>
      <c r="H154">
        <v>-1433.2213396840014</v>
      </c>
      <c r="I154">
        <v>268.47898559652299</v>
      </c>
      <c r="J154">
        <v>141.04491737616701</v>
      </c>
      <c r="K154">
        <v>47.552140296478001</v>
      </c>
      <c r="L154">
        <v>1.4673859812925307E-4</v>
      </c>
      <c r="M154">
        <v>1.749253282339921E-5</v>
      </c>
      <c r="N154" s="1">
        <v>3.2528948224981399E-6</v>
      </c>
      <c r="O154" s="1">
        <v>9.3285694221946701E-8</v>
      </c>
      <c r="P154" s="1">
        <v>-4.7584161773837E-7</v>
      </c>
      <c r="Q154">
        <v>72.574691769107204</v>
      </c>
      <c r="R154">
        <v>9.15567926623468E-2</v>
      </c>
      <c r="S154">
        <v>12.360167009418401</v>
      </c>
      <c r="T154">
        <v>0.24182499703103</v>
      </c>
      <c r="V154">
        <v>0.57191471933532501</v>
      </c>
      <c r="W154">
        <v>2.5750347936284401E-2</v>
      </c>
      <c r="X154">
        <v>0.11444599082793699</v>
      </c>
      <c r="AA154">
        <v>0.75343610628388602</v>
      </c>
      <c r="AB154">
        <v>3.3856938953263098</v>
      </c>
      <c r="AC154">
        <v>4.4729308081915899</v>
      </c>
      <c r="AD154">
        <v>3.8148663609308402E-2</v>
      </c>
      <c r="AE154">
        <v>5.3694389002703398</v>
      </c>
    </row>
    <row r="155" spans="1:31" x14ac:dyDescent="0.2">
      <c r="A155">
        <v>154</v>
      </c>
      <c r="B155">
        <v>754</v>
      </c>
      <c r="C155">
        <v>210</v>
      </c>
      <c r="D155">
        <v>0.37001460351457899</v>
      </c>
      <c r="E155">
        <v>103.83818357437499</v>
      </c>
      <c r="F155">
        <v>2.2061541251179002</v>
      </c>
      <c r="G155">
        <v>-1692.1334330913132</v>
      </c>
      <c r="H155">
        <v>-1419.3347186277372</v>
      </c>
      <c r="I155">
        <v>265.58800025660901</v>
      </c>
      <c r="J155">
        <v>139.67352964806801</v>
      </c>
      <c r="K155">
        <v>47.067511010286097</v>
      </c>
      <c r="L155">
        <v>1.4668538690037423E-4</v>
      </c>
      <c r="M155">
        <v>1.7465575661455536E-5</v>
      </c>
      <c r="N155" s="1">
        <v>3.2258326011136101E-6</v>
      </c>
      <c r="O155" s="1">
        <v>9.2164525340020799E-8</v>
      </c>
      <c r="P155" s="1">
        <v>-4.7122020119796001E-7</v>
      </c>
      <c r="Q155">
        <v>72.490753154827203</v>
      </c>
      <c r="R155">
        <v>9.2451540170904803E-2</v>
      </c>
      <c r="S155">
        <v>12.4024962706754</v>
      </c>
      <c r="T155">
        <v>0.24511401792255999</v>
      </c>
      <c r="V155">
        <v>0.57667079886793005</v>
      </c>
      <c r="W155">
        <v>2.60019956730657E-2</v>
      </c>
      <c r="X155">
        <v>0.11556442521364101</v>
      </c>
      <c r="AA155">
        <v>0.74930625346482904</v>
      </c>
      <c r="AB155">
        <v>3.3872629511781902</v>
      </c>
      <c r="AC155">
        <v>4.51136213165013</v>
      </c>
      <c r="AD155">
        <v>3.8521475071204299E-2</v>
      </c>
      <c r="AE155">
        <v>5.3644949852848498</v>
      </c>
    </row>
    <row r="156" spans="1:31" x14ac:dyDescent="0.2">
      <c r="A156">
        <v>155</v>
      </c>
      <c r="B156">
        <v>752</v>
      </c>
      <c r="C156">
        <v>210</v>
      </c>
      <c r="D156">
        <v>0.36864897819831499</v>
      </c>
      <c r="E156">
        <v>100.28012550864101</v>
      </c>
      <c r="F156">
        <v>2.2081594589071099</v>
      </c>
      <c r="G156">
        <v>-1632.5179422751519</v>
      </c>
      <c r="H156">
        <v>-1370.1445309109558</v>
      </c>
      <c r="I156">
        <v>255.93660573008401</v>
      </c>
      <c r="J156">
        <v>134.80016479448099</v>
      </c>
      <c r="K156">
        <v>45.413443809114099</v>
      </c>
      <c r="L156">
        <v>1.4615166797045582E-4</v>
      </c>
      <c r="M156">
        <v>1.7392146300663884E-5</v>
      </c>
      <c r="N156" s="1">
        <v>3.1029773478371598E-6</v>
      </c>
      <c r="O156" s="1">
        <v>8.8364406399574598E-8</v>
      </c>
      <c r="P156" s="1">
        <v>-4.5294961124286701E-7</v>
      </c>
      <c r="Q156">
        <v>72.422851290312593</v>
      </c>
      <c r="R156">
        <v>9.5731830722259104E-2</v>
      </c>
      <c r="S156">
        <v>12.420061602355499</v>
      </c>
      <c r="T156">
        <v>0.25474316007950099</v>
      </c>
      <c r="V156">
        <v>0.59629295566282303</v>
      </c>
      <c r="W156">
        <v>2.6924577390633499E-2</v>
      </c>
      <c r="X156">
        <v>0.11966478840283699</v>
      </c>
      <c r="AA156">
        <v>0.71819133364638199</v>
      </c>
      <c r="AB156">
        <v>3.33604666197802</v>
      </c>
      <c r="AC156">
        <v>4.6385300949714496</v>
      </c>
      <c r="AD156">
        <v>3.9888262800933001E-2</v>
      </c>
      <c r="AE156">
        <v>5.3310734416769199</v>
      </c>
    </row>
    <row r="157" spans="1:31" x14ac:dyDescent="0.2">
      <c r="A157">
        <v>156</v>
      </c>
      <c r="B157">
        <v>750</v>
      </c>
      <c r="C157">
        <v>210</v>
      </c>
      <c r="D157">
        <v>0.36727801397644499</v>
      </c>
      <c r="E157">
        <v>96.577846263694298</v>
      </c>
      <c r="F157">
        <v>2.2103249772165099</v>
      </c>
      <c r="G157">
        <v>-1570.6054778824678</v>
      </c>
      <c r="H157">
        <v>-1318.9834064553904</v>
      </c>
      <c r="I157">
        <v>245.92881926118099</v>
      </c>
      <c r="J157">
        <v>129.73588238943501</v>
      </c>
      <c r="K157">
        <v>43.693957793172899</v>
      </c>
      <c r="L157">
        <v>1.4557379737979733E-4</v>
      </c>
      <c r="M157">
        <v>1.7314759065214188E-5</v>
      </c>
      <c r="N157" s="1">
        <v>2.97497649263098E-6</v>
      </c>
      <c r="O157" s="1">
        <v>8.4445953253069598E-8</v>
      </c>
      <c r="P157" s="1">
        <v>-4.3394248763051899E-7</v>
      </c>
      <c r="Q157">
        <v>72.351349710491107</v>
      </c>
      <c r="R157">
        <v>9.9401678246050201E-2</v>
      </c>
      <c r="S157">
        <v>12.438850842525</v>
      </c>
      <c r="T157">
        <v>0.26544893896584698</v>
      </c>
      <c r="V157">
        <v>0.61830556621824095</v>
      </c>
      <c r="W157">
        <v>2.7956722006699498E-2</v>
      </c>
      <c r="X157">
        <v>0.124252097807579</v>
      </c>
      <c r="AA157">
        <v>0.69115092499132003</v>
      </c>
      <c r="AB157">
        <v>3.2765073602589299</v>
      </c>
      <c r="AC157">
        <v>4.7703577845820702</v>
      </c>
      <c r="AD157">
        <v>4.1417365935844198E-2</v>
      </c>
      <c r="AE157">
        <v>5.2950010079712104</v>
      </c>
    </row>
    <row r="158" spans="1:31" x14ac:dyDescent="0.2">
      <c r="A158">
        <v>157</v>
      </c>
      <c r="B158">
        <v>748</v>
      </c>
      <c r="C158">
        <v>210</v>
      </c>
      <c r="D158">
        <v>0.36590167947901903</v>
      </c>
      <c r="E158">
        <v>36.367533424194598</v>
      </c>
      <c r="F158">
        <v>2.2165892071973099</v>
      </c>
      <c r="G158">
        <v>-591.45120428942425</v>
      </c>
      <c r="H158">
        <v>-497.33019344608067</v>
      </c>
      <c r="I158">
        <v>92.171581886445495</v>
      </c>
      <c r="J158">
        <v>48.900042627251302</v>
      </c>
      <c r="K158">
        <v>16.406979383508801</v>
      </c>
      <c r="L158">
        <v>1.4422331419882895E-4</v>
      </c>
      <c r="M158">
        <v>1.722472596545332E-5</v>
      </c>
      <c r="N158" s="1">
        <v>1.10648056405355E-6</v>
      </c>
      <c r="O158" s="1">
        <v>3.1314469459197001E-8</v>
      </c>
      <c r="P158" s="1">
        <v>-1.5971345140682301E-7</v>
      </c>
      <c r="Q158">
        <v>71.8382477398102</v>
      </c>
      <c r="R158">
        <v>0.147331301795841</v>
      </c>
      <c r="S158">
        <v>13.0875642075993</v>
      </c>
      <c r="T158">
        <v>0.23747057222946699</v>
      </c>
      <c r="V158">
        <v>0.56082748689747897</v>
      </c>
      <c r="W158">
        <v>7.4242043542140396E-2</v>
      </c>
      <c r="X158">
        <v>0.16079910668636199</v>
      </c>
      <c r="AA158">
        <v>0.73150982839177503</v>
      </c>
      <c r="AB158">
        <v>2.9337453594717502</v>
      </c>
      <c r="AC158">
        <v>4.9003072458253403</v>
      </c>
      <c r="AD158">
        <v>0.10998821265493799</v>
      </c>
      <c r="AE158">
        <v>5.2179668950952696</v>
      </c>
    </row>
    <row r="159" spans="1:31" x14ac:dyDescent="0.2">
      <c r="A159">
        <v>158</v>
      </c>
      <c r="B159">
        <v>746</v>
      </c>
      <c r="C159">
        <v>210</v>
      </c>
      <c r="D159">
        <v>0.36451994308983099</v>
      </c>
      <c r="E159">
        <v>23.325715876241901</v>
      </c>
      <c r="F159">
        <v>2.2213866834895102</v>
      </c>
      <c r="G159">
        <v>-379.37003481114601</v>
      </c>
      <c r="H159">
        <v>-319.32861412301054</v>
      </c>
      <c r="I159">
        <v>58.913232289786002</v>
      </c>
      <c r="J159">
        <v>31.395769605808798</v>
      </c>
      <c r="K159">
        <v>10.5005202604349</v>
      </c>
      <c r="L159">
        <v>1.4347319739841681E-4</v>
      </c>
      <c r="M159">
        <v>1.7186426523699648E-5</v>
      </c>
      <c r="N159" s="1">
        <v>7.0555039328597104E-7</v>
      </c>
      <c r="O159" s="1">
        <v>1.9899459323026701E-8</v>
      </c>
      <c r="P159" s="1">
        <v>-1.00862547395397E-7</v>
      </c>
      <c r="Q159">
        <v>71.362671706845603</v>
      </c>
      <c r="R159">
        <v>0.172607667635715</v>
      </c>
      <c r="S159">
        <v>13.6813336568295</v>
      </c>
      <c r="T159">
        <v>0.221497578655237</v>
      </c>
      <c r="V159">
        <v>0.52936738036049802</v>
      </c>
      <c r="W159">
        <v>0.115752074419686</v>
      </c>
      <c r="X159">
        <v>0.164347067289211</v>
      </c>
      <c r="AA159">
        <v>0.75582458151432197</v>
      </c>
      <c r="AB159">
        <v>2.68517750778474</v>
      </c>
      <c r="AC159">
        <v>4.9641297396130897</v>
      </c>
      <c r="AD159">
        <v>0.171484554695673</v>
      </c>
      <c r="AE159">
        <v>5.1758064843565803</v>
      </c>
    </row>
    <row r="160" spans="1:31" x14ac:dyDescent="0.2">
      <c r="A160">
        <v>159</v>
      </c>
      <c r="B160">
        <v>744</v>
      </c>
      <c r="C160">
        <v>210</v>
      </c>
      <c r="D160">
        <v>0.36313277294401303</v>
      </c>
      <c r="E160">
        <v>17.9913181464314</v>
      </c>
      <c r="F160">
        <v>2.2251160675206498</v>
      </c>
      <c r="G160">
        <v>-292.61127941649164</v>
      </c>
      <c r="H160">
        <v>-246.51541675467956</v>
      </c>
      <c r="I160">
        <v>45.318647851164499</v>
      </c>
      <c r="J160">
        <v>24.2392499788191</v>
      </c>
      <c r="K160">
        <v>8.0855638989108396</v>
      </c>
      <c r="L160">
        <v>1.4304693877044636E-4</v>
      </c>
      <c r="M160">
        <v>1.7170592163931385E-5</v>
      </c>
      <c r="N160" s="1">
        <v>5.4304047940366002E-7</v>
      </c>
      <c r="O160" s="1">
        <v>1.52599351263393E-8</v>
      </c>
      <c r="P160" s="1">
        <v>-7.6990924680024698E-8</v>
      </c>
      <c r="Q160">
        <v>70.957825444589901</v>
      </c>
      <c r="R160">
        <v>0.17437343133002001</v>
      </c>
      <c r="S160">
        <v>14.176600222712</v>
      </c>
      <c r="T160">
        <v>0.21386983566958101</v>
      </c>
      <c r="V160">
        <v>0.51579712451021098</v>
      </c>
      <c r="W160">
        <v>0.149343470979002</v>
      </c>
      <c r="X160">
        <v>0.163089046437977</v>
      </c>
      <c r="AA160">
        <v>0.775827859529023</v>
      </c>
      <c r="AB160">
        <v>2.5018577164086602</v>
      </c>
      <c r="AC160">
        <v>4.9959691149820298</v>
      </c>
      <c r="AD160">
        <v>0.22232945732140999</v>
      </c>
      <c r="AE160">
        <v>5.1531172755301604</v>
      </c>
    </row>
    <row r="161" spans="1:31" x14ac:dyDescent="0.2">
      <c r="A161">
        <v>160</v>
      </c>
      <c r="B161">
        <v>742</v>
      </c>
      <c r="C161">
        <v>210</v>
      </c>
      <c r="D161">
        <v>0.361740136925575</v>
      </c>
      <c r="E161">
        <v>15.0489459483505</v>
      </c>
      <c r="F161">
        <v>2.2282713974437001</v>
      </c>
      <c r="G161">
        <v>-244.75391026866399</v>
      </c>
      <c r="H161">
        <v>-206.36045834550097</v>
      </c>
      <c r="I161">
        <v>37.820471775760197</v>
      </c>
      <c r="J161">
        <v>20.293183665534499</v>
      </c>
      <c r="K161">
        <v>6.7536413946770004</v>
      </c>
      <c r="L161">
        <v>1.4276112586062713E-4</v>
      </c>
      <c r="M161">
        <v>1.7162289184709015E-5</v>
      </c>
      <c r="N161" s="1">
        <v>4.5396637791717503E-7</v>
      </c>
      <c r="O161" s="1">
        <v>1.2709011801278199E-8</v>
      </c>
      <c r="P161" s="1">
        <v>-6.3887918249173803E-8</v>
      </c>
      <c r="Q161">
        <v>70.603786480519801</v>
      </c>
      <c r="R161">
        <v>0.173578574002691</v>
      </c>
      <c r="S161">
        <v>14.6029799142157</v>
      </c>
      <c r="T161">
        <v>0.20790938964966199</v>
      </c>
      <c r="V161">
        <v>0.50491856227311305</v>
      </c>
      <c r="W161">
        <v>0.17769443392204001</v>
      </c>
      <c r="X161">
        <v>0.161382158937524</v>
      </c>
      <c r="AA161">
        <v>0.79411953574403005</v>
      </c>
      <c r="AB161">
        <v>2.3559415924539699</v>
      </c>
      <c r="AC161">
        <v>5.0133887228466198</v>
      </c>
      <c r="AD161">
        <v>0.26579934659351001</v>
      </c>
      <c r="AE161">
        <v>5.1385012888412804</v>
      </c>
    </row>
    <row r="162" spans="1:31" x14ac:dyDescent="0.2">
      <c r="A162">
        <v>161</v>
      </c>
      <c r="B162">
        <v>740</v>
      </c>
      <c r="C162">
        <v>210</v>
      </c>
      <c r="D162">
        <v>0.36034200266496003</v>
      </c>
      <c r="E162">
        <v>13.140125185594499</v>
      </c>
      <c r="F162">
        <v>2.2310700995958701</v>
      </c>
      <c r="G162">
        <v>-213.70557498940639</v>
      </c>
      <c r="H162">
        <v>-180.31643591470123</v>
      </c>
      <c r="I162">
        <v>32.955770690129903</v>
      </c>
      <c r="J162">
        <v>17.734047182735399</v>
      </c>
      <c r="K162">
        <v>5.8896066008749397</v>
      </c>
      <c r="L162">
        <v>1.4255821398762437E-4</v>
      </c>
      <c r="M162">
        <v>1.7158052736063869E-5</v>
      </c>
      <c r="N162" s="1">
        <v>3.96514032905131E-7</v>
      </c>
      <c r="O162" s="1">
        <v>1.10583936039228E-8</v>
      </c>
      <c r="P162" s="1">
        <v>-5.5423362535292697E-8</v>
      </c>
      <c r="Q162">
        <v>70.283406526439506</v>
      </c>
      <c r="R162">
        <v>0.17246233024225299</v>
      </c>
      <c r="S162">
        <v>14.983714606820399</v>
      </c>
      <c r="T162">
        <v>0.20268838959667401</v>
      </c>
      <c r="V162">
        <v>0.49496442018677</v>
      </c>
      <c r="W162">
        <v>0.20264094970957</v>
      </c>
      <c r="X162">
        <v>0.159653275296845</v>
      </c>
      <c r="AA162">
        <v>0.81160483510637205</v>
      </c>
      <c r="AB162">
        <v>2.2336456207326001</v>
      </c>
      <c r="AC162">
        <v>5.0222154178456897</v>
      </c>
      <c r="AD162">
        <v>0.30441110290009998</v>
      </c>
      <c r="AE162">
        <v>5.1285925251231701</v>
      </c>
    </row>
    <row r="163" spans="1:31" x14ac:dyDescent="0.2">
      <c r="A163">
        <v>162</v>
      </c>
      <c r="B163">
        <v>738</v>
      </c>
      <c r="C163">
        <v>210</v>
      </c>
      <c r="D163">
        <v>0.35893833753646798</v>
      </c>
      <c r="E163">
        <v>11.778187325689199</v>
      </c>
      <c r="F163">
        <v>2.2336196830219901</v>
      </c>
      <c r="G163">
        <v>-191.5514488234065</v>
      </c>
      <c r="H163">
        <v>-161.73820229689099</v>
      </c>
      <c r="I163">
        <v>29.484494413801599</v>
      </c>
      <c r="J163">
        <v>15.9086716721398</v>
      </c>
      <c r="K163">
        <v>5.2731391181841003</v>
      </c>
      <c r="L163">
        <v>1.4241273562204729E-4</v>
      </c>
      <c r="M163">
        <v>1.7156616163789658E-5</v>
      </c>
      <c r="N163" s="1">
        <v>3.5575625309220299E-7</v>
      </c>
      <c r="O163" s="1">
        <v>9.8836234937245597E-9</v>
      </c>
      <c r="P163" s="1">
        <v>-4.94090427416429E-8</v>
      </c>
      <c r="Q163">
        <v>69.986842476946293</v>
      </c>
      <c r="R163">
        <v>0.171128407291051</v>
      </c>
      <c r="S163">
        <v>15.3321054090414</v>
      </c>
      <c r="T163">
        <v>0.19799125742964899</v>
      </c>
      <c r="V163">
        <v>0.48567567995851602</v>
      </c>
      <c r="W163">
        <v>0.22518674969501501</v>
      </c>
      <c r="X163">
        <v>0.15790991486491199</v>
      </c>
      <c r="AA163">
        <v>0.82866748118147304</v>
      </c>
      <c r="AB163">
        <v>2.12784246002427</v>
      </c>
      <c r="AC163">
        <v>5.0250850349998499</v>
      </c>
      <c r="AD163">
        <v>0.33961083224303201</v>
      </c>
      <c r="AE163">
        <v>5.1219542963243301</v>
      </c>
    </row>
    <row r="164" spans="1:31" x14ac:dyDescent="0.2">
      <c r="A164">
        <v>163</v>
      </c>
      <c r="B164">
        <v>736</v>
      </c>
      <c r="C164">
        <v>210</v>
      </c>
      <c r="D164">
        <v>0.35752910865580001</v>
      </c>
      <c r="E164">
        <v>10.7451480937935</v>
      </c>
      <c r="F164">
        <v>2.2359831978707301</v>
      </c>
      <c r="G164">
        <v>-174.74640079878588</v>
      </c>
      <c r="H164">
        <v>-147.64947166438259</v>
      </c>
      <c r="I164">
        <v>26.8512402857883</v>
      </c>
      <c r="J164">
        <v>14.524521756555901</v>
      </c>
      <c r="K164">
        <v>4.8055585140468899</v>
      </c>
      <c r="L164">
        <v>1.4231001641086126E-4</v>
      </c>
      <c r="M164">
        <v>1.715726155907567E-5</v>
      </c>
      <c r="N164" s="1">
        <v>3.2501682475595298E-7</v>
      </c>
      <c r="O164" s="1">
        <v>8.9947374378334093E-9</v>
      </c>
      <c r="P164" s="1">
        <v>-4.4866002005329598E-8</v>
      </c>
      <c r="Q164">
        <v>69.7082176551515</v>
      </c>
      <c r="R164">
        <v>0.16963761915765199</v>
      </c>
      <c r="S164">
        <v>15.6560689875847</v>
      </c>
      <c r="T164">
        <v>0.19369102653747799</v>
      </c>
      <c r="V164">
        <v>0.476900468405412</v>
      </c>
      <c r="W164">
        <v>0.245930205556804</v>
      </c>
      <c r="X164">
        <v>0.15615645431507699</v>
      </c>
      <c r="AA164">
        <v>0.84549251180295504</v>
      </c>
      <c r="AB164">
        <v>2.03435964239628</v>
      </c>
      <c r="AC164">
        <v>5.0235266393196198</v>
      </c>
      <c r="AD164">
        <v>0.37226103959434598</v>
      </c>
      <c r="AE164">
        <v>5.1177577501780496</v>
      </c>
    </row>
    <row r="165" spans="1:31" x14ac:dyDescent="0.2">
      <c r="A165">
        <v>164</v>
      </c>
      <c r="B165">
        <v>760</v>
      </c>
      <c r="C165">
        <v>200</v>
      </c>
      <c r="D165">
        <v>0.38472680636887402</v>
      </c>
      <c r="E165">
        <v>105.40336550463699</v>
      </c>
      <c r="F165">
        <v>2.2038831635745701</v>
      </c>
      <c r="G165">
        <v>-1719.3977925206198</v>
      </c>
      <c r="H165">
        <v>-1441.0390336044288</v>
      </c>
      <c r="I165">
        <v>269.42724572055403</v>
      </c>
      <c r="J165">
        <v>141.615642421628</v>
      </c>
      <c r="K165">
        <v>47.826203878103499</v>
      </c>
      <c r="L165">
        <v>1.4475802256127968E-4</v>
      </c>
      <c r="M165">
        <v>1.7469037083500294E-5</v>
      </c>
      <c r="N165" s="1">
        <v>3.17699185754331E-6</v>
      </c>
      <c r="O165" s="1">
        <v>9.2429443199544504E-8</v>
      </c>
      <c r="P165" s="1">
        <v>-4.6956229932203902E-7</v>
      </c>
      <c r="Q165">
        <v>72.834486481980306</v>
      </c>
      <c r="R165">
        <v>9.10786857140502E-2</v>
      </c>
      <c r="S165">
        <v>12.2956225713974</v>
      </c>
      <c r="T165">
        <v>0.23995221822743301</v>
      </c>
      <c r="V165">
        <v>0.56947705981469299</v>
      </c>
      <c r="W165">
        <v>2.56158803570764E-2</v>
      </c>
      <c r="X165">
        <v>0.113848357142564</v>
      </c>
      <c r="AA165">
        <v>0.74950168452186805</v>
      </c>
      <c r="AB165">
        <v>3.3680138988007902</v>
      </c>
      <c r="AC165">
        <v>4.4495732916551001</v>
      </c>
      <c r="AD165">
        <v>3.7949452380853198E-2</v>
      </c>
      <c r="AE165">
        <v>5.2248804180077997</v>
      </c>
    </row>
    <row r="166" spans="1:31" x14ac:dyDescent="0.2">
      <c r="A166">
        <v>165</v>
      </c>
      <c r="B166">
        <v>758</v>
      </c>
      <c r="C166">
        <v>200</v>
      </c>
      <c r="D166">
        <v>0.383397662803666</v>
      </c>
      <c r="E166">
        <v>105.040583973197</v>
      </c>
      <c r="F166">
        <v>2.2047988681800401</v>
      </c>
      <c r="G166">
        <v>-1712.8346770007649</v>
      </c>
      <c r="H166">
        <v>-1436.2158563158869</v>
      </c>
      <c r="I166">
        <v>268.262445507324</v>
      </c>
      <c r="J166">
        <v>141.136662416646</v>
      </c>
      <c r="K166">
        <v>47.6417987550509</v>
      </c>
      <c r="L166">
        <v>1.4479523951934945E-4</v>
      </c>
      <c r="M166">
        <v>1.7452960670379877E-5</v>
      </c>
      <c r="N166" s="1">
        <v>3.17402570432537E-6</v>
      </c>
      <c r="O166" s="1">
        <v>9.1990920545665898E-8</v>
      </c>
      <c r="P166" s="1">
        <v>-4.6832391043102198E-7</v>
      </c>
      <c r="Q166">
        <v>72.757480916987504</v>
      </c>
      <c r="R166">
        <v>9.1393246656450197E-2</v>
      </c>
      <c r="S166">
        <v>12.338088298622001</v>
      </c>
      <c r="T166">
        <v>0.24167160556148001</v>
      </c>
      <c r="V166">
        <v>0.57064245457266105</v>
      </c>
      <c r="W166">
        <v>2.5704350622126101E-2</v>
      </c>
      <c r="X166">
        <v>0.114241558320566</v>
      </c>
      <c r="AA166">
        <v>0.75209025894369697</v>
      </c>
      <c r="AB166">
        <v>3.3796461003166001</v>
      </c>
      <c r="AC166">
        <v>4.4649409043618702</v>
      </c>
      <c r="AD166">
        <v>3.8080519440185402E-2</v>
      </c>
      <c r="AE166">
        <v>5.2260197855947199</v>
      </c>
    </row>
    <row r="167" spans="1:31" x14ac:dyDescent="0.2">
      <c r="A167">
        <v>166</v>
      </c>
      <c r="B167">
        <v>756</v>
      </c>
      <c r="C167">
        <v>200</v>
      </c>
      <c r="D167">
        <v>0.38206335325268598</v>
      </c>
      <c r="E167">
        <v>103.279835528403</v>
      </c>
      <c r="F167">
        <v>2.20616054221761</v>
      </c>
      <c r="G167">
        <v>-1683.0435539619589</v>
      </c>
      <c r="H167">
        <v>-1411.9653840892415</v>
      </c>
      <c r="I167">
        <v>263.40005817686102</v>
      </c>
      <c r="J167">
        <v>138.740520804959</v>
      </c>
      <c r="K167">
        <v>46.814288240595097</v>
      </c>
      <c r="L167">
        <v>1.4461416565831871E-4</v>
      </c>
      <c r="M167">
        <v>1.7413369632951215E-5</v>
      </c>
      <c r="N167" s="1">
        <v>3.1204481128692301E-6</v>
      </c>
      <c r="O167" s="1">
        <v>9.0114357918838504E-8</v>
      </c>
      <c r="P167" s="1">
        <v>-4.5987923933671201E-7</v>
      </c>
      <c r="Q167">
        <v>72.678948252023403</v>
      </c>
      <c r="R167">
        <v>9.2951348643075304E-2</v>
      </c>
      <c r="S167">
        <v>12.372500069686399</v>
      </c>
      <c r="T167">
        <v>0.246711377659175</v>
      </c>
      <c r="V167">
        <v>0.57954341983704405</v>
      </c>
      <c r="W167">
        <v>2.61425668058641E-2</v>
      </c>
      <c r="X167">
        <v>0.11618918580385</v>
      </c>
      <c r="AA167">
        <v>0.73952407784664698</v>
      </c>
      <c r="AB167">
        <v>3.3663042795898899</v>
      </c>
      <c r="AC167">
        <v>4.5290147868911399</v>
      </c>
      <c r="AD167">
        <v>3.8729728601277602E-2</v>
      </c>
      <c r="AE167">
        <v>5.2134409066120799</v>
      </c>
    </row>
    <row r="168" spans="1:31" x14ac:dyDescent="0.2">
      <c r="A168">
        <v>167</v>
      </c>
      <c r="B168">
        <v>754</v>
      </c>
      <c r="C168">
        <v>200</v>
      </c>
      <c r="D168">
        <v>0.38072384753930699</v>
      </c>
      <c r="E168">
        <v>99.730875762557602</v>
      </c>
      <c r="F168">
        <v>2.2081503226288102</v>
      </c>
      <c r="G168">
        <v>-1623.5919151661431</v>
      </c>
      <c r="H168">
        <v>-1362.8933766196362</v>
      </c>
      <c r="I168">
        <v>253.80766056224101</v>
      </c>
      <c r="J168">
        <v>133.88800447417299</v>
      </c>
      <c r="K168">
        <v>45.164894228680701</v>
      </c>
      <c r="L168">
        <v>1.4410011367999891E-4</v>
      </c>
      <c r="M168">
        <v>1.734108379110823E-5</v>
      </c>
      <c r="N168" s="1">
        <v>3.0014558175053298E-6</v>
      </c>
      <c r="O168" s="1">
        <v>8.6396471937326503E-8</v>
      </c>
      <c r="P168" s="1">
        <v>-4.4203960550475498E-7</v>
      </c>
      <c r="Q168">
        <v>72.609370961485794</v>
      </c>
      <c r="R168">
        <v>9.6259056451645994E-2</v>
      </c>
      <c r="S168">
        <v>12.390379576380701</v>
      </c>
      <c r="T168">
        <v>0.25641638753386398</v>
      </c>
      <c r="V168">
        <v>0.59933373421117597</v>
      </c>
      <c r="W168">
        <v>2.7072859627024201E-2</v>
      </c>
      <c r="X168">
        <v>0.120323820564565</v>
      </c>
      <c r="AA168">
        <v>0.70980199636220598</v>
      </c>
      <c r="AB168">
        <v>3.3138529229835401</v>
      </c>
      <c r="AC168">
        <v>4.6558502570387601</v>
      </c>
      <c r="AD168">
        <v>4.0107940188180702E-2</v>
      </c>
      <c r="AE168">
        <v>5.1812304871724102</v>
      </c>
    </row>
    <row r="169" spans="1:31" x14ac:dyDescent="0.2">
      <c r="A169">
        <v>168</v>
      </c>
      <c r="B169">
        <v>752</v>
      </c>
      <c r="C169">
        <v>200</v>
      </c>
      <c r="D169">
        <v>0.37937911525142798</v>
      </c>
      <c r="E169">
        <v>96.035358336676595</v>
      </c>
      <c r="F169">
        <v>2.2102972157865399</v>
      </c>
      <c r="G169">
        <v>-1561.8061090713495</v>
      </c>
      <c r="H169">
        <v>-1311.8182217924891</v>
      </c>
      <c r="I169">
        <v>243.85493564733</v>
      </c>
      <c r="J169">
        <v>128.84188597466201</v>
      </c>
      <c r="K169">
        <v>43.449069948948903</v>
      </c>
      <c r="L169">
        <v>1.4354487811396967E-4</v>
      </c>
      <c r="M169">
        <v>1.7265044153240754E-5</v>
      </c>
      <c r="N169" s="1">
        <v>2.8774476109935098E-6</v>
      </c>
      <c r="O169" s="1">
        <v>8.2561538398804605E-8</v>
      </c>
      <c r="P169" s="1">
        <v>-4.2347429787448702E-7</v>
      </c>
      <c r="Q169">
        <v>72.5359307368077</v>
      </c>
      <c r="R169">
        <v>9.9963181959970407E-2</v>
      </c>
      <c r="S169">
        <v>12.409542618588301</v>
      </c>
      <c r="T169">
        <v>0.2672163251279</v>
      </c>
      <c r="V169">
        <v>0.62155720525893299</v>
      </c>
      <c r="W169">
        <v>2.8114644926239999E-2</v>
      </c>
      <c r="X169">
        <v>0.124953977449974</v>
      </c>
      <c r="AA169">
        <v>0.68414252236871198</v>
      </c>
      <c r="AB169">
        <v>3.2532463857688501</v>
      </c>
      <c r="AC169">
        <v>4.7871253465503498</v>
      </c>
      <c r="AD169">
        <v>4.1651325816647697E-2</v>
      </c>
      <c r="AE169">
        <v>5.1465557293762796</v>
      </c>
    </row>
    <row r="170" spans="1:31" x14ac:dyDescent="0.2">
      <c r="A170">
        <v>169</v>
      </c>
      <c r="B170">
        <v>750</v>
      </c>
      <c r="C170">
        <v>200</v>
      </c>
      <c r="D170">
        <v>0.37802912573913899</v>
      </c>
      <c r="E170">
        <v>38.335135900058297</v>
      </c>
      <c r="F170">
        <v>2.2162775707640501</v>
      </c>
      <c r="G170">
        <v>-623.4258160570198</v>
      </c>
      <c r="H170">
        <v>-524.29177290111613</v>
      </c>
      <c r="I170">
        <v>96.8910161324375</v>
      </c>
      <c r="J170">
        <v>51.473149650953999</v>
      </c>
      <c r="K170">
        <v>17.297082461941901</v>
      </c>
      <c r="L170">
        <v>1.421970523400511E-4</v>
      </c>
      <c r="M170">
        <v>1.7169739969307994E-5</v>
      </c>
      <c r="N170" s="1">
        <v>1.1343512979452099E-6</v>
      </c>
      <c r="O170" s="1">
        <v>3.2452840404778597E-8</v>
      </c>
      <c r="P170" s="1">
        <v>-1.6531424003096701E-7</v>
      </c>
      <c r="Q170">
        <v>72.061420330663694</v>
      </c>
      <c r="R170">
        <v>0.144996015155688</v>
      </c>
      <c r="S170">
        <v>13.005963338029</v>
      </c>
      <c r="T170">
        <v>0.239210181586649</v>
      </c>
      <c r="V170">
        <v>0.56327504106398896</v>
      </c>
      <c r="W170">
        <v>7.0431470675845501E-2</v>
      </c>
      <c r="X170">
        <v>0.163871925987599</v>
      </c>
      <c r="AA170">
        <v>0.72806785866107504</v>
      </c>
      <c r="AB170">
        <v>2.9193276119472098</v>
      </c>
      <c r="AC170">
        <v>4.9279829826556201</v>
      </c>
      <c r="AD170">
        <v>0.104342919519703</v>
      </c>
      <c r="AE170">
        <v>5.0711103240538398</v>
      </c>
    </row>
    <row r="171" spans="1:31" x14ac:dyDescent="0.2">
      <c r="A171">
        <v>170</v>
      </c>
      <c r="B171">
        <v>748</v>
      </c>
      <c r="C171">
        <v>200</v>
      </c>
      <c r="D171">
        <v>0.37667384811242399</v>
      </c>
      <c r="E171">
        <v>24.0821523292501</v>
      </c>
      <c r="F171">
        <v>2.2211190016715898</v>
      </c>
      <c r="G171">
        <v>-391.656103916924</v>
      </c>
      <c r="H171">
        <v>-329.71966401591072</v>
      </c>
      <c r="I171">
        <v>60.653615924216197</v>
      </c>
      <c r="J171">
        <v>32.368244491990701</v>
      </c>
      <c r="K171">
        <v>10.8423512252725</v>
      </c>
      <c r="L171">
        <v>1.4142629780683621E-4</v>
      </c>
      <c r="M171">
        <v>1.7129330399063013E-5</v>
      </c>
      <c r="N171" s="1">
        <v>7.0821662534185605E-7</v>
      </c>
      <c r="O171" s="1">
        <v>2.0193213230679599E-8</v>
      </c>
      <c r="P171" s="1">
        <v>-1.0220455399945099E-7</v>
      </c>
      <c r="Q171">
        <v>71.581946139952393</v>
      </c>
      <c r="R171">
        <v>0.172114755611571</v>
      </c>
      <c r="S171">
        <v>13.602941772996299</v>
      </c>
      <c r="T171">
        <v>0.222578219820775</v>
      </c>
      <c r="V171">
        <v>0.53047122019344395</v>
      </c>
      <c r="W171">
        <v>0.112116224624984</v>
      </c>
      <c r="X171">
        <v>0.16776066888872801</v>
      </c>
      <c r="AA171">
        <v>0.75414334629317303</v>
      </c>
      <c r="AB171">
        <v>2.6646398833072298</v>
      </c>
      <c r="AC171">
        <v>4.99669917623683</v>
      </c>
      <c r="AD171">
        <v>0.16609811055538101</v>
      </c>
      <c r="AE171">
        <v>5.0284904815190403</v>
      </c>
    </row>
    <row r="172" spans="1:31" x14ac:dyDescent="0.2">
      <c r="A172">
        <v>171</v>
      </c>
      <c r="B172">
        <v>746</v>
      </c>
      <c r="C172">
        <v>200</v>
      </c>
      <c r="D172">
        <v>0.37531325123877901</v>
      </c>
      <c r="E172">
        <v>18.566114144497799</v>
      </c>
      <c r="F172">
        <v>2.22489561694145</v>
      </c>
      <c r="G172">
        <v>-301.95101843563913</v>
      </c>
      <c r="H172">
        <v>-254.42462941120021</v>
      </c>
      <c r="I172">
        <v>46.633360177048402</v>
      </c>
      <c r="J172">
        <v>24.977314558262702</v>
      </c>
      <c r="K172">
        <v>8.3447124454407309</v>
      </c>
      <c r="L172">
        <v>1.409581259967351E-4</v>
      </c>
      <c r="M172">
        <v>1.7107849853969693E-5</v>
      </c>
      <c r="N172" s="1">
        <v>5.4446837308656304E-7</v>
      </c>
      <c r="O172" s="1">
        <v>1.5468695903645201E-8</v>
      </c>
      <c r="P172" s="1">
        <v>-7.7925095250466205E-8</v>
      </c>
      <c r="Q172">
        <v>71.184966020539804</v>
      </c>
      <c r="R172">
        <v>0.18743709152211999</v>
      </c>
      <c r="S172">
        <v>14.0854959442277</v>
      </c>
      <c r="T172">
        <v>0.21172388885639501</v>
      </c>
      <c r="V172">
        <v>0.50898633340521804</v>
      </c>
      <c r="W172">
        <v>0.145426230765655</v>
      </c>
      <c r="X172">
        <v>0.169178205141092</v>
      </c>
      <c r="AA172">
        <v>0.77363654234290402</v>
      </c>
      <c r="AB172">
        <v>2.4808919705150498</v>
      </c>
      <c r="AC172">
        <v>5.0337596102094802</v>
      </c>
      <c r="AD172">
        <v>0.21544626780076201</v>
      </c>
      <c r="AE172">
        <v>5.0030518946736704</v>
      </c>
    </row>
    <row r="173" spans="1:31" x14ac:dyDescent="0.2">
      <c r="A173">
        <v>172</v>
      </c>
      <c r="B173">
        <v>744</v>
      </c>
      <c r="C173">
        <v>200</v>
      </c>
      <c r="D173">
        <v>0.373947303740848</v>
      </c>
      <c r="E173">
        <v>15.389287544169999</v>
      </c>
      <c r="F173">
        <v>2.2280177817931301</v>
      </c>
      <c r="G173">
        <v>-250.27984365657611</v>
      </c>
      <c r="H173">
        <v>-211.05203669510252</v>
      </c>
      <c r="I173">
        <v>38.566393316102399</v>
      </c>
      <c r="J173">
        <v>20.7225662483654</v>
      </c>
      <c r="K173">
        <v>6.9071654947855103</v>
      </c>
      <c r="L173">
        <v>1.4068846166498099E-4</v>
      </c>
      <c r="M173">
        <v>1.7102345834961861E-5</v>
      </c>
      <c r="N173" s="1">
        <v>4.5116549002422798E-7</v>
      </c>
      <c r="O173" s="1">
        <v>1.2769777847081301E-8</v>
      </c>
      <c r="P173" s="1">
        <v>-6.4086213194941894E-8</v>
      </c>
      <c r="Q173">
        <v>70.824280202443802</v>
      </c>
      <c r="R173">
        <v>0.179002758096271</v>
      </c>
      <c r="S173">
        <v>14.5213958691981</v>
      </c>
      <c r="T173">
        <v>0.20746678647965799</v>
      </c>
      <c r="V173">
        <v>0.50243581828636696</v>
      </c>
      <c r="W173">
        <v>0.174088241233779</v>
      </c>
      <c r="X173">
        <v>0.16596792708155</v>
      </c>
      <c r="AA173">
        <v>0.79209445786465904</v>
      </c>
      <c r="AB173">
        <v>2.33269830039207</v>
      </c>
      <c r="AC173">
        <v>5.05043080050255</v>
      </c>
      <c r="AD173">
        <v>0.25992106447507901</v>
      </c>
      <c r="AE173">
        <v>4.9902177739459903</v>
      </c>
    </row>
    <row r="174" spans="1:31" x14ac:dyDescent="0.2">
      <c r="A174">
        <v>173</v>
      </c>
      <c r="B174">
        <v>742</v>
      </c>
      <c r="C174">
        <v>200</v>
      </c>
      <c r="D174">
        <v>0.37257597399398801</v>
      </c>
      <c r="E174">
        <v>13.4011938819247</v>
      </c>
      <c r="F174">
        <v>2.2308025096200201</v>
      </c>
      <c r="G174">
        <v>-217.94327099546061</v>
      </c>
      <c r="H174">
        <v>-183.92003347443696</v>
      </c>
      <c r="I174">
        <v>33.515478028886001</v>
      </c>
      <c r="J174">
        <v>18.060616487043401</v>
      </c>
      <c r="K174">
        <v>6.0073421220094296</v>
      </c>
      <c r="L174">
        <v>1.404828472348622E-4</v>
      </c>
      <c r="M174">
        <v>1.7098065682105108E-5</v>
      </c>
      <c r="N174" s="1">
        <v>3.9299572861041498E-7</v>
      </c>
      <c r="O174" s="1">
        <v>1.10812961417479E-8</v>
      </c>
      <c r="P174" s="1">
        <v>-5.5440232768144302E-8</v>
      </c>
      <c r="Q174">
        <v>70.503896622165399</v>
      </c>
      <c r="R174">
        <v>0.17785619754099699</v>
      </c>
      <c r="S174">
        <v>14.902190891329401</v>
      </c>
      <c r="T174">
        <v>0.20223159949533301</v>
      </c>
      <c r="V174">
        <v>0.492499327292307</v>
      </c>
      <c r="W174">
        <v>0.199049925773333</v>
      </c>
      <c r="X174">
        <v>0.16423443742456301</v>
      </c>
      <c r="AA174">
        <v>0.80921865024697204</v>
      </c>
      <c r="AB174">
        <v>2.2099794294620998</v>
      </c>
      <c r="AC174">
        <v>5.05992487370614</v>
      </c>
      <c r="AD174">
        <v>0.298480869334246</v>
      </c>
      <c r="AE174">
        <v>4.9804371762291302</v>
      </c>
    </row>
    <row r="175" spans="1:31" x14ac:dyDescent="0.2">
      <c r="A175">
        <v>174</v>
      </c>
      <c r="B175">
        <v>740</v>
      </c>
      <c r="C175">
        <v>200</v>
      </c>
      <c r="D175">
        <v>0.37119923012387401</v>
      </c>
      <c r="E175">
        <v>11.9914706861796</v>
      </c>
      <c r="F175">
        <v>2.2333352910012101</v>
      </c>
      <c r="G175">
        <v>-195.01270843915501</v>
      </c>
      <c r="H175">
        <v>-164.68551244872481</v>
      </c>
      <c r="I175">
        <v>29.933569550836701</v>
      </c>
      <c r="J175">
        <v>16.173640278694101</v>
      </c>
      <c r="K175">
        <v>5.3693105260535399</v>
      </c>
      <c r="L175">
        <v>1.4033473155752331E-4</v>
      </c>
      <c r="M175">
        <v>1.7096607671428734E-5</v>
      </c>
      <c r="N175" s="1">
        <v>3.5198252596972398E-7</v>
      </c>
      <c r="O175" s="1">
        <v>9.8869731228255006E-9</v>
      </c>
      <c r="P175" s="1">
        <v>-4.9334620796899101E-8</v>
      </c>
      <c r="Q175">
        <v>70.207925919157304</v>
      </c>
      <c r="R175">
        <v>0.176481755645399</v>
      </c>
      <c r="S175">
        <v>15.2500962059386</v>
      </c>
      <c r="T175">
        <v>0.19752918585392801</v>
      </c>
      <c r="V175">
        <v>0.48323868528509201</v>
      </c>
      <c r="W175">
        <v>0.22156551066196001</v>
      </c>
      <c r="X175">
        <v>0.16248580962940001</v>
      </c>
      <c r="AA175">
        <v>0.82587166487217301</v>
      </c>
      <c r="AB175">
        <v>2.104121458357</v>
      </c>
      <c r="AC175">
        <v>5.0632372157551098</v>
      </c>
      <c r="AD175">
        <v>0.33357042723733099</v>
      </c>
      <c r="AE175">
        <v>4.9738761616066203</v>
      </c>
    </row>
    <row r="176" spans="1:31" x14ac:dyDescent="0.2">
      <c r="A176">
        <v>175</v>
      </c>
      <c r="B176">
        <v>738</v>
      </c>
      <c r="C176">
        <v>200</v>
      </c>
      <c r="D176">
        <v>0.36981704000395799</v>
      </c>
      <c r="E176">
        <v>10.926725130059699</v>
      </c>
      <c r="F176">
        <v>2.2356809865952298</v>
      </c>
      <c r="G176">
        <v>-177.6925359192729</v>
      </c>
      <c r="H176">
        <v>-150.16107289485879</v>
      </c>
      <c r="I176">
        <v>27.2278722488395</v>
      </c>
      <c r="J176">
        <v>14.748843204829701</v>
      </c>
      <c r="K176">
        <v>4.8874258874922303</v>
      </c>
      <c r="L176">
        <v>1.40229070191648E-4</v>
      </c>
      <c r="M176">
        <v>1.7097223763619198E-5</v>
      </c>
      <c r="N176" s="1">
        <v>3.2117995866892598E-7</v>
      </c>
      <c r="O176" s="1">
        <v>8.9870831886339095E-9</v>
      </c>
      <c r="P176" s="1">
        <v>-4.4741813909325399E-8</v>
      </c>
      <c r="Q176">
        <v>69.930277493133701</v>
      </c>
      <c r="R176">
        <v>0.17494464615365601</v>
      </c>
      <c r="S176">
        <v>15.5732578418281</v>
      </c>
      <c r="T176">
        <v>0.19322818325965199</v>
      </c>
      <c r="V176">
        <v>0.47449599310505097</v>
      </c>
      <c r="W176">
        <v>0.24225035840092199</v>
      </c>
      <c r="X176">
        <v>0.160726668039258</v>
      </c>
      <c r="AA176">
        <v>0.84226971762064595</v>
      </c>
      <c r="AB176">
        <v>2.0107813856960801</v>
      </c>
      <c r="AC176">
        <v>5.0619934646551696</v>
      </c>
      <c r="AD176">
        <v>0.36607491745064302</v>
      </c>
      <c r="AE176">
        <v>4.9696993306569199</v>
      </c>
    </row>
    <row r="177" spans="1:31" x14ac:dyDescent="0.2">
      <c r="A177">
        <v>176</v>
      </c>
      <c r="B177">
        <v>762</v>
      </c>
      <c r="C177">
        <v>190</v>
      </c>
      <c r="D177">
        <v>0.39667729314592298</v>
      </c>
      <c r="E177">
        <v>105.245363054482</v>
      </c>
      <c r="F177">
        <v>2.2040338505405401</v>
      </c>
      <c r="G177">
        <v>-1716.9586389829994</v>
      </c>
      <c r="H177">
        <v>-1439.1745946520532</v>
      </c>
      <c r="I177">
        <v>268.35148947586902</v>
      </c>
      <c r="J177">
        <v>141.273936891625</v>
      </c>
      <c r="K177">
        <v>47.751246210974202</v>
      </c>
      <c r="L177">
        <v>1.4288231501357465E-4</v>
      </c>
      <c r="M177">
        <v>1.7419369534221549E-5</v>
      </c>
      <c r="N177" s="1">
        <v>3.08810938852151E-6</v>
      </c>
      <c r="O177" s="1">
        <v>9.0793341303979204E-8</v>
      </c>
      <c r="P177" s="1">
        <v>-4.6062279728883499E-7</v>
      </c>
      <c r="Q177">
        <v>72.943831226345907</v>
      </c>
      <c r="R177">
        <v>9.1215420056371802E-2</v>
      </c>
      <c r="S177">
        <v>12.3140817076105</v>
      </c>
      <c r="T177">
        <v>0.240723968700918</v>
      </c>
      <c r="V177">
        <v>0.56996171629803605</v>
      </c>
      <c r="W177">
        <v>2.56543368908544E-2</v>
      </c>
      <c r="X177">
        <v>0.114019275070465</v>
      </c>
      <c r="AA177">
        <v>0.75062689421388995</v>
      </c>
      <c r="AB177">
        <v>3.3730702208345602</v>
      </c>
      <c r="AC177">
        <v>4.4562533340039598</v>
      </c>
      <c r="AD177">
        <v>3.80064250234875E-2</v>
      </c>
      <c r="AE177">
        <v>5.0825554749508397</v>
      </c>
    </row>
    <row r="178" spans="1:31" x14ac:dyDescent="0.2">
      <c r="A178">
        <v>177</v>
      </c>
      <c r="B178">
        <v>760</v>
      </c>
      <c r="C178">
        <v>190</v>
      </c>
      <c r="D178">
        <v>0.39537385665198899</v>
      </c>
      <c r="E178">
        <v>105.197310846519</v>
      </c>
      <c r="F178">
        <v>2.2047393834531102</v>
      </c>
      <c r="G178">
        <v>-1715.6168384227465</v>
      </c>
      <c r="H178">
        <v>-1438.7827808540919</v>
      </c>
      <c r="I178">
        <v>267.95146645564898</v>
      </c>
      <c r="J178">
        <v>141.18571917741201</v>
      </c>
      <c r="K178">
        <v>47.714170498354797</v>
      </c>
      <c r="L178">
        <v>1.4278681306460539E-4</v>
      </c>
      <c r="M178">
        <v>1.7402907410160114E-5</v>
      </c>
      <c r="N178" s="1">
        <v>3.09311547462735E-6</v>
      </c>
      <c r="O178" s="1">
        <v>9.0597789882205002E-8</v>
      </c>
      <c r="P178" s="1">
        <v>-4.60160383943135E-7</v>
      </c>
      <c r="Q178">
        <v>72.934822082234106</v>
      </c>
      <c r="R178">
        <v>9.1257085592294507E-2</v>
      </c>
      <c r="S178">
        <v>12.319706554961099</v>
      </c>
      <c r="T178">
        <v>0.24160645388669</v>
      </c>
      <c r="V178">
        <v>0.56952693619549399</v>
      </c>
      <c r="W178">
        <v>2.5666055322832299E-2</v>
      </c>
      <c r="X178">
        <v>0.11407135699037201</v>
      </c>
      <c r="AA178">
        <v>0.75096976685324901</v>
      </c>
      <c r="AB178">
        <v>3.37461097763167</v>
      </c>
      <c r="AC178">
        <v>4.4582888690400901</v>
      </c>
      <c r="AD178">
        <v>3.8023785663453602E-2</v>
      </c>
      <c r="AE178">
        <v>5.08145007562847</v>
      </c>
    </row>
    <row r="179" spans="1:31" x14ac:dyDescent="0.2">
      <c r="A179">
        <v>178</v>
      </c>
      <c r="B179">
        <v>758</v>
      </c>
      <c r="C179">
        <v>190</v>
      </c>
      <c r="D179">
        <v>0.39406536391407598</v>
      </c>
      <c r="E179">
        <v>102.494001628158</v>
      </c>
      <c r="F179">
        <v>2.20637153171374</v>
      </c>
      <c r="G179">
        <v>-1670.1644398844057</v>
      </c>
      <c r="H179">
        <v>-1401.4333949914922</v>
      </c>
      <c r="I179">
        <v>260.612951455087</v>
      </c>
      <c r="J179">
        <v>137.498561834974</v>
      </c>
      <c r="K179">
        <v>46.453645795796</v>
      </c>
      <c r="L179">
        <v>1.4245409546786181E-4</v>
      </c>
      <c r="M179">
        <v>1.7347822883842035E-5</v>
      </c>
      <c r="N179" s="1">
        <v>3.0077303572317498E-6</v>
      </c>
      <c r="O179" s="1">
        <v>8.7797897438385899E-8</v>
      </c>
      <c r="P179" s="1">
        <v>-4.4707073396243399E-7</v>
      </c>
      <c r="Q179">
        <v>72.861694924516499</v>
      </c>
      <c r="R179">
        <v>9.3664017869341296E-2</v>
      </c>
      <c r="S179">
        <v>12.344545218998199</v>
      </c>
      <c r="T179">
        <v>0.24889015112650401</v>
      </c>
      <c r="V179">
        <v>0.58372841681217003</v>
      </c>
      <c r="W179">
        <v>2.63430050257513E-2</v>
      </c>
      <c r="X179">
        <v>0.11708002233668301</v>
      </c>
      <c r="AA179">
        <v>0.72826448058594395</v>
      </c>
      <c r="AB179">
        <v>3.3420410540967098</v>
      </c>
      <c r="AC179">
        <v>4.5548137796552801</v>
      </c>
      <c r="AD179">
        <v>3.90266741122215E-2</v>
      </c>
      <c r="AE179">
        <v>5.0599082548646601</v>
      </c>
    </row>
    <row r="180" spans="1:31" x14ac:dyDescent="0.2">
      <c r="A180">
        <v>179</v>
      </c>
      <c r="B180">
        <v>756</v>
      </c>
      <c r="C180">
        <v>190</v>
      </c>
      <c r="D180">
        <v>0.39275178545401701</v>
      </c>
      <c r="E180">
        <v>98.950697643257797</v>
      </c>
      <c r="F180">
        <v>2.2083511460882499</v>
      </c>
      <c r="G180">
        <v>-1610.8244841744374</v>
      </c>
      <c r="H180">
        <v>-1352.4338313448161</v>
      </c>
      <c r="I180">
        <v>251.071906747919</v>
      </c>
      <c r="J180">
        <v>132.662560319601</v>
      </c>
      <c r="K180">
        <v>44.807501659567698</v>
      </c>
      <c r="L180">
        <v>1.4195884738832504E-4</v>
      </c>
      <c r="M180">
        <v>1.7276651947048276E-5</v>
      </c>
      <c r="N180" s="1">
        <v>2.8925171816313701E-6</v>
      </c>
      <c r="O180" s="1">
        <v>8.4162584307048805E-8</v>
      </c>
      <c r="P180" s="1">
        <v>-4.2966449431194301E-7</v>
      </c>
      <c r="Q180">
        <v>72.790253891644696</v>
      </c>
      <c r="R180">
        <v>9.7018012289418601E-2</v>
      </c>
      <c r="S180">
        <v>12.362794314553801</v>
      </c>
      <c r="T180">
        <v>0.25872188285491499</v>
      </c>
      <c r="V180">
        <v>0.60380384365961004</v>
      </c>
      <c r="W180">
        <v>2.7286315956397699E-2</v>
      </c>
      <c r="X180">
        <v>0.121272515361782</v>
      </c>
      <c r="AA180">
        <v>0.70016407929054003</v>
      </c>
      <c r="AB180">
        <v>3.2879778141021299</v>
      </c>
      <c r="AC180">
        <v>4.6814459812786904</v>
      </c>
      <c r="AD180">
        <v>4.0424171787251897E-2</v>
      </c>
      <c r="AE180">
        <v>5.0288371772206597</v>
      </c>
    </row>
    <row r="181" spans="1:31" x14ac:dyDescent="0.2">
      <c r="A181">
        <v>180</v>
      </c>
      <c r="B181">
        <v>754</v>
      </c>
      <c r="C181">
        <v>190</v>
      </c>
      <c r="D181">
        <v>0.391433091564035</v>
      </c>
      <c r="E181">
        <v>95.251494549202604</v>
      </c>
      <c r="F181">
        <v>2.2104871263052401</v>
      </c>
      <c r="G181">
        <v>-1548.998754273985</v>
      </c>
      <c r="H181">
        <v>-1301.3026917628501</v>
      </c>
      <c r="I181">
        <v>241.14887067238001</v>
      </c>
      <c r="J181">
        <v>127.62090952587199</v>
      </c>
      <c r="K181">
        <v>43.090725757092301</v>
      </c>
      <c r="L181">
        <v>1.4142511282831563E-4</v>
      </c>
      <c r="M181">
        <v>1.720190931941624E-5</v>
      </c>
      <c r="N181" s="1">
        <v>2.7722131551726099E-6</v>
      </c>
      <c r="O181" s="1">
        <v>8.0405645165532798E-8</v>
      </c>
      <c r="P181" s="1">
        <v>-4.1151320875298598E-7</v>
      </c>
      <c r="Q181">
        <v>72.714594143095198</v>
      </c>
      <c r="R181">
        <v>0.100785820164126</v>
      </c>
      <c r="S181">
        <v>12.382407474983699</v>
      </c>
      <c r="T181">
        <v>0.26969445292511801</v>
      </c>
      <c r="V181">
        <v>0.62642112317663801</v>
      </c>
      <c r="W181">
        <v>2.83460119211584E-2</v>
      </c>
      <c r="X181">
        <v>0.125982275205172</v>
      </c>
      <c r="AA181">
        <v>0.67614955223332096</v>
      </c>
      <c r="AB181">
        <v>3.2258557935386101</v>
      </c>
      <c r="AC181">
        <v>4.8123049209351603</v>
      </c>
      <c r="AD181">
        <v>4.1994091735044002E-2</v>
      </c>
      <c r="AE181">
        <v>4.9954643400866301</v>
      </c>
    </row>
    <row r="182" spans="1:31" x14ac:dyDescent="0.2">
      <c r="A182">
        <v>181</v>
      </c>
      <c r="B182">
        <v>752</v>
      </c>
      <c r="C182">
        <v>190</v>
      </c>
      <c r="D182">
        <v>0.39010925230454402</v>
      </c>
      <c r="E182">
        <v>38.950092804366101</v>
      </c>
      <c r="F182">
        <v>2.2163586649231601</v>
      </c>
      <c r="G182">
        <v>-633.41093530834951</v>
      </c>
      <c r="H182">
        <v>-532.78834134736314</v>
      </c>
      <c r="I182">
        <v>98.154020349203705</v>
      </c>
      <c r="J182">
        <v>52.228497543379298</v>
      </c>
      <c r="K182">
        <v>17.573912300749502</v>
      </c>
      <c r="L182">
        <v>1.4006823028272215E-4</v>
      </c>
      <c r="M182">
        <v>1.7103615600842429E-5</v>
      </c>
      <c r="N182" s="1">
        <v>1.11926520702713E-6</v>
      </c>
      <c r="O182" s="1">
        <v>3.2370783995220699E-8</v>
      </c>
      <c r="P182" s="1">
        <v>-1.6454442988341999E-7</v>
      </c>
      <c r="Q182">
        <v>72.252346814007694</v>
      </c>
      <c r="R182">
        <v>0.14474958776456401</v>
      </c>
      <c r="S182">
        <v>12.9635377919157</v>
      </c>
      <c r="T182">
        <v>0.23987954237224701</v>
      </c>
      <c r="V182">
        <v>0.56377263534647604</v>
      </c>
      <c r="W182">
        <v>6.9319475400499098E-2</v>
      </c>
      <c r="X182">
        <v>0.167390697675765</v>
      </c>
      <c r="AA182">
        <v>0.72641006579328704</v>
      </c>
      <c r="AB182">
        <v>2.88825504154401</v>
      </c>
      <c r="AC182">
        <v>4.9605863205880798</v>
      </c>
      <c r="AD182">
        <v>0.10269551911179201</v>
      </c>
      <c r="AE182">
        <v>4.9210565084797002</v>
      </c>
    </row>
    <row r="183" spans="1:31" x14ac:dyDescent="0.2">
      <c r="A183">
        <v>182</v>
      </c>
      <c r="B183">
        <v>750</v>
      </c>
      <c r="C183">
        <v>190</v>
      </c>
      <c r="D183">
        <v>0.38878023750183299</v>
      </c>
      <c r="E183">
        <v>24.440365634091201</v>
      </c>
      <c r="F183">
        <v>2.2211528779963499</v>
      </c>
      <c r="G183">
        <v>-397.46941486483303</v>
      </c>
      <c r="H183">
        <v>-334.67354290595387</v>
      </c>
      <c r="I183">
        <v>61.3750397877916</v>
      </c>
      <c r="J183">
        <v>32.805230173050298</v>
      </c>
      <c r="K183">
        <v>11.003459453965201</v>
      </c>
      <c r="L183">
        <v>1.3930419199791177E-4</v>
      </c>
      <c r="M183">
        <v>1.7062815423417333E-5</v>
      </c>
      <c r="N183" s="1">
        <v>6.9796840105350598E-7</v>
      </c>
      <c r="O183" s="1">
        <v>2.01189201760511E-8</v>
      </c>
      <c r="P183" s="1">
        <v>-1.0160561035406999E-7</v>
      </c>
      <c r="Q183">
        <v>71.775725771049196</v>
      </c>
      <c r="R183">
        <v>0.17263290326800301</v>
      </c>
      <c r="S183">
        <v>13.5541203836035</v>
      </c>
      <c r="T183">
        <v>0.22311308558013801</v>
      </c>
      <c r="V183">
        <v>0.53066594220685603</v>
      </c>
      <c r="W183">
        <v>0.11047297902258101</v>
      </c>
      <c r="X183">
        <v>0.171380720480652</v>
      </c>
      <c r="AA183">
        <v>0.75374451798360398</v>
      </c>
      <c r="AB183">
        <v>2.6332672700576198</v>
      </c>
      <c r="AC183">
        <v>5.0316944660152698</v>
      </c>
      <c r="AD183">
        <v>0.163663672625911</v>
      </c>
      <c r="AE183">
        <v>4.8795182881066204</v>
      </c>
    </row>
    <row r="184" spans="1:31" x14ac:dyDescent="0.2">
      <c r="A184">
        <v>183</v>
      </c>
      <c r="B184">
        <v>748</v>
      </c>
      <c r="C184">
        <v>190</v>
      </c>
      <c r="D184">
        <v>0.38744601674582602</v>
      </c>
      <c r="E184">
        <v>18.818832142416898</v>
      </c>
      <c r="F184">
        <v>2.2248863644058798</v>
      </c>
      <c r="G184">
        <v>-306.05103506855318</v>
      </c>
      <c r="H184">
        <v>-257.92386354456522</v>
      </c>
      <c r="I184">
        <v>47.130364318648503</v>
      </c>
      <c r="J184">
        <v>25.282944140937602</v>
      </c>
      <c r="K184">
        <v>8.4583340720154592</v>
      </c>
      <c r="L184">
        <v>1.3884260188259777E-4</v>
      </c>
      <c r="M184">
        <v>1.7041487278678607E-5</v>
      </c>
      <c r="N184" s="1">
        <v>5.3592908537193796E-7</v>
      </c>
      <c r="O184" s="1">
        <v>1.5393187186548301E-8</v>
      </c>
      <c r="P184" s="1">
        <v>-7.7370116676757694E-8</v>
      </c>
      <c r="Q184">
        <v>71.380668039016101</v>
      </c>
      <c r="R184">
        <v>0.18844747109693999</v>
      </c>
      <c r="S184">
        <v>14.0327996777919</v>
      </c>
      <c r="T184">
        <v>0.21217758119139099</v>
      </c>
      <c r="V184">
        <v>0.50901274618699999</v>
      </c>
      <c r="W184">
        <v>0.14347330267712799</v>
      </c>
      <c r="X184">
        <v>0.172867594676997</v>
      </c>
      <c r="AA184">
        <v>0.77325357939973505</v>
      </c>
      <c r="AB184">
        <v>2.45013923402486</v>
      </c>
      <c r="AC184">
        <v>5.0697018257650797</v>
      </c>
      <c r="AD184">
        <v>0.212553041002944</v>
      </c>
      <c r="AE184">
        <v>4.8549059071698402</v>
      </c>
    </row>
    <row r="185" spans="1:31" x14ac:dyDescent="0.2">
      <c r="A185">
        <v>184</v>
      </c>
      <c r="B185">
        <v>746</v>
      </c>
      <c r="C185">
        <v>190</v>
      </c>
      <c r="D185">
        <v>0.38610655938772698</v>
      </c>
      <c r="E185">
        <v>15.614946736250101</v>
      </c>
      <c r="F185">
        <v>2.2279928498399002</v>
      </c>
      <c r="G185">
        <v>-253.94237494972438</v>
      </c>
      <c r="H185">
        <v>-214.17736898474888</v>
      </c>
      <c r="I185">
        <v>39.017814811338397</v>
      </c>
      <c r="J185">
        <v>20.997495896470198</v>
      </c>
      <c r="K185">
        <v>7.0085264130771998</v>
      </c>
      <c r="L185">
        <v>1.3856230438092664E-4</v>
      </c>
      <c r="M185">
        <v>1.7034311037067599E-5</v>
      </c>
      <c r="N185" s="1">
        <v>4.4446317709740898E-7</v>
      </c>
      <c r="O185" s="1">
        <v>1.27186248733811E-8</v>
      </c>
      <c r="P185" s="1">
        <v>-6.3681936425474701E-8</v>
      </c>
      <c r="Q185">
        <v>71.024792811984497</v>
      </c>
      <c r="R185">
        <v>0.18466964681419801</v>
      </c>
      <c r="S185">
        <v>14.4614749981254</v>
      </c>
      <c r="T185">
        <v>0.20684833648006701</v>
      </c>
      <c r="V185">
        <v>0.49979700189100701</v>
      </c>
      <c r="W185">
        <v>0.171871771120537</v>
      </c>
      <c r="X185">
        <v>0.170581434962714</v>
      </c>
      <c r="AA185">
        <v>0.791186048512036</v>
      </c>
      <c r="AB185">
        <v>2.3029881651693</v>
      </c>
      <c r="AC185">
        <v>5.0881139148092398</v>
      </c>
      <c r="AD185">
        <v>0.25616481871874802</v>
      </c>
      <c r="AE185">
        <v>4.8415110514120396</v>
      </c>
    </row>
    <row r="186" spans="1:31" x14ac:dyDescent="0.2">
      <c r="A186">
        <v>185</v>
      </c>
      <c r="B186">
        <v>744</v>
      </c>
      <c r="C186">
        <v>190</v>
      </c>
      <c r="D186">
        <v>0.38476183453767998</v>
      </c>
      <c r="E186">
        <v>13.5847909067052</v>
      </c>
      <c r="F186">
        <v>2.2307458316209599</v>
      </c>
      <c r="G186">
        <v>-220.92248841898424</v>
      </c>
      <c r="H186">
        <v>-186.46550336702586</v>
      </c>
      <c r="I186">
        <v>33.876011455496503</v>
      </c>
      <c r="J186">
        <v>18.282798954437801</v>
      </c>
      <c r="K186">
        <v>6.0897977322830901</v>
      </c>
      <c r="L186">
        <v>1.383583483127661E-4</v>
      </c>
      <c r="M186">
        <v>1.7030227618351309E-5</v>
      </c>
      <c r="N186" s="1">
        <v>3.8679537263328401E-7</v>
      </c>
      <c r="O186" s="1">
        <v>1.1026799002688E-8</v>
      </c>
      <c r="P186" s="1">
        <v>-5.50363276881384E-8</v>
      </c>
      <c r="Q186">
        <v>70.706009651122997</v>
      </c>
      <c r="R186">
        <v>0.18347516847089201</v>
      </c>
      <c r="S186">
        <v>14.8401516253045</v>
      </c>
      <c r="T186">
        <v>0.20163006822481799</v>
      </c>
      <c r="V186">
        <v>0.48991371283368901</v>
      </c>
      <c r="W186">
        <v>0.19669333711953399</v>
      </c>
      <c r="X186">
        <v>0.16884149156187001</v>
      </c>
      <c r="AA186">
        <v>0.80791477463880901</v>
      </c>
      <c r="AB186">
        <v>2.18090870517254</v>
      </c>
      <c r="AC186">
        <v>5.0979173709819703</v>
      </c>
      <c r="AD186">
        <v>0.294446931680025</v>
      </c>
      <c r="AE186">
        <v>4.8320971628882603</v>
      </c>
    </row>
    <row r="187" spans="1:31" x14ac:dyDescent="0.2">
      <c r="A187">
        <v>186</v>
      </c>
      <c r="B187">
        <v>742</v>
      </c>
      <c r="C187">
        <v>190</v>
      </c>
      <c r="D187">
        <v>0.38341181106240502</v>
      </c>
      <c r="E187">
        <v>12.1483661045455</v>
      </c>
      <c r="F187">
        <v>2.2332484460426598</v>
      </c>
      <c r="G187">
        <v>-197.55821257690357</v>
      </c>
      <c r="H187">
        <v>-166.86260209357425</v>
      </c>
      <c r="I187">
        <v>30.2375121738948</v>
      </c>
      <c r="J187">
        <v>16.3625944023618</v>
      </c>
      <c r="K187">
        <v>5.4397736741170002</v>
      </c>
      <c r="L187">
        <v>1.3821094202768187E-4</v>
      </c>
      <c r="M187">
        <v>1.702893928545594E-5</v>
      </c>
      <c r="N187" s="1">
        <v>3.4622279225295702E-7</v>
      </c>
      <c r="O187" s="1">
        <v>9.8326739764063801E-9</v>
      </c>
      <c r="P187" s="1">
        <v>-4.8943881585485303E-8</v>
      </c>
      <c r="Q187">
        <v>70.411814873913798</v>
      </c>
      <c r="R187">
        <v>0.182046420782735</v>
      </c>
      <c r="S187">
        <v>15.185958366055401</v>
      </c>
      <c r="T187">
        <v>0.196944948910906</v>
      </c>
      <c r="V187">
        <v>0.480706922663244</v>
      </c>
      <c r="W187">
        <v>0.219065886936609</v>
      </c>
      <c r="X187">
        <v>0.167086219179928</v>
      </c>
      <c r="AA187">
        <v>0.82413465735924896</v>
      </c>
      <c r="AB187">
        <v>2.0757683409965599</v>
      </c>
      <c r="AC187">
        <v>5.10141421955616</v>
      </c>
      <c r="AD187">
        <v>0.32926238521048101</v>
      </c>
      <c r="AE187">
        <v>4.8257967584347901</v>
      </c>
    </row>
    <row r="188" spans="1:31" x14ac:dyDescent="0.2">
      <c r="A188">
        <v>187</v>
      </c>
      <c r="B188">
        <v>740</v>
      </c>
      <c r="C188">
        <v>190</v>
      </c>
      <c r="D188">
        <v>0.382056457582788</v>
      </c>
      <c r="E188">
        <v>11.065132903051699</v>
      </c>
      <c r="F188">
        <v>2.2355656673016102</v>
      </c>
      <c r="G188">
        <v>-179.93777240352102</v>
      </c>
      <c r="H188">
        <v>-152.08296310096935</v>
      </c>
      <c r="I188">
        <v>27.493272765682899</v>
      </c>
      <c r="J188">
        <v>14.914941460414401</v>
      </c>
      <c r="K188">
        <v>4.9495897458505898</v>
      </c>
      <c r="L188">
        <v>1.3810507992593072E-4</v>
      </c>
      <c r="M188">
        <v>1.7029687736332929E-5</v>
      </c>
      <c r="N188" s="1">
        <v>3.1579674695189802E-7</v>
      </c>
      <c r="O188" s="1">
        <v>8.9342862864989097E-9</v>
      </c>
      <c r="P188" s="1">
        <v>-4.4367729859483902E-8</v>
      </c>
      <c r="Q188">
        <v>70.136059607201503</v>
      </c>
      <c r="R188">
        <v>0.18045162970424</v>
      </c>
      <c r="S188">
        <v>15.507058188564301</v>
      </c>
      <c r="T188">
        <v>0.19266048944828301</v>
      </c>
      <c r="V188">
        <v>0.47201648956551401</v>
      </c>
      <c r="W188">
        <v>0.23960582929622801</v>
      </c>
      <c r="X188">
        <v>0.165320330366688</v>
      </c>
      <c r="AA188">
        <v>0.84008846075771004</v>
      </c>
      <c r="AB188">
        <v>1.98316399993135</v>
      </c>
      <c r="AC188">
        <v>5.1002884710037799</v>
      </c>
      <c r="AD188">
        <v>0.36149588396620902</v>
      </c>
      <c r="AE188">
        <v>4.8217906201940304</v>
      </c>
    </row>
    <row r="189" spans="1:31" x14ac:dyDescent="0.2">
      <c r="A189">
        <v>188</v>
      </c>
      <c r="B189">
        <v>764</v>
      </c>
      <c r="C189">
        <v>180</v>
      </c>
      <c r="D189">
        <v>0.40858169020874802</v>
      </c>
      <c r="E189">
        <v>105.085224817753</v>
      </c>
      <c r="F189">
        <v>2.2043554577321198</v>
      </c>
      <c r="G189">
        <v>-1714.4633080044935</v>
      </c>
      <c r="H189">
        <v>-1437.2866509668768</v>
      </c>
      <c r="I189">
        <v>267.24837973062398</v>
      </c>
      <c r="J189">
        <v>140.924624865585</v>
      </c>
      <c r="K189">
        <v>47.671633197427397</v>
      </c>
      <c r="L189">
        <v>1.4090969768999279E-4</v>
      </c>
      <c r="M189">
        <v>1.7357422094693663E-5</v>
      </c>
      <c r="N189" s="1">
        <v>2.99785712891174E-6</v>
      </c>
      <c r="O189" s="1">
        <v>8.9073345008870699E-8</v>
      </c>
      <c r="P189" s="1">
        <v>-4.5104998602688499E-7</v>
      </c>
      <c r="Q189">
        <v>73.054989541267901</v>
      </c>
      <c r="R189">
        <v>9.1354422247743094E-2</v>
      </c>
      <c r="S189">
        <v>12.332847003445901</v>
      </c>
      <c r="T189">
        <v>0.241511025329082</v>
      </c>
      <c r="V189">
        <v>0.57045215622544698</v>
      </c>
      <c r="W189">
        <v>2.5693431257177501E-2</v>
      </c>
      <c r="X189">
        <v>0.11419302780968001</v>
      </c>
      <c r="AA189">
        <v>0.75177076641371599</v>
      </c>
      <c r="AB189">
        <v>3.3782104060363101</v>
      </c>
      <c r="AC189">
        <v>4.46304417022822</v>
      </c>
      <c r="AD189">
        <v>3.80643426032252E-2</v>
      </c>
      <c r="AE189">
        <v>4.9378697071354498</v>
      </c>
    </row>
    <row r="190" spans="1:31" x14ac:dyDescent="0.2">
      <c r="A190">
        <v>189</v>
      </c>
      <c r="B190">
        <v>762</v>
      </c>
      <c r="C190">
        <v>180</v>
      </c>
      <c r="D190">
        <v>0.40730377240013699</v>
      </c>
      <c r="E190">
        <v>104.740263399452</v>
      </c>
      <c r="F190">
        <v>2.2050436456040101</v>
      </c>
      <c r="G190">
        <v>-1708.1795839460231</v>
      </c>
      <c r="H190">
        <v>-1432.8124546460194</v>
      </c>
      <c r="I190">
        <v>266.01664425445898</v>
      </c>
      <c r="J190">
        <v>140.39873181834699</v>
      </c>
      <c r="K190">
        <v>47.500313024761397</v>
      </c>
      <c r="L190">
        <v>1.4063569428062099E-4</v>
      </c>
      <c r="M190">
        <v>1.733237006736625E-5</v>
      </c>
      <c r="N190" s="1">
        <v>2.9903671570708001E-6</v>
      </c>
      <c r="O190" s="1">
        <v>8.8527309412186606E-8</v>
      </c>
      <c r="P190" s="1">
        <v>-4.4850603764005802E-7</v>
      </c>
      <c r="Q190">
        <v>73.098960158182393</v>
      </c>
      <c r="R190">
        <v>9.1655297479901796E-2</v>
      </c>
      <c r="S190">
        <v>12.3059091613245</v>
      </c>
      <c r="T190">
        <v>0.242989625193541</v>
      </c>
      <c r="V190">
        <v>0.57171619973589005</v>
      </c>
      <c r="W190">
        <v>2.57780524162219E-2</v>
      </c>
      <c r="X190">
        <v>0.11456912184988</v>
      </c>
      <c r="AA190">
        <v>0.74439454471617506</v>
      </c>
      <c r="AB190">
        <v>3.3620550932415201</v>
      </c>
      <c r="AC190">
        <v>4.4733429300544501</v>
      </c>
      <c r="AD190">
        <v>3.8189707283290401E-2</v>
      </c>
      <c r="AE190">
        <v>4.9304401085220304</v>
      </c>
    </row>
    <row r="191" spans="1:31" x14ac:dyDescent="0.2">
      <c r="A191">
        <v>190</v>
      </c>
      <c r="B191">
        <v>760</v>
      </c>
      <c r="C191">
        <v>180</v>
      </c>
      <c r="D191">
        <v>0.40602090693510101</v>
      </c>
      <c r="E191">
        <v>101.43538397364</v>
      </c>
      <c r="F191">
        <v>2.2068300443539202</v>
      </c>
      <c r="G191">
        <v>-1652.7423774643166</v>
      </c>
      <c r="H191">
        <v>-1387.1087186472364</v>
      </c>
      <c r="I191">
        <v>257.11044748301703</v>
      </c>
      <c r="J191">
        <v>135.88704725125601</v>
      </c>
      <c r="K191">
        <v>45.964293549998601</v>
      </c>
      <c r="L191">
        <v>1.4018906072642192E-4</v>
      </c>
      <c r="M191">
        <v>1.7267096185180561E-5</v>
      </c>
      <c r="N191" s="1">
        <v>2.8865340026692099E-6</v>
      </c>
      <c r="O191" s="1">
        <v>8.5175708315552801E-8</v>
      </c>
      <c r="P191" s="1">
        <v>-4.3259699957888801E-7</v>
      </c>
      <c r="Q191">
        <v>73.038222248494094</v>
      </c>
      <c r="R191">
        <v>9.46415306368322E-2</v>
      </c>
      <c r="S191">
        <v>12.319007895738499</v>
      </c>
      <c r="T191">
        <v>0.25179121823019102</v>
      </c>
      <c r="V191">
        <v>0.589547281893958</v>
      </c>
      <c r="W191">
        <v>2.6617930491607902E-2</v>
      </c>
      <c r="X191">
        <v>0.118301913296049</v>
      </c>
      <c r="AA191">
        <v>0.71545790227075601</v>
      </c>
      <c r="AB191">
        <v>3.3134976659506701</v>
      </c>
      <c r="AC191">
        <v>4.5904025249798304</v>
      </c>
      <c r="AD191">
        <v>3.9433971098674803E-2</v>
      </c>
      <c r="AE191">
        <v>4.9030779169187397</v>
      </c>
    </row>
    <row r="192" spans="1:31" x14ac:dyDescent="0.2">
      <c r="A192">
        <v>191</v>
      </c>
      <c r="B192">
        <v>758</v>
      </c>
      <c r="C192">
        <v>180</v>
      </c>
      <c r="D192">
        <v>0.40473306502448703</v>
      </c>
      <c r="E192">
        <v>97.891600087676494</v>
      </c>
      <c r="F192">
        <v>2.2088063007045502</v>
      </c>
      <c r="G192">
        <v>-1593.4188207663444</v>
      </c>
      <c r="H192">
        <v>-1338.0991132493027</v>
      </c>
      <c r="I192">
        <v>247.60675703538899</v>
      </c>
      <c r="J192">
        <v>131.05973160817899</v>
      </c>
      <c r="K192">
        <v>44.3187798117252</v>
      </c>
      <c r="L192">
        <v>1.397117826480653E-4</v>
      </c>
      <c r="M192">
        <v>1.7197008629809925E-5</v>
      </c>
      <c r="N192" s="1">
        <v>2.7749671916094599E-6</v>
      </c>
      <c r="O192" s="1">
        <v>8.1621863294092096E-8</v>
      </c>
      <c r="P192" s="1">
        <v>-4.15618878908079E-7</v>
      </c>
      <c r="Q192">
        <v>72.964634642932296</v>
      </c>
      <c r="R192">
        <v>9.8067658424236898E-2</v>
      </c>
      <c r="S192">
        <v>12.337707045168401</v>
      </c>
      <c r="T192">
        <v>0.26181908583379898</v>
      </c>
      <c r="V192">
        <v>0.61006824317038899</v>
      </c>
      <c r="W192">
        <v>2.7581528931814599E-2</v>
      </c>
      <c r="X192">
        <v>0.122584573030314</v>
      </c>
      <c r="AA192">
        <v>0.68925703713308795</v>
      </c>
      <c r="AB192">
        <v>3.25737306174373</v>
      </c>
      <c r="AC192">
        <v>4.7169711549697997</v>
      </c>
      <c r="AD192">
        <v>4.0861524343421697E-2</v>
      </c>
      <c r="AE192">
        <v>4.8730744443185596</v>
      </c>
    </row>
    <row r="193" spans="1:31" x14ac:dyDescent="0.2">
      <c r="A193">
        <v>192</v>
      </c>
      <c r="B193">
        <v>756</v>
      </c>
      <c r="C193">
        <v>180</v>
      </c>
      <c r="D193">
        <v>0.40344021765534699</v>
      </c>
      <c r="E193">
        <v>94.172150650167495</v>
      </c>
      <c r="F193">
        <v>2.2109415394134699</v>
      </c>
      <c r="G193">
        <v>-1531.2876835890659</v>
      </c>
      <c r="H193">
        <v>-1286.6862809941128</v>
      </c>
      <c r="I193">
        <v>237.67322799878801</v>
      </c>
      <c r="J193">
        <v>126.00083857395001</v>
      </c>
      <c r="K193">
        <v>42.593686432410102</v>
      </c>
      <c r="L193">
        <v>1.3919844637638878E-4</v>
      </c>
      <c r="M193">
        <v>1.7123507247764369E-5</v>
      </c>
      <c r="N193" s="1">
        <v>2.65795266781098E-6</v>
      </c>
      <c r="O193" s="1">
        <v>7.7933493236200897E-8</v>
      </c>
      <c r="P193" s="1">
        <v>-3.9783357536029002E-7</v>
      </c>
      <c r="Q193">
        <v>72.886319554396593</v>
      </c>
      <c r="R193">
        <v>0.10194096591955901</v>
      </c>
      <c r="S193">
        <v>12.357886773556</v>
      </c>
      <c r="T193">
        <v>0.27307554409571799</v>
      </c>
      <c r="V193">
        <v>0.63333982011970802</v>
      </c>
      <c r="W193">
        <v>2.8670896664873501E-2</v>
      </c>
      <c r="X193">
        <v>0.127426207399471</v>
      </c>
      <c r="AA193">
        <v>0.66722468657007195</v>
      </c>
      <c r="AB193">
        <v>3.19318184840454</v>
      </c>
      <c r="AC193">
        <v>4.8475522232196004</v>
      </c>
      <c r="AD193">
        <v>4.2475402466470101E-2</v>
      </c>
      <c r="AE193">
        <v>4.8409060771872596</v>
      </c>
    </row>
    <row r="194" spans="1:31" x14ac:dyDescent="0.2">
      <c r="A194">
        <v>193</v>
      </c>
      <c r="B194">
        <v>754</v>
      </c>
      <c r="C194">
        <v>180</v>
      </c>
      <c r="D194">
        <v>0.402142335588766</v>
      </c>
      <c r="E194">
        <v>37.858275864400198</v>
      </c>
      <c r="F194">
        <v>2.2169131895645302</v>
      </c>
      <c r="G194">
        <v>-615.64873271380054</v>
      </c>
      <c r="H194">
        <v>-517.97139883078808</v>
      </c>
      <c r="I194">
        <v>95.095491294370404</v>
      </c>
      <c r="J194">
        <v>50.6995359845751</v>
      </c>
      <c r="K194">
        <v>17.077022249949501</v>
      </c>
      <c r="L194">
        <v>1.3781160740457599E-4</v>
      </c>
      <c r="M194">
        <v>1.702427248392464E-5</v>
      </c>
      <c r="N194" s="1">
        <v>1.05453123233036E-6</v>
      </c>
      <c r="O194" s="1">
        <v>3.0833322201547697E-8</v>
      </c>
      <c r="P194" s="1">
        <v>-1.56227515449675E-7</v>
      </c>
      <c r="Q194">
        <v>72.405919107658306</v>
      </c>
      <c r="R194">
        <v>0.147213728335887</v>
      </c>
      <c r="S194">
        <v>12.966584781138501</v>
      </c>
      <c r="T194">
        <v>0.23921946828913199</v>
      </c>
      <c r="V194">
        <v>0.56182818777342802</v>
      </c>
      <c r="W194">
        <v>7.1318620258093698E-2</v>
      </c>
      <c r="X194">
        <v>0.17146103861031001</v>
      </c>
      <c r="AA194">
        <v>0.72748486585113603</v>
      </c>
      <c r="AB194">
        <v>2.8365103120246098</v>
      </c>
      <c r="AC194">
        <v>5.00014409960498</v>
      </c>
      <c r="AD194">
        <v>0.105657215197104</v>
      </c>
      <c r="AE194">
        <v>4.7666585752583597</v>
      </c>
    </row>
    <row r="195" spans="1:31" x14ac:dyDescent="0.2">
      <c r="A195">
        <v>194</v>
      </c>
      <c r="B195">
        <v>752</v>
      </c>
      <c r="C195">
        <v>180</v>
      </c>
      <c r="D195">
        <v>0.40083938935765601</v>
      </c>
      <c r="E195">
        <v>24.284750118968802</v>
      </c>
      <c r="F195">
        <v>2.2215515665944001</v>
      </c>
      <c r="G195">
        <v>-394.93057177599349</v>
      </c>
      <c r="H195">
        <v>-332.60734145045257</v>
      </c>
      <c r="I195">
        <v>60.794254816896</v>
      </c>
      <c r="J195">
        <v>32.554187363290701</v>
      </c>
      <c r="K195">
        <v>10.9314366068021</v>
      </c>
      <c r="L195">
        <v>1.370874917450099E-4</v>
      </c>
      <c r="M195">
        <v>1.6985370285636579E-5</v>
      </c>
      <c r="N195" s="1">
        <v>6.72480431700676E-7</v>
      </c>
      <c r="O195" s="1">
        <v>1.9597159035399099E-8</v>
      </c>
      <c r="P195" s="1">
        <v>-9.8664264074941697E-8</v>
      </c>
      <c r="Q195">
        <v>71.939803573253997</v>
      </c>
      <c r="R195">
        <v>0.17450938676049299</v>
      </c>
      <c r="S195">
        <v>13.540242283283099</v>
      </c>
      <c r="T195">
        <v>0.222957394519543</v>
      </c>
      <c r="V195">
        <v>0.52969502862580597</v>
      </c>
      <c r="W195">
        <v>0.111180884578677</v>
      </c>
      <c r="X195">
        <v>0.17526139014257899</v>
      </c>
      <c r="AA195">
        <v>0.75496527180245399</v>
      </c>
      <c r="AB195">
        <v>2.5885793467284999</v>
      </c>
      <c r="AC195">
        <v>5.0700958709344199</v>
      </c>
      <c r="AD195">
        <v>0.16471242159788901</v>
      </c>
      <c r="AE195">
        <v>4.7279971477724398</v>
      </c>
    </row>
    <row r="196" spans="1:31" x14ac:dyDescent="0.2">
      <c r="A196">
        <v>195</v>
      </c>
      <c r="B196">
        <v>750</v>
      </c>
      <c r="C196">
        <v>180</v>
      </c>
      <c r="D196">
        <v>0.39953134926452799</v>
      </c>
      <c r="E196">
        <v>18.820257342453701</v>
      </c>
      <c r="F196">
        <v>2.2251914623794198</v>
      </c>
      <c r="G196">
        <v>-306.06696591629537</v>
      </c>
      <c r="H196">
        <v>-257.98933955220997</v>
      </c>
      <c r="I196">
        <v>46.989812211391602</v>
      </c>
      <c r="J196">
        <v>25.251930578061302</v>
      </c>
      <c r="K196">
        <v>8.4578148265628297</v>
      </c>
      <c r="L196">
        <v>1.3664605891328826E-4</v>
      </c>
      <c r="M196">
        <v>1.6965050249663067E-5</v>
      </c>
      <c r="N196" s="1">
        <v>5.1979293730795798E-7</v>
      </c>
      <c r="O196" s="1">
        <v>1.5093933250380399E-8</v>
      </c>
      <c r="P196" s="1">
        <v>-7.5632440540489202E-8</v>
      </c>
      <c r="Q196">
        <v>71.550886421715305</v>
      </c>
      <c r="R196">
        <v>0.19035560901458401</v>
      </c>
      <c r="S196">
        <v>14.0093907312721</v>
      </c>
      <c r="T196">
        <v>0.212166780852166</v>
      </c>
      <c r="V196">
        <v>0.50829609624245997</v>
      </c>
      <c r="W196">
        <v>0.14346243788645499</v>
      </c>
      <c r="X196">
        <v>0.17672234315775501</v>
      </c>
      <c r="AA196">
        <v>0.774231324049791</v>
      </c>
      <c r="AB196">
        <v>2.4093544229397001</v>
      </c>
      <c r="AC196">
        <v>5.10765786654341</v>
      </c>
      <c r="AD196">
        <v>0.21253694501672399</v>
      </c>
      <c r="AE196">
        <v>4.7049390213095004</v>
      </c>
    </row>
    <row r="197" spans="1:31" x14ac:dyDescent="0.2">
      <c r="A197">
        <v>196</v>
      </c>
      <c r="B197">
        <v>748</v>
      </c>
      <c r="C197">
        <v>180</v>
      </c>
      <c r="D197">
        <v>0.39821818537923098</v>
      </c>
      <c r="E197">
        <v>15.689801703129801</v>
      </c>
      <c r="F197">
        <v>2.22824771217992</v>
      </c>
      <c r="G197">
        <v>-255.15418522690271</v>
      </c>
      <c r="H197">
        <v>-215.24157641912734</v>
      </c>
      <c r="I197">
        <v>39.085941152402</v>
      </c>
      <c r="J197">
        <v>21.070234159513401</v>
      </c>
      <c r="K197">
        <v>7.0413184393131401</v>
      </c>
      <c r="L197">
        <v>1.3636616546919853E-4</v>
      </c>
      <c r="M197">
        <v>1.6956947888451861E-5</v>
      </c>
      <c r="N197" s="1">
        <v>4.3308176364052499E-7</v>
      </c>
      <c r="O197" s="1">
        <v>1.25296357970112E-8</v>
      </c>
      <c r="P197" s="1">
        <v>-6.2542093301292397E-8</v>
      </c>
      <c r="Q197">
        <v>71.202182008400698</v>
      </c>
      <c r="R197">
        <v>0.19062413400261999</v>
      </c>
      <c r="S197">
        <v>14.427462029689799</v>
      </c>
      <c r="T197">
        <v>0.206004618100671</v>
      </c>
      <c r="V197">
        <v>0.49693897068144</v>
      </c>
      <c r="W197">
        <v>0.17132294714084101</v>
      </c>
      <c r="X197">
        <v>0.17522088135328501</v>
      </c>
      <c r="AA197">
        <v>0.79156311062535001</v>
      </c>
      <c r="AB197">
        <v>2.2652691101518601</v>
      </c>
      <c r="AC197">
        <v>5.1268603215718196</v>
      </c>
      <c r="AD197">
        <v>0.25494267395319797</v>
      </c>
      <c r="AE197">
        <v>4.6916091943283504</v>
      </c>
    </row>
    <row r="198" spans="1:31" x14ac:dyDescent="0.2">
      <c r="A198">
        <v>197</v>
      </c>
      <c r="B198">
        <v>746</v>
      </c>
      <c r="C198">
        <v>180</v>
      </c>
      <c r="D198">
        <v>0.396899867536674</v>
      </c>
      <c r="E198">
        <v>13.667096993293701</v>
      </c>
      <c r="F198">
        <v>2.2309479183568999</v>
      </c>
      <c r="G198">
        <v>-222.25592650369907</v>
      </c>
      <c r="H198">
        <v>-187.62645508739379</v>
      </c>
      <c r="I198">
        <v>33.978777821032502</v>
      </c>
      <c r="J198">
        <v>18.369109872785</v>
      </c>
      <c r="K198">
        <v>6.1261389747545199</v>
      </c>
      <c r="L198">
        <v>1.3616882596193555E-4</v>
      </c>
      <c r="M198">
        <v>1.6953337051040651E-5</v>
      </c>
      <c r="N198" s="1">
        <v>3.7739144903775002E-7</v>
      </c>
      <c r="O198" s="1">
        <v>1.0877556898653E-8</v>
      </c>
      <c r="P198" s="1">
        <v>-5.412202276987E-8</v>
      </c>
      <c r="Q198">
        <v>70.886987554116601</v>
      </c>
      <c r="R198">
        <v>0.18935892502447599</v>
      </c>
      <c r="S198">
        <v>14.801385661378101</v>
      </c>
      <c r="T198">
        <v>0.200841435315365</v>
      </c>
      <c r="V198">
        <v>0.48715290153519297</v>
      </c>
      <c r="W198">
        <v>0.19581487064803299</v>
      </c>
      <c r="X198">
        <v>0.17347203650076301</v>
      </c>
      <c r="AA198">
        <v>0.80784257372398605</v>
      </c>
      <c r="AB198">
        <v>2.1451440496330498</v>
      </c>
      <c r="AC198">
        <v>5.1365050813313102</v>
      </c>
      <c r="AD198">
        <v>0.29267371131949799</v>
      </c>
      <c r="AE198">
        <v>4.6828211994734401</v>
      </c>
    </row>
    <row r="199" spans="1:31" x14ac:dyDescent="0.2">
      <c r="A199">
        <v>198</v>
      </c>
      <c r="B199">
        <v>744</v>
      </c>
      <c r="C199">
        <v>180</v>
      </c>
      <c r="D199">
        <v>0.39557636533451601</v>
      </c>
      <c r="E199">
        <v>12.231800957376</v>
      </c>
      <c r="F199">
        <v>2.2334047549321299</v>
      </c>
      <c r="G199">
        <v>-198.91034452132567</v>
      </c>
      <c r="H199">
        <v>-168.03548929434621</v>
      </c>
      <c r="I199">
        <v>30.354279336360801</v>
      </c>
      <c r="J199">
        <v>16.452959813608398</v>
      </c>
      <c r="K199">
        <v>5.4767506563080097</v>
      </c>
      <c r="L199">
        <v>1.3602584147991861E-4</v>
      </c>
      <c r="M199">
        <v>1.6952430306338823E-5</v>
      </c>
      <c r="N199" s="1">
        <v>3.3809529837385602E-7</v>
      </c>
      <c r="O199" s="1">
        <v>9.7080777106612794E-9</v>
      </c>
      <c r="P199" s="1">
        <v>-4.81710070992232E-8</v>
      </c>
      <c r="Q199">
        <v>70.5960331066034</v>
      </c>
      <c r="R199">
        <v>0.18785850469159701</v>
      </c>
      <c r="S199">
        <v>15.1431490782781</v>
      </c>
      <c r="T199">
        <v>0.19620105846796099</v>
      </c>
      <c r="V199">
        <v>0.478031350372502</v>
      </c>
      <c r="W199">
        <v>0.21790659134241899</v>
      </c>
      <c r="X199">
        <v>0.17170825847106899</v>
      </c>
      <c r="AA199">
        <v>0.823596590961584</v>
      </c>
      <c r="AB199">
        <v>2.0416673261585898</v>
      </c>
      <c r="AC199">
        <v>5.1398558367037497</v>
      </c>
      <c r="AD199">
        <v>0.32701643968287902</v>
      </c>
      <c r="AE199">
        <v>4.6769758582660597</v>
      </c>
    </row>
    <row r="200" spans="1:31" x14ac:dyDescent="0.2">
      <c r="A200">
        <v>199</v>
      </c>
      <c r="B200">
        <v>742</v>
      </c>
      <c r="C200">
        <v>180</v>
      </c>
      <c r="D200">
        <v>0.39424764813081797</v>
      </c>
      <c r="E200">
        <v>11.147432397322101</v>
      </c>
      <c r="F200">
        <v>2.2356811889186901</v>
      </c>
      <c r="G200">
        <v>-181.27169411056866</v>
      </c>
      <c r="H200">
        <v>-153.23778378110745</v>
      </c>
      <c r="I200">
        <v>27.615534974596098</v>
      </c>
      <c r="J200">
        <v>15.005700541295299</v>
      </c>
      <c r="K200">
        <v>4.9861458121019604</v>
      </c>
      <c r="L200">
        <v>1.3592275777211013E-4</v>
      </c>
      <c r="M200">
        <v>1.695348598550658E-5</v>
      </c>
      <c r="N200" s="1">
        <v>3.0857096633351798E-7</v>
      </c>
      <c r="O200" s="1">
        <v>8.8265805475950597E-9</v>
      </c>
      <c r="P200" s="1">
        <v>-4.3692569880366901E-8</v>
      </c>
      <c r="Q200">
        <v>70.323306620852094</v>
      </c>
      <c r="R200">
        <v>0.186192007839032</v>
      </c>
      <c r="S200">
        <v>15.4606720590316</v>
      </c>
      <c r="T200">
        <v>0.19195405720346001</v>
      </c>
      <c r="V200">
        <v>0.469416966858064</v>
      </c>
      <c r="W200">
        <v>0.23819609259628599</v>
      </c>
      <c r="X200">
        <v>0.16993414559769901</v>
      </c>
      <c r="AA200">
        <v>0.83908397637166499</v>
      </c>
      <c r="AB200">
        <v>1.9505196864938701</v>
      </c>
      <c r="AC200">
        <v>5.1386001019475902</v>
      </c>
      <c r="AD200">
        <v>0.358827024683331</v>
      </c>
      <c r="AE200">
        <v>4.6732972605251204</v>
      </c>
    </row>
    <row r="201" spans="1:31" x14ac:dyDescent="0.2">
      <c r="A201">
        <v>200</v>
      </c>
      <c r="B201">
        <v>740</v>
      </c>
      <c r="C201">
        <v>180</v>
      </c>
      <c r="D201">
        <v>0.39291368504170499</v>
      </c>
      <c r="E201">
        <v>10.2916615000515</v>
      </c>
      <c r="F201">
        <v>2.2378174690166599</v>
      </c>
      <c r="G201">
        <v>-167.35061661915674</v>
      </c>
      <c r="H201">
        <v>-141.56211100344666</v>
      </c>
      <c r="I201">
        <v>25.4537882995707</v>
      </c>
      <c r="J201">
        <v>13.8638391962449</v>
      </c>
      <c r="K201">
        <v>4.5989727234428397</v>
      </c>
      <c r="L201">
        <v>1.358505188768347E-4</v>
      </c>
      <c r="M201">
        <v>1.6956049608962644E-5</v>
      </c>
      <c r="N201" s="1">
        <v>2.8539803743393199E-7</v>
      </c>
      <c r="O201" s="1">
        <v>8.1324805621140202E-9</v>
      </c>
      <c r="P201" s="1">
        <v>-4.0171889122629597E-8</v>
      </c>
      <c r="Q201">
        <v>70.064888068805104</v>
      </c>
      <c r="R201">
        <v>0.184403237862031</v>
      </c>
      <c r="S201">
        <v>15.759106843129899</v>
      </c>
      <c r="T201">
        <v>0.18801741065053101</v>
      </c>
      <c r="V201">
        <v>0.4612096005677</v>
      </c>
      <c r="W201">
        <v>0.25707349589372103</v>
      </c>
      <c r="X201">
        <v>0.16815261763397299</v>
      </c>
      <c r="AA201">
        <v>0.85443749612678899</v>
      </c>
      <c r="AB201">
        <v>1.8689488151979301</v>
      </c>
      <c r="AC201">
        <v>5.1337994350817997</v>
      </c>
      <c r="AD201">
        <v>0.38866416272719001</v>
      </c>
      <c r="AE201">
        <v>4.6712988163232501</v>
      </c>
    </row>
    <row r="202" spans="1:31" x14ac:dyDescent="0.2">
      <c r="A202">
        <v>201</v>
      </c>
      <c r="B202">
        <v>768</v>
      </c>
      <c r="C202">
        <v>170</v>
      </c>
      <c r="D202">
        <v>0.42168803726648402</v>
      </c>
      <c r="E202">
        <v>104.923155400905</v>
      </c>
      <c r="F202">
        <v>2.2042361481255499</v>
      </c>
      <c r="G202">
        <v>-1712.4488104899945</v>
      </c>
      <c r="H202">
        <v>-1435.0964578164001</v>
      </c>
      <c r="I202">
        <v>266.39038819919699</v>
      </c>
      <c r="J202">
        <v>140.594260643192</v>
      </c>
      <c r="K202">
        <v>47.600687199567901</v>
      </c>
      <c r="L202">
        <v>1.389248372440196E-4</v>
      </c>
      <c r="M202">
        <v>1.729686106242867E-5</v>
      </c>
      <c r="N202" s="1">
        <v>2.8997309101218E-6</v>
      </c>
      <c r="O202" s="1">
        <v>8.7400719662910103E-8</v>
      </c>
      <c r="P202" s="1">
        <v>-4.4104472284566802E-7</v>
      </c>
      <c r="Q202">
        <v>73.167833836764004</v>
      </c>
      <c r="R202">
        <v>9.1495532738402593E-2</v>
      </c>
      <c r="S202">
        <v>12.351896919684901</v>
      </c>
      <c r="T202">
        <v>0.241569244539735</v>
      </c>
      <c r="V202">
        <v>0.571616592349659</v>
      </c>
      <c r="W202">
        <v>2.5733118582675501E-2</v>
      </c>
      <c r="X202">
        <v>0.11436941592300399</v>
      </c>
      <c r="AA202">
        <v>0.75293198815976803</v>
      </c>
      <c r="AB202">
        <v>3.3834285543888298</v>
      </c>
      <c r="AC202">
        <v>4.4699380056573199</v>
      </c>
      <c r="AD202">
        <v>3.8123138641000101E-2</v>
      </c>
      <c r="AE202">
        <v>4.7910636525706103</v>
      </c>
    </row>
    <row r="203" spans="1:31" x14ac:dyDescent="0.2">
      <c r="A203">
        <v>202</v>
      </c>
      <c r="B203">
        <v>766</v>
      </c>
      <c r="C203">
        <v>170</v>
      </c>
      <c r="D203">
        <v>0.42044026367704701</v>
      </c>
      <c r="E203">
        <v>104.60770416038601</v>
      </c>
      <c r="F203">
        <v>2.2048960080309299</v>
      </c>
      <c r="G203">
        <v>-1706.6591838259274</v>
      </c>
      <c r="H203">
        <v>-1431.0279308082936</v>
      </c>
      <c r="I203">
        <v>265.24683926058202</v>
      </c>
      <c r="J203">
        <v>140.112360746137</v>
      </c>
      <c r="K203">
        <v>47.443373192827003</v>
      </c>
      <c r="L203">
        <v>1.3867734104176075E-4</v>
      </c>
      <c r="M203">
        <v>1.7273616874882927E-5</v>
      </c>
      <c r="N203" s="1">
        <v>2.8938471152637898E-6</v>
      </c>
      <c r="O203" s="1">
        <v>8.6905993434909198E-8</v>
      </c>
      <c r="P203" s="1">
        <v>-4.3878210272300098E-7</v>
      </c>
      <c r="Q203">
        <v>73.207837634654993</v>
      </c>
      <c r="R203">
        <v>9.1771443385098794E-2</v>
      </c>
      <c r="S203">
        <v>12.327065230120301</v>
      </c>
      <c r="T203">
        <v>0.24297738927388199</v>
      </c>
      <c r="V203">
        <v>0.57272875782692401</v>
      </c>
      <c r="W203">
        <v>2.5810718452058599E-2</v>
      </c>
      <c r="X203">
        <v>0.114714304231376</v>
      </c>
      <c r="AA203">
        <v>0.74613569892953102</v>
      </c>
      <c r="AB203">
        <v>3.3685617933665299</v>
      </c>
      <c r="AC203">
        <v>4.4793959002578303</v>
      </c>
      <c r="AD203">
        <v>3.8238101410455999E-2</v>
      </c>
      <c r="AE203">
        <v>4.7847630280909001</v>
      </c>
    </row>
    <row r="204" spans="1:31" x14ac:dyDescent="0.2">
      <c r="A204">
        <v>203</v>
      </c>
      <c r="B204">
        <v>764</v>
      </c>
      <c r="C204">
        <v>170</v>
      </c>
      <c r="D204">
        <v>0.419187677770818</v>
      </c>
      <c r="E204">
        <v>103.505295605469</v>
      </c>
      <c r="F204">
        <v>2.2057346381738299</v>
      </c>
      <c r="G204">
        <v>-1687.7894285779978</v>
      </c>
      <c r="H204">
        <v>-1416.0463753488518</v>
      </c>
      <c r="I204">
        <v>262.00940387518199</v>
      </c>
      <c r="J204">
        <v>138.536570025207</v>
      </c>
      <c r="K204">
        <v>46.925542997848197</v>
      </c>
      <c r="L204">
        <v>1.3823013813579288E-4</v>
      </c>
      <c r="M204">
        <v>1.7235162116998011E-5</v>
      </c>
      <c r="N204" s="1">
        <v>2.8606137737221702E-6</v>
      </c>
      <c r="O204" s="1">
        <v>8.5610587726249194E-8</v>
      </c>
      <c r="P204" s="1">
        <v>-4.32344731418119E-7</v>
      </c>
      <c r="Q204">
        <v>73.279892351982895</v>
      </c>
      <c r="R204">
        <v>9.2748877667017005E-2</v>
      </c>
      <c r="S204">
        <v>12.2783501516633</v>
      </c>
      <c r="T204">
        <v>0.246199315253818</v>
      </c>
      <c r="V204">
        <v>0.578258233762736</v>
      </c>
      <c r="W204">
        <v>2.6085621843847599E-2</v>
      </c>
      <c r="X204">
        <v>0.115936097083778</v>
      </c>
      <c r="AA204">
        <v>0.72875432554878905</v>
      </c>
      <c r="AB204">
        <v>3.3311668116493198</v>
      </c>
      <c r="AC204">
        <v>4.5147094715680502</v>
      </c>
      <c r="AD204">
        <v>3.8645365694586098E-2</v>
      </c>
      <c r="AE204">
        <v>4.7692533762816698</v>
      </c>
    </row>
    <row r="205" spans="1:31" x14ac:dyDescent="0.2">
      <c r="A205">
        <v>204</v>
      </c>
      <c r="B205">
        <v>762</v>
      </c>
      <c r="C205">
        <v>170</v>
      </c>
      <c r="D205">
        <v>0.41793025165435399</v>
      </c>
      <c r="E205">
        <v>100.049701543834</v>
      </c>
      <c r="F205">
        <v>2.2075868510411598</v>
      </c>
      <c r="G205">
        <v>-1629.876259773461</v>
      </c>
      <c r="H205">
        <v>-1368.2370474843287</v>
      </c>
      <c r="I205">
        <v>252.75487831631401</v>
      </c>
      <c r="J205">
        <v>133.83374469521701</v>
      </c>
      <c r="K205">
        <v>45.320845019822599</v>
      </c>
      <c r="L205">
        <v>1.3780119857313822E-4</v>
      </c>
      <c r="M205">
        <v>1.7169086027640877E-5</v>
      </c>
      <c r="N205" s="1">
        <v>2.7556341417560599E-6</v>
      </c>
      <c r="O205" s="1">
        <v>8.2204465880332399E-8</v>
      </c>
      <c r="P205" s="1">
        <v>-4.1624428287458602E-7</v>
      </c>
      <c r="Q205">
        <v>73.207429923945995</v>
      </c>
      <c r="R205">
        <v>9.5952310220476705E-2</v>
      </c>
      <c r="S205">
        <v>12.296371202624201</v>
      </c>
      <c r="T205">
        <v>0.25559933921703099</v>
      </c>
      <c r="V205">
        <v>0.59742379260013001</v>
      </c>
      <c r="W205">
        <v>2.6986587249507799E-2</v>
      </c>
      <c r="X205">
        <v>0.11994038777560501</v>
      </c>
      <c r="AA205">
        <v>0.70112565724618003</v>
      </c>
      <c r="AB205">
        <v>3.27939413513168</v>
      </c>
      <c r="AC205">
        <v>4.63773710295035</v>
      </c>
      <c r="AD205">
        <v>3.99801292585261E-2</v>
      </c>
      <c r="AE205">
        <v>4.7420594317802198</v>
      </c>
    </row>
    <row r="206" spans="1:31" x14ac:dyDescent="0.2">
      <c r="A206">
        <v>205</v>
      </c>
      <c r="B206">
        <v>760</v>
      </c>
      <c r="C206">
        <v>170</v>
      </c>
      <c r="D206">
        <v>0.41666795721821598</v>
      </c>
      <c r="E206">
        <v>96.493890990276896</v>
      </c>
      <c r="F206">
        <v>2.2095688801406901</v>
      </c>
      <c r="G206">
        <v>-1570.386454702008</v>
      </c>
      <c r="H206">
        <v>-1319.0608536960158</v>
      </c>
      <c r="I206">
        <v>243.26148284953001</v>
      </c>
      <c r="J206">
        <v>129.00019902545</v>
      </c>
      <c r="K206">
        <v>43.670913297861297</v>
      </c>
      <c r="L206">
        <v>1.3734108838830988E-4</v>
      </c>
      <c r="M206">
        <v>1.7100045807117321E-5</v>
      </c>
      <c r="N206" s="1">
        <v>2.6474687949881001E-6</v>
      </c>
      <c r="O206" s="1">
        <v>7.8727592465269498E-8</v>
      </c>
      <c r="P206" s="1">
        <v>-3.9967138057270402E-7</v>
      </c>
      <c r="Q206">
        <v>73.131265035195497</v>
      </c>
      <c r="R206">
        <v>9.9488163462779194E-2</v>
      </c>
      <c r="S206">
        <v>12.3156390547403</v>
      </c>
      <c r="T206">
        <v>0.265923815889478</v>
      </c>
      <c r="V206">
        <v>0.618624045090576</v>
      </c>
      <c r="W206">
        <v>2.7981045973904502E-2</v>
      </c>
      <c r="X206">
        <v>0.124360204328493</v>
      </c>
      <c r="AA206">
        <v>0.67717028359522802</v>
      </c>
      <c r="AB206">
        <v>3.2206577637244198</v>
      </c>
      <c r="AC206">
        <v>4.7643874844242502</v>
      </c>
      <c r="AD206">
        <v>4.14534014428131E-2</v>
      </c>
      <c r="AE206">
        <v>4.7130497021321602</v>
      </c>
    </row>
    <row r="207" spans="1:31" x14ac:dyDescent="0.2">
      <c r="A207">
        <v>206</v>
      </c>
      <c r="B207">
        <v>758</v>
      </c>
      <c r="C207">
        <v>170</v>
      </c>
      <c r="D207">
        <v>0.41540076613490101</v>
      </c>
      <c r="E207">
        <v>92.002431283399204</v>
      </c>
      <c r="F207">
        <v>2.2118321290419098</v>
      </c>
      <c r="G207">
        <v>-1495.6807741144219</v>
      </c>
      <c r="H207">
        <v>-1257.0418968508991</v>
      </c>
      <c r="I207">
        <v>231.429837815567</v>
      </c>
      <c r="J207">
        <v>122.92341492786601</v>
      </c>
      <c r="K207">
        <v>41.5955759369728</v>
      </c>
      <c r="L207">
        <v>1.3686102441250631E-4</v>
      </c>
      <c r="M207">
        <v>1.7028772127719492E-5</v>
      </c>
      <c r="N207" s="1">
        <v>2.5134675765808298E-6</v>
      </c>
      <c r="O207" s="1">
        <v>7.4508467938080302E-8</v>
      </c>
      <c r="P207" s="1">
        <v>-3.7917318072253998E-7</v>
      </c>
      <c r="Q207">
        <v>73.041579988031799</v>
      </c>
      <c r="R207">
        <v>0.10434506856051801</v>
      </c>
      <c r="S207">
        <v>12.3382122263712</v>
      </c>
      <c r="T207">
        <v>0.279758671888584</v>
      </c>
      <c r="V207">
        <v>0.64805729925037603</v>
      </c>
      <c r="W207">
        <v>2.9347050532640001E-2</v>
      </c>
      <c r="X207">
        <v>0.13043133570069401</v>
      </c>
      <c r="AA207">
        <v>0.65901541514974005</v>
      </c>
      <c r="AB207">
        <v>3.15239608120031</v>
      </c>
      <c r="AC207">
        <v>4.8911040696684003</v>
      </c>
      <c r="AD207">
        <v>4.3477111900187999E-2</v>
      </c>
      <c r="AE207">
        <v>4.6822756817455096</v>
      </c>
    </row>
    <row r="208" spans="1:31" x14ac:dyDescent="0.2">
      <c r="A208">
        <v>207</v>
      </c>
      <c r="B208">
        <v>756</v>
      </c>
      <c r="C208">
        <v>170</v>
      </c>
      <c r="D208">
        <v>0.41412864985667802</v>
      </c>
      <c r="E208">
        <v>35.218744888179103</v>
      </c>
      <c r="F208">
        <v>2.2179945975973698</v>
      </c>
      <c r="G208">
        <v>-572.72462283167999</v>
      </c>
      <c r="H208">
        <v>-482.00013669807282</v>
      </c>
      <c r="I208">
        <v>88.154774458151905</v>
      </c>
      <c r="J208">
        <v>47.107734553702002</v>
      </c>
      <c r="K208">
        <v>15.878643224077001</v>
      </c>
      <c r="L208">
        <v>1.3541175284461639E-4</v>
      </c>
      <c r="M208">
        <v>1.6930251161611795E-5</v>
      </c>
      <c r="N208" s="1">
        <v>9.4891924737058705E-7</v>
      </c>
      <c r="O208" s="1">
        <v>2.8052364508589001E-8</v>
      </c>
      <c r="P208" s="1">
        <v>-1.4150784718429499E-7</v>
      </c>
      <c r="Q208">
        <v>72.518483814890402</v>
      </c>
      <c r="R208">
        <v>0.152594009254582</v>
      </c>
      <c r="S208">
        <v>13.019039574258001</v>
      </c>
      <c r="T208">
        <v>0.23717712484307801</v>
      </c>
      <c r="V208">
        <v>0.55737721425665199</v>
      </c>
      <c r="W208">
        <v>7.6663720089171106E-2</v>
      </c>
      <c r="X208">
        <v>0.17609044789911099</v>
      </c>
      <c r="AA208">
        <v>0.73186752676439404</v>
      </c>
      <c r="AB208">
        <v>2.7621062001368002</v>
      </c>
      <c r="AC208">
        <v>5.0476593733286501</v>
      </c>
      <c r="AD208">
        <v>0.11357588161351299</v>
      </c>
      <c r="AE208">
        <v>4.6073651126656001</v>
      </c>
    </row>
    <row r="209" spans="1:31" x14ac:dyDescent="0.2">
      <c r="A209">
        <v>208</v>
      </c>
      <c r="B209">
        <v>754</v>
      </c>
      <c r="C209">
        <v>170</v>
      </c>
      <c r="D209">
        <v>0.412851579613494</v>
      </c>
      <c r="E209">
        <v>23.573132060835501</v>
      </c>
      <c r="F209">
        <v>2.2223723197521701</v>
      </c>
      <c r="G209">
        <v>-383.3538812102438</v>
      </c>
      <c r="H209">
        <v>-322.9405755534105</v>
      </c>
      <c r="I209">
        <v>58.816439329049402</v>
      </c>
      <c r="J209">
        <v>31.561463785291402</v>
      </c>
      <c r="K209">
        <v>10.6071929763164</v>
      </c>
      <c r="L209">
        <v>1.3475877507752103E-4</v>
      </c>
      <c r="M209">
        <v>1.6895533308934388E-5</v>
      </c>
      <c r="N209" s="1">
        <v>6.31863622237736E-7</v>
      </c>
      <c r="O209" s="1">
        <v>1.8616959036791701E-8</v>
      </c>
      <c r="P209" s="1">
        <v>-9.3339205463246E-8</v>
      </c>
      <c r="Q209">
        <v>72.070381196440707</v>
      </c>
      <c r="R209">
        <v>0.17801258255250901</v>
      </c>
      <c r="S209">
        <v>13.565929370771901</v>
      </c>
      <c r="T209">
        <v>0.22201210580168901</v>
      </c>
      <c r="V209">
        <v>0.52739204091932401</v>
      </c>
      <c r="W209">
        <v>0.114537177029814</v>
      </c>
      <c r="X209">
        <v>0.17943626642837299</v>
      </c>
      <c r="AA209">
        <v>0.75811168393722195</v>
      </c>
      <c r="AB209">
        <v>2.5286771360091498</v>
      </c>
      <c r="AC209">
        <v>5.1126299390865499</v>
      </c>
      <c r="AD209">
        <v>0.169684706710683</v>
      </c>
      <c r="AE209">
        <v>4.57319579431205</v>
      </c>
    </row>
    <row r="210" spans="1:31" x14ac:dyDescent="0.2">
      <c r="A210">
        <v>209</v>
      </c>
      <c r="B210">
        <v>752</v>
      </c>
      <c r="C210">
        <v>170</v>
      </c>
      <c r="D210">
        <v>0.41156952641076899</v>
      </c>
      <c r="E210">
        <v>18.533969388346101</v>
      </c>
      <c r="F210">
        <v>2.2258658374530702</v>
      </c>
      <c r="G210">
        <v>-301.40667840406553</v>
      </c>
      <c r="H210">
        <v>-254.12119568897759</v>
      </c>
      <c r="I210">
        <v>46.1254281959595</v>
      </c>
      <c r="J210">
        <v>24.836914453774401</v>
      </c>
      <c r="K210">
        <v>8.3266336526164704</v>
      </c>
      <c r="L210">
        <v>1.3435133653193044E-4</v>
      </c>
      <c r="M210">
        <v>1.6877137270966134E-5</v>
      </c>
      <c r="N210" s="1">
        <v>4.9565189245860095E-7</v>
      </c>
      <c r="O210" s="1">
        <v>1.45519795576443E-8</v>
      </c>
      <c r="P210" s="1">
        <v>-7.2620710419477694E-8</v>
      </c>
      <c r="Q210">
        <v>71.692131454326699</v>
      </c>
      <c r="R210">
        <v>0.19337825080329099</v>
      </c>
      <c r="S210">
        <v>14.0196681073823</v>
      </c>
      <c r="T210">
        <v>0.21160753913737701</v>
      </c>
      <c r="V210">
        <v>0.50669770632658695</v>
      </c>
      <c r="W210">
        <v>0.14567845362346901</v>
      </c>
      <c r="X210">
        <v>0.18076902003709799</v>
      </c>
      <c r="AA210">
        <v>0.77678100742982004</v>
      </c>
      <c r="AB210">
        <v>2.3569254785319198</v>
      </c>
      <c r="AC210">
        <v>5.1481393810124301</v>
      </c>
      <c r="AD210">
        <v>0.215819931293806</v>
      </c>
      <c r="AE210">
        <v>4.5524036700951003</v>
      </c>
    </row>
    <row r="211" spans="1:31" x14ac:dyDescent="0.2">
      <c r="A211">
        <v>210</v>
      </c>
      <c r="B211">
        <v>750</v>
      </c>
      <c r="C211">
        <v>170</v>
      </c>
      <c r="D211">
        <v>0.41028246102722199</v>
      </c>
      <c r="E211">
        <v>15.6366715714455</v>
      </c>
      <c r="F211">
        <v>2.2288684653153501</v>
      </c>
      <c r="G211">
        <v>-254.28719767141243</v>
      </c>
      <c r="H211">
        <v>-214.55934418086517</v>
      </c>
      <c r="I211">
        <v>38.828962997162897</v>
      </c>
      <c r="J211">
        <v>20.9718286040458</v>
      </c>
      <c r="K211">
        <v>7.0155201236754499</v>
      </c>
      <c r="L211">
        <v>1.3406848017531806E-4</v>
      </c>
      <c r="M211">
        <v>1.6866357337061024E-5</v>
      </c>
      <c r="N211" s="1">
        <v>4.1782536370321701E-7</v>
      </c>
      <c r="O211" s="1">
        <v>1.2222437388728201E-8</v>
      </c>
      <c r="P211" s="1">
        <v>-6.0765780916567006E-8</v>
      </c>
      <c r="Q211">
        <v>71.357190118480702</v>
      </c>
      <c r="R211">
        <v>0.20420419369871401</v>
      </c>
      <c r="S211">
        <v>14.4161904185559</v>
      </c>
      <c r="T211">
        <v>0.20343729280956799</v>
      </c>
      <c r="V211">
        <v>0.49017286077842298</v>
      </c>
      <c r="W211">
        <v>0.17267101810396501</v>
      </c>
      <c r="X211">
        <v>0.18123459665286701</v>
      </c>
      <c r="AA211">
        <v>0.79302357695219905</v>
      </c>
      <c r="AB211">
        <v>2.21887450136437</v>
      </c>
      <c r="AC211">
        <v>5.1687813227113804</v>
      </c>
      <c r="AD211">
        <v>0.255808915709272</v>
      </c>
      <c r="AE211">
        <v>4.5384111841825403</v>
      </c>
    </row>
    <row r="212" spans="1:31" x14ac:dyDescent="0.2">
      <c r="A212">
        <v>211</v>
      </c>
      <c r="B212">
        <v>748</v>
      </c>
      <c r="C212">
        <v>170</v>
      </c>
      <c r="D212">
        <v>0.40899035401263301</v>
      </c>
      <c r="E212">
        <v>13.626855867670301</v>
      </c>
      <c r="F212">
        <v>2.2314594793803901</v>
      </c>
      <c r="G212">
        <v>-221.59794114354563</v>
      </c>
      <c r="H212">
        <v>-187.11131467832837</v>
      </c>
      <c r="I212">
        <v>33.772341443683302</v>
      </c>
      <c r="J212">
        <v>18.291653106629798</v>
      </c>
      <c r="K212">
        <v>6.1067010150029901</v>
      </c>
      <c r="L212">
        <v>1.3389758752832009E-4</v>
      </c>
      <c r="M212">
        <v>1.6866077425265646E-5</v>
      </c>
      <c r="N212" s="1">
        <v>3.6441461037091299E-7</v>
      </c>
      <c r="O212" s="1">
        <v>1.0619959298363999E-8</v>
      </c>
      <c r="P212" s="1">
        <v>-5.2628485539512698E-8</v>
      </c>
      <c r="Q212">
        <v>71.043855821751094</v>
      </c>
      <c r="R212">
        <v>0.19555052426163699</v>
      </c>
      <c r="S212">
        <v>14.789863777216301</v>
      </c>
      <c r="T212">
        <v>0.199823865166082</v>
      </c>
      <c r="V212">
        <v>0.48416373085744902</v>
      </c>
      <c r="W212">
        <v>0.19666675390501101</v>
      </c>
      <c r="X212">
        <v>0.17812315061846201</v>
      </c>
      <c r="AA212">
        <v>0.80916289906719796</v>
      </c>
      <c r="AB212">
        <v>2.10143147350098</v>
      </c>
      <c r="AC212">
        <v>5.1759588687589098</v>
      </c>
      <c r="AD212">
        <v>0.29353799870174802</v>
      </c>
      <c r="AE212">
        <v>4.5318611361949603</v>
      </c>
    </row>
    <row r="213" spans="1:31" x14ac:dyDescent="0.2">
      <c r="A213">
        <v>212</v>
      </c>
      <c r="B213">
        <v>746</v>
      </c>
      <c r="C213">
        <v>170</v>
      </c>
      <c r="D213">
        <v>0.40769317568562202</v>
      </c>
      <c r="E213">
        <v>12.225625663526101</v>
      </c>
      <c r="F213">
        <v>2.23385322359493</v>
      </c>
      <c r="G213">
        <v>-198.80648744038839</v>
      </c>
      <c r="H213">
        <v>-167.98264671889254</v>
      </c>
      <c r="I213">
        <v>30.244655567380399</v>
      </c>
      <c r="J213">
        <v>16.423513679848799</v>
      </c>
      <c r="K213">
        <v>5.4728867297071</v>
      </c>
      <c r="L213">
        <v>1.3376295165688266E-4</v>
      </c>
      <c r="M213">
        <v>1.686577751056645E-5</v>
      </c>
      <c r="N213" s="1">
        <v>3.2730139514874698E-7</v>
      </c>
      <c r="O213" s="1">
        <v>9.5024432956027099E-9</v>
      </c>
      <c r="P213" s="1">
        <v>-4.69610803737272E-8</v>
      </c>
      <c r="Q213">
        <v>70.7578477354499</v>
      </c>
      <c r="R213">
        <v>0.19395760288880301</v>
      </c>
      <c r="S213">
        <v>15.1253690184297</v>
      </c>
      <c r="T213">
        <v>0.19525966446354701</v>
      </c>
      <c r="V213">
        <v>0.47516343890028001</v>
      </c>
      <c r="W213">
        <v>0.21831934456473001</v>
      </c>
      <c r="X213">
        <v>0.17634856097912699</v>
      </c>
      <c r="AA213">
        <v>0.82441027882683904</v>
      </c>
      <c r="AB213">
        <v>2.0007080303504998</v>
      </c>
      <c r="AC213">
        <v>5.1787676694167102</v>
      </c>
      <c r="AD213">
        <v>0.32718161917277999</v>
      </c>
      <c r="AE213">
        <v>4.5266670365569803</v>
      </c>
    </row>
    <row r="214" spans="1:31" x14ac:dyDescent="0.2">
      <c r="A214">
        <v>213</v>
      </c>
      <c r="B214">
        <v>744</v>
      </c>
      <c r="C214">
        <v>170</v>
      </c>
      <c r="D214">
        <v>0.40639089613134799</v>
      </c>
      <c r="E214">
        <v>11.160882512117199</v>
      </c>
      <c r="F214">
        <v>2.2360752154810299</v>
      </c>
      <c r="G214">
        <v>-181.48709936427596</v>
      </c>
      <c r="H214">
        <v>-153.45075282802253</v>
      </c>
      <c r="I214">
        <v>27.563630277002801</v>
      </c>
      <c r="J214">
        <v>15.004358583627701</v>
      </c>
      <c r="K214">
        <v>4.9912822407971902</v>
      </c>
      <c r="L214">
        <v>1.3366577061753516E-4</v>
      </c>
      <c r="M214">
        <v>1.6867323745709955E-5</v>
      </c>
      <c r="N214" s="1">
        <v>2.9925488133769801E-7</v>
      </c>
      <c r="O214" s="1">
        <v>8.6552151971296894E-9</v>
      </c>
      <c r="P214" s="1">
        <v>-4.2671162230564199E-8</v>
      </c>
      <c r="Q214">
        <v>70.489483285688294</v>
      </c>
      <c r="R214">
        <v>0.19220273023923301</v>
      </c>
      <c r="S214">
        <v>15.4375789789504</v>
      </c>
      <c r="T214">
        <v>0.19107414657962901</v>
      </c>
      <c r="V214">
        <v>0.46665238245405999</v>
      </c>
      <c r="W214">
        <v>0.23823604757956199</v>
      </c>
      <c r="X214">
        <v>0.17456435123012301</v>
      </c>
      <c r="AA214">
        <v>0.83940514225373697</v>
      </c>
      <c r="AB214">
        <v>1.91184937934393</v>
      </c>
      <c r="AC214">
        <v>5.1770860857763603</v>
      </c>
      <c r="AD214">
        <v>0.35839459788681199</v>
      </c>
      <c r="AE214">
        <v>4.5234728720176998</v>
      </c>
    </row>
    <row r="215" spans="1:31" x14ac:dyDescent="0.2">
      <c r="A215">
        <v>214</v>
      </c>
      <c r="B215">
        <v>742</v>
      </c>
      <c r="C215">
        <v>170</v>
      </c>
      <c r="D215">
        <v>0.40508348519923099</v>
      </c>
      <c r="E215">
        <v>10.3171681989568</v>
      </c>
      <c r="F215">
        <v>2.2381632720850702</v>
      </c>
      <c r="G215">
        <v>-167.76217109924988</v>
      </c>
      <c r="H215">
        <v>-141.93801432166097</v>
      </c>
      <c r="I215">
        <v>25.438759570101801</v>
      </c>
      <c r="J215">
        <v>13.8800884099073</v>
      </c>
      <c r="K215">
        <v>4.60965843182003</v>
      </c>
      <c r="L215">
        <v>1.3359762122611515E-4</v>
      </c>
      <c r="M215">
        <v>1.687028921007502E-5</v>
      </c>
      <c r="N215" s="1">
        <v>2.7715080342422901E-7</v>
      </c>
      <c r="O215" s="1">
        <v>7.9853419219742199E-9</v>
      </c>
      <c r="P215" s="1">
        <v>-3.92846573794122E-8</v>
      </c>
      <c r="Q215">
        <v>70.235033387812607</v>
      </c>
      <c r="R215">
        <v>0.19032878322417099</v>
      </c>
      <c r="S215">
        <v>15.731357500603099</v>
      </c>
      <c r="T215">
        <v>0.18718858910484701</v>
      </c>
      <c r="V215">
        <v>0.45853525114478</v>
      </c>
      <c r="W215">
        <v>0.25678538268488099</v>
      </c>
      <c r="X215">
        <v>0.17277326479016</v>
      </c>
      <c r="AA215">
        <v>0.85427971230727295</v>
      </c>
      <c r="AB215">
        <v>1.8322392419051801</v>
      </c>
      <c r="AC215">
        <v>5.1719419402770397</v>
      </c>
      <c r="AD215">
        <v>0.38770328474399202</v>
      </c>
      <c r="AE215">
        <v>4.5218336614019199</v>
      </c>
    </row>
    <row r="216" spans="1:31" x14ac:dyDescent="0.2">
      <c r="A216">
        <v>215</v>
      </c>
      <c r="B216">
        <v>772</v>
      </c>
      <c r="C216">
        <v>160</v>
      </c>
      <c r="D216">
        <v>0.43469406305315</v>
      </c>
      <c r="E216">
        <v>104.756897928006</v>
      </c>
      <c r="F216">
        <v>2.2043873139124601</v>
      </c>
      <c r="G216">
        <v>-1710.3278890599495</v>
      </c>
      <c r="H216">
        <v>-1432.8587853778554</v>
      </c>
      <c r="I216">
        <v>265.482565834659</v>
      </c>
      <c r="J216">
        <v>140.25031003694599</v>
      </c>
      <c r="K216">
        <v>47.522001812865803</v>
      </c>
      <c r="L216">
        <v>1.3679381535199164E-4</v>
      </c>
      <c r="M216">
        <v>1.7219262194390547E-5</v>
      </c>
      <c r="N216" s="1">
        <v>2.7994821227464302E-6</v>
      </c>
      <c r="O216" s="1">
        <v>8.5600339135704801E-8</v>
      </c>
      <c r="P216" s="1">
        <v>-4.3016085405355102E-7</v>
      </c>
      <c r="Q216">
        <v>73.283956969379602</v>
      </c>
      <c r="R216">
        <v>9.1640743377085901E-2</v>
      </c>
      <c r="S216">
        <v>12.3715003559069</v>
      </c>
      <c r="T216">
        <v>0.24165993490075699</v>
      </c>
      <c r="V216">
        <v>0.57278716692598897</v>
      </c>
      <c r="W216">
        <v>2.5773959074805199E-2</v>
      </c>
      <c r="X216">
        <v>0.114550929221358</v>
      </c>
      <c r="AA216">
        <v>0.75412695070726699</v>
      </c>
      <c r="AB216">
        <v>3.3887983227984702</v>
      </c>
      <c r="AC216">
        <v>4.4770321504013397</v>
      </c>
      <c r="AD216">
        <v>3.8183643073785099E-2</v>
      </c>
      <c r="AE216">
        <v>4.6399888742324702</v>
      </c>
    </row>
    <row r="217" spans="1:31" x14ac:dyDescent="0.2">
      <c r="A217">
        <v>216</v>
      </c>
      <c r="B217">
        <v>770</v>
      </c>
      <c r="C217">
        <v>160</v>
      </c>
      <c r="D217">
        <v>0.43347601016152998</v>
      </c>
      <c r="E217">
        <v>104.37745009126201</v>
      </c>
      <c r="F217">
        <v>2.2050230415197598</v>
      </c>
      <c r="G217">
        <v>-1703.4758786886835</v>
      </c>
      <c r="H217">
        <v>-1427.9061984046643</v>
      </c>
      <c r="I217">
        <v>264.17071397595601</v>
      </c>
      <c r="J217">
        <v>139.67772442626199</v>
      </c>
      <c r="K217">
        <v>47.336217411734097</v>
      </c>
      <c r="L217">
        <v>1.3652958528286873E-4</v>
      </c>
      <c r="M217">
        <v>1.7195508189823329E-5</v>
      </c>
      <c r="N217" s="1">
        <v>2.7916890804363902E-6</v>
      </c>
      <c r="O217" s="1">
        <v>8.5054104511199705E-8</v>
      </c>
      <c r="P217" s="1">
        <v>-4.2760046748128798E-7</v>
      </c>
      <c r="Q217">
        <v>73.331692443925107</v>
      </c>
      <c r="R217">
        <v>9.1973888915721197E-2</v>
      </c>
      <c r="S217">
        <v>12.341356257348499</v>
      </c>
      <c r="T217">
        <v>0.243195126670851</v>
      </c>
      <c r="V217">
        <v>0.57427856136387601</v>
      </c>
      <c r="W217">
        <v>2.5867656257546199E-2</v>
      </c>
      <c r="X217">
        <v>0.114967361144654</v>
      </c>
      <c r="AA217">
        <v>0.74591997910974095</v>
      </c>
      <c r="AB217">
        <v>3.3707574798051301</v>
      </c>
      <c r="AC217">
        <v>4.4884413641617202</v>
      </c>
      <c r="AD217">
        <v>3.8322453714882097E-2</v>
      </c>
      <c r="AE217">
        <v>4.6332274275821304</v>
      </c>
    </row>
    <row r="218" spans="1:31" x14ac:dyDescent="0.2">
      <c r="A218">
        <v>217</v>
      </c>
      <c r="B218">
        <v>768</v>
      </c>
      <c r="C218">
        <v>160</v>
      </c>
      <c r="D218">
        <v>0.43225327762570398</v>
      </c>
      <c r="E218">
        <v>103.645474973559</v>
      </c>
      <c r="F218">
        <v>2.2056802905441901</v>
      </c>
      <c r="G218">
        <v>-1690.7632018561169</v>
      </c>
      <c r="H218">
        <v>-1418.0903095845317</v>
      </c>
      <c r="I218">
        <v>261.89587693568097</v>
      </c>
      <c r="J218">
        <v>138.598490895487</v>
      </c>
      <c r="K218">
        <v>46.9902530379808</v>
      </c>
      <c r="L218">
        <v>1.36100873919743E-4</v>
      </c>
      <c r="M218">
        <v>1.7162830054060736E-5</v>
      </c>
      <c r="N218" s="1">
        <v>2.7708781397946601E-6</v>
      </c>
      <c r="O218" s="1">
        <v>8.4125422100545103E-8</v>
      </c>
      <c r="P218" s="1">
        <v>-4.2287685602227698E-7</v>
      </c>
      <c r="Q218">
        <v>73.423511195665199</v>
      </c>
      <c r="R218">
        <v>9.2623435827267106E-2</v>
      </c>
      <c r="S218">
        <v>12.283242732122901</v>
      </c>
      <c r="T218">
        <v>0.24549969324221799</v>
      </c>
      <c r="V218">
        <v>0.57780605267769203</v>
      </c>
      <c r="W218">
        <v>2.6050341326418199E-2</v>
      </c>
      <c r="X218">
        <v>0.11577929478408799</v>
      </c>
      <c r="AA218">
        <v>0.73075507009474405</v>
      </c>
      <c r="AB218">
        <v>3.3353662358501999</v>
      </c>
      <c r="AC218">
        <v>4.5102192947182802</v>
      </c>
      <c r="AD218">
        <v>3.8593098261358399E-2</v>
      </c>
      <c r="AE218">
        <v>4.6205535554294501</v>
      </c>
    </row>
    <row r="219" spans="1:31" x14ac:dyDescent="0.2">
      <c r="A219">
        <v>218</v>
      </c>
      <c r="B219">
        <v>766</v>
      </c>
      <c r="C219">
        <v>160</v>
      </c>
      <c r="D219">
        <v>0.43102583842564002</v>
      </c>
      <c r="E219">
        <v>101.72994878413201</v>
      </c>
      <c r="F219">
        <v>2.2068380500809099</v>
      </c>
      <c r="G219">
        <v>-1658.4056174133086</v>
      </c>
      <c r="H219">
        <v>-1391.7572203296781</v>
      </c>
      <c r="I219">
        <v>256.60241262919698</v>
      </c>
      <c r="J219">
        <v>135.94859522056299</v>
      </c>
      <c r="K219">
        <v>46.0976050238041</v>
      </c>
      <c r="L219">
        <v>1.3568514464352741E-4</v>
      </c>
      <c r="M219">
        <v>1.7116571713621953E-5</v>
      </c>
      <c r="N219" s="1">
        <v>2.7151046121511698E-6</v>
      </c>
      <c r="O219" s="1">
        <v>8.2155255677664999E-8</v>
      </c>
      <c r="P219" s="1">
        <v>-4.1342834037859999E-7</v>
      </c>
      <c r="Q219">
        <v>73.442826755732696</v>
      </c>
      <c r="R219">
        <v>9.4367490741305904E-2</v>
      </c>
      <c r="S219">
        <v>12.258637692720001</v>
      </c>
      <c r="T219">
        <v>0.25084323520448998</v>
      </c>
      <c r="V219">
        <v>0.58803718968503904</v>
      </c>
      <c r="W219">
        <v>2.65408567709912E-2</v>
      </c>
      <c r="X219">
        <v>0.11795936342664</v>
      </c>
      <c r="AA219">
        <v>0.71048825238671698</v>
      </c>
      <c r="AB219">
        <v>3.2930107079507298</v>
      </c>
      <c r="AC219">
        <v>4.5757142362763101</v>
      </c>
      <c r="AD219">
        <v>3.93197878088727E-2</v>
      </c>
      <c r="AE219">
        <v>4.6022544312960703</v>
      </c>
    </row>
    <row r="220" spans="1:31" x14ac:dyDescent="0.2">
      <c r="A220">
        <v>219</v>
      </c>
      <c r="B220">
        <v>764</v>
      </c>
      <c r="C220">
        <v>160</v>
      </c>
      <c r="D220">
        <v>0.42979366533288699</v>
      </c>
      <c r="E220">
        <v>98.269552734039095</v>
      </c>
      <c r="F220">
        <v>2.20870328383563</v>
      </c>
      <c r="G220">
        <v>-1600.4504395542847</v>
      </c>
      <c r="H220">
        <v>-1343.883045592316</v>
      </c>
      <c r="I220">
        <v>247.377326290284</v>
      </c>
      <c r="J220">
        <v>131.24943979002299</v>
      </c>
      <c r="K220">
        <v>44.491966600142</v>
      </c>
      <c r="L220">
        <v>1.3527060831294E-4</v>
      </c>
      <c r="M220">
        <v>1.7051376495942092E-5</v>
      </c>
      <c r="N220" s="1">
        <v>2.6136779977088799E-6</v>
      </c>
      <c r="O220" s="1">
        <v>7.8835251270173693E-8</v>
      </c>
      <c r="P220" s="1">
        <v>-3.9777557597778301E-7</v>
      </c>
      <c r="Q220">
        <v>73.367744785951302</v>
      </c>
      <c r="R220">
        <v>9.7690482279714802E-2</v>
      </c>
      <c r="S220">
        <v>12.277266763787599</v>
      </c>
      <c r="T220">
        <v>0.26056747923475099</v>
      </c>
      <c r="V220">
        <v>0.60794199144303596</v>
      </c>
      <c r="W220">
        <v>2.7475448141168399E-2</v>
      </c>
      <c r="X220">
        <v>0.122113102849654</v>
      </c>
      <c r="AA220">
        <v>0.68543798379728105</v>
      </c>
      <c r="AB220">
        <v>3.2380252609726798</v>
      </c>
      <c r="AC220">
        <v>4.6991567217863297</v>
      </c>
      <c r="AD220">
        <v>4.0704367616541198E-2</v>
      </c>
      <c r="AE220">
        <v>4.5758756121398196</v>
      </c>
    </row>
    <row r="221" spans="1:31" x14ac:dyDescent="0.2">
      <c r="A221">
        <v>220</v>
      </c>
      <c r="B221">
        <v>762</v>
      </c>
      <c r="C221">
        <v>160</v>
      </c>
      <c r="D221">
        <v>0.428556730908567</v>
      </c>
      <c r="E221">
        <v>94.678767380230497</v>
      </c>
      <c r="F221">
        <v>2.2107044844315098</v>
      </c>
      <c r="G221">
        <v>-1540.4267390098219</v>
      </c>
      <c r="H221">
        <v>-1294.2273812313197</v>
      </c>
      <c r="I221">
        <v>237.83930616674101</v>
      </c>
      <c r="J221">
        <v>126.379745352497</v>
      </c>
      <c r="K221">
        <v>42.8274190634653</v>
      </c>
      <c r="L221">
        <v>1.3482687845488167E-4</v>
      </c>
      <c r="M221">
        <v>1.6983338006574474E-5</v>
      </c>
      <c r="N221" s="1">
        <v>2.5084201175999302E-6</v>
      </c>
      <c r="O221" s="1">
        <v>7.5423190232706104E-8</v>
      </c>
      <c r="P221" s="1">
        <v>-3.81545701207277E-7</v>
      </c>
      <c r="Q221">
        <v>73.2883132138153</v>
      </c>
      <c r="R221">
        <v>0.10139548988261</v>
      </c>
      <c r="S221">
        <v>12.297287609270199</v>
      </c>
      <c r="T221">
        <v>0.271346463249311</v>
      </c>
      <c r="V221">
        <v>0.63019192322039597</v>
      </c>
      <c r="W221">
        <v>2.8517481529482299E-2</v>
      </c>
      <c r="X221">
        <v>0.12674436235327699</v>
      </c>
      <c r="AA221">
        <v>0.66418404153194399</v>
      </c>
      <c r="AB221">
        <v>3.1759652075181402</v>
      </c>
      <c r="AC221">
        <v>4.8260279201609997</v>
      </c>
      <c r="AD221">
        <v>4.2248120784412403E-2</v>
      </c>
      <c r="AE221">
        <v>4.5477781666838002</v>
      </c>
    </row>
    <row r="222" spans="1:31" x14ac:dyDescent="0.2">
      <c r="A222">
        <v>221</v>
      </c>
      <c r="B222">
        <v>760</v>
      </c>
      <c r="C222">
        <v>160</v>
      </c>
      <c r="D222">
        <v>0.427315007501331</v>
      </c>
      <c r="E222">
        <v>66.320921344110104</v>
      </c>
      <c r="F222">
        <v>2.2139369770341699</v>
      </c>
      <c r="G222">
        <v>-1078.5090236187066</v>
      </c>
      <c r="H222">
        <v>-906.91590239367088</v>
      </c>
      <c r="I222">
        <v>166.08732635632299</v>
      </c>
      <c r="J222">
        <v>88.528087559798905</v>
      </c>
      <c r="K222">
        <v>29.9561017463806</v>
      </c>
      <c r="L222">
        <v>1.3396885602613487E-4</v>
      </c>
      <c r="M222">
        <v>1.6891486189913122E-5</v>
      </c>
      <c r="N222" s="1">
        <v>1.74292731804356E-6</v>
      </c>
      <c r="O222" s="1">
        <v>5.2253593718342899E-8</v>
      </c>
      <c r="P222" s="1">
        <v>-2.6419727818228098E-7</v>
      </c>
      <c r="Q222">
        <v>73.111039606905095</v>
      </c>
      <c r="R222">
        <v>0.11457063039583</v>
      </c>
      <c r="S222">
        <v>12.474736773495501</v>
      </c>
      <c r="T222">
        <v>0.25868346473193599</v>
      </c>
      <c r="V222">
        <v>0.60078948272157195</v>
      </c>
      <c r="W222">
        <v>4.0711135268922602E-2</v>
      </c>
      <c r="X222">
        <v>0.17606116624952101</v>
      </c>
      <c r="AA222">
        <v>0.684410460827376</v>
      </c>
      <c r="AB222">
        <v>3.0027872894397798</v>
      </c>
      <c r="AC222">
        <v>4.9750626072531601</v>
      </c>
      <c r="AD222">
        <v>6.0312792990969297E-2</v>
      </c>
      <c r="AE222">
        <v>4.5008345897202302</v>
      </c>
    </row>
    <row r="223" spans="1:31" x14ac:dyDescent="0.2">
      <c r="A223">
        <v>222</v>
      </c>
      <c r="B223">
        <v>758</v>
      </c>
      <c r="C223">
        <v>160</v>
      </c>
      <c r="D223">
        <v>0.426068467245311</v>
      </c>
      <c r="E223">
        <v>31.612131588489</v>
      </c>
      <c r="F223">
        <v>2.2196254702187899</v>
      </c>
      <c r="G223">
        <v>-514.07841753840637</v>
      </c>
      <c r="H223">
        <v>-432.79677587357355</v>
      </c>
      <c r="I223">
        <v>78.826205367631005</v>
      </c>
      <c r="J223">
        <v>42.235848060373797</v>
      </c>
      <c r="K223">
        <v>14.242101657525501</v>
      </c>
      <c r="L223">
        <v>1.3286372611315747E-4</v>
      </c>
      <c r="M223">
        <v>1.6820835373125249E-5</v>
      </c>
      <c r="N223" s="1">
        <v>8.2200142742489705E-7</v>
      </c>
      <c r="O223" s="1">
        <v>2.4572089223713301E-8</v>
      </c>
      <c r="P223" s="1">
        <v>-1.23234591604696E-7</v>
      </c>
      <c r="Q223">
        <v>72.588122084451896</v>
      </c>
      <c r="R223">
        <v>0.16065926372411801</v>
      </c>
      <c r="S223">
        <v>13.122352422647101</v>
      </c>
      <c r="T223">
        <v>0.23390924434667601</v>
      </c>
      <c r="V223">
        <v>0.55078204540700304</v>
      </c>
      <c r="W223">
        <v>8.5410248038521597E-2</v>
      </c>
      <c r="X223">
        <v>0.18119100851935199</v>
      </c>
      <c r="AA223">
        <v>0.73950600554908497</v>
      </c>
      <c r="AB223">
        <v>2.6655922309738802</v>
      </c>
      <c r="AC223">
        <v>5.1027189521653504</v>
      </c>
      <c r="AD223">
        <v>0.126533700797716</v>
      </c>
      <c r="AE223">
        <v>4.4432227933791602</v>
      </c>
    </row>
    <row r="224" spans="1:31" x14ac:dyDescent="0.2">
      <c r="A224">
        <v>223</v>
      </c>
      <c r="B224">
        <v>756</v>
      </c>
      <c r="C224">
        <v>160</v>
      </c>
      <c r="D224">
        <v>0.424817082058009</v>
      </c>
      <c r="E224">
        <v>22.360385747238801</v>
      </c>
      <c r="F224">
        <v>2.2236626089961602</v>
      </c>
      <c r="G224">
        <v>-363.63130112008162</v>
      </c>
      <c r="H224">
        <v>-306.41902676838447</v>
      </c>
      <c r="I224">
        <v>55.591774135643099</v>
      </c>
      <c r="J224">
        <v>29.903155784777098</v>
      </c>
      <c r="K224">
        <v>10.055655771148199</v>
      </c>
      <c r="L224">
        <v>1.3230349246275917E-4</v>
      </c>
      <c r="M224">
        <v>1.6791962453181496E-5</v>
      </c>
      <c r="N224" s="1">
        <v>5.7899228932127702E-7</v>
      </c>
      <c r="O224" s="1">
        <v>1.7249270058302099E-8</v>
      </c>
      <c r="P224" s="1">
        <v>-8.6015129677512906E-8</v>
      </c>
      <c r="Q224">
        <v>72.164422037294202</v>
      </c>
      <c r="R224">
        <v>0.18327885305825201</v>
      </c>
      <c r="S224">
        <v>13.6346461014271</v>
      </c>
      <c r="T224">
        <v>0.220246306011017</v>
      </c>
      <c r="V224">
        <v>0.52372279189902304</v>
      </c>
      <c r="W224">
        <v>0.12074925855573</v>
      </c>
      <c r="X224">
        <v>0.18390836073123801</v>
      </c>
      <c r="AA224">
        <v>0.76338363766964301</v>
      </c>
      <c r="AB224">
        <v>2.4526092243339401</v>
      </c>
      <c r="AC224">
        <v>5.1595595474274303</v>
      </c>
      <c r="AD224">
        <v>0.17888779045280501</v>
      </c>
      <c r="AE224">
        <v>4.4145860911395003</v>
      </c>
    </row>
    <row r="225" spans="1:31" x14ac:dyDescent="0.2">
      <c r="A225">
        <v>224</v>
      </c>
      <c r="B225">
        <v>754</v>
      </c>
      <c r="C225">
        <v>160</v>
      </c>
      <c r="D225">
        <v>0.42356082363822201</v>
      </c>
      <c r="E225">
        <v>17.9562816338597</v>
      </c>
      <c r="F225">
        <v>2.2269618189037699</v>
      </c>
      <c r="G225">
        <v>-292.01012752173409</v>
      </c>
      <c r="H225">
        <v>-246.2668141297321</v>
      </c>
      <c r="I225">
        <v>44.534209601325898</v>
      </c>
      <c r="J225">
        <v>24.034455784655101</v>
      </c>
      <c r="K225">
        <v>8.0631295433249992</v>
      </c>
      <c r="L225">
        <v>1.3194193711984589E-4</v>
      </c>
      <c r="M225">
        <v>1.6776312190836506E-5</v>
      </c>
      <c r="N225" s="1">
        <v>4.6411022056858198E-7</v>
      </c>
      <c r="O225" s="1">
        <v>1.3777659287796599E-8</v>
      </c>
      <c r="P225" s="1">
        <v>-6.8397712644559001E-8</v>
      </c>
      <c r="Q225">
        <v>71.801181666164197</v>
      </c>
      <c r="R225">
        <v>0.197687739577428</v>
      </c>
      <c r="S225">
        <v>14.0675476902785</v>
      </c>
      <c r="T225">
        <v>0.21044360925622599</v>
      </c>
      <c r="V225">
        <v>0.50413114628424704</v>
      </c>
      <c r="W225">
        <v>0.15036520673120099</v>
      </c>
      <c r="X225">
        <v>0.18502219419920399</v>
      </c>
      <c r="AA225">
        <v>0.78109038596558</v>
      </c>
      <c r="AB225">
        <v>2.2916965013049801</v>
      </c>
      <c r="AC225">
        <v>5.1914332161690604</v>
      </c>
      <c r="AD225">
        <v>0.22276326923119799</v>
      </c>
      <c r="AE225">
        <v>4.3966373748381304</v>
      </c>
    </row>
    <row r="226" spans="1:31" x14ac:dyDescent="0.2">
      <c r="A226">
        <v>225</v>
      </c>
      <c r="B226">
        <v>752</v>
      </c>
      <c r="C226">
        <v>160</v>
      </c>
      <c r="D226">
        <v>0.42229966346388498</v>
      </c>
      <c r="E226">
        <v>15.314293604247601</v>
      </c>
      <c r="F226">
        <v>2.2298300568564202</v>
      </c>
      <c r="G226">
        <v>-249.04211965343734</v>
      </c>
      <c r="H226">
        <v>-210.18795571051626</v>
      </c>
      <c r="I226">
        <v>37.900954926518999</v>
      </c>
      <c r="J226">
        <v>20.514947411339101</v>
      </c>
      <c r="K226">
        <v>6.8679196233624404</v>
      </c>
      <c r="L226">
        <v>1.316875129167665E-4</v>
      </c>
      <c r="M226">
        <v>1.6767253698487999E-5</v>
      </c>
      <c r="N226" s="1">
        <v>3.9561722926118499E-7</v>
      </c>
      <c r="O226" s="1">
        <v>1.17016735905332E-8</v>
      </c>
      <c r="P226" s="1">
        <v>-5.7878628747964998E-8</v>
      </c>
      <c r="Q226">
        <v>71.476841311441106</v>
      </c>
      <c r="R226">
        <v>0.208093285799577</v>
      </c>
      <c r="S226">
        <v>14.449630355155501</v>
      </c>
      <c r="T226">
        <v>0.20259404420670599</v>
      </c>
      <c r="V226">
        <v>0.48817037134650298</v>
      </c>
      <c r="W226">
        <v>0.176305879315904</v>
      </c>
      <c r="X226">
        <v>0.18538654571605401</v>
      </c>
      <c r="AA226">
        <v>0.79665262838930795</v>
      </c>
      <c r="AB226">
        <v>2.16074072803911</v>
      </c>
      <c r="AC226">
        <v>5.2099342932123198</v>
      </c>
      <c r="AD226">
        <v>0.26119389528251102</v>
      </c>
      <c r="AE226">
        <v>4.3844566620952898</v>
      </c>
    </row>
    <row r="227" spans="1:31" x14ac:dyDescent="0.2">
      <c r="A227">
        <v>226</v>
      </c>
      <c r="B227">
        <v>750</v>
      </c>
      <c r="C227">
        <v>160</v>
      </c>
      <c r="D227">
        <v>0.42103357278991599</v>
      </c>
      <c r="E227">
        <v>13.449322142065601</v>
      </c>
      <c r="F227">
        <v>2.23233351691117</v>
      </c>
      <c r="G227">
        <v>-218.70871933350432</v>
      </c>
      <c r="H227">
        <v>-184.71738846865861</v>
      </c>
      <c r="I227">
        <v>33.2222360991504</v>
      </c>
      <c r="J227">
        <v>18.031366280758402</v>
      </c>
      <c r="K227">
        <v>6.0247817094441896</v>
      </c>
      <c r="L227">
        <v>1.3152713669378443E-4</v>
      </c>
      <c r="M227">
        <v>1.676700469733461E-5</v>
      </c>
      <c r="N227" s="1">
        <v>3.4774578444161898E-7</v>
      </c>
      <c r="O227" s="1">
        <v>1.02472239849418E-8</v>
      </c>
      <c r="P227" s="1">
        <v>-5.0523805552239697E-8</v>
      </c>
      <c r="Q227">
        <v>71.173538942028401</v>
      </c>
      <c r="R227">
        <v>0.20209525346187901</v>
      </c>
      <c r="S227">
        <v>14.809593042125799</v>
      </c>
      <c r="T227">
        <v>0.19853864476587901</v>
      </c>
      <c r="V227">
        <v>0.480897563885537</v>
      </c>
      <c r="W227">
        <v>0.19949822806565301</v>
      </c>
      <c r="X227">
        <v>0.18279099721964201</v>
      </c>
      <c r="AA227">
        <v>0.81204423201268805</v>
      </c>
      <c r="AB227">
        <v>2.0486556567627798</v>
      </c>
      <c r="AC227">
        <v>5.2164598140552796</v>
      </c>
      <c r="AD227">
        <v>0.29741275863130501</v>
      </c>
      <c r="AE227">
        <v>4.3784748669851101</v>
      </c>
    </row>
    <row r="228" spans="1:31" x14ac:dyDescent="0.2">
      <c r="A228">
        <v>227</v>
      </c>
      <c r="B228">
        <v>748</v>
      </c>
      <c r="C228">
        <v>160</v>
      </c>
      <c r="D228">
        <v>0.41976252264603803</v>
      </c>
      <c r="E228">
        <v>12.116968160441299</v>
      </c>
      <c r="F228">
        <v>2.2346461132723499</v>
      </c>
      <c r="G228">
        <v>-197.03729415272971</v>
      </c>
      <c r="H228">
        <v>-166.52724333290828</v>
      </c>
      <c r="I228">
        <v>29.878128404075099</v>
      </c>
      <c r="J228">
        <v>16.2575184978039</v>
      </c>
      <c r="K228">
        <v>5.4223208267628502</v>
      </c>
      <c r="L228">
        <v>1.3140473995584091E-4</v>
      </c>
      <c r="M228">
        <v>1.6767536869997308E-5</v>
      </c>
      <c r="N228" s="1">
        <v>3.1368725170526698E-7</v>
      </c>
      <c r="O228" s="1">
        <v>9.2088530261719394E-9</v>
      </c>
      <c r="P228" s="1">
        <v>-4.5280172729074101E-8</v>
      </c>
      <c r="Q228">
        <v>70.894343398076899</v>
      </c>
      <c r="R228">
        <v>0.20038618787122101</v>
      </c>
      <c r="S228">
        <v>15.1364687907756</v>
      </c>
      <c r="T228">
        <v>0.19408431964610201</v>
      </c>
      <c r="V228">
        <v>0.47205715902791401</v>
      </c>
      <c r="W228">
        <v>0.22054118735915501</v>
      </c>
      <c r="X228">
        <v>0.18100293604950299</v>
      </c>
      <c r="AA228">
        <v>0.82674028249001397</v>
      </c>
      <c r="AB228">
        <v>1.95185857535049</v>
      </c>
      <c r="AC228">
        <v>5.2182854969381598</v>
      </c>
      <c r="AD228">
        <v>0.33011558229983501</v>
      </c>
      <c r="AE228">
        <v>4.37411608411497</v>
      </c>
    </row>
    <row r="229" spans="1:31" x14ac:dyDescent="0.2">
      <c r="A229">
        <v>228</v>
      </c>
      <c r="B229">
        <v>746</v>
      </c>
      <c r="C229">
        <v>160</v>
      </c>
      <c r="D229">
        <v>0.41848648383456999</v>
      </c>
      <c r="E229">
        <v>11.094435767788299</v>
      </c>
      <c r="F229">
        <v>2.2367992593985999</v>
      </c>
      <c r="G229">
        <v>-180.40431034680844</v>
      </c>
      <c r="H229">
        <v>-152.57014566921524</v>
      </c>
      <c r="I229">
        <v>27.3111560394379</v>
      </c>
      <c r="J229">
        <v>14.8965024062197</v>
      </c>
      <c r="K229">
        <v>4.95996040823582</v>
      </c>
      <c r="L229">
        <v>1.3131657284559003E-4</v>
      </c>
      <c r="M229">
        <v>1.6769756943944856E-5</v>
      </c>
      <c r="N229" s="1">
        <v>2.8769049407366597E-7</v>
      </c>
      <c r="O229" s="1">
        <v>8.41371776348183E-9</v>
      </c>
      <c r="P229" s="1">
        <v>-4.1271054180428397E-8</v>
      </c>
      <c r="Q229">
        <v>70.631823276517395</v>
      </c>
      <c r="R229">
        <v>0.198523964592971</v>
      </c>
      <c r="S229">
        <v>15.441477251694799</v>
      </c>
      <c r="T229">
        <v>0.189986395738895</v>
      </c>
      <c r="V229">
        <v>0.46367898808847502</v>
      </c>
      <c r="W229">
        <v>0.239950894062328</v>
      </c>
      <c r="X229">
        <v>0.17920640996124601</v>
      </c>
      <c r="AA229">
        <v>0.84121505468188096</v>
      </c>
      <c r="AB229">
        <v>1.86619652866164</v>
      </c>
      <c r="AC229">
        <v>5.2158456930195296</v>
      </c>
      <c r="AD229">
        <v>0.36054109318529998</v>
      </c>
      <c r="AE229">
        <v>4.3715544497953802</v>
      </c>
    </row>
    <row r="230" spans="1:31" x14ac:dyDescent="0.2">
      <c r="A230">
        <v>229</v>
      </c>
      <c r="B230">
        <v>744</v>
      </c>
      <c r="C230">
        <v>160</v>
      </c>
      <c r="D230">
        <v>0.41720542692818402</v>
      </c>
      <c r="E230">
        <v>10.278344536468</v>
      </c>
      <c r="F230">
        <v>2.23882716963272</v>
      </c>
      <c r="G230">
        <v>-167.12856399112263</v>
      </c>
      <c r="H230">
        <v>-141.43330685424033</v>
      </c>
      <c r="I230">
        <v>25.2620136035809</v>
      </c>
      <c r="J230">
        <v>13.810528563355</v>
      </c>
      <c r="K230">
        <v>4.5909504207750702</v>
      </c>
      <c r="L230">
        <v>1.3125511259388337E-4</v>
      </c>
      <c r="M230">
        <v>1.6773280742323127E-5</v>
      </c>
      <c r="N230" s="1">
        <v>2.6705352629017203E-7</v>
      </c>
      <c r="O230" s="1">
        <v>7.7804814377033808E-9</v>
      </c>
      <c r="P230" s="1">
        <v>-3.8083232470752701E-8</v>
      </c>
      <c r="Q230">
        <v>70.382556014484393</v>
      </c>
      <c r="R230">
        <v>0.196549013648354</v>
      </c>
      <c r="S230">
        <v>15.7290473086471</v>
      </c>
      <c r="T230">
        <v>0.18617288532854401</v>
      </c>
      <c r="V230">
        <v>0.45567559905101301</v>
      </c>
      <c r="W230">
        <v>0.25806332095801598</v>
      </c>
      <c r="X230">
        <v>0.17740386881415601</v>
      </c>
      <c r="AA230">
        <v>0.855592342711603</v>
      </c>
      <c r="AB230">
        <v>1.7892746527136001</v>
      </c>
      <c r="AC230">
        <v>5.2100980090483802</v>
      </c>
      <c r="AD230">
        <v>0.38916772888864998</v>
      </c>
      <c r="AE230">
        <v>4.3703992557060296</v>
      </c>
    </row>
    <row r="231" spans="1:31" x14ac:dyDescent="0.2">
      <c r="A231">
        <v>230</v>
      </c>
      <c r="B231">
        <v>776</v>
      </c>
      <c r="C231">
        <v>150</v>
      </c>
      <c r="D231">
        <v>0.447600915026452</v>
      </c>
      <c r="E231">
        <v>104.585655722399</v>
      </c>
      <c r="F231">
        <v>2.2048490356166299</v>
      </c>
      <c r="G231">
        <v>-1708.08185674073</v>
      </c>
      <c r="H231">
        <v>-1430.5640298544176</v>
      </c>
      <c r="I231">
        <v>264.51682494048703</v>
      </c>
      <c r="J231">
        <v>139.890626908012</v>
      </c>
      <c r="K231">
        <v>47.434383956881398</v>
      </c>
      <c r="L231">
        <v>1.3449625402097985E-4</v>
      </c>
      <c r="M231">
        <v>1.7122529996417972E-5</v>
      </c>
      <c r="N231" s="1">
        <v>2.6966638766970799E-6</v>
      </c>
      <c r="O231" s="1">
        <v>8.3656728547098698E-8</v>
      </c>
      <c r="P231" s="1">
        <v>-4.1829599743439801E-7</v>
      </c>
      <c r="Q231">
        <v>73.403947673089206</v>
      </c>
      <c r="R231">
        <v>9.1790790368816794E-2</v>
      </c>
      <c r="S231">
        <v>12.3917566997909</v>
      </c>
      <c r="T231">
        <v>0.241785928542775</v>
      </c>
      <c r="V231">
        <v>0.57396768000700005</v>
      </c>
      <c r="W231">
        <v>2.58161597912295E-2</v>
      </c>
      <c r="X231">
        <v>0.114738487961022</v>
      </c>
      <c r="AA231">
        <v>0.75536171241005101</v>
      </c>
      <c r="AB231">
        <v>3.3943469355135201</v>
      </c>
      <c r="AC231">
        <v>4.4843625711431798</v>
      </c>
      <c r="AD231">
        <v>3.8246162653672602E-2</v>
      </c>
      <c r="AE231">
        <v>4.4838791987285802</v>
      </c>
    </row>
    <row r="232" spans="1:31" x14ac:dyDescent="0.2">
      <c r="A232">
        <v>231</v>
      </c>
      <c r="B232">
        <v>774</v>
      </c>
      <c r="C232">
        <v>150</v>
      </c>
      <c r="D232">
        <v>0.44641216635630598</v>
      </c>
      <c r="E232">
        <v>104.037307865922</v>
      </c>
      <c r="F232">
        <v>2.2054590377105501</v>
      </c>
      <c r="G232">
        <v>-1698.4209991372259</v>
      </c>
      <c r="H232">
        <v>-1423.280345714767</v>
      </c>
      <c r="I232">
        <v>262.75190127723602</v>
      </c>
      <c r="J232">
        <v>139.07695557820301</v>
      </c>
      <c r="K232">
        <v>47.172632131005798</v>
      </c>
      <c r="L232">
        <v>1.3417027665114332E-4</v>
      </c>
      <c r="M232">
        <v>1.7095906634520177E-5</v>
      </c>
      <c r="N232" s="1">
        <v>2.6834635266766699E-6</v>
      </c>
      <c r="O232" s="1">
        <v>8.2952273086160706E-8</v>
      </c>
      <c r="P232" s="1">
        <v>-4.1484188146332302E-7</v>
      </c>
      <c r="Q232">
        <v>73.472474118151595</v>
      </c>
      <c r="R232">
        <v>9.2274590691754699E-2</v>
      </c>
      <c r="S232">
        <v>12.347848195968799</v>
      </c>
      <c r="T232">
        <v>0.24367089878227199</v>
      </c>
      <c r="V232">
        <v>0.57644346458420503</v>
      </c>
      <c r="W232">
        <v>2.59522286320556E-2</v>
      </c>
      <c r="X232">
        <v>0.115343238364696</v>
      </c>
      <c r="AA232">
        <v>0.74351965735433301</v>
      </c>
      <c r="AB232">
        <v>3.3680170582577</v>
      </c>
      <c r="AC232">
        <v>4.50087909576561</v>
      </c>
      <c r="AD232">
        <v>3.8447746121562397E-2</v>
      </c>
      <c r="AE232">
        <v>4.4751297073252401</v>
      </c>
    </row>
    <row r="233" spans="1:31" x14ac:dyDescent="0.2">
      <c r="A233">
        <v>232</v>
      </c>
      <c r="B233">
        <v>772</v>
      </c>
      <c r="C233">
        <v>150</v>
      </c>
      <c r="D233">
        <v>0.44521886810505501</v>
      </c>
      <c r="E233">
        <v>103.319384208385</v>
      </c>
      <c r="F233">
        <v>2.2060801890601498</v>
      </c>
      <c r="G233">
        <v>-1685.9467606046726</v>
      </c>
      <c r="H233">
        <v>-1413.6567519367143</v>
      </c>
      <c r="I233">
        <v>260.52720534655998</v>
      </c>
      <c r="J233">
        <v>138.02055868962901</v>
      </c>
      <c r="K233">
        <v>46.833920507849598</v>
      </c>
      <c r="L233">
        <v>1.3376531232677479E-4</v>
      </c>
      <c r="M233">
        <v>1.7065075774201207E-5</v>
      </c>
      <c r="N233" s="1">
        <v>2.6642024226729401E-6</v>
      </c>
      <c r="O233" s="1">
        <v>8.2070015588362301E-8</v>
      </c>
      <c r="P233" s="1">
        <v>-4.1037780669123599E-7</v>
      </c>
      <c r="Q233">
        <v>73.562178206323196</v>
      </c>
      <c r="R233">
        <v>9.2915768648386493E-2</v>
      </c>
      <c r="S233">
        <v>12.290485794915</v>
      </c>
      <c r="T233">
        <v>0.245943337994115</v>
      </c>
      <c r="V233">
        <v>0.57992769737114302</v>
      </c>
      <c r="W233">
        <v>2.61325599323581E-2</v>
      </c>
      <c r="X233">
        <v>0.116144710810487</v>
      </c>
      <c r="AA233">
        <v>0.72876948097093197</v>
      </c>
      <c r="AB233">
        <v>3.33292372997844</v>
      </c>
      <c r="AC233">
        <v>4.5222504300968298</v>
      </c>
      <c r="AD233">
        <v>3.8714903603491599E-2</v>
      </c>
      <c r="AE233">
        <v>4.46361337935544</v>
      </c>
    </row>
    <row r="234" spans="1:31" x14ac:dyDescent="0.2">
      <c r="A234">
        <v>233</v>
      </c>
      <c r="B234">
        <v>770</v>
      </c>
      <c r="C234">
        <v>150</v>
      </c>
      <c r="D234">
        <v>0.44402099410439499</v>
      </c>
      <c r="E234">
        <v>102.60003047394601</v>
      </c>
      <c r="F234">
        <v>2.2067096925217302</v>
      </c>
      <c r="G234">
        <v>-1673.4604757374791</v>
      </c>
      <c r="H234">
        <v>-1404.0125960244022</v>
      </c>
      <c r="I234">
        <v>258.30214227395601</v>
      </c>
      <c r="J234">
        <v>136.96325958922799</v>
      </c>
      <c r="K234">
        <v>46.494575531002099</v>
      </c>
      <c r="L234">
        <v>1.3335591900331134E-4</v>
      </c>
      <c r="M234">
        <v>1.7034104057874777E-5</v>
      </c>
      <c r="N234" s="1">
        <v>2.6447880401545199E-6</v>
      </c>
      <c r="O234" s="1">
        <v>8.1188748660778395E-8</v>
      </c>
      <c r="P234" s="1">
        <v>-4.0590485557763601E-7</v>
      </c>
      <c r="Q234">
        <v>73.652140137458403</v>
      </c>
      <c r="R234">
        <v>9.3567223670930996E-2</v>
      </c>
      <c r="S234">
        <v>12.2331207991546</v>
      </c>
      <c r="T234">
        <v>0.24825235724282499</v>
      </c>
      <c r="V234">
        <v>0.58346763611839703</v>
      </c>
      <c r="W234">
        <v>2.6315781657448599E-2</v>
      </c>
      <c r="X234">
        <v>0.11695902958866899</v>
      </c>
      <c r="AA234">
        <v>0.71481460995208501</v>
      </c>
      <c r="AB234">
        <v>3.2970881592827799</v>
      </c>
      <c r="AC234">
        <v>4.5433514796722498</v>
      </c>
      <c r="AD234">
        <v>3.8986343196217799E-2</v>
      </c>
      <c r="AE234">
        <v>4.4519364430052697</v>
      </c>
    </row>
    <row r="235" spans="1:31" x14ac:dyDescent="0.2">
      <c r="A235">
        <v>234</v>
      </c>
      <c r="B235">
        <v>768</v>
      </c>
      <c r="C235">
        <v>150</v>
      </c>
      <c r="D235">
        <v>0.442818517984921</v>
      </c>
      <c r="E235">
        <v>99.4922634899998</v>
      </c>
      <c r="F235">
        <v>2.2083638922127302</v>
      </c>
      <c r="G235">
        <v>-1621.3309233564389</v>
      </c>
      <c r="H235">
        <v>-1361.0405839045795</v>
      </c>
      <c r="I235">
        <v>250.00272722648899</v>
      </c>
      <c r="J235">
        <v>132.73976285827601</v>
      </c>
      <c r="K235">
        <v>45.052477012885198</v>
      </c>
      <c r="L235">
        <v>1.3297574997701373E-4</v>
      </c>
      <c r="M235">
        <v>1.6975530878508907E-5</v>
      </c>
      <c r="N235" s="1">
        <v>2.55734927509948E-6</v>
      </c>
      <c r="O235" s="1">
        <v>7.8253037279774699E-8</v>
      </c>
      <c r="P235" s="1">
        <v>-3.92166808806165E-7</v>
      </c>
      <c r="Q235">
        <v>73.5953185191823</v>
      </c>
      <c r="R235">
        <v>9.6489914524510598E-2</v>
      </c>
      <c r="S235">
        <v>12.2431049754779</v>
      </c>
      <c r="T235">
        <v>0.25685204947316198</v>
      </c>
      <c r="V235">
        <v>0.60093245356283898</v>
      </c>
      <c r="W235">
        <v>2.71377884600171E-2</v>
      </c>
      <c r="X235">
        <v>0.12061239315565001</v>
      </c>
      <c r="AA235">
        <v>0.69080121929385496</v>
      </c>
      <c r="AB235">
        <v>3.2460178999225602</v>
      </c>
      <c r="AC235">
        <v>4.6534540315231796</v>
      </c>
      <c r="AD235">
        <v>4.0204131051872503E-2</v>
      </c>
      <c r="AE235">
        <v>4.4290746243720003</v>
      </c>
    </row>
    <row r="236" spans="1:31" x14ac:dyDescent="0.2">
      <c r="A236">
        <v>235</v>
      </c>
      <c r="B236">
        <v>766</v>
      </c>
      <c r="C236">
        <v>150</v>
      </c>
      <c r="D236">
        <v>0.44161141317423203</v>
      </c>
      <c r="E236">
        <v>96.0056226976522</v>
      </c>
      <c r="F236">
        <v>2.21025582750408</v>
      </c>
      <c r="G236">
        <v>-1562.991889679648</v>
      </c>
      <c r="H236">
        <v>-1312.8097525385394</v>
      </c>
      <c r="I236">
        <v>240.75651940634901</v>
      </c>
      <c r="J236">
        <v>128.016484712779</v>
      </c>
      <c r="K236">
        <v>43.436430074280501</v>
      </c>
      <c r="L236">
        <v>1.325750647555741E-4</v>
      </c>
      <c r="M236">
        <v>1.6911183652497464E-5</v>
      </c>
      <c r="N236" s="1">
        <v>2.4590535935569898E-6</v>
      </c>
      <c r="O236" s="1">
        <v>7.5009146188177005E-8</v>
      </c>
      <c r="P236" s="1">
        <v>-3.7691040792004602E-7</v>
      </c>
      <c r="Q236">
        <v>73.516863380410996</v>
      </c>
      <c r="R236">
        <v>9.9994143366303995E-2</v>
      </c>
      <c r="S236">
        <v>12.2625456194445</v>
      </c>
      <c r="T236">
        <v>0.26706454652347</v>
      </c>
      <c r="V236">
        <v>0.62196076337206796</v>
      </c>
      <c r="W236">
        <v>2.8123352821770101E-2</v>
      </c>
      <c r="X236">
        <v>0.124992679207903</v>
      </c>
      <c r="AA236">
        <v>0.66881727837369598</v>
      </c>
      <c r="AB236">
        <v>3.1870688695987899</v>
      </c>
      <c r="AC236">
        <v>4.7774604731307297</v>
      </c>
      <c r="AD236">
        <v>4.1664226402613101E-2</v>
      </c>
      <c r="AE236">
        <v>4.4034446673469798</v>
      </c>
    </row>
    <row r="237" spans="1:31" x14ac:dyDescent="0.2">
      <c r="A237">
        <v>236</v>
      </c>
      <c r="B237">
        <v>764</v>
      </c>
      <c r="C237">
        <v>150</v>
      </c>
      <c r="D237">
        <v>0.44039965289495597</v>
      </c>
      <c r="E237">
        <v>92.330373221082993</v>
      </c>
      <c r="F237">
        <v>2.2122987319162801</v>
      </c>
      <c r="G237">
        <v>-1501.6347222649656</v>
      </c>
      <c r="H237">
        <v>-1261.99741484521</v>
      </c>
      <c r="I237">
        <v>231.05366380924099</v>
      </c>
      <c r="J237">
        <v>123.04571734532</v>
      </c>
      <c r="K237">
        <v>41.7350387129258</v>
      </c>
      <c r="L237">
        <v>1.3214686794372886E-4</v>
      </c>
      <c r="M237">
        <v>1.6844077600726836E-5</v>
      </c>
      <c r="N237" s="1">
        <v>2.3556185056637601E-6</v>
      </c>
      <c r="O237" s="1">
        <v>7.1631346917160405E-8</v>
      </c>
      <c r="P237" s="1">
        <v>-3.6086780573265402E-7</v>
      </c>
      <c r="Q237">
        <v>73.432946138230804</v>
      </c>
      <c r="R237">
        <v>0.103974452448203</v>
      </c>
      <c r="S237">
        <v>12.2836377056088</v>
      </c>
      <c r="T237">
        <v>0.27857817051045902</v>
      </c>
      <c r="V237">
        <v>0.64592363465958602</v>
      </c>
      <c r="W237">
        <v>2.9242814751053999E-2</v>
      </c>
      <c r="X237">
        <v>0.12996806556028001</v>
      </c>
      <c r="AA237">
        <v>0.65093971071411105</v>
      </c>
      <c r="AB237">
        <v>3.1206596761284899</v>
      </c>
      <c r="AC237">
        <v>4.9046509249236303</v>
      </c>
      <c r="AD237">
        <v>4.3322688520069201E-2</v>
      </c>
      <c r="AE237">
        <v>4.3761560179443801</v>
      </c>
    </row>
    <row r="238" spans="1:31" x14ac:dyDescent="0.2">
      <c r="A238">
        <v>237</v>
      </c>
      <c r="B238">
        <v>762</v>
      </c>
      <c r="C238">
        <v>150</v>
      </c>
      <c r="D238">
        <v>0.439183210162781</v>
      </c>
      <c r="E238">
        <v>46.758112573211903</v>
      </c>
      <c r="F238">
        <v>2.2170238919353298</v>
      </c>
      <c r="G238">
        <v>-760.38811588548811</v>
      </c>
      <c r="H238">
        <v>-639.76056444553387</v>
      </c>
      <c r="I238">
        <v>116.531470260304</v>
      </c>
      <c r="J238">
        <v>62.3472362227388</v>
      </c>
      <c r="K238">
        <v>21.090486549693701</v>
      </c>
      <c r="L238">
        <v>1.3096479981071122E-4</v>
      </c>
      <c r="M238">
        <v>1.6743249895687272E-5</v>
      </c>
      <c r="N238" s="1">
        <v>1.17900940289399E-6</v>
      </c>
      <c r="O238" s="1">
        <v>3.5755165703753401E-8</v>
      </c>
      <c r="P238" s="1">
        <v>-1.7926661355747599E-7</v>
      </c>
      <c r="Q238">
        <v>73.088155013906999</v>
      </c>
      <c r="R238">
        <v>0.13659223841621401</v>
      </c>
      <c r="S238">
        <v>12.700253566252901</v>
      </c>
      <c r="T238">
        <v>0.248619702596063</v>
      </c>
      <c r="V238">
        <v>0.58047210955830097</v>
      </c>
      <c r="W238">
        <v>5.7743990324076497E-2</v>
      </c>
      <c r="X238">
        <v>0.181611141016945</v>
      </c>
      <c r="AA238">
        <v>0.71188142443230396</v>
      </c>
      <c r="AB238">
        <v>2.8223776836669798</v>
      </c>
      <c r="AC238">
        <v>5.0714942482794898</v>
      </c>
      <c r="AD238">
        <v>8.5546652331912498E-2</v>
      </c>
      <c r="AE238">
        <v>4.3152522292176698</v>
      </c>
    </row>
    <row r="239" spans="1:31" x14ac:dyDescent="0.2">
      <c r="A239">
        <v>238</v>
      </c>
      <c r="B239">
        <v>760</v>
      </c>
      <c r="C239">
        <v>150</v>
      </c>
      <c r="D239">
        <v>0.43796205778444602</v>
      </c>
      <c r="E239">
        <v>27.701000285198699</v>
      </c>
      <c r="F239">
        <v>2.2218073243574201</v>
      </c>
      <c r="G239">
        <v>-450.48239536752862</v>
      </c>
      <c r="H239">
        <v>-379.41032551511768</v>
      </c>
      <c r="I239">
        <v>68.791627403969301</v>
      </c>
      <c r="J239">
        <v>36.9716329062569</v>
      </c>
      <c r="K239">
        <v>12.467777912835</v>
      </c>
      <c r="L239">
        <v>1.3016833294419666E-4</v>
      </c>
      <c r="M239">
        <v>1.669571254270066E-5</v>
      </c>
      <c r="N239" s="1">
        <v>6.9347222910048697E-7</v>
      </c>
      <c r="O239" s="1">
        <v>2.0964702921662701E-8</v>
      </c>
      <c r="P239" s="1">
        <v>-1.04376493262392E-7</v>
      </c>
      <c r="Q239">
        <v>72.614538029180594</v>
      </c>
      <c r="R239">
        <v>0.170911638247257</v>
      </c>
      <c r="S239">
        <v>13.275953038512499</v>
      </c>
      <c r="T239">
        <v>0.22969283521262701</v>
      </c>
      <c r="V239">
        <v>0.542634253771207</v>
      </c>
      <c r="W239">
        <v>9.7469404433101106E-2</v>
      </c>
      <c r="X239">
        <v>0.18662399170428301</v>
      </c>
      <c r="AA239">
        <v>0.74988653671731997</v>
      </c>
      <c r="AB239">
        <v>2.5495452377524499</v>
      </c>
      <c r="AC239">
        <v>5.16374863089196</v>
      </c>
      <c r="AD239">
        <v>0.14439911767855601</v>
      </c>
      <c r="AE239">
        <v>4.2745972858980901</v>
      </c>
    </row>
    <row r="240" spans="1:31" x14ac:dyDescent="0.2">
      <c r="A240">
        <v>239</v>
      </c>
      <c r="B240">
        <v>758</v>
      </c>
      <c r="C240">
        <v>150</v>
      </c>
      <c r="D240">
        <v>0.43673616835572199</v>
      </c>
      <c r="E240">
        <v>20.781034380195099</v>
      </c>
      <c r="F240">
        <v>2.2254597578032098</v>
      </c>
      <c r="G240">
        <v>-337.94962951847043</v>
      </c>
      <c r="H240">
        <v>-284.87818623517262</v>
      </c>
      <c r="I240">
        <v>51.4682085858486</v>
      </c>
      <c r="J240">
        <v>27.761075318261501</v>
      </c>
      <c r="K240">
        <v>9.3378612250029907</v>
      </c>
      <c r="L240">
        <v>1.2970966936916818E-4</v>
      </c>
      <c r="M240">
        <v>1.667342016570966E-5</v>
      </c>
      <c r="N240" s="1">
        <v>5.1863565395395704E-7</v>
      </c>
      <c r="O240" s="1">
        <v>1.5625285859240499E-8</v>
      </c>
      <c r="P240" s="1">
        <v>-7.7385509232225803E-8</v>
      </c>
      <c r="Q240">
        <v>72.219827180041804</v>
      </c>
      <c r="R240">
        <v>0.19030219419943101</v>
      </c>
      <c r="S240">
        <v>13.748565351079</v>
      </c>
      <c r="T240">
        <v>0.21769911745635601</v>
      </c>
      <c r="V240">
        <v>0.51878563382390197</v>
      </c>
      <c r="W240">
        <v>0.12992616010358901</v>
      </c>
      <c r="X240">
        <v>0.188649845315325</v>
      </c>
      <c r="AA240">
        <v>0.77084212331881297</v>
      </c>
      <c r="AB240">
        <v>2.3605297167250598</v>
      </c>
      <c r="AC240">
        <v>5.2105710271257397</v>
      </c>
      <c r="AD240">
        <v>0.192483200153303</v>
      </c>
      <c r="AE240">
        <v>4.2518184506575301</v>
      </c>
    </row>
    <row r="241" spans="1:31" x14ac:dyDescent="0.2">
      <c r="A241">
        <v>240</v>
      </c>
      <c r="B241">
        <v>756</v>
      </c>
      <c r="C241">
        <v>150</v>
      </c>
      <c r="D241">
        <v>0.43550551425934297</v>
      </c>
      <c r="E241">
        <v>17.119972925659301</v>
      </c>
      <c r="F241">
        <v>2.2285280533957801</v>
      </c>
      <c r="G241">
        <v>-278.41002736893068</v>
      </c>
      <c r="H241">
        <v>-234.87230354274658</v>
      </c>
      <c r="I241">
        <v>42.304546301495499</v>
      </c>
      <c r="J241">
        <v>22.889720605069101</v>
      </c>
      <c r="K241">
        <v>7.6821886534352704</v>
      </c>
      <c r="L241">
        <v>1.2940208083283669E-4</v>
      </c>
      <c r="M241">
        <v>1.6661102392267671E-5</v>
      </c>
      <c r="N241" s="1">
        <v>4.2674503527696301E-7</v>
      </c>
      <c r="O241" s="1">
        <v>1.28109922017285E-8</v>
      </c>
      <c r="P241" s="1">
        <v>-6.3180621497118002E-8</v>
      </c>
      <c r="Q241">
        <v>71.875276560716699</v>
      </c>
      <c r="R241">
        <v>0.20339211813371</v>
      </c>
      <c r="S241">
        <v>14.1562527129429</v>
      </c>
      <c r="T241">
        <v>0.20865471022468199</v>
      </c>
      <c r="V241">
        <v>0.500576375840878</v>
      </c>
      <c r="W241">
        <v>0.15771052978434699</v>
      </c>
      <c r="X241">
        <v>0.18948079905293699</v>
      </c>
      <c r="AA241">
        <v>0.78730444964248403</v>
      </c>
      <c r="AB241">
        <v>2.2131419660334801</v>
      </c>
      <c r="AC241">
        <v>5.2375003577549304</v>
      </c>
      <c r="AD241">
        <v>0.233645229309943</v>
      </c>
      <c r="AE241">
        <v>4.2370641905628599</v>
      </c>
    </row>
    <row r="242" spans="1:31" x14ac:dyDescent="0.2">
      <c r="A242">
        <v>241</v>
      </c>
      <c r="B242">
        <v>754</v>
      </c>
      <c r="C242">
        <v>150</v>
      </c>
      <c r="D242">
        <v>0.43427006766295001</v>
      </c>
      <c r="E242">
        <v>14.806091627876601</v>
      </c>
      <c r="F242">
        <v>2.2312342733272499</v>
      </c>
      <c r="G242">
        <v>-240.77691313450745</v>
      </c>
      <c r="H242">
        <v>-203.27286704774696</v>
      </c>
      <c r="I242">
        <v>36.5127255870715</v>
      </c>
      <c r="J242">
        <v>19.8118009601578</v>
      </c>
      <c r="K242">
        <v>6.6358301344114601</v>
      </c>
      <c r="L242">
        <v>1.2918209121045587E-4</v>
      </c>
      <c r="M242">
        <v>1.6654175470205389E-5</v>
      </c>
      <c r="N242" s="1">
        <v>3.6901738552656401E-7</v>
      </c>
      <c r="O242" s="1">
        <v>1.10376705876011E-8</v>
      </c>
      <c r="P242" s="1">
        <v>-5.4243196632821697E-8</v>
      </c>
      <c r="Q242">
        <v>71.5643811670312</v>
      </c>
      <c r="R242">
        <v>0.21313467785337201</v>
      </c>
      <c r="S242">
        <v>14.5204481602972</v>
      </c>
      <c r="T242">
        <v>0.20123537627173799</v>
      </c>
      <c r="V242">
        <v>0.48537118526071099</v>
      </c>
      <c r="W242">
        <v>0.182357374779165</v>
      </c>
      <c r="X242">
        <v>0.189700070391873</v>
      </c>
      <c r="AA242">
        <v>0.80204969911874402</v>
      </c>
      <c r="AB242">
        <v>2.0912226542121402</v>
      </c>
      <c r="AC242">
        <v>5.2529782406223502</v>
      </c>
      <c r="AD242">
        <v>0.27015907374666498</v>
      </c>
      <c r="AE242">
        <v>4.2269623204147404</v>
      </c>
    </row>
    <row r="243" spans="1:31" x14ac:dyDescent="0.2">
      <c r="A243">
        <v>242</v>
      </c>
      <c r="B243">
        <v>752</v>
      </c>
      <c r="C243">
        <v>150</v>
      </c>
      <c r="D243">
        <v>0.43302980051699702</v>
      </c>
      <c r="E243">
        <v>13.129822760823201</v>
      </c>
      <c r="F243">
        <v>2.2336248398100902</v>
      </c>
      <c r="G243">
        <v>-213.51217510302945</v>
      </c>
      <c r="H243">
        <v>-180.37970126655233</v>
      </c>
      <c r="I243">
        <v>32.319635015829</v>
      </c>
      <c r="J243">
        <v>17.582710388985099</v>
      </c>
      <c r="K243">
        <v>5.8782578554864102</v>
      </c>
      <c r="L243">
        <v>1.2903911239647901E-4</v>
      </c>
      <c r="M243">
        <v>1.6654529275296662E-5</v>
      </c>
      <c r="N243" s="1">
        <v>3.2758423490771701E-7</v>
      </c>
      <c r="O243" s="1">
        <v>9.7617893522278603E-9</v>
      </c>
      <c r="P243" s="1">
        <v>-4.7825161481415002E-8</v>
      </c>
      <c r="Q243">
        <v>71.272989321135</v>
      </c>
      <c r="R243">
        <v>0.209039131229658</v>
      </c>
      <c r="S243">
        <v>14.864460247997901</v>
      </c>
      <c r="T243">
        <v>0.196953016337756</v>
      </c>
      <c r="V243">
        <v>0.47731361449871101</v>
      </c>
      <c r="W243">
        <v>0.20454306305419001</v>
      </c>
      <c r="X243">
        <v>0.18747033823402001</v>
      </c>
      <c r="AA243">
        <v>0.81665876954832095</v>
      </c>
      <c r="AB243">
        <v>1.9859549401922501</v>
      </c>
      <c r="AC243">
        <v>5.2580412860896102</v>
      </c>
      <c r="AD243">
        <v>0.30464996160725299</v>
      </c>
      <c r="AE243">
        <v>4.2219263100752</v>
      </c>
    </row>
    <row r="244" spans="1:31" x14ac:dyDescent="0.2">
      <c r="A244">
        <v>243</v>
      </c>
      <c r="B244">
        <v>750</v>
      </c>
      <c r="C244">
        <v>150</v>
      </c>
      <c r="D244">
        <v>0.43178468455260599</v>
      </c>
      <c r="E244">
        <v>11.898667944485601</v>
      </c>
      <c r="F244">
        <v>2.235838801781</v>
      </c>
      <c r="G244">
        <v>-193.48625254226633</v>
      </c>
      <c r="H244">
        <v>-163.5705133743449</v>
      </c>
      <c r="I244">
        <v>29.238859568901301</v>
      </c>
      <c r="J244">
        <v>15.945937989773901</v>
      </c>
      <c r="K244">
        <v>5.3217915061709702</v>
      </c>
      <c r="L244">
        <v>1.2893248261790821E-4</v>
      </c>
      <c r="M244">
        <v>1.6656100611075519E-5</v>
      </c>
      <c r="N244" s="1">
        <v>2.9729605296186099E-7</v>
      </c>
      <c r="O244" s="1">
        <v>8.82596494612007E-9</v>
      </c>
      <c r="P244" s="1">
        <v>-4.31243964455609E-8</v>
      </c>
      <c r="Q244">
        <v>71.002513827184799</v>
      </c>
      <c r="R244">
        <v>0.207188682676122</v>
      </c>
      <c r="S244">
        <v>15.180336757007</v>
      </c>
      <c r="T244">
        <v>0.19264208056873799</v>
      </c>
      <c r="V244">
        <v>0.46867137918166002</v>
      </c>
      <c r="W244">
        <v>0.22480526140193099</v>
      </c>
      <c r="X244">
        <v>0.18566592689931999</v>
      </c>
      <c r="AA244">
        <v>0.83076204730499004</v>
      </c>
      <c r="AB244">
        <v>1.89425359990097</v>
      </c>
      <c r="AC244">
        <v>5.2584301869088197</v>
      </c>
      <c r="AD244">
        <v>0.336172084022893</v>
      </c>
      <c r="AE244">
        <v>4.2185581669426497</v>
      </c>
    </row>
    <row r="245" spans="1:31" x14ac:dyDescent="0.2">
      <c r="A245">
        <v>244</v>
      </c>
      <c r="B245">
        <v>748</v>
      </c>
      <c r="C245">
        <v>150</v>
      </c>
      <c r="D245">
        <v>0.43053469127944</v>
      </c>
      <c r="E245">
        <v>10.9404323044321</v>
      </c>
      <c r="F245">
        <v>2.2379088026821399</v>
      </c>
      <c r="G245">
        <v>-177.89870719875594</v>
      </c>
      <c r="H245">
        <v>-150.49051572592998</v>
      </c>
      <c r="I245">
        <v>26.840514589263002</v>
      </c>
      <c r="J245">
        <v>14.672311209211299</v>
      </c>
      <c r="K245">
        <v>4.8886854957270804</v>
      </c>
      <c r="L245">
        <v>1.2885621208949839E-4</v>
      </c>
      <c r="M245">
        <v>1.6659165775665071E-5</v>
      </c>
      <c r="N245" s="1">
        <v>2.7384886123302298E-7</v>
      </c>
      <c r="O245" s="1">
        <v>8.0991773951728508E-9</v>
      </c>
      <c r="P245" s="1">
        <v>-3.9479221267430801E-8</v>
      </c>
      <c r="Q245">
        <v>70.747392975630802</v>
      </c>
      <c r="R245">
        <v>0.205198548884205</v>
      </c>
      <c r="S245">
        <v>15.4762055567884</v>
      </c>
      <c r="T245">
        <v>0.18865839583656299</v>
      </c>
      <c r="V245">
        <v>0.46045608276765099</v>
      </c>
      <c r="W245">
        <v>0.24356939744402001</v>
      </c>
      <c r="X245">
        <v>0.183854601396989</v>
      </c>
      <c r="AA245">
        <v>0.84469184100573003</v>
      </c>
      <c r="AB245">
        <v>1.81271582171761</v>
      </c>
      <c r="AC245">
        <v>5.2548832720483301</v>
      </c>
      <c r="AD245">
        <v>0.365616265307314</v>
      </c>
      <c r="AE245">
        <v>4.2167572411722896</v>
      </c>
    </row>
    <row r="246" spans="1:31" x14ac:dyDescent="0.2">
      <c r="A246">
        <v>245</v>
      </c>
      <c r="B246">
        <v>782</v>
      </c>
      <c r="C246">
        <v>140</v>
      </c>
      <c r="D246">
        <v>0.46156518030611998</v>
      </c>
      <c r="E246">
        <v>104.40837316169799</v>
      </c>
      <c r="F246">
        <v>2.2050891820594698</v>
      </c>
      <c r="G246">
        <v>-1706.2136969629394</v>
      </c>
      <c r="H246">
        <v>-1427.920100881322</v>
      </c>
      <c r="I246">
        <v>263.747899428153</v>
      </c>
      <c r="J246">
        <v>139.53720808537</v>
      </c>
      <c r="K246">
        <v>47.348821086766499</v>
      </c>
      <c r="L246">
        <v>1.320811600811171E-4</v>
      </c>
      <c r="M246">
        <v>1.7016680242517115E-5</v>
      </c>
      <c r="N246" s="1">
        <v>2.5847437119210999E-6</v>
      </c>
      <c r="O246" s="1">
        <v>8.1665383982713501E-8</v>
      </c>
      <c r="P246" s="1">
        <v>-4.054848980923E-7</v>
      </c>
      <c r="Q246">
        <v>73.528585567684999</v>
      </c>
      <c r="R246">
        <v>9.1946648619190594E-2</v>
      </c>
      <c r="S246">
        <v>12.412797563591299</v>
      </c>
      <c r="T246">
        <v>0.241237085565047</v>
      </c>
      <c r="V246">
        <v>0.57580553009020097</v>
      </c>
      <c r="W246">
        <v>2.58599949241471E-2</v>
      </c>
      <c r="X246">
        <v>0.11493331077398999</v>
      </c>
      <c r="AA246">
        <v>0.75664429592875204</v>
      </c>
      <c r="AB246">
        <v>3.4001104437304601</v>
      </c>
      <c r="AC246">
        <v>4.49197689608331</v>
      </c>
      <c r="AD246">
        <v>3.8311103591328298E-2</v>
      </c>
      <c r="AE246">
        <v>4.3217915594171199</v>
      </c>
    </row>
    <row r="247" spans="1:31" x14ac:dyDescent="0.2">
      <c r="A247">
        <v>246</v>
      </c>
      <c r="B247">
        <v>780</v>
      </c>
      <c r="C247">
        <v>140</v>
      </c>
      <c r="D247">
        <v>0.46040972321132001</v>
      </c>
      <c r="E247">
        <v>104.275933123935</v>
      </c>
      <c r="F247">
        <v>2.20566540069504</v>
      </c>
      <c r="G247">
        <v>-1703.4808471251079</v>
      </c>
      <c r="H247">
        <v>-1426.3723798427288</v>
      </c>
      <c r="I247">
        <v>263.12345561636801</v>
      </c>
      <c r="J247">
        <v>139.32247556168201</v>
      </c>
      <c r="K247">
        <v>47.276406063710702</v>
      </c>
      <c r="L247">
        <v>1.3195210134949592E-4</v>
      </c>
      <c r="M247">
        <v>1.7001213374441741E-5</v>
      </c>
      <c r="N247" s="1">
        <v>2.5863456531452598E-6</v>
      </c>
      <c r="O247" s="1">
        <v>8.1416140505047694E-8</v>
      </c>
      <c r="P247" s="1">
        <v>-4.0457432418513799E-7</v>
      </c>
      <c r="Q247">
        <v>73.544968066143994</v>
      </c>
      <c r="R247">
        <v>9.2063429330237506E-2</v>
      </c>
      <c r="S247">
        <v>12.4020774910162</v>
      </c>
      <c r="T247">
        <v>0.24222873731907599</v>
      </c>
      <c r="V247">
        <v>0.57592025304885697</v>
      </c>
      <c r="W247">
        <v>2.5892839499128899E-2</v>
      </c>
      <c r="X247">
        <v>0.1150792866628</v>
      </c>
      <c r="AA247">
        <v>0.75372271963149895</v>
      </c>
      <c r="AB247">
        <v>3.3937331019535701</v>
      </c>
      <c r="AC247">
        <v>4.4959907057036101</v>
      </c>
      <c r="AD247">
        <v>3.8359762220930398E-2</v>
      </c>
      <c r="AE247">
        <v>4.3199636074699903</v>
      </c>
    </row>
    <row r="248" spans="1:31" x14ac:dyDescent="0.2">
      <c r="A248">
        <v>247</v>
      </c>
      <c r="B248">
        <v>778</v>
      </c>
      <c r="C248">
        <v>140</v>
      </c>
      <c r="D248">
        <v>0.45924986919088701</v>
      </c>
      <c r="E248">
        <v>103.57321486735999</v>
      </c>
      <c r="F248">
        <v>2.2062425565159001</v>
      </c>
      <c r="G248">
        <v>-1691.2547239723165</v>
      </c>
      <c r="H248">
        <v>-1416.9580112183667</v>
      </c>
      <c r="I248">
        <v>260.94916306326297</v>
      </c>
      <c r="J248">
        <v>138.28967127231201</v>
      </c>
      <c r="K248">
        <v>46.945524897735297</v>
      </c>
      <c r="L248">
        <v>1.3157462262065035E-4</v>
      </c>
      <c r="M248">
        <v>1.697242650493891E-5</v>
      </c>
      <c r="N248" s="1">
        <v>2.5687363371481E-6</v>
      </c>
      <c r="O248" s="1">
        <v>8.0580217742639806E-8</v>
      </c>
      <c r="P248" s="1">
        <v>-4.0038209893240199E-7</v>
      </c>
      <c r="Q248">
        <v>73.632390029780495</v>
      </c>
      <c r="R248">
        <v>9.2688056581946607E-2</v>
      </c>
      <c r="S248">
        <v>12.345464616721101</v>
      </c>
      <c r="T248">
        <v>0.24443847253711201</v>
      </c>
      <c r="V248">
        <v>0.57931818772556198</v>
      </c>
      <c r="W248">
        <v>2.6068515913671899E-2</v>
      </c>
      <c r="X248">
        <v>0.115860070727437</v>
      </c>
      <c r="AA248">
        <v>0.73874227444304696</v>
      </c>
      <c r="AB248">
        <v>3.3595573790177098</v>
      </c>
      <c r="AC248">
        <v>4.5171433955262996</v>
      </c>
      <c r="AD248">
        <v>3.8620023575808397E-2</v>
      </c>
      <c r="AE248">
        <v>4.3097089774497102</v>
      </c>
    </row>
    <row r="249" spans="1:31" x14ac:dyDescent="0.2">
      <c r="A249">
        <v>248</v>
      </c>
      <c r="B249">
        <v>776</v>
      </c>
      <c r="C249">
        <v>140</v>
      </c>
      <c r="D249">
        <v>0.45808559309917701</v>
      </c>
      <c r="E249">
        <v>102.869019090289</v>
      </c>
      <c r="F249">
        <v>2.2068280023287499</v>
      </c>
      <c r="G249">
        <v>-1679.0152728994562</v>
      </c>
      <c r="H249">
        <v>-1407.5223478706744</v>
      </c>
      <c r="I249">
        <v>258.77417435903402</v>
      </c>
      <c r="J249">
        <v>137.25584638603399</v>
      </c>
      <c r="K249">
        <v>46.613972172609898</v>
      </c>
      <c r="L249">
        <v>1.3119289304078962E-4</v>
      </c>
      <c r="M249">
        <v>1.6943496017693953E-5</v>
      </c>
      <c r="N249" s="1">
        <v>2.5509750642920099E-6</v>
      </c>
      <c r="O249" s="1">
        <v>7.9744920200675901E-8</v>
      </c>
      <c r="P249" s="1">
        <v>-3.9617979581582501E-7</v>
      </c>
      <c r="Q249">
        <v>73.720033227649793</v>
      </c>
      <c r="R249">
        <v>9.3322557995562105E-2</v>
      </c>
      <c r="S249">
        <v>12.2888598143194</v>
      </c>
      <c r="T249">
        <v>0.24668328206548401</v>
      </c>
      <c r="V249">
        <v>0.58276970891454705</v>
      </c>
      <c r="W249">
        <v>2.6246969436250999E-2</v>
      </c>
      <c r="X249">
        <v>0.116653197494458</v>
      </c>
      <c r="AA249">
        <v>0.72454085491278397</v>
      </c>
      <c r="AB249">
        <v>3.32464290095177</v>
      </c>
      <c r="AC249">
        <v>4.5380600571806502</v>
      </c>
      <c r="AD249">
        <v>3.8884399164813899E-2</v>
      </c>
      <c r="AE249">
        <v>4.2993030299143502</v>
      </c>
    </row>
    <row r="250" spans="1:31" x14ac:dyDescent="0.2">
      <c r="A250">
        <v>249</v>
      </c>
      <c r="B250">
        <v>774</v>
      </c>
      <c r="C250">
        <v>140</v>
      </c>
      <c r="D250">
        <v>0.45691686959843703</v>
      </c>
      <c r="E250">
        <v>102.163961765457</v>
      </c>
      <c r="F250">
        <v>2.2074210861547998</v>
      </c>
      <c r="G250">
        <v>-1666.7729058402699</v>
      </c>
      <c r="H250">
        <v>-1398.0739171521382</v>
      </c>
      <c r="I250">
        <v>256.600285239107</v>
      </c>
      <c r="J250">
        <v>136.22187296248299</v>
      </c>
      <c r="K250">
        <v>46.282044874102603</v>
      </c>
      <c r="L250">
        <v>1.3080722235684264E-4</v>
      </c>
      <c r="M250">
        <v>1.6914451392585112E-5</v>
      </c>
      <c r="N250" s="1">
        <v>2.53308761131896E-6</v>
      </c>
      <c r="O250" s="1">
        <v>7.8911038918111998E-8</v>
      </c>
      <c r="P250" s="1">
        <v>-3.9197178122427901E-7</v>
      </c>
      <c r="Q250">
        <v>73.807885830915097</v>
      </c>
      <c r="R250">
        <v>9.3966598731158299E-2</v>
      </c>
      <c r="S250">
        <v>12.232271612638799</v>
      </c>
      <c r="T250">
        <v>0.24896262623368501</v>
      </c>
      <c r="V250">
        <v>0.58627241482939196</v>
      </c>
      <c r="W250">
        <v>2.6428105893137301E-2</v>
      </c>
      <c r="X250">
        <v>0.117458248413955</v>
      </c>
      <c r="AA250">
        <v>0.71110031547264996</v>
      </c>
      <c r="AB250">
        <v>3.2890467024345198</v>
      </c>
      <c r="AC250">
        <v>4.5586943205449399</v>
      </c>
      <c r="AD250">
        <v>3.9152749471311601E-2</v>
      </c>
      <c r="AE250">
        <v>4.2887604744212098</v>
      </c>
    </row>
    <row r="251" spans="1:31" x14ac:dyDescent="0.2">
      <c r="A251">
        <v>250</v>
      </c>
      <c r="B251">
        <v>772</v>
      </c>
      <c r="C251">
        <v>140</v>
      </c>
      <c r="D251">
        <v>0.45574367315696301</v>
      </c>
      <c r="E251">
        <v>100.107187241475</v>
      </c>
      <c r="F251">
        <v>2.20859335089441</v>
      </c>
      <c r="G251">
        <v>-1632.092491100097</v>
      </c>
      <c r="H251">
        <v>-1369.7606881885035</v>
      </c>
      <c r="I251">
        <v>250.999189505423</v>
      </c>
      <c r="J251">
        <v>133.39865808331299</v>
      </c>
      <c r="K251">
        <v>45.326219605313398</v>
      </c>
      <c r="L251">
        <v>1.3044042854743845E-4</v>
      </c>
      <c r="M251">
        <v>1.6869947813087883E-5</v>
      </c>
      <c r="N251" s="1">
        <v>2.4780991111232301E-6</v>
      </c>
      <c r="O251" s="1">
        <v>7.6942576062842393E-8</v>
      </c>
      <c r="P251" s="1">
        <v>-3.8269543857884699E-7</v>
      </c>
      <c r="Q251">
        <v>73.812699626480295</v>
      </c>
      <c r="R251">
        <v>9.5897210425494303E-2</v>
      </c>
      <c r="S251">
        <v>12.2137193795733</v>
      </c>
      <c r="T251">
        <v>0.25480334945583799</v>
      </c>
      <c r="V251">
        <v>0.59766489701397296</v>
      </c>
      <c r="W251">
        <v>2.6971090432169002E-2</v>
      </c>
      <c r="X251">
        <v>0.119871513031877</v>
      </c>
      <c r="AA251">
        <v>0.69231191972922601</v>
      </c>
      <c r="AB251">
        <v>3.24449877127193</v>
      </c>
      <c r="AC251">
        <v>4.6295399079803099</v>
      </c>
      <c r="AD251">
        <v>3.9957171010616799E-2</v>
      </c>
      <c r="AE251">
        <v>4.2720651635948297</v>
      </c>
    </row>
    <row r="252" spans="1:31" x14ac:dyDescent="0.2">
      <c r="A252">
        <v>251</v>
      </c>
      <c r="B252">
        <v>770</v>
      </c>
      <c r="C252">
        <v>140</v>
      </c>
      <c r="D252">
        <v>0.45456597804726301</v>
      </c>
      <c r="E252">
        <v>96.687851657301906</v>
      </c>
      <c r="F252">
        <v>2.2104031798455002</v>
      </c>
      <c r="G252">
        <v>-1574.8463040323302</v>
      </c>
      <c r="H252">
        <v>-1322.4518721116785</v>
      </c>
      <c r="I252">
        <v>241.95411198835399</v>
      </c>
      <c r="J252">
        <v>128.773188285419</v>
      </c>
      <c r="K252">
        <v>43.742179046295</v>
      </c>
      <c r="L252">
        <v>1.3007711040271625E-4</v>
      </c>
      <c r="M252">
        <v>1.6808838993605786E-5</v>
      </c>
      <c r="N252" s="1">
        <v>2.3857114973721702E-6</v>
      </c>
      <c r="O252" s="1">
        <v>7.3841905639463599E-8</v>
      </c>
      <c r="P252" s="1">
        <v>-3.6827426555943902E-7</v>
      </c>
      <c r="Q252">
        <v>73.734383305998705</v>
      </c>
      <c r="R252">
        <v>9.9288585230192697E-2</v>
      </c>
      <c r="S252">
        <v>12.232817725478499</v>
      </c>
      <c r="T252">
        <v>0.26468492900847701</v>
      </c>
      <c r="V252">
        <v>0.61801780835627096</v>
      </c>
      <c r="W252">
        <v>2.79249145959896E-2</v>
      </c>
      <c r="X252">
        <v>0.12411073153775801</v>
      </c>
      <c r="AA252">
        <v>0.67035287765478402</v>
      </c>
      <c r="AB252">
        <v>3.1872249018957701</v>
      </c>
      <c r="AC252">
        <v>4.7513017839512397</v>
      </c>
      <c r="AD252">
        <v>4.1370243845903397E-2</v>
      </c>
      <c r="AE252">
        <v>4.2485221924463401</v>
      </c>
    </row>
    <row r="253" spans="1:31" x14ac:dyDescent="0.2">
      <c r="A253">
        <v>252</v>
      </c>
      <c r="B253">
        <v>768</v>
      </c>
      <c r="C253">
        <v>140</v>
      </c>
      <c r="D253">
        <v>0.45338375834414102</v>
      </c>
      <c r="E253">
        <v>93.124110362233694</v>
      </c>
      <c r="F253">
        <v>2.2123455970979502</v>
      </c>
      <c r="G253">
        <v>-1515.3028565838829</v>
      </c>
      <c r="H253">
        <v>-1273.168834162243</v>
      </c>
      <c r="I253">
        <v>232.56401327535801</v>
      </c>
      <c r="J253">
        <v>123.959233014077</v>
      </c>
      <c r="K253">
        <v>42.092930907534999</v>
      </c>
      <c r="L253">
        <v>1.2968972019667942E-4</v>
      </c>
      <c r="M253">
        <v>1.6745285837502311E-5</v>
      </c>
      <c r="N253" s="1">
        <v>2.2894888041343101E-6</v>
      </c>
      <c r="O253" s="1">
        <v>7.0644119935895599E-8</v>
      </c>
      <c r="P253" s="1">
        <v>-3.5326182386776299E-7</v>
      </c>
      <c r="Q253">
        <v>73.651206513431703</v>
      </c>
      <c r="R253">
        <v>0.10308823314024899</v>
      </c>
      <c r="S253">
        <v>12.253422602862701</v>
      </c>
      <c r="T253">
        <v>0.275686910500685</v>
      </c>
      <c r="V253">
        <v>0.64088318579008496</v>
      </c>
      <c r="W253">
        <v>2.8993565570692801E-2</v>
      </c>
      <c r="X253">
        <v>0.12886029142533301</v>
      </c>
      <c r="AA253">
        <v>0.65215755567606803</v>
      </c>
      <c r="AB253">
        <v>3.1232254041674801</v>
      </c>
      <c r="AC253">
        <v>4.87596927713233</v>
      </c>
      <c r="AD253">
        <v>4.2953430475091703E-2</v>
      </c>
      <c r="AE253">
        <v>4.2235530298274799</v>
      </c>
    </row>
    <row r="254" spans="1:31" x14ac:dyDescent="0.2">
      <c r="A254">
        <v>253</v>
      </c>
      <c r="B254">
        <v>766</v>
      </c>
      <c r="C254">
        <v>140</v>
      </c>
      <c r="D254">
        <v>0.45219698792282498</v>
      </c>
      <c r="E254">
        <v>70.562101962101195</v>
      </c>
      <c r="F254">
        <v>2.2150992944825498</v>
      </c>
      <c r="G254">
        <v>-1147.5692252646036</v>
      </c>
      <c r="H254">
        <v>-964.97896000079959</v>
      </c>
      <c r="I254">
        <v>175.711172846849</v>
      </c>
      <c r="J254">
        <v>93.914287122450105</v>
      </c>
      <c r="K254">
        <v>31.855051436231101</v>
      </c>
      <c r="L254">
        <v>1.2893146507876829E-4</v>
      </c>
      <c r="M254">
        <v>1.6658648398411127E-5</v>
      </c>
      <c r="N254" s="1">
        <v>1.72197901900841E-6</v>
      </c>
      <c r="O254" s="1">
        <v>5.2980925558594097E-8</v>
      </c>
      <c r="P254" s="1">
        <v>-2.6498378581095803E-7</v>
      </c>
      <c r="Q254">
        <v>73.503643868090904</v>
      </c>
      <c r="R254">
        <v>0.113725773197354</v>
      </c>
      <c r="S254">
        <v>12.396082940332599</v>
      </c>
      <c r="T254">
        <v>0.26350416355728101</v>
      </c>
      <c r="V254">
        <v>0.61176912740300704</v>
      </c>
      <c r="W254">
        <v>3.8264166243939197E-2</v>
      </c>
      <c r="X254">
        <v>0.16636214056492901</v>
      </c>
      <c r="AA254">
        <v>0.67102018876570901</v>
      </c>
      <c r="AB254">
        <v>2.9651875733603501</v>
      </c>
      <c r="AC254">
        <v>5.0309259185644599</v>
      </c>
      <c r="AD254">
        <v>5.66876536946943E-2</v>
      </c>
      <c r="AE254">
        <v>4.1828264862247302</v>
      </c>
    </row>
    <row r="255" spans="1:31" x14ac:dyDescent="0.2">
      <c r="A255">
        <v>254</v>
      </c>
      <c r="B255">
        <v>764</v>
      </c>
      <c r="C255">
        <v>140</v>
      </c>
      <c r="D255">
        <v>0.45100564045702202</v>
      </c>
      <c r="E255">
        <v>34.743832165311801</v>
      </c>
      <c r="F255">
        <v>2.2205139663811502</v>
      </c>
      <c r="G255">
        <v>-565.02466300003448</v>
      </c>
      <c r="H255">
        <v>-475.66035486373801</v>
      </c>
      <c r="I255">
        <v>86.163340053315807</v>
      </c>
      <c r="J255">
        <v>46.284067411519203</v>
      </c>
      <c r="K255">
        <v>15.6467523696484</v>
      </c>
      <c r="L255">
        <v>1.2789376439465111E-4</v>
      </c>
      <c r="M255">
        <v>1.6585233259570887E-5</v>
      </c>
      <c r="N255" s="1">
        <v>8.3906439764177597E-7</v>
      </c>
      <c r="O255" s="1">
        <v>2.5742594441354201E-8</v>
      </c>
      <c r="P255" s="1">
        <v>-1.2778710568846E-7</v>
      </c>
      <c r="Q255">
        <v>73.022525632006804</v>
      </c>
      <c r="R255">
        <v>0.15724704228695199</v>
      </c>
      <c r="S255">
        <v>12.9696836287027</v>
      </c>
      <c r="T255">
        <v>0.239476597417137</v>
      </c>
      <c r="V255">
        <v>0.56274822709987604</v>
      </c>
      <c r="W255">
        <v>7.7711634892565801E-2</v>
      </c>
      <c r="X255">
        <v>0.18909084072698101</v>
      </c>
      <c r="AA255">
        <v>0.73538409644268199</v>
      </c>
      <c r="AB255">
        <v>2.6379285664044998</v>
      </c>
      <c r="AC255">
        <v>5.1631209477612696</v>
      </c>
      <c r="AD255">
        <v>0.115128347988862</v>
      </c>
      <c r="AE255">
        <v>4.1299544382695998</v>
      </c>
    </row>
    <row r="256" spans="1:31" x14ac:dyDescent="0.2">
      <c r="A256">
        <v>255</v>
      </c>
      <c r="B256">
        <v>762</v>
      </c>
      <c r="C256">
        <v>140</v>
      </c>
      <c r="D256">
        <v>0.44980968941699401</v>
      </c>
      <c r="E256">
        <v>23.965587414657499</v>
      </c>
      <c r="F256">
        <v>2.2245362419236798</v>
      </c>
      <c r="G256">
        <v>-389.7444763333732</v>
      </c>
      <c r="H256">
        <v>-328.4047902007573</v>
      </c>
      <c r="I256">
        <v>59.256809286205701</v>
      </c>
      <c r="J256">
        <v>31.955494110112799</v>
      </c>
      <c r="K256">
        <v>10.7732960079504</v>
      </c>
      <c r="L256">
        <v>1.2732576855940353E-4</v>
      </c>
      <c r="M256">
        <v>1.6554465090777988E-5</v>
      </c>
      <c r="N256" s="1">
        <v>5.7613131007131599E-7</v>
      </c>
      <c r="O256" s="1">
        <v>1.7617534332350499E-8</v>
      </c>
      <c r="P256" s="1">
        <v>-8.6926458350169694E-8</v>
      </c>
      <c r="Q256">
        <v>72.598606977507103</v>
      </c>
      <c r="R256">
        <v>0.182806366494735</v>
      </c>
      <c r="S256">
        <v>13.478034946913001</v>
      </c>
      <c r="T256">
        <v>0.22481820452437201</v>
      </c>
      <c r="V256">
        <v>0.533526177115489</v>
      </c>
      <c r="W256">
        <v>0.112661540620023</v>
      </c>
      <c r="X256">
        <v>0.19224997180220599</v>
      </c>
      <c r="AA256">
        <v>0.76240276298018805</v>
      </c>
      <c r="AB256">
        <v>2.4175655794375399</v>
      </c>
      <c r="AC256">
        <v>5.2285929797657804</v>
      </c>
      <c r="AD256">
        <v>0.16690598610353199</v>
      </c>
      <c r="AE256">
        <v>4.1018285067359201</v>
      </c>
    </row>
    <row r="257" spans="1:31" x14ac:dyDescent="0.2">
      <c r="A257">
        <v>256</v>
      </c>
      <c r="B257">
        <v>760</v>
      </c>
      <c r="C257">
        <v>140</v>
      </c>
      <c r="D257">
        <v>0.44860910806756099</v>
      </c>
      <c r="E257">
        <v>19.001867030827</v>
      </c>
      <c r="F257">
        <v>2.2277944584373399</v>
      </c>
      <c r="G257">
        <v>-309.02021784992974</v>
      </c>
      <c r="H257">
        <v>-260.59634779632478</v>
      </c>
      <c r="I257">
        <v>46.870125396704204</v>
      </c>
      <c r="J257">
        <v>25.359004546957401</v>
      </c>
      <c r="K257">
        <v>8.5294525080000394</v>
      </c>
      <c r="L257">
        <v>1.2696635694812967E-4</v>
      </c>
      <c r="M257">
        <v>1.6538660076419694E-5</v>
      </c>
      <c r="N257" s="1">
        <v>4.55917965245318E-7</v>
      </c>
      <c r="O257" s="1">
        <v>1.3892863429768401E-8</v>
      </c>
      <c r="P257" s="1">
        <v>-6.82236816773325E-8</v>
      </c>
      <c r="Q257">
        <v>72.235383568969596</v>
      </c>
      <c r="R257">
        <v>0.19896960321526</v>
      </c>
      <c r="S257">
        <v>13.9087363116736</v>
      </c>
      <c r="T257">
        <v>0.214461184772654</v>
      </c>
      <c r="V257">
        <v>0.51277115843840404</v>
      </c>
      <c r="W257">
        <v>0.14209130058740099</v>
      </c>
      <c r="X257">
        <v>0.19361105896268799</v>
      </c>
      <c r="AA257">
        <v>0.78044292095421297</v>
      </c>
      <c r="AB257">
        <v>2.25359363073184</v>
      </c>
      <c r="AC257">
        <v>5.2647994462579399</v>
      </c>
      <c r="AD257">
        <v>0.210505630499565</v>
      </c>
      <c r="AE257">
        <v>4.0846341849367196</v>
      </c>
    </row>
    <row r="258" spans="1:31" x14ac:dyDescent="0.2">
      <c r="A258">
        <v>257</v>
      </c>
      <c r="B258">
        <v>758</v>
      </c>
      <c r="C258">
        <v>140</v>
      </c>
      <c r="D258">
        <v>0.44740386946613198</v>
      </c>
      <c r="E258">
        <v>16.0865489129237</v>
      </c>
      <c r="F258">
        <v>2.2306101963096401</v>
      </c>
      <c r="G258">
        <v>-261.60606473932029</v>
      </c>
      <c r="H258">
        <v>-220.77712922046302</v>
      </c>
      <c r="I258">
        <v>39.595534615581798</v>
      </c>
      <c r="J258">
        <v>21.485865233482901</v>
      </c>
      <c r="K258">
        <v>7.2117257150252199</v>
      </c>
      <c r="L258">
        <v>1.2671618596513749E-4</v>
      </c>
      <c r="M258">
        <v>1.6529955182518357E-5</v>
      </c>
      <c r="N258" s="1">
        <v>3.857549196469E-7</v>
      </c>
      <c r="O258" s="1">
        <v>1.17126354755505E-8</v>
      </c>
      <c r="P258" s="1">
        <v>-5.7292047503286899E-8</v>
      </c>
      <c r="Q258">
        <v>71.912204530140997</v>
      </c>
      <c r="R258">
        <v>0.21053248929736301</v>
      </c>
      <c r="S258">
        <v>14.2882533745265</v>
      </c>
      <c r="T258">
        <v>0.20625667843865</v>
      </c>
      <c r="V258">
        <v>0.49607802381812</v>
      </c>
      <c r="W258">
        <v>0.16784209059469399</v>
      </c>
      <c r="X258">
        <v>0.194128145493149</v>
      </c>
      <c r="AA258">
        <v>0.79552479556719502</v>
      </c>
      <c r="AB258">
        <v>2.1214394955685201</v>
      </c>
      <c r="AC258">
        <v>5.2859188078321298</v>
      </c>
      <c r="AD258">
        <v>0.24865494902879801</v>
      </c>
      <c r="AE258">
        <v>4.0731666196937697</v>
      </c>
    </row>
    <row r="259" spans="1:31" x14ac:dyDescent="0.2">
      <c r="A259">
        <v>258</v>
      </c>
      <c r="B259">
        <v>756</v>
      </c>
      <c r="C259">
        <v>140</v>
      </c>
      <c r="D259">
        <v>0.44619394646067401</v>
      </c>
      <c r="E259">
        <v>14.1356928604143</v>
      </c>
      <c r="F259">
        <v>2.2331339703122302</v>
      </c>
      <c r="G259">
        <v>-229.87549704555337</v>
      </c>
      <c r="H259">
        <v>-194.13601632426233</v>
      </c>
      <c r="I259">
        <v>34.727183327300203</v>
      </c>
      <c r="J259">
        <v>18.894771004673899</v>
      </c>
      <c r="K259">
        <v>6.3299797720769204</v>
      </c>
      <c r="L259">
        <v>1.2653437835921183E-4</v>
      </c>
      <c r="M259">
        <v>1.6525431989589857E-5</v>
      </c>
      <c r="N259" s="1">
        <v>3.3907901468183099E-7</v>
      </c>
      <c r="O259" s="1">
        <v>1.0257835781539099E-8</v>
      </c>
      <c r="P259" s="1">
        <v>-5.0008280014472097E-8</v>
      </c>
      <c r="Q259">
        <v>71.617125089861801</v>
      </c>
      <c r="R259">
        <v>0.21942679520178399</v>
      </c>
      <c r="S259">
        <v>14.6318201411505</v>
      </c>
      <c r="T259">
        <v>0.19934670433912299</v>
      </c>
      <c r="V259">
        <v>0.48176216891781098</v>
      </c>
      <c r="W259">
        <v>0.19100584786755501</v>
      </c>
      <c r="X259">
        <v>0.194171212214581</v>
      </c>
      <c r="AA259">
        <v>0.80936568775295303</v>
      </c>
      <c r="AB259">
        <v>2.0100578618618998</v>
      </c>
      <c r="AC259">
        <v>5.29766698193969</v>
      </c>
      <c r="AD259">
        <v>0.28297162646997398</v>
      </c>
      <c r="AE259">
        <v>4.0652798824222103</v>
      </c>
    </row>
    <row r="260" spans="1:31" x14ac:dyDescent="0.2">
      <c r="A260">
        <v>259</v>
      </c>
      <c r="B260">
        <v>754</v>
      </c>
      <c r="C260">
        <v>140</v>
      </c>
      <c r="D260">
        <v>0.44497931168767801</v>
      </c>
      <c r="E260">
        <v>12.675619555066</v>
      </c>
      <c r="F260">
        <v>2.2353900088090701</v>
      </c>
      <c r="G260">
        <v>-206.12623081197569</v>
      </c>
      <c r="H260">
        <v>-174.19663219787174</v>
      </c>
      <c r="I260">
        <v>31.085623924552198</v>
      </c>
      <c r="J260">
        <v>16.956061600834101</v>
      </c>
      <c r="K260">
        <v>5.6704286523223004</v>
      </c>
      <c r="L260">
        <v>1.2641407165479856E-4</v>
      </c>
      <c r="M260">
        <v>1.652688590213027E-5</v>
      </c>
      <c r="N260" s="1">
        <v>3.0445381328836201E-7</v>
      </c>
      <c r="O260" s="1">
        <v>9.1759950320573505E-9</v>
      </c>
      <c r="P260" s="1">
        <v>-4.46017756138061E-8</v>
      </c>
      <c r="Q260">
        <v>71.339301925021005</v>
      </c>
      <c r="R260">
        <v>0.216427392371007</v>
      </c>
      <c r="S260">
        <v>14.958101103432501</v>
      </c>
      <c r="T260">
        <v>0.195042632988007</v>
      </c>
      <c r="V260">
        <v>0.47338181083664099</v>
      </c>
      <c r="W260">
        <v>0.21200879041333601</v>
      </c>
      <c r="X260">
        <v>0.19215397148298899</v>
      </c>
      <c r="AA260">
        <v>0.82318142430727903</v>
      </c>
      <c r="AB260">
        <v>1.9128263629681199</v>
      </c>
      <c r="AC260">
        <v>5.3005301510820404</v>
      </c>
      <c r="AD260">
        <v>0.31556642912906302</v>
      </c>
      <c r="AE260">
        <v>4.0614780059679401</v>
      </c>
    </row>
    <row r="261" spans="1:31" x14ac:dyDescent="0.2">
      <c r="A261">
        <v>260</v>
      </c>
      <c r="B261">
        <v>752</v>
      </c>
      <c r="C261">
        <v>140</v>
      </c>
      <c r="D261">
        <v>0.443759937570114</v>
      </c>
      <c r="E261">
        <v>11.571094664516499</v>
      </c>
      <c r="F261">
        <v>2.2374898730486299</v>
      </c>
      <c r="G261">
        <v>-188.15924895054636</v>
      </c>
      <c r="H261">
        <v>-159.11673622405831</v>
      </c>
      <c r="I261">
        <v>28.330012902002601</v>
      </c>
      <c r="J261">
        <v>15.489808718728799</v>
      </c>
      <c r="K261">
        <v>5.1714623623080804</v>
      </c>
      <c r="L261">
        <v>1.2632602765318449E-4</v>
      </c>
      <c r="M261">
        <v>1.652966522348846E-5</v>
      </c>
      <c r="N261" s="1">
        <v>2.7839198953960298E-7</v>
      </c>
      <c r="O261" s="1">
        <v>8.3590279265354292E-9</v>
      </c>
      <c r="P261" s="1">
        <v>-4.0524899292603599E-8</v>
      </c>
      <c r="Q261">
        <v>71.079355008089905</v>
      </c>
      <c r="R261">
        <v>0.214410390453766</v>
      </c>
      <c r="S261">
        <v>15.260789922293201</v>
      </c>
      <c r="T261">
        <v>0.19090559436806201</v>
      </c>
      <c r="V261">
        <v>0.46497223480604899</v>
      </c>
      <c r="W261">
        <v>0.23133163205315199</v>
      </c>
      <c r="X261">
        <v>0.190330268243844</v>
      </c>
      <c r="AA261">
        <v>0.83666270441105794</v>
      </c>
      <c r="AB261">
        <v>1.8272850590090499</v>
      </c>
      <c r="AC261">
        <v>5.2990574525618399</v>
      </c>
      <c r="AD261">
        <v>0.34568898759914701</v>
      </c>
      <c r="AE261">
        <v>4.0592107461107796</v>
      </c>
    </row>
    <row r="262" spans="1:31" x14ac:dyDescent="0.2">
      <c r="A262">
        <v>261</v>
      </c>
      <c r="B262">
        <v>750</v>
      </c>
      <c r="C262">
        <v>140</v>
      </c>
      <c r="D262">
        <v>0.44253579631530099</v>
      </c>
      <c r="E262">
        <v>10.696113969547101</v>
      </c>
      <c r="F262">
        <v>2.2394635528250699</v>
      </c>
      <c r="G262">
        <v>-173.92533943284062</v>
      </c>
      <c r="H262">
        <v>-147.17347741040797</v>
      </c>
      <c r="I262">
        <v>26.146568951212</v>
      </c>
      <c r="J262">
        <v>14.328543378631499</v>
      </c>
      <c r="K262">
        <v>4.7761947079040601</v>
      </c>
      <c r="L262">
        <v>1.2626406179293834E-4</v>
      </c>
      <c r="M262">
        <v>1.6533720624709755E-5</v>
      </c>
      <c r="N262" s="1">
        <v>2.57856288402177E-7</v>
      </c>
      <c r="O262" s="1">
        <v>7.7132150772734493E-9</v>
      </c>
      <c r="P262" s="1">
        <v>-3.7306994477752803E-8</v>
      </c>
      <c r="Q262">
        <v>70.833163481289802</v>
      </c>
      <c r="R262">
        <v>0.21227126946097299</v>
      </c>
      <c r="S262">
        <v>15.5456574215956</v>
      </c>
      <c r="T262">
        <v>0.187061408770089</v>
      </c>
      <c r="V262">
        <v>0.456947918858914</v>
      </c>
      <c r="W262">
        <v>0.249316446814037</v>
      </c>
      <c r="X262">
        <v>0.188501502455549</v>
      </c>
      <c r="AA262">
        <v>0.85003069311683599</v>
      </c>
      <c r="AB262">
        <v>1.75075013695204</v>
      </c>
      <c r="AC262">
        <v>5.2940651153005396</v>
      </c>
      <c r="AD262">
        <v>0.37396759340622099</v>
      </c>
      <c r="AE262">
        <v>4.05826701197934</v>
      </c>
    </row>
    <row r="263" spans="1:31" x14ac:dyDescent="0.2">
      <c r="A263">
        <v>262</v>
      </c>
      <c r="B263">
        <v>786</v>
      </c>
      <c r="C263">
        <v>130</v>
      </c>
      <c r="D263">
        <v>0.474248689987256</v>
      </c>
      <c r="E263">
        <v>104.22421774058699</v>
      </c>
      <c r="F263">
        <v>2.2063354536370601</v>
      </c>
      <c r="G263">
        <v>-1703.6457323920586</v>
      </c>
      <c r="H263">
        <v>-1425.4766356464888</v>
      </c>
      <c r="I263">
        <v>262.63427913474902</v>
      </c>
      <c r="J263">
        <v>139.13771108185301</v>
      </c>
      <c r="K263">
        <v>47.238608965276597</v>
      </c>
      <c r="L263">
        <v>1.293702204545648E-4</v>
      </c>
      <c r="M263">
        <v>1.6873273944671857E-5</v>
      </c>
      <c r="N263" s="1">
        <v>2.4753836281256001E-6</v>
      </c>
      <c r="O263" s="1">
        <v>7.93724713143374E-8</v>
      </c>
      <c r="P263" s="1">
        <v>-3.91266051994725E-7</v>
      </c>
      <c r="Q263">
        <v>73.658504390118196</v>
      </c>
      <c r="R263">
        <v>9.2109110608959002E-2</v>
      </c>
      <c r="S263">
        <v>12.4347299322098</v>
      </c>
      <c r="T263">
        <v>0.24145187103578999</v>
      </c>
      <c r="V263">
        <v>0.57701320417884105</v>
      </c>
      <c r="W263">
        <v>2.59056873587695E-2</v>
      </c>
      <c r="X263">
        <v>0.115136388261199</v>
      </c>
      <c r="AA263">
        <v>0.75798122271955604</v>
      </c>
      <c r="AB263">
        <v>3.4061181527271098</v>
      </c>
      <c r="AC263">
        <v>4.49991384120848</v>
      </c>
      <c r="AD263">
        <v>3.83787960870655E-2</v>
      </c>
      <c r="AE263">
        <v>4.1527574034860999</v>
      </c>
    </row>
    <row r="264" spans="1:31" x14ac:dyDescent="0.2">
      <c r="A264">
        <v>263</v>
      </c>
      <c r="B264">
        <v>784</v>
      </c>
      <c r="C264">
        <v>130</v>
      </c>
      <c r="D264">
        <v>0.47312160052972602</v>
      </c>
      <c r="E264">
        <v>103.658860009647</v>
      </c>
      <c r="F264">
        <v>2.2068743095852499</v>
      </c>
      <c r="G264">
        <v>-1693.7059601263024</v>
      </c>
      <c r="H264">
        <v>-1417.956487143068</v>
      </c>
      <c r="I264">
        <v>260.84233361702098</v>
      </c>
      <c r="J264">
        <v>138.303917871137</v>
      </c>
      <c r="K264">
        <v>46.970894336582603</v>
      </c>
      <c r="L264">
        <v>1.290702116253186E-4</v>
      </c>
      <c r="M264">
        <v>1.6849275300052114E-5</v>
      </c>
      <c r="N264" s="1">
        <v>2.46326977603605E-6</v>
      </c>
      <c r="O264" s="1">
        <v>7.8705985518501294E-8</v>
      </c>
      <c r="P264" s="1">
        <v>-3.8802599290764099E-7</v>
      </c>
      <c r="Q264">
        <v>73.728477664860307</v>
      </c>
      <c r="R264">
        <v>9.2611475749458799E-2</v>
      </c>
      <c r="S264">
        <v>12.388831223880601</v>
      </c>
      <c r="T264">
        <v>0.24334973809652999</v>
      </c>
      <c r="V264">
        <v>0.57963747198222104</v>
      </c>
      <c r="W264">
        <v>2.6046977554534799E-2</v>
      </c>
      <c r="X264">
        <v>0.115764344686826</v>
      </c>
      <c r="AA264">
        <v>0.74570884480569499</v>
      </c>
      <c r="AB264">
        <v>3.3785833802099399</v>
      </c>
      <c r="AC264">
        <v>4.5170372946191897</v>
      </c>
      <c r="AD264">
        <v>3.8588114895605798E-2</v>
      </c>
      <c r="AE264">
        <v>4.1453634686589202</v>
      </c>
    </row>
    <row r="265" spans="1:31" x14ac:dyDescent="0.2">
      <c r="A265">
        <v>264</v>
      </c>
      <c r="B265">
        <v>782</v>
      </c>
      <c r="C265">
        <v>130</v>
      </c>
      <c r="D265">
        <v>0.47199023835473802</v>
      </c>
      <c r="E265">
        <v>102.969027207859</v>
      </c>
      <c r="F265">
        <v>2.2074169347577999</v>
      </c>
      <c r="G265">
        <v>-1681.7027471548079</v>
      </c>
      <c r="H265">
        <v>-1408.7185564667657</v>
      </c>
      <c r="I265">
        <v>258.71600311618403</v>
      </c>
      <c r="J265">
        <v>137.29274412436101</v>
      </c>
      <c r="K265">
        <v>46.646841195479197</v>
      </c>
      <c r="L265">
        <v>1.2871490827172114E-4</v>
      </c>
      <c r="M265">
        <v>1.6822412116162647E-5</v>
      </c>
      <c r="N265" s="1">
        <v>2.44708350933063E-6</v>
      </c>
      <c r="O265" s="1">
        <v>7.7917145717929104E-8</v>
      </c>
      <c r="P265" s="1">
        <v>-3.8409451113851101E-7</v>
      </c>
      <c r="Q265">
        <v>73.813938260681098</v>
      </c>
      <c r="R265">
        <v>9.3231918959678695E-2</v>
      </c>
      <c r="S265">
        <v>12.332966569525301</v>
      </c>
      <c r="T265">
        <v>0.24553847846071999</v>
      </c>
      <c r="V265">
        <v>0.58301821827964295</v>
      </c>
      <c r="W265">
        <v>2.6221477207409E-2</v>
      </c>
      <c r="X265">
        <v>0.116539898699603</v>
      </c>
      <c r="AA265">
        <v>0.73145419330933203</v>
      </c>
      <c r="AB265">
        <v>3.3444011868870098</v>
      </c>
      <c r="AC265">
        <v>4.5376963611651204</v>
      </c>
      <c r="AD265">
        <v>3.8846632899863301E-2</v>
      </c>
      <c r="AE265">
        <v>4.1361468039251399</v>
      </c>
    </row>
    <row r="266" spans="1:31" x14ac:dyDescent="0.2">
      <c r="A266">
        <v>265</v>
      </c>
      <c r="B266">
        <v>780</v>
      </c>
      <c r="C266">
        <v>130</v>
      </c>
      <c r="D266">
        <v>0.47085457911978401</v>
      </c>
      <c r="E266">
        <v>102.278423996489</v>
      </c>
      <c r="F266">
        <v>2.20796699676335</v>
      </c>
      <c r="G266">
        <v>-1669.6977042193946</v>
      </c>
      <c r="H266">
        <v>-1399.469046915405</v>
      </c>
      <c r="I266">
        <v>256.59085344346897</v>
      </c>
      <c r="J266">
        <v>136.28150179304001</v>
      </c>
      <c r="K266">
        <v>46.322442385424502</v>
      </c>
      <c r="L266">
        <v>1.2835591137040151E-4</v>
      </c>
      <c r="M266">
        <v>1.6795439268910198E-5</v>
      </c>
      <c r="N266" s="1">
        <v>2.4307778513836101E-6</v>
      </c>
      <c r="O266" s="1">
        <v>7.7129541393428506E-8</v>
      </c>
      <c r="P266" s="1">
        <v>-3.8015711371959599E-7</v>
      </c>
      <c r="Q266">
        <v>73.899569600181806</v>
      </c>
      <c r="R266">
        <v>9.3861438462618602E-2</v>
      </c>
      <c r="S266">
        <v>12.277131155449799</v>
      </c>
      <c r="T266">
        <v>0.247760139954988</v>
      </c>
      <c r="V266">
        <v>0.58644760836796705</v>
      </c>
      <c r="W266">
        <v>2.6398529567610601E-2</v>
      </c>
      <c r="X266">
        <v>0.117326798078279</v>
      </c>
      <c r="AA266">
        <v>0.717941231556953</v>
      </c>
      <c r="AB266">
        <v>3.3095527005775498</v>
      </c>
      <c r="AC266">
        <v>4.5580962014536697</v>
      </c>
      <c r="AD266">
        <v>3.9108932692753902E-2</v>
      </c>
      <c r="AE266">
        <v>4.1268056636558903</v>
      </c>
    </row>
    <row r="267" spans="1:31" x14ac:dyDescent="0.2">
      <c r="A267">
        <v>266</v>
      </c>
      <c r="B267">
        <v>778</v>
      </c>
      <c r="C267">
        <v>130</v>
      </c>
      <c r="D267">
        <v>0.46971459829710499</v>
      </c>
      <c r="E267">
        <v>101.587621630729</v>
      </c>
      <c r="F267">
        <v>2.2085238894391002</v>
      </c>
      <c r="G267">
        <v>-1657.7004667573315</v>
      </c>
      <c r="H267">
        <v>-1390.2158667730391</v>
      </c>
      <c r="I267">
        <v>254.46853444731201</v>
      </c>
      <c r="J267">
        <v>135.270995165465</v>
      </c>
      <c r="K267">
        <v>45.9979727258143</v>
      </c>
      <c r="L267">
        <v>1.2799350233556929E-4</v>
      </c>
      <c r="M267">
        <v>1.6768383534535067E-5</v>
      </c>
      <c r="N267" s="1">
        <v>2.4143755438439798E-6</v>
      </c>
      <c r="O267" s="1">
        <v>7.6343874122096495E-8</v>
      </c>
      <c r="P267" s="1">
        <v>-3.7621766960048101E-7</v>
      </c>
      <c r="Q267">
        <v>73.985361226788797</v>
      </c>
      <c r="R267">
        <v>9.4499702285541096E-2</v>
      </c>
      <c r="S267">
        <v>12.2213329447919</v>
      </c>
      <c r="T267">
        <v>0.250014182912076</v>
      </c>
      <c r="V267">
        <v>0.58992326518211402</v>
      </c>
      <c r="W267">
        <v>2.6578041267807301E-2</v>
      </c>
      <c r="X267">
        <v>0.11812462785693401</v>
      </c>
      <c r="AA267">
        <v>0.705151266348234</v>
      </c>
      <c r="AB267">
        <v>3.2740931444967201</v>
      </c>
      <c r="AC267">
        <v>4.5781935791705601</v>
      </c>
      <c r="AD267">
        <v>3.9374875952303601E-2</v>
      </c>
      <c r="AE267">
        <v>4.1173531429469703</v>
      </c>
    </row>
    <row r="268" spans="1:31" x14ac:dyDescent="0.2">
      <c r="A268">
        <v>267</v>
      </c>
      <c r="B268">
        <v>776</v>
      </c>
      <c r="C268">
        <v>130</v>
      </c>
      <c r="D268">
        <v>0.46857027117190198</v>
      </c>
      <c r="E268">
        <v>100.02921080050599</v>
      </c>
      <c r="F268">
        <v>2.2094543086417402</v>
      </c>
      <c r="G268">
        <v>-1631.3023919646807</v>
      </c>
      <c r="H268">
        <v>-1368.8532692103834</v>
      </c>
      <c r="I268">
        <v>250.15405114073101</v>
      </c>
      <c r="J268">
        <v>133.11395277577299</v>
      </c>
      <c r="K268">
        <v>45.273265171977798</v>
      </c>
      <c r="L268">
        <v>1.2764427225281599E-4</v>
      </c>
      <c r="M268">
        <v>1.67314896228701E-5</v>
      </c>
      <c r="N268" s="1">
        <v>2.375098543582E-6</v>
      </c>
      <c r="O268" s="1">
        <v>7.4850023294087896E-8</v>
      </c>
      <c r="P268" s="1">
        <v>-3.6914726373163103E-7</v>
      </c>
      <c r="Q268">
        <v>74.017838156864102</v>
      </c>
      <c r="R268">
        <v>9.5971965820523406E-2</v>
      </c>
      <c r="S268">
        <v>12.189900271323101</v>
      </c>
      <c r="T268">
        <v>0.25457501602252303</v>
      </c>
      <c r="V268">
        <v>0.59851498384106505</v>
      </c>
      <c r="W268">
        <v>2.6992115387020701E-2</v>
      </c>
      <c r="X268">
        <v>0.119964957275665</v>
      </c>
      <c r="AA268">
        <v>0.68927668919053597</v>
      </c>
      <c r="AB268">
        <v>3.2325057838636502</v>
      </c>
      <c r="AC268">
        <v>4.6304232654804398</v>
      </c>
      <c r="AD268">
        <v>3.9988319091877902E-2</v>
      </c>
      <c r="AE268">
        <v>4.1040484758393898</v>
      </c>
    </row>
    <row r="269" spans="1:31" x14ac:dyDescent="0.2">
      <c r="A269">
        <v>268</v>
      </c>
      <c r="B269">
        <v>774</v>
      </c>
      <c r="C269">
        <v>130</v>
      </c>
      <c r="D269">
        <v>0.46742157284057101</v>
      </c>
      <c r="E269">
        <v>96.654916954323298</v>
      </c>
      <c r="F269">
        <v>2.2112051240580901</v>
      </c>
      <c r="G269">
        <v>-1574.7966920498884</v>
      </c>
      <c r="H269">
        <v>-1322.1643938497343</v>
      </c>
      <c r="I269">
        <v>241.25702927007001</v>
      </c>
      <c r="J269">
        <v>128.55733101040499</v>
      </c>
      <c r="K269">
        <v>43.711420484110597</v>
      </c>
      <c r="L269">
        <v>1.2731358385034721E-4</v>
      </c>
      <c r="M269">
        <v>1.6673243706961873E-5</v>
      </c>
      <c r="N269" s="1">
        <v>2.28803797551997E-6</v>
      </c>
      <c r="O269" s="1">
        <v>7.1881195415355297E-8</v>
      </c>
      <c r="P269" s="1">
        <v>-3.55493127262529E-7</v>
      </c>
      <c r="Q269">
        <v>73.938911120111399</v>
      </c>
      <c r="R269">
        <v>9.9322417343102695E-2</v>
      </c>
      <c r="S269">
        <v>12.2088842657213</v>
      </c>
      <c r="T269">
        <v>0.26431894991204902</v>
      </c>
      <c r="V269">
        <v>0.61863886107636401</v>
      </c>
      <c r="W269">
        <v>2.7934429877745401E-2</v>
      </c>
      <c r="X269">
        <v>0.124153021678894</v>
      </c>
      <c r="AA269">
        <v>0.66807300182449003</v>
      </c>
      <c r="AB269">
        <v>3.1755833808747802</v>
      </c>
      <c r="AC269">
        <v>4.7505156238501698</v>
      </c>
      <c r="AD269">
        <v>4.1384340559616498E-2</v>
      </c>
      <c r="AE269">
        <v>4.0822805871700503</v>
      </c>
    </row>
    <row r="270" spans="1:31" x14ac:dyDescent="0.2">
      <c r="A270">
        <v>269</v>
      </c>
      <c r="B270">
        <v>772</v>
      </c>
      <c r="C270">
        <v>130</v>
      </c>
      <c r="D270">
        <v>0.46626847820886702</v>
      </c>
      <c r="E270">
        <v>93.152229694755405</v>
      </c>
      <c r="F270">
        <v>2.21307939938281</v>
      </c>
      <c r="G270">
        <v>-1516.2546495470979</v>
      </c>
      <c r="H270">
        <v>-1273.7213105955334</v>
      </c>
      <c r="I270">
        <v>232.05601009574099</v>
      </c>
      <c r="J270">
        <v>123.83373792548799</v>
      </c>
      <c r="K270">
        <v>42.091679910234397</v>
      </c>
      <c r="L270">
        <v>1.269616074106822E-4</v>
      </c>
      <c r="M270">
        <v>1.6612796787946406E-5</v>
      </c>
      <c r="N270" s="1">
        <v>2.1976995022109699E-6</v>
      </c>
      <c r="O270" s="1">
        <v>6.8829857200986994E-8</v>
      </c>
      <c r="P270" s="1">
        <v>-3.4132841573722102E-7</v>
      </c>
      <c r="Q270">
        <v>73.855280611928606</v>
      </c>
      <c r="R270">
        <v>0.103057114483012</v>
      </c>
      <c r="S270">
        <v>12.229334820692999</v>
      </c>
      <c r="T270">
        <v>0.27511733413696299</v>
      </c>
      <c r="V270">
        <v>0.64112735481565997</v>
      </c>
      <c r="W270">
        <v>2.8984813448344499E-2</v>
      </c>
      <c r="X270">
        <v>0.12882139310378399</v>
      </c>
      <c r="AA270">
        <v>0.65046685674895499</v>
      </c>
      <c r="AB270">
        <v>3.1123615452723001</v>
      </c>
      <c r="AC270">
        <v>4.87324847411662</v>
      </c>
      <c r="AD270">
        <v>4.2940464367910297E-2</v>
      </c>
      <c r="AE270">
        <v>4.0592592168847599</v>
      </c>
    </row>
    <row r="271" spans="1:31" x14ac:dyDescent="0.2">
      <c r="A271">
        <v>270</v>
      </c>
      <c r="B271">
        <v>770</v>
      </c>
      <c r="C271">
        <v>130</v>
      </c>
      <c r="D271">
        <v>0.46511096199012703</v>
      </c>
      <c r="E271">
        <v>89.371760843857899</v>
      </c>
      <c r="F271">
        <v>2.2151252239495101</v>
      </c>
      <c r="G271">
        <v>-1453.2390021653539</v>
      </c>
      <c r="H271">
        <v>-1221.4713090114169</v>
      </c>
      <c r="I271">
        <v>222.18060025301801</v>
      </c>
      <c r="J271">
        <v>118.74547977113301</v>
      </c>
      <c r="K271">
        <v>40.346143810556299</v>
      </c>
      <c r="L271">
        <v>1.2658671951071995E-4</v>
      </c>
      <c r="M271">
        <v>1.6549917699032248E-5</v>
      </c>
      <c r="N271" s="1">
        <v>2.1005799187941798E-6</v>
      </c>
      <c r="O271" s="1">
        <v>6.55874104184465E-8</v>
      </c>
      <c r="P271" s="1">
        <v>-3.2610224603358399E-7</v>
      </c>
      <c r="Q271">
        <v>73.764375992941098</v>
      </c>
      <c r="R271">
        <v>0.107416480433597</v>
      </c>
      <c r="S271">
        <v>12.251879582944699</v>
      </c>
      <c r="T271">
        <v>0.28760029653955999</v>
      </c>
      <c r="V271">
        <v>0.66748668368990405</v>
      </c>
      <c r="W271">
        <v>3.0210885121945402E-2</v>
      </c>
      <c r="X271">
        <v>0.134270600542024</v>
      </c>
      <c r="AA271">
        <v>0.63746091720621101</v>
      </c>
      <c r="AB271">
        <v>3.0413048340828199</v>
      </c>
      <c r="AC271">
        <v>4.9984458925809498</v>
      </c>
      <c r="AD271">
        <v>4.4756866847315099E-2</v>
      </c>
      <c r="AE271">
        <v>4.0347909670697399</v>
      </c>
    </row>
    <row r="272" spans="1:31" x14ac:dyDescent="0.2">
      <c r="A272">
        <v>271</v>
      </c>
      <c r="B272">
        <v>768</v>
      </c>
      <c r="C272">
        <v>130</v>
      </c>
      <c r="D272">
        <v>0.46394899870335798</v>
      </c>
      <c r="E272">
        <v>42.067836511352901</v>
      </c>
      <c r="F272">
        <v>2.2201395352695599</v>
      </c>
      <c r="G272">
        <v>-684.16063926673723</v>
      </c>
      <c r="H272">
        <v>-575.74080833868618</v>
      </c>
      <c r="I272">
        <v>104.134688496423</v>
      </c>
      <c r="J272">
        <v>55.943610352568797</v>
      </c>
      <c r="K272">
        <v>18.948284935723699</v>
      </c>
      <c r="L272">
        <v>1.2538583272270497E-4</v>
      </c>
      <c r="M272">
        <v>1.6453848074655037E-5</v>
      </c>
      <c r="N272" s="1">
        <v>9.7660898803277392E-7</v>
      </c>
      <c r="O272" s="1">
        <v>3.0413136395145098E-8</v>
      </c>
      <c r="P272" s="1">
        <v>-1.5019781825940599E-7</v>
      </c>
      <c r="Q272">
        <v>73.358323363389999</v>
      </c>
      <c r="R272">
        <v>0.145686546479593</v>
      </c>
      <c r="S272">
        <v>12.754011702212701</v>
      </c>
      <c r="T272">
        <v>0.24813097607885401</v>
      </c>
      <c r="V272">
        <v>0.58134706395930802</v>
      </c>
      <c r="W272">
        <v>6.4182050324145506E-2</v>
      </c>
      <c r="X272">
        <v>0.19195155285197199</v>
      </c>
      <c r="AA272">
        <v>0.72147231429269798</v>
      </c>
      <c r="AB272">
        <v>2.6972633166269802</v>
      </c>
      <c r="AC272">
        <v>5.1663728865278999</v>
      </c>
      <c r="AD272">
        <v>9.5084518998696604E-2</v>
      </c>
      <c r="AE272">
        <v>3.9761737082570501</v>
      </c>
    </row>
    <row r="273" spans="1:31" x14ac:dyDescent="0.2">
      <c r="A273">
        <v>272</v>
      </c>
      <c r="B273">
        <v>766</v>
      </c>
      <c r="C273">
        <v>130</v>
      </c>
      <c r="D273">
        <v>0.46278256267141699</v>
      </c>
      <c r="E273">
        <v>26.9095750935514</v>
      </c>
      <c r="F273">
        <v>2.2244305085086702</v>
      </c>
      <c r="G273">
        <v>-437.63464594980604</v>
      </c>
      <c r="H273">
        <v>-368.63712005018874</v>
      </c>
      <c r="I273">
        <v>66.3980425343956</v>
      </c>
      <c r="J273">
        <v>35.818287128266597</v>
      </c>
      <c r="K273">
        <v>12.0972873688881</v>
      </c>
      <c r="L273">
        <v>1.2472786216082693E-4</v>
      </c>
      <c r="M273">
        <v>1.6414866524125124E-5</v>
      </c>
      <c r="N273" s="1">
        <v>6.2103438961316205E-7</v>
      </c>
      <c r="O273" s="1">
        <v>1.9278944682128899E-8</v>
      </c>
      <c r="P273" s="1">
        <v>-9.4581134733040605E-8</v>
      </c>
      <c r="Q273">
        <v>72.917379299913506</v>
      </c>
      <c r="R273">
        <v>0.17690333618729401</v>
      </c>
      <c r="S273">
        <v>13.2812930296879</v>
      </c>
      <c r="T273">
        <v>0.23103807702826401</v>
      </c>
      <c r="V273">
        <v>0.54700336301545704</v>
      </c>
      <c r="W273">
        <v>0.100336032457323</v>
      </c>
      <c r="X273">
        <v>0.19612540332238301</v>
      </c>
      <c r="AA273">
        <v>0.75663358222169097</v>
      </c>
      <c r="AB273">
        <v>2.4504417129450902</v>
      </c>
      <c r="AC273">
        <v>5.25036712641589</v>
      </c>
      <c r="AD273">
        <v>0.14864597401075799</v>
      </c>
      <c r="AE273">
        <v>3.9438330627942699</v>
      </c>
    </row>
    <row r="274" spans="1:31" x14ac:dyDescent="0.2">
      <c r="A274">
        <v>273</v>
      </c>
      <c r="B274">
        <v>764</v>
      </c>
      <c r="C274">
        <v>130</v>
      </c>
      <c r="D274">
        <v>0.461611628019092</v>
      </c>
      <c r="E274">
        <v>20.6457963606947</v>
      </c>
      <c r="F274">
        <v>2.2278164561355802</v>
      </c>
      <c r="G274">
        <v>-335.76495120448442</v>
      </c>
      <c r="H274">
        <v>-283.06309172051772</v>
      </c>
      <c r="I274">
        <v>50.814115107714997</v>
      </c>
      <c r="J274">
        <v>27.505069458686702</v>
      </c>
      <c r="K274">
        <v>9.2672788657407192</v>
      </c>
      <c r="L274">
        <v>1.2433106728190066E-4</v>
      </c>
      <c r="M274">
        <v>1.6396194938403581E-5</v>
      </c>
      <c r="N274" s="1">
        <v>4.7527444518624198E-7</v>
      </c>
      <c r="O274" s="1">
        <v>1.47036049924565E-8</v>
      </c>
      <c r="P274" s="1">
        <v>-7.17614909302631E-8</v>
      </c>
      <c r="Q274">
        <v>72.541704851072396</v>
      </c>
      <c r="R274">
        <v>0.19590420253122801</v>
      </c>
      <c r="S274">
        <v>13.7264475422148</v>
      </c>
      <c r="T274">
        <v>0.21952193947950299</v>
      </c>
      <c r="V274">
        <v>0.52391621239623098</v>
      </c>
      <c r="W274">
        <v>0.130777227132755</v>
      </c>
      <c r="X274">
        <v>0.19795841749259099</v>
      </c>
      <c r="AA274">
        <v>0.77662842547919997</v>
      </c>
      <c r="AB274">
        <v>2.2734013860328499</v>
      </c>
      <c r="AC274">
        <v>5.2949956594384799</v>
      </c>
      <c r="AD274">
        <v>0.193744040196515</v>
      </c>
      <c r="AE274">
        <v>3.9250000965332701</v>
      </c>
    </row>
    <row r="275" spans="1:31" x14ac:dyDescent="0.2">
      <c r="A275">
        <v>274</v>
      </c>
      <c r="B275">
        <v>762</v>
      </c>
      <c r="C275">
        <v>130</v>
      </c>
      <c r="D275">
        <v>0.46043616867121101</v>
      </c>
      <c r="E275">
        <v>17.1744143787413</v>
      </c>
      <c r="F275">
        <v>2.2306968742303601</v>
      </c>
      <c r="G275">
        <v>-279.30635695869984</v>
      </c>
      <c r="H275">
        <v>-235.64495427454554</v>
      </c>
      <c r="I275">
        <v>42.178817257551302</v>
      </c>
      <c r="J275">
        <v>22.8992662094876</v>
      </c>
      <c r="K275">
        <v>7.6991251375949004</v>
      </c>
      <c r="L275">
        <v>1.2406140808038157E-4</v>
      </c>
      <c r="M275">
        <v>1.6386254690900611E-5</v>
      </c>
      <c r="N275" s="1">
        <v>3.9501886922089002E-7</v>
      </c>
      <c r="O275" s="1">
        <v>1.2177402512925301E-8</v>
      </c>
      <c r="P275" s="1">
        <v>-5.9180094710881998E-8</v>
      </c>
      <c r="Q275">
        <v>72.210516229043407</v>
      </c>
      <c r="R275">
        <v>0.20912067873048401</v>
      </c>
      <c r="S275">
        <v>14.115475059274001</v>
      </c>
      <c r="T275">
        <v>0.21064674259633201</v>
      </c>
      <c r="V275">
        <v>0.50590503005714205</v>
      </c>
      <c r="W275">
        <v>0.15721060063283601</v>
      </c>
      <c r="X275">
        <v>0.19873323767173001</v>
      </c>
      <c r="AA275">
        <v>0.79211514436303099</v>
      </c>
      <c r="AB275">
        <v>2.1336695677073401</v>
      </c>
      <c r="AC275">
        <v>5.3209530744786102</v>
      </c>
      <c r="AD275">
        <v>0.23290459352992801</v>
      </c>
      <c r="AE275">
        <v>3.91275004191505</v>
      </c>
    </row>
    <row r="276" spans="1:31" x14ac:dyDescent="0.2">
      <c r="A276">
        <v>275</v>
      </c>
      <c r="B276">
        <v>760</v>
      </c>
      <c r="C276">
        <v>130</v>
      </c>
      <c r="D276">
        <v>0.45925615835067601</v>
      </c>
      <c r="E276">
        <v>14.930711439351301</v>
      </c>
      <c r="F276">
        <v>2.23325353877176</v>
      </c>
      <c r="G276">
        <v>-242.81244270151112</v>
      </c>
      <c r="H276">
        <v>-205.001998467345</v>
      </c>
      <c r="I276">
        <v>36.597245544370203</v>
      </c>
      <c r="J276">
        <v>19.923147207350802</v>
      </c>
      <c r="K276">
        <v>6.6856320521327399</v>
      </c>
      <c r="L276">
        <v>1.2386777989454282E-4</v>
      </c>
      <c r="M276">
        <v>1.6381149691984649E-5</v>
      </c>
      <c r="N276" s="1">
        <v>3.4345552451037297E-7</v>
      </c>
      <c r="O276" s="1">
        <v>1.05495328423966E-8</v>
      </c>
      <c r="P276" s="1">
        <v>-5.1084247591306102E-8</v>
      </c>
      <c r="Q276">
        <v>71.910259689056304</v>
      </c>
      <c r="R276">
        <v>0.219098424461806</v>
      </c>
      <c r="S276">
        <v>14.465374097359</v>
      </c>
      <c r="T276">
        <v>0.20329378384918301</v>
      </c>
      <c r="V276">
        <v>0.490728914003147</v>
      </c>
      <c r="W276">
        <v>0.18083532127497801</v>
      </c>
      <c r="X276">
        <v>0.198935291264348</v>
      </c>
      <c r="AA276">
        <v>0.80583206831639198</v>
      </c>
      <c r="AB276">
        <v>2.0174249632762602</v>
      </c>
      <c r="AC276">
        <v>5.3358821340644003</v>
      </c>
      <c r="AD276">
        <v>0.26790417966638802</v>
      </c>
      <c r="AE276">
        <v>3.9044311334076398</v>
      </c>
    </row>
    <row r="277" spans="1:31" x14ac:dyDescent="0.2">
      <c r="A277">
        <v>276</v>
      </c>
      <c r="B277">
        <v>758</v>
      </c>
      <c r="C277">
        <v>130</v>
      </c>
      <c r="D277">
        <v>0.45807157057654202</v>
      </c>
      <c r="E277">
        <v>13.3404072078505</v>
      </c>
      <c r="F277">
        <v>2.2355831697148401</v>
      </c>
      <c r="G277">
        <v>-216.94420136877909</v>
      </c>
      <c r="H277">
        <v>-183.28686948153148</v>
      </c>
      <c r="I277">
        <v>32.640577886095599</v>
      </c>
      <c r="J277">
        <v>17.8142580911191</v>
      </c>
      <c r="K277">
        <v>5.9673052600195504</v>
      </c>
      <c r="L277">
        <v>1.237253734119494E-4</v>
      </c>
      <c r="M277">
        <v>1.6379141251380682E-5</v>
      </c>
      <c r="N277" s="1">
        <v>3.0711694099653498E-7</v>
      </c>
      <c r="O277" s="1">
        <v>9.3987846767485199E-9</v>
      </c>
      <c r="P277" s="1">
        <v>-4.5369414282340103E-8</v>
      </c>
      <c r="Q277">
        <v>71.632717893450604</v>
      </c>
      <c r="R277">
        <v>0.22703216882090199</v>
      </c>
      <c r="S277">
        <v>14.786466290876501</v>
      </c>
      <c r="T277">
        <v>0.19693617829301499</v>
      </c>
      <c r="V277">
        <v>0.477368995323601</v>
      </c>
      <c r="W277">
        <v>0.20239262249882001</v>
      </c>
      <c r="X277">
        <v>0.198785913326474</v>
      </c>
      <c r="AA277">
        <v>0.81874739622970605</v>
      </c>
      <c r="AB277">
        <v>1.91751472035398</v>
      </c>
      <c r="AC277">
        <v>5.3434395040346603</v>
      </c>
      <c r="AD277">
        <v>0.299840922220176</v>
      </c>
      <c r="AE277">
        <v>3.8987573945713798</v>
      </c>
    </row>
    <row r="278" spans="1:31" x14ac:dyDescent="0.2">
      <c r="A278">
        <v>277</v>
      </c>
      <c r="B278">
        <v>756</v>
      </c>
      <c r="C278">
        <v>130</v>
      </c>
      <c r="D278">
        <v>0.45688237866200498</v>
      </c>
      <c r="E278">
        <v>12.142387000073199</v>
      </c>
      <c r="F278">
        <v>2.23774358784345</v>
      </c>
      <c r="G278">
        <v>-197.4554078150189</v>
      </c>
      <c r="H278">
        <v>-166.93149787718437</v>
      </c>
      <c r="I278">
        <v>29.659340171825701</v>
      </c>
      <c r="J278">
        <v>16.2259633700946</v>
      </c>
      <c r="K278">
        <v>5.42617441338533</v>
      </c>
      <c r="L278">
        <v>1.2362018247884292E-4</v>
      </c>
      <c r="M278">
        <v>1.6379305426637005E-5</v>
      </c>
      <c r="N278" s="1">
        <v>2.7989461887889899E-7</v>
      </c>
      <c r="O278" s="1">
        <v>8.5340079014205004E-9</v>
      </c>
      <c r="P278" s="1">
        <v>-4.1080935007212801E-8</v>
      </c>
      <c r="Q278">
        <v>71.372625237311098</v>
      </c>
      <c r="R278">
        <v>0.23356580028278301</v>
      </c>
      <c r="S278">
        <v>15.0853709017639</v>
      </c>
      <c r="T278">
        <v>0.19128569659672801</v>
      </c>
      <c r="V278">
        <v>0.465282921324568</v>
      </c>
      <c r="W278">
        <v>0.222361550491077</v>
      </c>
      <c r="X278">
        <v>0.19840173177027701</v>
      </c>
      <c r="AA278">
        <v>0.83127654628340897</v>
      </c>
      <c r="AB278">
        <v>1.82972490043146</v>
      </c>
      <c r="AC278">
        <v>5.3456757808751698</v>
      </c>
      <c r="AD278">
        <v>0.32942451924569</v>
      </c>
      <c r="AE278">
        <v>3.8950044136236701</v>
      </c>
    </row>
    <row r="279" spans="1:31" x14ac:dyDescent="0.2">
      <c r="A279">
        <v>278</v>
      </c>
      <c r="B279">
        <v>754</v>
      </c>
      <c r="C279">
        <v>130</v>
      </c>
      <c r="D279">
        <v>0.45568855571240902</v>
      </c>
      <c r="E279">
        <v>11.142684806019901</v>
      </c>
      <c r="F279">
        <v>2.2396617127899101</v>
      </c>
      <c r="G279">
        <v>-181.1932948934041</v>
      </c>
      <c r="H279">
        <v>-153.28068652541549</v>
      </c>
      <c r="I279">
        <v>27.174812216315601</v>
      </c>
      <c r="J279">
        <v>14.900888645579901</v>
      </c>
      <c r="K279">
        <v>4.9751642144829402</v>
      </c>
      <c r="L279">
        <v>1.235633805041203E-4</v>
      </c>
      <c r="M279">
        <v>1.6386184929698547E-5</v>
      </c>
      <c r="N279" s="1">
        <v>2.5744270647324099E-7</v>
      </c>
      <c r="O279" s="1">
        <v>7.8196993873969902E-9</v>
      </c>
      <c r="P279" s="1">
        <v>-3.7546445094939797E-8</v>
      </c>
      <c r="Q279">
        <v>71.121938175555897</v>
      </c>
      <c r="R279">
        <v>0.22209655922002899</v>
      </c>
      <c r="S279">
        <v>15.3814957840804</v>
      </c>
      <c r="T279">
        <v>0.18885471749956501</v>
      </c>
      <c r="V279">
        <v>0.46093489172347502</v>
      </c>
      <c r="W279">
        <v>0.24032017610779099</v>
      </c>
      <c r="X279">
        <v>0.19498623859233499</v>
      </c>
      <c r="AA279">
        <v>0.84464568869650902</v>
      </c>
      <c r="AB279">
        <v>1.75067982049756</v>
      </c>
      <c r="AC279">
        <v>5.3398089149810701</v>
      </c>
      <c r="AD279">
        <v>0.35897991100244198</v>
      </c>
      <c r="AE279">
        <v>3.8952591220428001</v>
      </c>
    </row>
    <row r="280" spans="1:31" x14ac:dyDescent="0.2">
      <c r="A280">
        <v>279</v>
      </c>
      <c r="B280">
        <v>752</v>
      </c>
      <c r="C280">
        <v>130</v>
      </c>
      <c r="D280">
        <v>0.45449007462322599</v>
      </c>
      <c r="E280">
        <v>10.3645098660195</v>
      </c>
      <c r="F280">
        <v>2.2415280432234401</v>
      </c>
      <c r="G280">
        <v>-168.53332186042391</v>
      </c>
      <c r="H280">
        <v>-142.65990173342266</v>
      </c>
      <c r="I280">
        <v>25.238667635956901</v>
      </c>
      <c r="J280">
        <v>13.8696718579157</v>
      </c>
      <c r="K280">
        <v>4.6238591113563601</v>
      </c>
      <c r="L280">
        <v>1.235174187872643E-4</v>
      </c>
      <c r="M280">
        <v>1.6391335832245306E-5</v>
      </c>
      <c r="N280" s="1">
        <v>2.39996910939458E-7</v>
      </c>
      <c r="O280" s="1">
        <v>7.2623002570302896E-9</v>
      </c>
      <c r="P280" s="1">
        <v>-3.47914276949427E-8</v>
      </c>
      <c r="Q280">
        <v>70.886076104178102</v>
      </c>
      <c r="R280">
        <v>0.21978813803873401</v>
      </c>
      <c r="S280">
        <v>15.6537080411546</v>
      </c>
      <c r="T280">
        <v>0.18517191647755801</v>
      </c>
      <c r="V280">
        <v>0.45312536494150901</v>
      </c>
      <c r="W280">
        <v>0.25740631232510702</v>
      </c>
      <c r="X280">
        <v>0.19313734165559401</v>
      </c>
      <c r="AA280">
        <v>0.85744858796270895</v>
      </c>
      <c r="AB280">
        <v>1.6799050211740301</v>
      </c>
      <c r="AC280">
        <v>5.3330736251427</v>
      </c>
      <c r="AD280">
        <v>0.385932383846464</v>
      </c>
      <c r="AE280">
        <v>3.8952271631028101</v>
      </c>
    </row>
    <row r="281" spans="1:31" x14ac:dyDescent="0.2">
      <c r="A281">
        <v>280</v>
      </c>
      <c r="B281">
        <v>792</v>
      </c>
      <c r="C281">
        <v>120</v>
      </c>
      <c r="D281">
        <v>0.48793174670234402</v>
      </c>
      <c r="E281">
        <v>104.031512864723</v>
      </c>
      <c r="F281">
        <v>2.2075151440432799</v>
      </c>
      <c r="G281">
        <v>-1701.3919667467364</v>
      </c>
      <c r="H281">
        <v>-1422.6555732231334</v>
      </c>
      <c r="I281">
        <v>261.687455779564</v>
      </c>
      <c r="J281">
        <v>138.736790281553</v>
      </c>
      <c r="K281">
        <v>47.1260698461979</v>
      </c>
      <c r="L281">
        <v>1.2646889207140304E-4</v>
      </c>
      <c r="M281">
        <v>1.6712957557259655E-5</v>
      </c>
      <c r="N281" s="1">
        <v>2.3560286423336102E-6</v>
      </c>
      <c r="O281" s="1">
        <v>7.6972216984279296E-8</v>
      </c>
      <c r="P281" s="1">
        <v>-3.7575697306575401E-7</v>
      </c>
      <c r="Q281">
        <v>73.794947209747093</v>
      </c>
      <c r="R281">
        <v>9.22797307819921E-2</v>
      </c>
      <c r="S281">
        <v>12.4577636555694</v>
      </c>
      <c r="T281">
        <v>0.241021572947967</v>
      </c>
      <c r="V281">
        <v>0.57887168111175402</v>
      </c>
      <c r="W281">
        <v>2.5953674282434998E-2</v>
      </c>
      <c r="X281">
        <v>0.115349663477491</v>
      </c>
      <c r="AA281">
        <v>0.75938528456013998</v>
      </c>
      <c r="AB281">
        <v>3.4124275445423899</v>
      </c>
      <c r="AC281">
        <v>4.5082493475785199</v>
      </c>
      <c r="AD281">
        <v>3.8449887825829102E-2</v>
      </c>
      <c r="AE281">
        <v>3.9753007475748001</v>
      </c>
    </row>
    <row r="282" spans="1:31" x14ac:dyDescent="0.2">
      <c r="A282">
        <v>281</v>
      </c>
      <c r="B282">
        <v>790</v>
      </c>
      <c r="C282">
        <v>120</v>
      </c>
      <c r="D282">
        <v>0.486836758688802</v>
      </c>
      <c r="E282">
        <v>103.559636782464</v>
      </c>
      <c r="F282">
        <v>2.2080211258287199</v>
      </c>
      <c r="G282">
        <v>-1693.0108265380259</v>
      </c>
      <c r="H282">
        <v>-1416.4242949112599</v>
      </c>
      <c r="I282">
        <v>260.15758042304901</v>
      </c>
      <c r="J282">
        <v>138.03893110662099</v>
      </c>
      <c r="K282">
        <v>46.901560664912601</v>
      </c>
      <c r="L282">
        <v>1.2622411193095472E-4</v>
      </c>
      <c r="M282">
        <v>1.6692580402626648E-5</v>
      </c>
      <c r="N282" s="1">
        <v>2.3476096838751301E-6</v>
      </c>
      <c r="O282" s="1">
        <v>7.6425331454920201E-8</v>
      </c>
      <c r="P282" s="1">
        <v>-3.7318278648661699E-7</v>
      </c>
      <c r="Q282">
        <v>73.852988605982603</v>
      </c>
      <c r="R282">
        <v>9.2700209253974E-2</v>
      </c>
      <c r="S282">
        <v>12.4191729307827</v>
      </c>
      <c r="T282">
        <v>0.24270647207139801</v>
      </c>
      <c r="V282">
        <v>0.58098145560254399</v>
      </c>
      <c r="W282">
        <v>2.60719338526798E-2</v>
      </c>
      <c r="X282">
        <v>0.11587526156746999</v>
      </c>
      <c r="AA282">
        <v>0.74909285374896195</v>
      </c>
      <c r="AB282">
        <v>3.3892981748698401</v>
      </c>
      <c r="AC282">
        <v>4.5225815303355601</v>
      </c>
      <c r="AD282">
        <v>3.8625087189154098E-2</v>
      </c>
      <c r="AE282">
        <v>3.9699054847430899</v>
      </c>
    </row>
    <row r="283" spans="1:31" x14ac:dyDescent="0.2">
      <c r="A283">
        <v>282</v>
      </c>
      <c r="B283">
        <v>788</v>
      </c>
      <c r="C283">
        <v>120</v>
      </c>
      <c r="D283">
        <v>0.48573764312303003</v>
      </c>
      <c r="E283">
        <v>102.883255146379</v>
      </c>
      <c r="F283">
        <v>2.2085224528684702</v>
      </c>
      <c r="G283">
        <v>-1681.2313242624609</v>
      </c>
      <c r="H283">
        <v>-1407.371691025387</v>
      </c>
      <c r="I283">
        <v>258.07815411306001</v>
      </c>
      <c r="J283">
        <v>137.04942465885199</v>
      </c>
      <c r="K283">
        <v>46.584654375033701</v>
      </c>
      <c r="L283">
        <v>1.2589383131531259E-4</v>
      </c>
      <c r="M283">
        <v>1.6667796606472411E-5</v>
      </c>
      <c r="N283" s="1">
        <v>2.3329137888953801E-6</v>
      </c>
      <c r="O283" s="1">
        <v>7.5683214008929804E-8</v>
      </c>
      <c r="P283" s="1">
        <v>-3.6952089877334602E-7</v>
      </c>
      <c r="Q283">
        <v>73.936402345494102</v>
      </c>
      <c r="R283">
        <v>9.3309644862435898E-2</v>
      </c>
      <c r="S283">
        <v>12.3640295704365</v>
      </c>
      <c r="T283">
        <v>0.24484752128338799</v>
      </c>
      <c r="V283">
        <v>0.58431019429501196</v>
      </c>
      <c r="W283">
        <v>2.6243337617559499E-2</v>
      </c>
      <c r="X283">
        <v>0.116637056078049</v>
      </c>
      <c r="AA283">
        <v>0.73499231054360903</v>
      </c>
      <c r="AB283">
        <v>3.3556365500546601</v>
      </c>
      <c r="AC283">
        <v>4.5429212497522498</v>
      </c>
      <c r="AD283">
        <v>3.8879018692679103E-2</v>
      </c>
      <c r="AE283">
        <v>3.9617912008896901</v>
      </c>
    </row>
    <row r="284" spans="1:31" x14ac:dyDescent="0.2">
      <c r="A284">
        <v>283</v>
      </c>
      <c r="B284">
        <v>786</v>
      </c>
      <c r="C284">
        <v>120</v>
      </c>
      <c r="D284">
        <v>0.48463437662276798</v>
      </c>
      <c r="E284">
        <v>102.20636371506301</v>
      </c>
      <c r="F284">
        <v>2.2090308332089901</v>
      </c>
      <c r="G284">
        <v>-1669.4539682374225</v>
      </c>
      <c r="H284">
        <v>-1398.3110471200341</v>
      </c>
      <c r="I284">
        <v>256.000492014717</v>
      </c>
      <c r="J284">
        <v>136.060172046475</v>
      </c>
      <c r="K284">
        <v>46.267513417452598</v>
      </c>
      <c r="L284">
        <v>1.2556019513345381E-4</v>
      </c>
      <c r="M284">
        <v>1.664291685918788E-5</v>
      </c>
      <c r="N284" s="1">
        <v>2.3181123807471901E-6</v>
      </c>
      <c r="O284" s="1">
        <v>7.4942380678889204E-8</v>
      </c>
      <c r="P284" s="1">
        <v>-3.6585414215756502E-7</v>
      </c>
      <c r="Q284">
        <v>74.019945462240301</v>
      </c>
      <c r="R284">
        <v>9.3927615180239399E-2</v>
      </c>
      <c r="S284">
        <v>12.3089304976319</v>
      </c>
      <c r="T284">
        <v>0.247019736760481</v>
      </c>
      <c r="V284">
        <v>0.58768448564948095</v>
      </c>
      <c r="W284">
        <v>2.6417141769441599E-2</v>
      </c>
      <c r="X284">
        <v>0.11740951897530399</v>
      </c>
      <c r="AA284">
        <v>0.721610328966931</v>
      </c>
      <c r="AB284">
        <v>3.3213395308182401</v>
      </c>
      <c r="AC284">
        <v>4.5630106984279202</v>
      </c>
      <c r="AD284">
        <v>3.91365063250965E-2</v>
      </c>
      <c r="AE284">
        <v>3.95356847725458</v>
      </c>
    </row>
    <row r="285" spans="1:31" x14ac:dyDescent="0.2">
      <c r="A285">
        <v>284</v>
      </c>
      <c r="B285">
        <v>784</v>
      </c>
      <c r="C285">
        <v>120</v>
      </c>
      <c r="D285">
        <v>0.48352693562881199</v>
      </c>
      <c r="E285">
        <v>101.529500655109</v>
      </c>
      <c r="F285">
        <v>2.2095457146771502</v>
      </c>
      <c r="G285">
        <v>-1657.6878253886835</v>
      </c>
      <c r="H285">
        <v>-1389.2498102634147</v>
      </c>
      <c r="I285">
        <v>253.926136428386</v>
      </c>
      <c r="J285">
        <v>135.07192776395999</v>
      </c>
      <c r="K285">
        <v>45.950396038736997</v>
      </c>
      <c r="L285">
        <v>1.2522345398080845E-4</v>
      </c>
      <c r="M285">
        <v>1.6617965077990715E-5</v>
      </c>
      <c r="N285" s="1">
        <v>2.3032255785702599E-6</v>
      </c>
      <c r="O285" s="1">
        <v>7.4203462520548903E-8</v>
      </c>
      <c r="P285" s="1">
        <v>-3.6218597748895798E-7</v>
      </c>
      <c r="Q285">
        <v>74.103608611772501</v>
      </c>
      <c r="R285">
        <v>9.4553799024490306E-2</v>
      </c>
      <c r="S285">
        <v>12.2538832690169</v>
      </c>
      <c r="T285">
        <v>0.24922259762076601</v>
      </c>
      <c r="V285">
        <v>0.59110202874045203</v>
      </c>
      <c r="W285">
        <v>2.6593255975637001E-2</v>
      </c>
      <c r="X285">
        <v>0.118192248780619</v>
      </c>
      <c r="AA285">
        <v>0.70892852136275697</v>
      </c>
      <c r="AB285">
        <v>3.2864594422837001</v>
      </c>
      <c r="AC285">
        <v>4.5828100930455502</v>
      </c>
      <c r="AD285">
        <v>3.9397416260200199E-2</v>
      </c>
      <c r="AE285">
        <v>3.9452487161163599</v>
      </c>
    </row>
    <row r="286" spans="1:31" x14ac:dyDescent="0.2">
      <c r="A286">
        <v>285</v>
      </c>
      <c r="B286">
        <v>782</v>
      </c>
      <c r="C286">
        <v>120</v>
      </c>
      <c r="D286">
        <v>0.48241529640335601</v>
      </c>
      <c r="E286">
        <v>100.8531867641</v>
      </c>
      <c r="F286">
        <v>2.2100665353518298</v>
      </c>
      <c r="G286">
        <v>-1645.9416579156682</v>
      </c>
      <c r="H286">
        <v>-1380.1951912725012</v>
      </c>
      <c r="I286">
        <v>251.85657645184699</v>
      </c>
      <c r="J286">
        <v>134.08542050207399</v>
      </c>
      <c r="K286">
        <v>45.633552271332199</v>
      </c>
      <c r="L286">
        <v>1.2488386175766507E-4</v>
      </c>
      <c r="M286">
        <v>1.6592965390381005E-5</v>
      </c>
      <c r="N286" s="1">
        <v>2.2882731129732299E-6</v>
      </c>
      <c r="O286" s="1">
        <v>7.3467069188909805E-8</v>
      </c>
      <c r="P286" s="1">
        <v>-3.5851976554389098E-7</v>
      </c>
      <c r="Q286">
        <v>74.187382871562804</v>
      </c>
      <c r="R286">
        <v>9.5187869694736901E-2</v>
      </c>
      <c r="S286">
        <v>12.198895114882999</v>
      </c>
      <c r="T286">
        <v>0.25145556978671302</v>
      </c>
      <c r="V286">
        <v>0.59456048693705699</v>
      </c>
      <c r="W286">
        <v>2.6771588351643599E-2</v>
      </c>
      <c r="X286">
        <v>0.11898483711843</v>
      </c>
      <c r="AA286">
        <v>0.69692767194312599</v>
      </c>
      <c r="AB286">
        <v>3.2510495631137899</v>
      </c>
      <c r="AC286">
        <v>4.6022793228175898</v>
      </c>
      <c r="AD286">
        <v>3.9661612372801899E-2</v>
      </c>
      <c r="AE286">
        <v>3.9368434914182102</v>
      </c>
    </row>
    <row r="287" spans="1:31" x14ac:dyDescent="0.2">
      <c r="A287">
        <v>286</v>
      </c>
      <c r="B287">
        <v>780</v>
      </c>
      <c r="C287">
        <v>120</v>
      </c>
      <c r="D287">
        <v>0.48129943502824801</v>
      </c>
      <c r="E287">
        <v>99.147230689824795</v>
      </c>
      <c r="F287">
        <v>2.2110313248994502</v>
      </c>
      <c r="G287">
        <v>-1617.1020334408358</v>
      </c>
      <c r="H287">
        <v>-1356.7706081153842</v>
      </c>
      <c r="I287">
        <v>247.19311145178801</v>
      </c>
      <c r="J287">
        <v>131.74003166143299</v>
      </c>
      <c r="K287">
        <v>44.842074181980799</v>
      </c>
      <c r="L287">
        <v>1.2456274619397325E-4</v>
      </c>
      <c r="M287">
        <v>1.6556407633658777E-5</v>
      </c>
      <c r="N287" s="1">
        <v>2.2474022874536999E-6</v>
      </c>
      <c r="O287" s="1">
        <v>7.19151333834716E-8</v>
      </c>
      <c r="P287" s="1">
        <v>-3.5129537841709998E-7</v>
      </c>
      <c r="Q287">
        <v>74.207740105285396</v>
      </c>
      <c r="R287">
        <v>9.68256998527081E-2</v>
      </c>
      <c r="S287">
        <v>12.1727236091008</v>
      </c>
      <c r="T287">
        <v>0.25645571365978298</v>
      </c>
      <c r="V287">
        <v>0.60418462119316696</v>
      </c>
      <c r="W287">
        <v>2.72322280835724E-2</v>
      </c>
      <c r="X287">
        <v>0.12103212481589801</v>
      </c>
      <c r="AA287">
        <v>0.68136291143845995</v>
      </c>
      <c r="AB287">
        <v>3.20806564515284</v>
      </c>
      <c r="AC287">
        <v>4.6600043591414</v>
      </c>
      <c r="AD287">
        <v>4.0344041605287199E-2</v>
      </c>
      <c r="AE287">
        <v>3.9240289406705302</v>
      </c>
    </row>
    <row r="288" spans="1:31" x14ac:dyDescent="0.2">
      <c r="A288">
        <v>287</v>
      </c>
      <c r="B288">
        <v>778</v>
      </c>
      <c r="C288">
        <v>120</v>
      </c>
      <c r="D288">
        <v>0.48017932740332298</v>
      </c>
      <c r="E288">
        <v>95.798553952621504</v>
      </c>
      <c r="F288">
        <v>2.2127461375411102</v>
      </c>
      <c r="G288">
        <v>-1561.0326224515468</v>
      </c>
      <c r="H288">
        <v>-1310.4392190804604</v>
      </c>
      <c r="I288">
        <v>238.39928018939801</v>
      </c>
      <c r="J288">
        <v>127.227331203689</v>
      </c>
      <c r="K288">
        <v>43.293965054245398</v>
      </c>
      <c r="L288">
        <v>1.242606535880345E-4</v>
      </c>
      <c r="M288">
        <v>1.6500699311970427E-5</v>
      </c>
      <c r="N288" s="1">
        <v>2.1652434665282698E-6</v>
      </c>
      <c r="O288" s="1">
        <v>6.9071038297305695E-8</v>
      </c>
      <c r="P288" s="1">
        <v>-3.3836213379385598E-7</v>
      </c>
      <c r="Q288">
        <v>74.127341319481005</v>
      </c>
      <c r="R288">
        <v>0.10021028088532501</v>
      </c>
      <c r="S288">
        <v>12.191858840611101</v>
      </c>
      <c r="T288">
        <v>0.26626279325345698</v>
      </c>
      <c r="V288">
        <v>0.62454598443938802</v>
      </c>
      <c r="W288">
        <v>2.8184141498995698E-2</v>
      </c>
      <c r="X288">
        <v>0.12526285110667201</v>
      </c>
      <c r="AA288">
        <v>0.66169600885664803</v>
      </c>
      <c r="AB288">
        <v>3.1501508881059102</v>
      </c>
      <c r="AC288">
        <v>4.7789637398382103</v>
      </c>
      <c r="AD288">
        <v>4.1754283702209502E-2</v>
      </c>
      <c r="AE288">
        <v>3.9037688682209502</v>
      </c>
    </row>
    <row r="289" spans="1:31" x14ac:dyDescent="0.2">
      <c r="A289">
        <v>288</v>
      </c>
      <c r="B289">
        <v>776</v>
      </c>
      <c r="C289">
        <v>120</v>
      </c>
      <c r="D289">
        <v>0.47905494924462999</v>
      </c>
      <c r="E289">
        <v>92.314081454116504</v>
      </c>
      <c r="F289">
        <v>2.21458290066772</v>
      </c>
      <c r="G289">
        <v>-1502.8055867326627</v>
      </c>
      <c r="H289">
        <v>-1262.2519271113665</v>
      </c>
      <c r="I289">
        <v>229.284334576844</v>
      </c>
      <c r="J289">
        <v>122.538162574349</v>
      </c>
      <c r="K289">
        <v>41.684635705569001</v>
      </c>
      <c r="L289">
        <v>1.2393967859383842E-4</v>
      </c>
      <c r="M289">
        <v>1.6442989273641039E-5</v>
      </c>
      <c r="N289" s="1">
        <v>2.0798115780833102E-6</v>
      </c>
      <c r="O289" s="1">
        <v>6.6141977854913603E-8</v>
      </c>
      <c r="P289" s="1">
        <v>-3.2491297843355801E-7</v>
      </c>
      <c r="Q289">
        <v>74.042007469270203</v>
      </c>
      <c r="R289">
        <v>0.103992802059909</v>
      </c>
      <c r="S289">
        <v>12.2125127063596</v>
      </c>
      <c r="T289">
        <v>0.277156824890886</v>
      </c>
      <c r="V289">
        <v>0.64736080926670403</v>
      </c>
      <c r="W289">
        <v>2.9247975579346899E-2</v>
      </c>
      <c r="X289">
        <v>0.12999100257490501</v>
      </c>
      <c r="AA289">
        <v>0.64560456469401595</v>
      </c>
      <c r="AB289">
        <v>3.0861257186172</v>
      </c>
      <c r="AC289">
        <v>4.9002814794885703</v>
      </c>
      <c r="AD289">
        <v>4.3330334191617102E-2</v>
      </c>
      <c r="AE289">
        <v>3.8823883130069201</v>
      </c>
    </row>
    <row r="290" spans="1:31" x14ac:dyDescent="0.2">
      <c r="A290">
        <v>289</v>
      </c>
      <c r="B290">
        <v>774</v>
      </c>
      <c r="C290">
        <v>120</v>
      </c>
      <c r="D290">
        <v>0.47792627608270499</v>
      </c>
      <c r="E290">
        <v>88.535960445161905</v>
      </c>
      <c r="F290">
        <v>2.2165923713373901</v>
      </c>
      <c r="G290">
        <v>-1439.8452103184136</v>
      </c>
      <c r="H290">
        <v>-1210.0397450670089</v>
      </c>
      <c r="I290">
        <v>219.45801962603599</v>
      </c>
      <c r="J290">
        <v>117.463952502761</v>
      </c>
      <c r="K290">
        <v>39.942373523438199</v>
      </c>
      <c r="L290">
        <v>1.2359853751137674E-4</v>
      </c>
      <c r="M290">
        <v>1.6383077787450328E-5</v>
      </c>
      <c r="N290" s="1">
        <v>1.9875709070210402E-6</v>
      </c>
      <c r="O290" s="1">
        <v>6.3016636392739602E-8</v>
      </c>
      <c r="P290" s="1">
        <v>-3.1038775405816E-7</v>
      </c>
      <c r="Q290">
        <v>73.948972225823795</v>
      </c>
      <c r="R290">
        <v>0.108430517404805</v>
      </c>
      <c r="S290">
        <v>12.235368763006999</v>
      </c>
      <c r="T290">
        <v>0.289809962303341</v>
      </c>
      <c r="V290">
        <v>0.67424263441772303</v>
      </c>
      <c r="W290">
        <v>3.0496083020098701E-2</v>
      </c>
      <c r="X290">
        <v>0.13553814675602799</v>
      </c>
      <c r="AA290">
        <v>0.63417131395561399</v>
      </c>
      <c r="AB290">
        <v>3.0144061946943501</v>
      </c>
      <c r="AC290">
        <v>5.02367414236992</v>
      </c>
      <c r="AD290">
        <v>4.5179382251989399E-2</v>
      </c>
      <c r="AE290">
        <v>3.8597106339951299</v>
      </c>
    </row>
    <row r="291" spans="1:31" x14ac:dyDescent="0.2">
      <c r="A291">
        <v>290</v>
      </c>
      <c r="B291">
        <v>772</v>
      </c>
      <c r="C291">
        <v>120</v>
      </c>
      <c r="D291">
        <v>0.47679328326077502</v>
      </c>
      <c r="E291">
        <v>45.569708270308801</v>
      </c>
      <c r="F291">
        <v>2.2211188120320098</v>
      </c>
      <c r="G291">
        <v>-741.15812856504806</v>
      </c>
      <c r="H291">
        <v>-623.57059433093855</v>
      </c>
      <c r="I291">
        <v>112.507806758943</v>
      </c>
      <c r="J291">
        <v>60.505812629872402</v>
      </c>
      <c r="K291">
        <v>20.5165559012211</v>
      </c>
      <c r="L291">
        <v>1.2251577797418167E-4</v>
      </c>
      <c r="M291">
        <v>1.62905457839728E-5</v>
      </c>
      <c r="N291" s="1">
        <v>1.01141103233384E-6</v>
      </c>
      <c r="O291" s="1">
        <v>3.1982933584276198E-8</v>
      </c>
      <c r="P291" s="1">
        <v>-1.56644324682402E-7</v>
      </c>
      <c r="Q291">
        <v>73.5923728657297</v>
      </c>
      <c r="R291">
        <v>0.14159706810092099</v>
      </c>
      <c r="S291">
        <v>12.6645028698569</v>
      </c>
      <c r="T291">
        <v>0.25331073082287198</v>
      </c>
      <c r="V291">
        <v>0.59370497767539299</v>
      </c>
      <c r="W291">
        <v>5.9249885559584402E-2</v>
      </c>
      <c r="X291">
        <v>0.196211014247855</v>
      </c>
      <c r="AA291">
        <v>0.71545760507424705</v>
      </c>
      <c r="AB291">
        <v>2.6985346417012099</v>
      </c>
      <c r="AC291">
        <v>5.1900043997166296</v>
      </c>
      <c r="AD291">
        <v>8.7777608236352306E-2</v>
      </c>
      <c r="AE291">
        <v>3.8072763332782298</v>
      </c>
    </row>
    <row r="292" spans="1:31" x14ac:dyDescent="0.2">
      <c r="A292">
        <v>291</v>
      </c>
      <c r="B292">
        <v>770</v>
      </c>
      <c r="C292">
        <v>120</v>
      </c>
      <c r="D292">
        <v>0.47565594593299199</v>
      </c>
      <c r="E292">
        <v>28.476345063419899</v>
      </c>
      <c r="F292">
        <v>2.22541913261094</v>
      </c>
      <c r="G292">
        <v>-463.13660032309247</v>
      </c>
      <c r="H292">
        <v>-390.03576667328775</v>
      </c>
      <c r="I292">
        <v>70.077010640660106</v>
      </c>
      <c r="J292">
        <v>37.843376010509701</v>
      </c>
      <c r="K292">
        <v>12.7959469055208</v>
      </c>
      <c r="L292">
        <v>1.2184308851638272E-4</v>
      </c>
      <c r="M292">
        <v>1.6248768163193232E-5</v>
      </c>
      <c r="N292" s="1">
        <v>6.28035083749939E-7</v>
      </c>
      <c r="O292" s="1">
        <v>1.9798620336331298E-8</v>
      </c>
      <c r="P292" s="1">
        <v>-9.6310331246822003E-8</v>
      </c>
      <c r="Q292">
        <v>73.153619544485906</v>
      </c>
      <c r="R292">
        <v>0.175150394771317</v>
      </c>
      <c r="S292">
        <v>13.1856203792715</v>
      </c>
      <c r="T292">
        <v>0.23527664745865001</v>
      </c>
      <c r="V292">
        <v>0.55718500518302405</v>
      </c>
      <c r="W292">
        <v>9.4815538791443499E-2</v>
      </c>
      <c r="X292">
        <v>0.20072099463037599</v>
      </c>
      <c r="AA292">
        <v>0.75565513321093603</v>
      </c>
      <c r="AB292">
        <v>2.44368538175044</v>
      </c>
      <c r="AC292">
        <v>5.2831594243470903</v>
      </c>
      <c r="AD292">
        <v>0.14046746487606501</v>
      </c>
      <c r="AE292">
        <v>3.7746440912231001</v>
      </c>
    </row>
    <row r="293" spans="1:31" x14ac:dyDescent="0.2">
      <c r="A293">
        <v>292</v>
      </c>
      <c r="B293">
        <v>768</v>
      </c>
      <c r="C293">
        <v>120</v>
      </c>
      <c r="D293">
        <v>0.474514239062578</v>
      </c>
      <c r="E293">
        <v>21.5642883321451</v>
      </c>
      <c r="F293">
        <v>2.2288034379130601</v>
      </c>
      <c r="G293">
        <v>-350.71755397816281</v>
      </c>
      <c r="H293">
        <v>-295.60662397595098</v>
      </c>
      <c r="I293">
        <v>52.932747444855998</v>
      </c>
      <c r="J293">
        <v>28.6828035390458</v>
      </c>
      <c r="K293">
        <v>9.6752759643698294</v>
      </c>
      <c r="L293">
        <v>1.2144200166890524E-4</v>
      </c>
      <c r="M293">
        <v>1.6229356138176621E-5</v>
      </c>
      <c r="N293" s="1">
        <v>4.7430359563328399E-7</v>
      </c>
      <c r="O293" s="1">
        <v>1.49017762827758E-8</v>
      </c>
      <c r="P293" s="1">
        <v>-7.2098063192026E-8</v>
      </c>
      <c r="Q293">
        <v>72.776819039336502</v>
      </c>
      <c r="R293">
        <v>0.19570754397265799</v>
      </c>
      <c r="S293">
        <v>13.630532484026499</v>
      </c>
      <c r="T293">
        <v>0.22319674602589901</v>
      </c>
      <c r="V293">
        <v>0.53286809291255999</v>
      </c>
      <c r="W293">
        <v>0.12520700699286999</v>
      </c>
      <c r="X293">
        <v>0.20276997915865699</v>
      </c>
      <c r="AA293">
        <v>0.77682982387990296</v>
      </c>
      <c r="AB293">
        <v>2.2624126121615098</v>
      </c>
      <c r="AC293">
        <v>5.3322713667569204</v>
      </c>
      <c r="AD293">
        <v>0.18549186221146299</v>
      </c>
      <c r="AE293">
        <v>3.7558934425644401</v>
      </c>
    </row>
    <row r="294" spans="1:31" x14ac:dyDescent="0.2">
      <c r="A294">
        <v>293</v>
      </c>
      <c r="B294">
        <v>766</v>
      </c>
      <c r="C294">
        <v>120</v>
      </c>
      <c r="D294">
        <v>0.47336813742000999</v>
      </c>
      <c r="E294">
        <v>17.8063126858404</v>
      </c>
      <c r="F294">
        <v>2.2316688986723801</v>
      </c>
      <c r="G294">
        <v>-289.59519941261146</v>
      </c>
      <c r="H294">
        <v>-244.27406381260207</v>
      </c>
      <c r="I294">
        <v>43.613660780454602</v>
      </c>
      <c r="J294">
        <v>23.703816036284</v>
      </c>
      <c r="K294">
        <v>7.9789222749097704</v>
      </c>
      <c r="L294">
        <v>1.2117199726543483E-4</v>
      </c>
      <c r="M294">
        <v>1.6219347987791582E-5</v>
      </c>
      <c r="N294" s="1">
        <v>3.9127550684482198E-7</v>
      </c>
      <c r="O294" s="1">
        <v>1.22499534516617E-8</v>
      </c>
      <c r="P294" s="1">
        <v>-5.9004595954446001E-8</v>
      </c>
      <c r="Q294">
        <v>72.445049964142399</v>
      </c>
      <c r="R294">
        <v>0.20992833178876699</v>
      </c>
      <c r="S294">
        <v>14.019468390999</v>
      </c>
      <c r="T294">
        <v>0.213967647806037</v>
      </c>
      <c r="V294">
        <v>0.51409949856755599</v>
      </c>
      <c r="W294">
        <v>0.15163161782204301</v>
      </c>
      <c r="X294">
        <v>0.20367407223466499</v>
      </c>
      <c r="AA294">
        <v>0.79240960311429498</v>
      </c>
      <c r="AB294">
        <v>2.12045703864873</v>
      </c>
      <c r="AC294">
        <v>5.3608239331055803</v>
      </c>
      <c r="AD294">
        <v>0.22463943381019</v>
      </c>
      <c r="AE294">
        <v>3.7438504679606002</v>
      </c>
    </row>
    <row r="295" spans="1:31" x14ac:dyDescent="0.2">
      <c r="A295">
        <v>294</v>
      </c>
      <c r="B295">
        <v>764</v>
      </c>
      <c r="C295">
        <v>120</v>
      </c>
      <c r="D295">
        <v>0.47221761558116099</v>
      </c>
      <c r="E295">
        <v>15.4085792850044</v>
      </c>
      <c r="F295">
        <v>2.2342034167103599</v>
      </c>
      <c r="G295">
        <v>-250.59457312331651</v>
      </c>
      <c r="H295">
        <v>-211.52756346528108</v>
      </c>
      <c r="I295">
        <v>37.667656229123502</v>
      </c>
      <c r="J295">
        <v>20.527873121615698</v>
      </c>
      <c r="K295">
        <v>6.8966769855235501</v>
      </c>
      <c r="L295">
        <v>1.2097926749808047E-4</v>
      </c>
      <c r="M295">
        <v>1.6214417017124565E-5</v>
      </c>
      <c r="N295" s="1">
        <v>3.38618651222588E-7</v>
      </c>
      <c r="O295" s="1">
        <v>1.0563267123180599E-8</v>
      </c>
      <c r="P295" s="1">
        <v>-5.0688094997178101E-8</v>
      </c>
      <c r="Q295">
        <v>72.144931864615899</v>
      </c>
      <c r="R295">
        <v>0.220604586592278</v>
      </c>
      <c r="S295">
        <v>14.3688490179608</v>
      </c>
      <c r="T295">
        <v>0.206368724972047</v>
      </c>
      <c r="V295">
        <v>0.49839960412098699</v>
      </c>
      <c r="W295">
        <v>0.17522705695694801</v>
      </c>
      <c r="X295">
        <v>0.20395905470015599</v>
      </c>
      <c r="AA295">
        <v>0.80584279308289697</v>
      </c>
      <c r="AB295">
        <v>2.0030088091892302</v>
      </c>
      <c r="AC295">
        <v>5.3774596832912698</v>
      </c>
      <c r="AD295">
        <v>0.25959563993592999</v>
      </c>
      <c r="AE295">
        <v>3.7357531645814701</v>
      </c>
    </row>
    <row r="296" spans="1:31" x14ac:dyDescent="0.2">
      <c r="A296">
        <v>295</v>
      </c>
      <c r="B296">
        <v>762</v>
      </c>
      <c r="C296">
        <v>120</v>
      </c>
      <c r="D296">
        <v>0.47106264792542502</v>
      </c>
      <c r="E296">
        <v>13.724316279136801</v>
      </c>
      <c r="F296">
        <v>2.23650713695034</v>
      </c>
      <c r="G296">
        <v>-223.19709841236923</v>
      </c>
      <c r="H296">
        <v>-188.52948151999777</v>
      </c>
      <c r="I296">
        <v>33.490428336348799</v>
      </c>
      <c r="J296">
        <v>18.2975209732354</v>
      </c>
      <c r="K296">
        <v>6.1364956330302496</v>
      </c>
      <c r="L296">
        <v>1.2083802343419622E-4</v>
      </c>
      <c r="M296">
        <v>1.6212675491726268E-5</v>
      </c>
      <c r="N296" s="1">
        <v>3.0184217556770399E-7</v>
      </c>
      <c r="O296" s="1">
        <v>9.3816787226341293E-9</v>
      </c>
      <c r="P296" s="1">
        <v>-4.4870196315527099E-8</v>
      </c>
      <c r="Q296">
        <v>71.868080918227705</v>
      </c>
      <c r="R296">
        <v>0.22905487518998899</v>
      </c>
      <c r="S296">
        <v>14.6890368670415</v>
      </c>
      <c r="T296">
        <v>0.19982666359860701</v>
      </c>
      <c r="V296">
        <v>0.48464610980234502</v>
      </c>
      <c r="W296">
        <v>0.196731111778843</v>
      </c>
      <c r="X296">
        <v>0.20386601189459799</v>
      </c>
      <c r="AA296">
        <v>0.818324617198391</v>
      </c>
      <c r="AB296">
        <v>1.9024588916307199</v>
      </c>
      <c r="AC296">
        <v>5.3862409374412898</v>
      </c>
      <c r="AD296">
        <v>0.29145349893126898</v>
      </c>
      <c r="AE296">
        <v>3.73027949726466</v>
      </c>
    </row>
    <row r="297" spans="1:31" x14ac:dyDescent="0.2">
      <c r="A297">
        <v>296</v>
      </c>
      <c r="B297">
        <v>760</v>
      </c>
      <c r="C297">
        <v>120</v>
      </c>
      <c r="D297">
        <v>0.46990320863379098</v>
      </c>
      <c r="E297">
        <v>12.4638056228249</v>
      </c>
      <c r="F297">
        <v>2.2386396649071099</v>
      </c>
      <c r="G297">
        <v>-202.69113141787003</v>
      </c>
      <c r="H297">
        <v>-171.32100310401955</v>
      </c>
      <c r="I297">
        <v>30.363575776847899</v>
      </c>
      <c r="J297">
        <v>16.628711685641601</v>
      </c>
      <c r="K297">
        <v>5.5675800881255597</v>
      </c>
      <c r="L297">
        <v>1.2073388047335618E-4</v>
      </c>
      <c r="M297">
        <v>1.6213139838116424E-5</v>
      </c>
      <c r="N297" s="1">
        <v>2.7447182514833998E-7</v>
      </c>
      <c r="O297" s="1">
        <v>8.4995510504732995E-9</v>
      </c>
      <c r="P297" s="1">
        <v>-4.05328959805566E-8</v>
      </c>
      <c r="Q297">
        <v>71.609081738169294</v>
      </c>
      <c r="R297">
        <v>0.23598799775332299</v>
      </c>
      <c r="S297">
        <v>14.9867484015519</v>
      </c>
      <c r="T297">
        <v>0.19403009240545799</v>
      </c>
      <c r="V297">
        <v>0.47224651364665199</v>
      </c>
      <c r="W297">
        <v>0.21662725508608199</v>
      </c>
      <c r="X297">
        <v>0.20352165390865901</v>
      </c>
      <c r="AA297">
        <v>0.83035789091008905</v>
      </c>
      <c r="AB297">
        <v>1.81436428394472</v>
      </c>
      <c r="AC297">
        <v>5.3894108424671598</v>
      </c>
      <c r="AD297">
        <v>0.32092926679379902</v>
      </c>
      <c r="AE297">
        <v>3.7266940633627699</v>
      </c>
    </row>
    <row r="298" spans="1:31" x14ac:dyDescent="0.2">
      <c r="A298">
        <v>297</v>
      </c>
      <c r="B298">
        <v>758</v>
      </c>
      <c r="C298">
        <v>120</v>
      </c>
      <c r="D298">
        <v>0.46873927168695301</v>
      </c>
      <c r="E298">
        <v>11.4773238333433</v>
      </c>
      <c r="F298">
        <v>2.2406395026634298</v>
      </c>
      <c r="G298">
        <v>-186.64175961615069</v>
      </c>
      <c r="H298">
        <v>-157.85626263750737</v>
      </c>
      <c r="I298">
        <v>27.915916189345101</v>
      </c>
      <c r="J298">
        <v>15.322991973948399</v>
      </c>
      <c r="K298">
        <v>5.1223428934910302</v>
      </c>
      <c r="L298">
        <v>1.2065795195342335E-4</v>
      </c>
      <c r="M298">
        <v>1.6215232985999715E-5</v>
      </c>
      <c r="N298" s="1">
        <v>2.5316894420598302E-7</v>
      </c>
      <c r="O298" s="1">
        <v>7.8107846157319003E-9</v>
      </c>
      <c r="P298" s="1">
        <v>-3.7151148510338701E-8</v>
      </c>
      <c r="Q298">
        <v>71.364255576298106</v>
      </c>
      <c r="R298">
        <v>0.241824285083274</v>
      </c>
      <c r="S298">
        <v>15.2665548107814</v>
      </c>
      <c r="T298">
        <v>0.18879142310487501</v>
      </c>
      <c r="V298">
        <v>0.46085187884163198</v>
      </c>
      <c r="W298">
        <v>0.235246477245419</v>
      </c>
      <c r="X298">
        <v>0.20299969885313601</v>
      </c>
      <c r="AA298">
        <v>0.84218242171842195</v>
      </c>
      <c r="AB298">
        <v>1.7358880198220601</v>
      </c>
      <c r="AC298">
        <v>5.3883482721991802</v>
      </c>
      <c r="AD298">
        <v>0.348513299622357</v>
      </c>
      <c r="AE298">
        <v>3.7245438364299401</v>
      </c>
    </row>
    <row r="299" spans="1:31" x14ac:dyDescent="0.2">
      <c r="A299">
        <v>298</v>
      </c>
      <c r="B299">
        <v>756</v>
      </c>
      <c r="C299">
        <v>120</v>
      </c>
      <c r="D299">
        <v>0.46757081086333502</v>
      </c>
      <c r="E299">
        <v>10.6288988339161</v>
      </c>
      <c r="F299">
        <v>2.2424218795008399</v>
      </c>
      <c r="G299">
        <v>-172.83957725493224</v>
      </c>
      <c r="H299">
        <v>-146.27345229267209</v>
      </c>
      <c r="I299">
        <v>25.8136568646554</v>
      </c>
      <c r="J299">
        <v>14.2002027693984</v>
      </c>
      <c r="K299">
        <v>4.7399193394786598</v>
      </c>
      <c r="L299">
        <v>1.2062003966884965E-4</v>
      </c>
      <c r="M299">
        <v>1.6223304895228568E-5</v>
      </c>
      <c r="N299" s="1">
        <v>2.35060381519407E-7</v>
      </c>
      <c r="O299" s="1">
        <v>7.2245805158564101E-9</v>
      </c>
      <c r="P299" s="1">
        <v>-3.4279253117214097E-8</v>
      </c>
      <c r="Q299">
        <v>71.127440598054307</v>
      </c>
      <c r="R299">
        <v>0.230291909818058</v>
      </c>
      <c r="S299">
        <v>15.545951719254701</v>
      </c>
      <c r="T299">
        <v>0.186477242883514</v>
      </c>
      <c r="V299">
        <v>0.45654415051890401</v>
      </c>
      <c r="W299">
        <v>0.251947450559664</v>
      </c>
      <c r="X299">
        <v>0.19962088321331301</v>
      </c>
      <c r="AA299">
        <v>0.85494118301066402</v>
      </c>
      <c r="AB299">
        <v>1.6645491040785001</v>
      </c>
      <c r="AC299">
        <v>5.3800710684104196</v>
      </c>
      <c r="AD299">
        <v>0.37633249337437602</v>
      </c>
      <c r="AE299">
        <v>3.72583219682349</v>
      </c>
    </row>
    <row r="300" spans="1:31" x14ac:dyDescent="0.2">
      <c r="A300">
        <v>299</v>
      </c>
      <c r="B300">
        <v>798</v>
      </c>
      <c r="C300">
        <v>110</v>
      </c>
      <c r="D300">
        <v>0.501461513326802</v>
      </c>
      <c r="E300">
        <v>103.82948644415499</v>
      </c>
      <c r="F300">
        <v>2.2092723513647701</v>
      </c>
      <c r="G300">
        <v>-1698.9044379935144</v>
      </c>
      <c r="H300">
        <v>-1419.7276115166928</v>
      </c>
      <c r="I300">
        <v>260.63280257370201</v>
      </c>
      <c r="J300">
        <v>138.30739436184101</v>
      </c>
      <c r="K300">
        <v>46.997142013756097</v>
      </c>
      <c r="L300">
        <v>1.2327371851000813E-4</v>
      </c>
      <c r="M300">
        <v>1.6519804887208291E-5</v>
      </c>
      <c r="N300" s="1">
        <v>2.2322373924726898E-6</v>
      </c>
      <c r="O300" s="1">
        <v>7.4330002406857505E-8</v>
      </c>
      <c r="P300" s="1">
        <v>-3.5866571214810401E-7</v>
      </c>
      <c r="Q300">
        <v>73.938533868521603</v>
      </c>
      <c r="R300">
        <v>9.2459284243531004E-2</v>
      </c>
      <c r="S300">
        <v>12.4820033728772</v>
      </c>
      <c r="T300">
        <v>0.24066252378687</v>
      </c>
      <c r="V300">
        <v>0.58074308090979299</v>
      </c>
      <c r="W300">
        <v>2.60041736934929E-2</v>
      </c>
      <c r="X300">
        <v>0.115574105304415</v>
      </c>
      <c r="AA300">
        <v>0.760862859920721</v>
      </c>
      <c r="AB300">
        <v>3.4190672819222199</v>
      </c>
      <c r="AC300">
        <v>4.5170212823141203</v>
      </c>
      <c r="AD300">
        <v>3.8524701768137E-2</v>
      </c>
      <c r="AE300">
        <v>3.7885434647377898</v>
      </c>
    </row>
    <row r="301" spans="1:31" x14ac:dyDescent="0.2">
      <c r="A301">
        <v>300</v>
      </c>
      <c r="B301">
        <v>796</v>
      </c>
      <c r="C301">
        <v>110</v>
      </c>
      <c r="D301">
        <v>0.50039797970350297</v>
      </c>
      <c r="E301">
        <v>103.255767092741</v>
      </c>
      <c r="F301">
        <v>2.20973468000353</v>
      </c>
      <c r="G301">
        <v>-1688.8284549293344</v>
      </c>
      <c r="H301">
        <v>-1412.0916604622619</v>
      </c>
      <c r="I301">
        <v>258.83813727453798</v>
      </c>
      <c r="J301">
        <v>137.46633911284101</v>
      </c>
      <c r="K301">
        <v>46.727676416146203</v>
      </c>
      <c r="L301">
        <v>1.2300485891066551E-4</v>
      </c>
      <c r="M301">
        <v>1.6498982622069667E-5</v>
      </c>
      <c r="N301" s="1">
        <v>2.2216016510166499E-6</v>
      </c>
      <c r="O301" s="1">
        <v>7.3716628752996195E-8</v>
      </c>
      <c r="P301" s="1">
        <v>-3.5573022773444602E-7</v>
      </c>
      <c r="Q301">
        <v>74.008866645346401</v>
      </c>
      <c r="R301">
        <v>9.2973015167061496E-2</v>
      </c>
      <c r="S301">
        <v>12.4348434999432</v>
      </c>
      <c r="T301">
        <v>0.24254792401307701</v>
      </c>
      <c r="V301">
        <v>0.58347657580179502</v>
      </c>
      <c r="W301">
        <v>2.6148660515735601E-2</v>
      </c>
      <c r="X301">
        <v>0.11621626895883</v>
      </c>
      <c r="AA301">
        <v>0.74841458583034703</v>
      </c>
      <c r="AB301">
        <v>3.3907090853403199</v>
      </c>
      <c r="AC301">
        <v>4.5344601133506197</v>
      </c>
      <c r="AD301">
        <v>3.8738756319606903E-2</v>
      </c>
      <c r="AE301">
        <v>3.7826048694128298</v>
      </c>
    </row>
    <row r="302" spans="1:31" x14ac:dyDescent="0.2">
      <c r="A302">
        <v>301</v>
      </c>
      <c r="B302">
        <v>794</v>
      </c>
      <c r="C302">
        <v>110</v>
      </c>
      <c r="D302">
        <v>0.49933045963547601</v>
      </c>
      <c r="E302">
        <v>102.59194905356399</v>
      </c>
      <c r="F302">
        <v>2.2101963864441099</v>
      </c>
      <c r="G302">
        <v>-1677.2606151155896</v>
      </c>
      <c r="H302">
        <v>-1403.2122866885386</v>
      </c>
      <c r="I302">
        <v>256.80394361341001</v>
      </c>
      <c r="J302">
        <v>136.49755866414199</v>
      </c>
      <c r="K302">
        <v>46.417571616167301</v>
      </c>
      <c r="L302">
        <v>1.2269810497991357E-4</v>
      </c>
      <c r="M302">
        <v>1.6476283401887149E-5</v>
      </c>
      <c r="N302" s="1">
        <v>2.20831148065058E-6</v>
      </c>
      <c r="O302" s="1">
        <v>7.3021463765174096E-8</v>
      </c>
      <c r="P302" s="1">
        <v>-3.5233635631676402E-7</v>
      </c>
      <c r="Q302">
        <v>74.090365124556797</v>
      </c>
      <c r="R302">
        <v>9.3574594191478205E-2</v>
      </c>
      <c r="S302">
        <v>12.3804063594859</v>
      </c>
      <c r="T302">
        <v>0.24464975738897299</v>
      </c>
      <c r="V302">
        <v>0.58677285252740197</v>
      </c>
      <c r="W302">
        <v>2.6317854616352599E-2</v>
      </c>
      <c r="X302">
        <v>0.116968242739352</v>
      </c>
      <c r="AA302">
        <v>0.73468795753913196</v>
      </c>
      <c r="AB302">
        <v>3.3573445721151201</v>
      </c>
      <c r="AC302">
        <v>4.5544185426939698</v>
      </c>
      <c r="AD302">
        <v>3.8989414246446502E-2</v>
      </c>
      <c r="AE302">
        <v>3.7755047278989</v>
      </c>
    </row>
    <row r="303" spans="1:31" x14ac:dyDescent="0.2">
      <c r="A303">
        <v>302</v>
      </c>
      <c r="B303">
        <v>792</v>
      </c>
      <c r="C303">
        <v>110</v>
      </c>
      <c r="D303">
        <v>0.49825893066704502</v>
      </c>
      <c r="E303">
        <v>101.92804884524099</v>
      </c>
      <c r="F303">
        <v>2.2106646060448401</v>
      </c>
      <c r="G303">
        <v>-1665.701739994086</v>
      </c>
      <c r="H303">
        <v>-1394.3307246554607</v>
      </c>
      <c r="I303">
        <v>254.772581644486</v>
      </c>
      <c r="J303">
        <v>135.52959062704599</v>
      </c>
      <c r="K303">
        <v>46.107423336189797</v>
      </c>
      <c r="L303">
        <v>1.2238840532831911E-4</v>
      </c>
      <c r="M303">
        <v>1.6453509622199343E-5</v>
      </c>
      <c r="N303" s="1">
        <v>2.19493531926773E-6</v>
      </c>
      <c r="O303" s="1">
        <v>7.2327827853973104E-8</v>
      </c>
      <c r="P303" s="1">
        <v>-3.4893970606647598E-7</v>
      </c>
      <c r="Q303">
        <v>74.171949652095904</v>
      </c>
      <c r="R303">
        <v>9.4184084839845195E-2</v>
      </c>
      <c r="S303">
        <v>12.3260309710376</v>
      </c>
      <c r="T303">
        <v>0.246780857737394</v>
      </c>
      <c r="V303">
        <v>0.59011101793635601</v>
      </c>
      <c r="W303">
        <v>2.6489273861205701E-2</v>
      </c>
      <c r="X303">
        <v>0.117730106049812</v>
      </c>
      <c r="AA303">
        <v>0.72165241364105204</v>
      </c>
      <c r="AB303">
        <v>3.3233908825103802</v>
      </c>
      <c r="AC303">
        <v>4.57412238775939</v>
      </c>
      <c r="AD303">
        <v>3.9243368683265202E-2</v>
      </c>
      <c r="AE303">
        <v>3.7683149838477399</v>
      </c>
    </row>
    <row r="304" spans="1:31" x14ac:dyDescent="0.2">
      <c r="A304">
        <v>303</v>
      </c>
      <c r="B304">
        <v>790</v>
      </c>
      <c r="C304">
        <v>110</v>
      </c>
      <c r="D304">
        <v>0.49718337017354403</v>
      </c>
      <c r="E304">
        <v>101.264568864406</v>
      </c>
      <c r="F304">
        <v>2.211138832559</v>
      </c>
      <c r="G304">
        <v>-1654.160280067751</v>
      </c>
      <c r="H304">
        <v>-1385.4539243909551</v>
      </c>
      <c r="I304">
        <v>252.74547869707499</v>
      </c>
      <c r="J304">
        <v>134.56313578951799</v>
      </c>
      <c r="K304">
        <v>45.797472041685502</v>
      </c>
      <c r="L304">
        <v>1.2207598384522005E-4</v>
      </c>
      <c r="M304">
        <v>1.6430682645347134E-5</v>
      </c>
      <c r="N304" s="1">
        <v>2.1814907912596202E-6</v>
      </c>
      <c r="O304" s="1">
        <v>7.1636280773058705E-8</v>
      </c>
      <c r="P304" s="1">
        <v>-3.4554333158008402E-7</v>
      </c>
      <c r="Q304">
        <v>74.253611991418396</v>
      </c>
      <c r="R304">
        <v>9.4801173872122502E-2</v>
      </c>
      <c r="S304">
        <v>12.271724409884399</v>
      </c>
      <c r="T304">
        <v>0.248940716158085</v>
      </c>
      <c r="V304">
        <v>0.593488828814697</v>
      </c>
      <c r="W304">
        <v>2.66628301515335E-2</v>
      </c>
      <c r="X304">
        <v>0.11850146734016</v>
      </c>
      <c r="AA304">
        <v>0.70928957365784795</v>
      </c>
      <c r="AB304">
        <v>3.2888979739353901</v>
      </c>
      <c r="AC304">
        <v>4.5935349607593103</v>
      </c>
      <c r="AD304">
        <v>3.9500489113379902E-2</v>
      </c>
      <c r="AE304">
        <v>3.7610455848946298</v>
      </c>
    </row>
    <row r="305" spans="1:31" x14ac:dyDescent="0.2">
      <c r="A305">
        <v>304</v>
      </c>
      <c r="B305">
        <v>788</v>
      </c>
      <c r="C305">
        <v>110</v>
      </c>
      <c r="D305">
        <v>0.49610375535975398</v>
      </c>
      <c r="E305">
        <v>100.601993631396</v>
      </c>
      <c r="F305">
        <v>2.2116185528994499</v>
      </c>
      <c r="G305">
        <v>-1642.6443734251291</v>
      </c>
      <c r="H305">
        <v>-1376.588592361092</v>
      </c>
      <c r="I305">
        <v>250.724007976287</v>
      </c>
      <c r="J305">
        <v>133.59886861587</v>
      </c>
      <c r="K305">
        <v>45.487949763989</v>
      </c>
      <c r="L305">
        <v>1.2176106635223089E-4</v>
      </c>
      <c r="M305">
        <v>1.6407823932312037E-5</v>
      </c>
      <c r="N305" s="1">
        <v>2.16799512341446E-6</v>
      </c>
      <c r="O305" s="1">
        <v>7.09473614238408E-8</v>
      </c>
      <c r="P305" s="1">
        <v>-3.4215018942567802E-7</v>
      </c>
      <c r="Q305">
        <v>74.335344341282806</v>
      </c>
      <c r="R305">
        <v>9.5425544300586404E-2</v>
      </c>
      <c r="S305">
        <v>12.217493417974</v>
      </c>
      <c r="T305">
        <v>0.25112881487319599</v>
      </c>
      <c r="V305">
        <v>0.59690401761962097</v>
      </c>
      <c r="W305">
        <v>2.68384343345387E-2</v>
      </c>
      <c r="X305">
        <v>0.119281930375742</v>
      </c>
      <c r="AA305">
        <v>0.69758036779294696</v>
      </c>
      <c r="AB305">
        <v>3.25391646756957</v>
      </c>
      <c r="AC305">
        <v>4.6126194368861002</v>
      </c>
      <c r="AD305">
        <v>3.9760643458572199E-2</v>
      </c>
      <c r="AE305">
        <v>3.7537065835321899</v>
      </c>
    </row>
    <row r="306" spans="1:31" x14ac:dyDescent="0.2">
      <c r="A306">
        <v>305</v>
      </c>
      <c r="B306">
        <v>786</v>
      </c>
      <c r="C306">
        <v>110</v>
      </c>
      <c r="D306">
        <v>0.49502006325827702</v>
      </c>
      <c r="E306">
        <v>99.940784865721795</v>
      </c>
      <c r="F306">
        <v>2.21210325036638</v>
      </c>
      <c r="G306">
        <v>-1631.1617648749989</v>
      </c>
      <c r="H306">
        <v>-1367.741123898285</v>
      </c>
      <c r="I306">
        <v>248.70947550083901</v>
      </c>
      <c r="J306">
        <v>132.63743052028801</v>
      </c>
      <c r="K306">
        <v>45.179077807136103</v>
      </c>
      <c r="L306">
        <v>1.2144387863186736E-4</v>
      </c>
      <c r="M306">
        <v>1.638495492701298E-5</v>
      </c>
      <c r="N306" s="1">
        <v>2.1544649936378902E-6</v>
      </c>
      <c r="O306" s="1">
        <v>7.0261583352727899E-8</v>
      </c>
      <c r="P306" s="1">
        <v>-3.3876311199385802E-7</v>
      </c>
      <c r="Q306">
        <v>74.417139619364505</v>
      </c>
      <c r="R306">
        <v>9.60568802106017E-2</v>
      </c>
      <c r="S306">
        <v>12.1633442362784</v>
      </c>
      <c r="T306">
        <v>0.25334463816182101</v>
      </c>
      <c r="V306">
        <v>0.60035432421093604</v>
      </c>
      <c r="W306">
        <v>2.7015997559230401E-2</v>
      </c>
      <c r="X306">
        <v>0.120071100263262</v>
      </c>
      <c r="AA306">
        <v>0.68650523473584801</v>
      </c>
      <c r="AB306">
        <v>3.2184972407336399</v>
      </c>
      <c r="AC306">
        <v>4.6313389585416598</v>
      </c>
      <c r="AD306">
        <v>4.0023700087744397E-2</v>
      </c>
      <c r="AE306">
        <v>3.7463080698522599</v>
      </c>
    </row>
    <row r="307" spans="1:31" x14ac:dyDescent="0.2">
      <c r="A307">
        <v>306</v>
      </c>
      <c r="B307">
        <v>784</v>
      </c>
      <c r="C307">
        <v>110</v>
      </c>
      <c r="D307">
        <v>0.49393227072789903</v>
      </c>
      <c r="E307">
        <v>97.319745903138497</v>
      </c>
      <c r="F307">
        <v>2.2134368972665901</v>
      </c>
      <c r="G307">
        <v>-1587.137631107234</v>
      </c>
      <c r="H307">
        <v>-1331.5482583241983</v>
      </c>
      <c r="I307">
        <v>241.77209741572599</v>
      </c>
      <c r="J307">
        <v>129.09265612623301</v>
      </c>
      <c r="K307">
        <v>43.967707425190298</v>
      </c>
      <c r="L307">
        <v>1.211672303244322E-4</v>
      </c>
      <c r="M307">
        <v>1.6340287806516418E-5</v>
      </c>
      <c r="N307" s="1">
        <v>2.0941046530037399E-6</v>
      </c>
      <c r="O307" s="1">
        <v>6.8075343526764303E-8</v>
      </c>
      <c r="P307" s="1">
        <v>-3.28927696502066E-7</v>
      </c>
      <c r="Q307">
        <v>74.378039016450501</v>
      </c>
      <c r="R307">
        <v>9.8643907368551803E-2</v>
      </c>
      <c r="S307">
        <v>12.1636766594767</v>
      </c>
      <c r="T307">
        <v>0.26092500511818301</v>
      </c>
      <c r="V307">
        <v>0.61584185032056704</v>
      </c>
      <c r="W307">
        <v>2.77435989474034E-2</v>
      </c>
      <c r="X307">
        <v>0.123304884210703</v>
      </c>
      <c r="AA307">
        <v>0.66881345583331198</v>
      </c>
      <c r="AB307">
        <v>3.1678260754142702</v>
      </c>
      <c r="AC307">
        <v>4.7232603127561701</v>
      </c>
      <c r="AD307">
        <v>4.1101628070222003E-2</v>
      </c>
      <c r="AE307">
        <v>3.7308236060333102</v>
      </c>
    </row>
    <row r="308" spans="1:31" x14ac:dyDescent="0.2">
      <c r="A308">
        <v>307</v>
      </c>
      <c r="B308">
        <v>782</v>
      </c>
      <c r="C308">
        <v>110</v>
      </c>
      <c r="D308">
        <v>0.49284035445197399</v>
      </c>
      <c r="E308">
        <v>93.9669430863256</v>
      </c>
      <c r="F308">
        <v>2.2151429642284</v>
      </c>
      <c r="G308">
        <v>-1531.0338653354065</v>
      </c>
      <c r="H308">
        <v>-1285.1708664140367</v>
      </c>
      <c r="I308">
        <v>233.01236688752201</v>
      </c>
      <c r="J308">
        <v>124.585613892274</v>
      </c>
      <c r="K308">
        <v>42.420261176712202</v>
      </c>
      <c r="L308">
        <v>1.2089035781150344E-4</v>
      </c>
      <c r="M308">
        <v>1.6286831074893863E-5</v>
      </c>
      <c r="N308" s="1">
        <v>2.0162931934878701E-6</v>
      </c>
      <c r="O308" s="1">
        <v>6.5344125088697303E-8</v>
      </c>
      <c r="P308" s="1">
        <v>-3.1664651800787401E-7</v>
      </c>
      <c r="Q308">
        <v>74.294950018137897</v>
      </c>
      <c r="R308">
        <v>0.10216358737115599</v>
      </c>
      <c r="S308">
        <v>12.1833258565407</v>
      </c>
      <c r="T308">
        <v>0.27106236546269202</v>
      </c>
      <c r="V308">
        <v>0.63707100724303301</v>
      </c>
      <c r="W308">
        <v>2.87335089481351E-2</v>
      </c>
      <c r="X308">
        <v>0.12770448421396499</v>
      </c>
      <c r="AA308">
        <v>0.65159876484812995</v>
      </c>
      <c r="AB308">
        <v>3.1074298855012801</v>
      </c>
      <c r="AC308">
        <v>4.8415572123036199</v>
      </c>
      <c r="AD308">
        <v>4.25681614046362E-2</v>
      </c>
      <c r="AE308">
        <v>3.7118351480245999</v>
      </c>
    </row>
    <row r="309" spans="1:31" x14ac:dyDescent="0.2">
      <c r="A309">
        <v>308</v>
      </c>
      <c r="B309">
        <v>780</v>
      </c>
      <c r="C309">
        <v>110</v>
      </c>
      <c r="D309">
        <v>0.49174429093671501</v>
      </c>
      <c r="E309">
        <v>90.437356688677099</v>
      </c>
      <c r="F309">
        <v>2.2169803602990101</v>
      </c>
      <c r="G309">
        <v>-1472.102794511957</v>
      </c>
      <c r="H309">
        <v>-1236.374457369636</v>
      </c>
      <c r="I309">
        <v>223.83168318123799</v>
      </c>
      <c r="J309">
        <v>119.84832100566101</v>
      </c>
      <c r="K309">
        <v>40.793034664718199</v>
      </c>
      <c r="L309">
        <v>1.2059674567626418E-4</v>
      </c>
      <c r="M309">
        <v>1.6231535182113332E-5</v>
      </c>
      <c r="N309" s="1">
        <v>1.9345205852273101E-6</v>
      </c>
      <c r="O309" s="1">
        <v>6.2503084931926005E-8</v>
      </c>
      <c r="P309" s="1">
        <v>-3.0373375881113702E-7</v>
      </c>
      <c r="Q309">
        <v>74.206103355322895</v>
      </c>
      <c r="R309">
        <v>0.10615082474212</v>
      </c>
      <c r="S309">
        <v>12.204691098746901</v>
      </c>
      <c r="T309">
        <v>0.28246393385100399</v>
      </c>
      <c r="V309">
        <v>0.66119445133678301</v>
      </c>
      <c r="W309">
        <v>2.9854919458717499E-2</v>
      </c>
      <c r="X309">
        <v>0.13268853092768201</v>
      </c>
      <c r="AA309">
        <v>0.63816205766756195</v>
      </c>
      <c r="AB309">
        <v>3.0407905337732899</v>
      </c>
      <c r="AC309">
        <v>4.9618495097954698</v>
      </c>
      <c r="AD309">
        <v>4.4229510309197299E-2</v>
      </c>
      <c r="AE309">
        <v>3.6918212740683001</v>
      </c>
    </row>
    <row r="310" spans="1:31" x14ac:dyDescent="0.2">
      <c r="A310">
        <v>309</v>
      </c>
      <c r="B310">
        <v>778</v>
      </c>
      <c r="C310">
        <v>110</v>
      </c>
      <c r="D310">
        <v>0.49064405650953802</v>
      </c>
      <c r="E310">
        <v>86.054787598156395</v>
      </c>
      <c r="F310">
        <v>2.2191072419147799</v>
      </c>
      <c r="G310">
        <v>-1399.3013381545272</v>
      </c>
      <c r="H310">
        <v>-1175.8677777702317</v>
      </c>
      <c r="I310">
        <v>212.56106205992899</v>
      </c>
      <c r="J310">
        <v>113.98837584442001</v>
      </c>
      <c r="K310">
        <v>38.7790125563751</v>
      </c>
      <c r="L310">
        <v>1.2029294968769161E-4</v>
      </c>
      <c r="M310">
        <v>1.6174836991935241E-5</v>
      </c>
      <c r="N310" s="1">
        <v>1.83444143675834E-6</v>
      </c>
      <c r="O310" s="1">
        <v>5.9090595932063497E-8</v>
      </c>
      <c r="P310" s="1">
        <v>-2.8790113027604798E-7</v>
      </c>
      <c r="Q310">
        <v>74.101770315745199</v>
      </c>
      <c r="R310">
        <v>0.11155683800916399</v>
      </c>
      <c r="S310">
        <v>12.230047488831101</v>
      </c>
      <c r="T310">
        <v>0.29759558691992899</v>
      </c>
      <c r="V310">
        <v>0.69419589666253401</v>
      </c>
      <c r="W310">
        <v>3.1375360690071803E-2</v>
      </c>
      <c r="X310">
        <v>0.1394460475115</v>
      </c>
      <c r="AA310">
        <v>0.63137509058751495</v>
      </c>
      <c r="AB310">
        <v>2.9646933811541101</v>
      </c>
      <c r="AC310">
        <v>5.0807412840505997</v>
      </c>
      <c r="AD310">
        <v>4.6482015837124802E-2</v>
      </c>
      <c r="AE310">
        <v>3.6707206940009902</v>
      </c>
    </row>
    <row r="311" spans="1:31" x14ac:dyDescent="0.2">
      <c r="A311">
        <v>310</v>
      </c>
      <c r="B311">
        <v>776</v>
      </c>
      <c r="C311">
        <v>110</v>
      </c>
      <c r="D311">
        <v>0.48953962731735601</v>
      </c>
      <c r="E311">
        <v>42.294723987313503</v>
      </c>
      <c r="F311">
        <v>2.2237300020766102</v>
      </c>
      <c r="G311">
        <v>-687.93759621911568</v>
      </c>
      <c r="H311">
        <v>-578.77698781344725</v>
      </c>
      <c r="I311">
        <v>104.04671248693499</v>
      </c>
      <c r="J311">
        <v>56.079097898650502</v>
      </c>
      <c r="K311">
        <v>19.019720895889701</v>
      </c>
      <c r="L311">
        <v>1.1919963296936608E-4</v>
      </c>
      <c r="M311">
        <v>1.6086574286778293E-5</v>
      </c>
      <c r="N311" s="1">
        <v>8.9114097780106195E-7</v>
      </c>
      <c r="O311" s="1">
        <v>2.8630929130981801E-8</v>
      </c>
      <c r="P311" s="1">
        <v>-1.38516567197648E-7</v>
      </c>
      <c r="Q311">
        <v>73.708304315623593</v>
      </c>
      <c r="R311">
        <v>0.148437580993379</v>
      </c>
      <c r="S311">
        <v>12.7177834921418</v>
      </c>
      <c r="T311">
        <v>0.25350278772618601</v>
      </c>
      <c r="V311">
        <v>0.59664635676873901</v>
      </c>
      <c r="W311">
        <v>6.3837749616465406E-2</v>
      </c>
      <c r="X311">
        <v>0.20243357028869999</v>
      </c>
      <c r="AA311">
        <v>0.72492036667667503</v>
      </c>
      <c r="AB311">
        <v>2.6224154620478202</v>
      </c>
      <c r="AC311">
        <v>5.2472789841619196</v>
      </c>
      <c r="AD311">
        <v>9.4574443876198996E-2</v>
      </c>
      <c r="AE311">
        <v>3.6198648900783801</v>
      </c>
    </row>
    <row r="312" spans="1:31" x14ac:dyDescent="0.2">
      <c r="A312">
        <v>311</v>
      </c>
      <c r="B312">
        <v>774</v>
      </c>
      <c r="C312">
        <v>110</v>
      </c>
      <c r="D312">
        <v>0.48843097932483898</v>
      </c>
      <c r="E312">
        <v>27.7122070234816</v>
      </c>
      <c r="F312">
        <v>2.2277289334955599</v>
      </c>
      <c r="G312">
        <v>-450.73634507251654</v>
      </c>
      <c r="H312">
        <v>-379.5658497227389</v>
      </c>
      <c r="I312">
        <v>67.965903022277203</v>
      </c>
      <c r="J312">
        <v>36.775910484825701</v>
      </c>
      <c r="K312">
        <v>12.439667415010801</v>
      </c>
      <c r="L312">
        <v>1.1861245503658767E-4</v>
      </c>
      <c r="M312">
        <v>1.6050753541456915E-5</v>
      </c>
      <c r="N312" s="1">
        <v>5.8071148984122502E-7</v>
      </c>
      <c r="O312" s="1">
        <v>1.8599265903667501E-8</v>
      </c>
      <c r="P312" s="1">
        <v>-8.9391369956630605E-8</v>
      </c>
      <c r="Q312">
        <v>73.289312738576996</v>
      </c>
      <c r="R312">
        <v>0.17980398445701401</v>
      </c>
      <c r="S312">
        <v>13.211395422978599</v>
      </c>
      <c r="T312">
        <v>0.236635058323588</v>
      </c>
      <c r="V312">
        <v>0.56233508891584805</v>
      </c>
      <c r="W312">
        <v>9.7429988081128405E-2</v>
      </c>
      <c r="X312">
        <v>0.20639028266425899</v>
      </c>
      <c r="AA312">
        <v>0.76188491077647402</v>
      </c>
      <c r="AB312">
        <v>2.3850840696503002</v>
      </c>
      <c r="AC312">
        <v>5.3334126495035701</v>
      </c>
      <c r="AD312">
        <v>0.14434072308307799</v>
      </c>
      <c r="AE312">
        <v>3.5919750829890398</v>
      </c>
    </row>
    <row r="313" spans="1:31" x14ac:dyDescent="0.2">
      <c r="A313">
        <v>312</v>
      </c>
      <c r="B313">
        <v>772</v>
      </c>
      <c r="C313">
        <v>110</v>
      </c>
      <c r="D313">
        <v>0.48731808831268297</v>
      </c>
      <c r="E313">
        <v>21.332294944743001</v>
      </c>
      <c r="F313">
        <v>2.2309440280783499</v>
      </c>
      <c r="G313">
        <v>-346.96430898719416</v>
      </c>
      <c r="H313">
        <v>-292.41609209016724</v>
      </c>
      <c r="I313">
        <v>52.191758979119498</v>
      </c>
      <c r="J313">
        <v>28.333627666550498</v>
      </c>
      <c r="K313">
        <v>9.5620036523810796</v>
      </c>
      <c r="L313">
        <v>1.1825095289294885E-4</v>
      </c>
      <c r="M313">
        <v>1.6033866384307169E-5</v>
      </c>
      <c r="N313" s="1">
        <v>4.4598212870948403E-7</v>
      </c>
      <c r="O313" s="1">
        <v>1.4235820187888301E-8</v>
      </c>
      <c r="P313" s="1">
        <v>-6.8053104749059903E-8</v>
      </c>
      <c r="Q313">
        <v>72.925207432775693</v>
      </c>
      <c r="R313">
        <v>0.199849486697908</v>
      </c>
      <c r="S313">
        <v>13.638961047220601</v>
      </c>
      <c r="T313">
        <v>0.224910121606609</v>
      </c>
      <c r="V313">
        <v>0.53857510748778004</v>
      </c>
      <c r="W313">
        <v>0.126568660661841</v>
      </c>
      <c r="X313">
        <v>0.20826338542258399</v>
      </c>
      <c r="AA313">
        <v>0.78212154781073895</v>
      </c>
      <c r="AB313">
        <v>2.2121608912014201</v>
      </c>
      <c r="AC313">
        <v>5.3803631658135798</v>
      </c>
      <c r="AD313">
        <v>0.18750912690631899</v>
      </c>
      <c r="AE313">
        <v>3.5755100263947601</v>
      </c>
    </row>
    <row r="314" spans="1:31" x14ac:dyDescent="0.2">
      <c r="A314">
        <v>313</v>
      </c>
      <c r="B314">
        <v>770</v>
      </c>
      <c r="C314">
        <v>110</v>
      </c>
      <c r="D314">
        <v>0.486200929875856</v>
      </c>
      <c r="E314">
        <v>17.746526640095301</v>
      </c>
      <c r="F314">
        <v>2.2336924075556301</v>
      </c>
      <c r="G314">
        <v>-288.63867716770977</v>
      </c>
      <c r="H314">
        <v>-243.44126841832633</v>
      </c>
      <c r="I314">
        <v>43.327813592851797</v>
      </c>
      <c r="J314">
        <v>23.590054473113099</v>
      </c>
      <c r="K314">
        <v>7.9449285765875404</v>
      </c>
      <c r="L314">
        <v>1.1800479810642718E-4</v>
      </c>
      <c r="M314">
        <v>1.6025426178934059E-5</v>
      </c>
      <c r="N314" s="1">
        <v>3.70752263620485E-7</v>
      </c>
      <c r="O314" s="1">
        <v>1.17929108101172E-8</v>
      </c>
      <c r="P314" s="1">
        <v>-5.6122847177289899E-8</v>
      </c>
      <c r="Q314">
        <v>72.602369308962096</v>
      </c>
      <c r="R314">
        <v>0.21400906290757801</v>
      </c>
      <c r="S314">
        <v>14.0159763589847</v>
      </c>
      <c r="T314">
        <v>0.21580815595964201</v>
      </c>
      <c r="V314">
        <v>0.51994019115051404</v>
      </c>
      <c r="W314">
        <v>0.15214244763249199</v>
      </c>
      <c r="X314">
        <v>0.20909814405886601</v>
      </c>
      <c r="AA314">
        <v>0.797035608082165</v>
      </c>
      <c r="AB314">
        <v>2.0753769988728799</v>
      </c>
      <c r="AC314">
        <v>5.4079675041337101</v>
      </c>
      <c r="AD314">
        <v>0.225396218714633</v>
      </c>
      <c r="AE314">
        <v>3.5648800005405601</v>
      </c>
    </row>
    <row r="315" spans="1:31" x14ac:dyDescent="0.2">
      <c r="A315">
        <v>314</v>
      </c>
      <c r="B315">
        <v>768</v>
      </c>
      <c r="C315">
        <v>110</v>
      </c>
      <c r="D315">
        <v>0.48507947942179502</v>
      </c>
      <c r="E315">
        <v>15.4196589841536</v>
      </c>
      <c r="F315">
        <v>2.2361355666432301</v>
      </c>
      <c r="G315">
        <v>-250.78813409723759</v>
      </c>
      <c r="H315">
        <v>-211.66615805734466</v>
      </c>
      <c r="I315">
        <v>37.5757345626402</v>
      </c>
      <c r="J315">
        <v>20.512647450124099</v>
      </c>
      <c r="K315">
        <v>6.8956727016782597</v>
      </c>
      <c r="L315">
        <v>1.1782840839289456E-4</v>
      </c>
      <c r="M315">
        <v>1.6021654043699938E-5</v>
      </c>
      <c r="N315" s="1">
        <v>3.2222508196044202E-7</v>
      </c>
      <c r="O315" s="1">
        <v>1.02125702647683E-8</v>
      </c>
      <c r="P315" s="1">
        <v>-4.8415492061571498E-8</v>
      </c>
      <c r="Q315">
        <v>72.309234335692295</v>
      </c>
      <c r="R315">
        <v>0.22475729564365499</v>
      </c>
      <c r="S315">
        <v>14.3563097712954</v>
      </c>
      <c r="T315">
        <v>0.208254836835924</v>
      </c>
      <c r="V315">
        <v>0.50423642892194698</v>
      </c>
      <c r="W315">
        <v>0.175101148655365</v>
      </c>
      <c r="X315">
        <v>0.20934998134593599</v>
      </c>
      <c r="AA315">
        <v>0.80984723058147801</v>
      </c>
      <c r="AB315">
        <v>1.9616363497482801</v>
      </c>
      <c r="AC315">
        <v>5.4240956173374304</v>
      </c>
      <c r="AD315">
        <v>0.259409109118859</v>
      </c>
      <c r="AE315">
        <v>3.5577678948233502</v>
      </c>
    </row>
    <row r="316" spans="1:31" x14ac:dyDescent="0.2">
      <c r="A316">
        <v>315</v>
      </c>
      <c r="B316">
        <v>766</v>
      </c>
      <c r="C316">
        <v>110</v>
      </c>
      <c r="D316">
        <v>0.483953712168602</v>
      </c>
      <c r="E316">
        <v>13.768904726292</v>
      </c>
      <c r="F316">
        <v>2.2383628999623402</v>
      </c>
      <c r="G316">
        <v>-223.93395245496515</v>
      </c>
      <c r="H316">
        <v>-189.12815842329223</v>
      </c>
      <c r="I316">
        <v>33.494484946035598</v>
      </c>
      <c r="J316">
        <v>18.329957125371699</v>
      </c>
      <c r="K316">
        <v>6.1513281543951699</v>
      </c>
      <c r="L316">
        <v>1.1769912753999549E-4</v>
      </c>
      <c r="M316">
        <v>1.6020844083786291E-5</v>
      </c>
      <c r="N316" s="1">
        <v>2.8799424119698498E-7</v>
      </c>
      <c r="O316" s="1">
        <v>9.0944405320655407E-9</v>
      </c>
      <c r="P316" s="1">
        <v>-4.2969792599799303E-8</v>
      </c>
      <c r="Q316">
        <v>72.0382488890248</v>
      </c>
      <c r="R316">
        <v>0.23331913079198599</v>
      </c>
      <c r="S316">
        <v>14.6691404253885</v>
      </c>
      <c r="T316">
        <v>0.201723273098771</v>
      </c>
      <c r="V316">
        <v>0.49042626177333798</v>
      </c>
      <c r="W316">
        <v>0.19609402880416399</v>
      </c>
      <c r="X316">
        <v>0.209238164205239</v>
      </c>
      <c r="AA316">
        <v>0.82172223720248205</v>
      </c>
      <c r="AB316">
        <v>1.8639771754214101</v>
      </c>
      <c r="AC316">
        <v>5.4325760293021901</v>
      </c>
      <c r="AD316">
        <v>0.29050967230223002</v>
      </c>
      <c r="AE316">
        <v>3.5530247126847398</v>
      </c>
    </row>
    <row r="317" spans="1:31" x14ac:dyDescent="0.2">
      <c r="A317">
        <v>316</v>
      </c>
      <c r="B317">
        <v>764</v>
      </c>
      <c r="C317">
        <v>110</v>
      </c>
      <c r="D317">
        <v>0.48282360314323097</v>
      </c>
      <c r="E317">
        <v>12.525564777524499</v>
      </c>
      <c r="F317">
        <v>2.2404287722172098</v>
      </c>
      <c r="G317">
        <v>-203.70599795823316</v>
      </c>
      <c r="H317">
        <v>-172.15600654014813</v>
      </c>
      <c r="I317">
        <v>30.4198924148725</v>
      </c>
      <c r="J317">
        <v>16.686339816294399</v>
      </c>
      <c r="K317">
        <v>5.5906998396243202</v>
      </c>
      <c r="L317">
        <v>1.1760406623828071E-4</v>
      </c>
      <c r="M317">
        <v>1.602209262511341E-5</v>
      </c>
      <c r="N317" s="1">
        <v>2.6235464100812402E-7</v>
      </c>
      <c r="O317" s="1">
        <v>8.2543307726632096E-9</v>
      </c>
      <c r="P317" s="1">
        <v>-3.8883805896118103E-8</v>
      </c>
      <c r="Q317">
        <v>71.784414047920606</v>
      </c>
      <c r="R317">
        <v>0.24037163468056599</v>
      </c>
      <c r="S317">
        <v>14.960580975222999</v>
      </c>
      <c r="T317">
        <v>0.19592011592342901</v>
      </c>
      <c r="V317">
        <v>0.47794788642639602</v>
      </c>
      <c r="W317">
        <v>0.215559142278684</v>
      </c>
      <c r="X317">
        <v>0.20888132709083601</v>
      </c>
      <c r="AA317">
        <v>0.83316132035892998</v>
      </c>
      <c r="AB317">
        <v>1.7782569364161001</v>
      </c>
      <c r="AC317">
        <v>5.4355606793925997</v>
      </c>
      <c r="AD317">
        <v>0.31934687744963702</v>
      </c>
      <c r="AE317">
        <v>3.54999905683911</v>
      </c>
    </row>
    <row r="318" spans="1:31" x14ac:dyDescent="0.2">
      <c r="A318">
        <v>317</v>
      </c>
      <c r="B318">
        <v>762</v>
      </c>
      <c r="C318">
        <v>110</v>
      </c>
      <c r="D318">
        <v>0.48168912717963802</v>
      </c>
      <c r="E318">
        <v>11.548237979383201</v>
      </c>
      <c r="F318">
        <v>2.24236877741094</v>
      </c>
      <c r="G318">
        <v>-187.80454371801483</v>
      </c>
      <c r="H318">
        <v>-158.81773484852005</v>
      </c>
      <c r="I318">
        <v>28.0025202815965</v>
      </c>
      <c r="J318">
        <v>15.3946577834237</v>
      </c>
      <c r="K318">
        <v>5.1500172923014498</v>
      </c>
      <c r="L318">
        <v>1.175351657137322E-4</v>
      </c>
      <c r="M318">
        <v>1.602486487046891E-5</v>
      </c>
      <c r="N318" s="1">
        <v>2.42310508229189E-7</v>
      </c>
      <c r="O318" s="1">
        <v>7.5954723265823601E-9</v>
      </c>
      <c r="P318" s="1">
        <v>-3.5683848858881001E-8</v>
      </c>
      <c r="Q318">
        <v>71.544281234033406</v>
      </c>
      <c r="R318">
        <v>0.24632359226679801</v>
      </c>
      <c r="S318">
        <v>15.234863342012099</v>
      </c>
      <c r="T318">
        <v>0.19066585792405699</v>
      </c>
      <c r="V318">
        <v>0.46646512678673002</v>
      </c>
      <c r="W318">
        <v>0.23380190162512099</v>
      </c>
      <c r="X318">
        <v>0.20834980339060799</v>
      </c>
      <c r="AA318">
        <v>0.84440535171572795</v>
      </c>
      <c r="AB318">
        <v>1.7017995707989899</v>
      </c>
      <c r="AC318">
        <v>5.4343859554326697</v>
      </c>
      <c r="AD318">
        <v>0.34637318759247099</v>
      </c>
      <c r="AE318">
        <v>3.5482850764211902</v>
      </c>
    </row>
    <row r="319" spans="1:31" x14ac:dyDescent="0.2">
      <c r="A319">
        <v>318</v>
      </c>
      <c r="B319">
        <v>760</v>
      </c>
      <c r="C319">
        <v>110</v>
      </c>
      <c r="D319">
        <v>0.480550258916906</v>
      </c>
      <c r="E319">
        <v>10.755125282417399</v>
      </c>
      <c r="F319">
        <v>2.2442075734489801</v>
      </c>
      <c r="G319">
        <v>-174.89922825592356</v>
      </c>
      <c r="H319">
        <v>-147.99573875651086</v>
      </c>
      <c r="I319">
        <v>26.040255044681501</v>
      </c>
      <c r="J319">
        <v>14.3466628318648</v>
      </c>
      <c r="K319">
        <v>4.79239327487364</v>
      </c>
      <c r="L319">
        <v>1.1748703134573761E-4</v>
      </c>
      <c r="M319">
        <v>1.6028818045267786E-5</v>
      </c>
      <c r="N319" s="1">
        <v>2.2613211380803199E-7</v>
      </c>
      <c r="O319" s="1">
        <v>7.06196169041869E-9</v>
      </c>
      <c r="P319" s="1">
        <v>-3.3096367398507199E-8</v>
      </c>
      <c r="Q319">
        <v>71.315373803146798</v>
      </c>
      <c r="R319">
        <v>0.25143920844113499</v>
      </c>
      <c r="S319">
        <v>15.4950333184039</v>
      </c>
      <c r="T319">
        <v>0.185842626522813</v>
      </c>
      <c r="V319">
        <v>0.45576126295131802</v>
      </c>
      <c r="W319">
        <v>0.25104310076361502</v>
      </c>
      <c r="X319">
        <v>0.207688304672249</v>
      </c>
      <c r="AA319">
        <v>0.85557940579387604</v>
      </c>
      <c r="AB319">
        <v>1.6327679575044001</v>
      </c>
      <c r="AC319">
        <v>5.4299433465093303</v>
      </c>
      <c r="AD319">
        <v>0.37191570483465602</v>
      </c>
      <c r="AE319">
        <v>3.5476119604558201</v>
      </c>
    </row>
    <row r="320" spans="1:31" x14ac:dyDescent="0.2">
      <c r="A320">
        <v>319</v>
      </c>
      <c r="B320">
        <v>806</v>
      </c>
      <c r="C320">
        <v>100</v>
      </c>
      <c r="D320">
        <v>0.51586943427697896</v>
      </c>
      <c r="E320">
        <v>103.61580987837699</v>
      </c>
      <c r="F320">
        <v>2.2111984919501899</v>
      </c>
      <c r="G320">
        <v>-1696.6468325320077</v>
      </c>
      <c r="H320">
        <v>-1416.3890461563626</v>
      </c>
      <c r="I320">
        <v>259.7023457125</v>
      </c>
      <c r="J320">
        <v>137.86603340238801</v>
      </c>
      <c r="K320">
        <v>46.859569710990598</v>
      </c>
      <c r="L320">
        <v>1.197851949059682E-4</v>
      </c>
      <c r="M320">
        <v>1.629810155617474E-5</v>
      </c>
      <c r="N320" s="1">
        <v>2.0978623262736901E-6</v>
      </c>
      <c r="O320" s="1">
        <v>7.1494842353582894E-8</v>
      </c>
      <c r="P320" s="1">
        <v>-3.3982909700395199E-7</v>
      </c>
      <c r="Q320">
        <v>74.091009943500495</v>
      </c>
      <c r="R320">
        <v>9.2649953817552796E-2</v>
      </c>
      <c r="S320">
        <v>12.507743765370201</v>
      </c>
      <c r="T320">
        <v>0.23972012343011001</v>
      </c>
      <c r="V320">
        <v>0.58323524287453399</v>
      </c>
      <c r="W320">
        <v>2.6057799511186499E-2</v>
      </c>
      <c r="X320">
        <v>0.115812442271942</v>
      </c>
      <c r="AA320">
        <v>0.76243191162360802</v>
      </c>
      <c r="AB320">
        <v>3.4261180838782299</v>
      </c>
      <c r="AC320">
        <v>4.52633628546163</v>
      </c>
      <c r="AD320">
        <v>3.8604147423979301E-2</v>
      </c>
      <c r="AE320">
        <v>3.59028030083637</v>
      </c>
    </row>
    <row r="321" spans="1:31" x14ac:dyDescent="0.2">
      <c r="A321">
        <v>320</v>
      </c>
      <c r="B321">
        <v>804</v>
      </c>
      <c r="C321">
        <v>100</v>
      </c>
      <c r="D321">
        <v>0.514840551455232</v>
      </c>
      <c r="E321">
        <v>103.375677438626</v>
      </c>
      <c r="F321">
        <v>2.2116564011665099</v>
      </c>
      <c r="G321">
        <v>-1692.131118086694</v>
      </c>
      <c r="H321">
        <v>-1413.3526908088138</v>
      </c>
      <c r="I321">
        <v>258.81114726628601</v>
      </c>
      <c r="J321">
        <v>137.50259997351199</v>
      </c>
      <c r="K321">
        <v>46.741291904159098</v>
      </c>
      <c r="L321">
        <v>1.1965888668361936E-4</v>
      </c>
      <c r="M321">
        <v>1.6285299508780899E-5</v>
      </c>
      <c r="N321" s="1">
        <v>2.0970323242682599E-6</v>
      </c>
      <c r="O321" s="1">
        <v>7.1208428867961797E-8</v>
      </c>
      <c r="P321" s="1">
        <v>-3.3867866008467002E-7</v>
      </c>
      <c r="Q321">
        <v>74.119867490378596</v>
      </c>
      <c r="R321">
        <v>9.2865171361992099E-2</v>
      </c>
      <c r="S321">
        <v>12.487733733671201</v>
      </c>
      <c r="T321">
        <v>0.24088256724693899</v>
      </c>
      <c r="V321">
        <v>0.584045124659479</v>
      </c>
      <c r="W321">
        <v>2.61183294455598E-2</v>
      </c>
      <c r="X321">
        <v>0.116081464202493</v>
      </c>
      <c r="AA321">
        <v>0.75714959035099705</v>
      </c>
      <c r="AB321">
        <v>3.41415189803734</v>
      </c>
      <c r="AC321">
        <v>4.5336518713232001</v>
      </c>
      <c r="AD321">
        <v>3.8693821400827999E-2</v>
      </c>
      <c r="AE321">
        <v>3.5887589379212601</v>
      </c>
    </row>
    <row r="322" spans="1:31" x14ac:dyDescent="0.2">
      <c r="A322">
        <v>321</v>
      </c>
      <c r="B322">
        <v>802</v>
      </c>
      <c r="C322">
        <v>100</v>
      </c>
      <c r="D322">
        <v>0.51380784076640695</v>
      </c>
      <c r="E322">
        <v>102.723720789444</v>
      </c>
      <c r="F322">
        <v>2.2120738719537698</v>
      </c>
      <c r="G322">
        <v>-1680.7561230812455</v>
      </c>
      <c r="H322">
        <v>-1404.6380988994918</v>
      </c>
      <c r="I322">
        <v>256.81814089359898</v>
      </c>
      <c r="J322">
        <v>136.552985074764</v>
      </c>
      <c r="K322">
        <v>46.437744277823597</v>
      </c>
      <c r="L322">
        <v>1.1937683121776095E-4</v>
      </c>
      <c r="M322">
        <v>1.6264757182730936E-5</v>
      </c>
      <c r="N322" s="1">
        <v>2.08514789187504E-6</v>
      </c>
      <c r="O322" s="1">
        <v>7.0559199783963798E-8</v>
      </c>
      <c r="P322" s="1">
        <v>-3.3555465363851901E-7</v>
      </c>
      <c r="Q322">
        <v>74.1995241758558</v>
      </c>
      <c r="R322">
        <v>9.3454558754519898E-2</v>
      </c>
      <c r="S322">
        <v>12.4339206528959</v>
      </c>
      <c r="T322">
        <v>0.242925849020693</v>
      </c>
      <c r="V322">
        <v>0.58728895601713205</v>
      </c>
      <c r="W322">
        <v>2.6284094649708101E-2</v>
      </c>
      <c r="X322">
        <v>0.116818198443154</v>
      </c>
      <c r="AA322">
        <v>0.74335019643976397</v>
      </c>
      <c r="AB322">
        <v>3.3814386681863602</v>
      </c>
      <c r="AC322">
        <v>4.5533904689434097</v>
      </c>
      <c r="AD322">
        <v>3.8939399481047098E-2</v>
      </c>
      <c r="AE322">
        <v>3.58266478131236</v>
      </c>
    </row>
    <row r="323" spans="1:31" x14ac:dyDescent="0.2">
      <c r="A323">
        <v>322</v>
      </c>
      <c r="B323">
        <v>800</v>
      </c>
      <c r="C323">
        <v>100</v>
      </c>
      <c r="D323">
        <v>0.51277128080883805</v>
      </c>
      <c r="E323">
        <v>102.07179315364699</v>
      </c>
      <c r="F323">
        <v>2.2124976404868599</v>
      </c>
      <c r="G323">
        <v>-1669.3916167380899</v>
      </c>
      <c r="H323">
        <v>-1395.9227967250495</v>
      </c>
      <c r="I323">
        <v>254.828141464884</v>
      </c>
      <c r="J323">
        <v>135.604302040428</v>
      </c>
      <c r="K323">
        <v>46.1341929979125</v>
      </c>
      <c r="L323">
        <v>1.190920964599425E-4</v>
      </c>
      <c r="M323">
        <v>1.6244148894704965E-5</v>
      </c>
      <c r="N323" s="1">
        <v>2.0731855898822899E-6</v>
      </c>
      <c r="O323" s="1">
        <v>6.9911397011693297E-8</v>
      </c>
      <c r="P323" s="1">
        <v>-3.3242803299794201E-7</v>
      </c>
      <c r="Q323">
        <v>74.279229850090204</v>
      </c>
      <c r="R323">
        <v>9.4051448528481699E-2</v>
      </c>
      <c r="S323">
        <v>12.3801823732008</v>
      </c>
      <c r="T323">
        <v>0.24499683202057501</v>
      </c>
      <c r="V323">
        <v>0.59057255595848501</v>
      </c>
      <c r="W323">
        <v>2.64519698986347E-2</v>
      </c>
      <c r="X323">
        <v>0.117564310660608</v>
      </c>
      <c r="AA323">
        <v>0.73022714903243802</v>
      </c>
      <c r="AB323">
        <v>3.3481509430404901</v>
      </c>
      <c r="AC323">
        <v>4.5728913733963097</v>
      </c>
      <c r="AD323">
        <v>3.9188103553530397E-2</v>
      </c>
      <c r="AE323">
        <v>3.5764930906193602</v>
      </c>
    </row>
    <row r="324" spans="1:31" x14ac:dyDescent="0.2">
      <c r="A324">
        <v>323</v>
      </c>
      <c r="B324">
        <v>798</v>
      </c>
      <c r="C324">
        <v>100</v>
      </c>
      <c r="D324">
        <v>0.51173085002101004</v>
      </c>
      <c r="E324">
        <v>101.420372354367</v>
      </c>
      <c r="F324">
        <v>2.2129272471119501</v>
      </c>
      <c r="G324">
        <v>-1658.0456307316081</v>
      </c>
      <c r="H324">
        <v>-1387.2133901863115</v>
      </c>
      <c r="I324">
        <v>252.84249689146799</v>
      </c>
      <c r="J324">
        <v>134.657214755539</v>
      </c>
      <c r="K324">
        <v>45.830866101327402</v>
      </c>
      <c r="L324">
        <v>1.1880488042559176E-4</v>
      </c>
      <c r="M324">
        <v>1.6223493576145545E-5</v>
      </c>
      <c r="N324" s="1">
        <v>2.0611609432312601E-6</v>
      </c>
      <c r="O324" s="1">
        <v>6.9265524887005094E-8</v>
      </c>
      <c r="P324" s="1">
        <v>-3.2930152354391398E-7</v>
      </c>
      <c r="Q324">
        <v>74.358977149768805</v>
      </c>
      <c r="R324">
        <v>9.4655538893677907E-2</v>
      </c>
      <c r="S324">
        <v>12.3265256298473</v>
      </c>
      <c r="T324">
        <v>0.24709502737163999</v>
      </c>
      <c r="V324">
        <v>0.59389376198468502</v>
      </c>
      <c r="W324">
        <v>2.6621870313845799E-2</v>
      </c>
      <c r="X324">
        <v>0.118319423617105</v>
      </c>
      <c r="AA324">
        <v>0.71776253884939201</v>
      </c>
      <c r="AB324">
        <v>3.31433596906118</v>
      </c>
      <c r="AC324">
        <v>4.59212084472657</v>
      </c>
      <c r="AD324">
        <v>3.9439807872361003E-2</v>
      </c>
      <c r="AE324">
        <v>3.57025243769331</v>
      </c>
    </row>
    <row r="325" spans="1:31" x14ac:dyDescent="0.2">
      <c r="A325">
        <v>324</v>
      </c>
      <c r="B325">
        <v>796</v>
      </c>
      <c r="C325">
        <v>100</v>
      </c>
      <c r="D325">
        <v>0.51068652668007097</v>
      </c>
      <c r="E325">
        <v>100.769920847644</v>
      </c>
      <c r="F325">
        <v>2.2133622259194601</v>
      </c>
      <c r="G325">
        <v>-1646.7259262913983</v>
      </c>
      <c r="H325">
        <v>-1378.5162757751737</v>
      </c>
      <c r="I325">
        <v>250.862508082331</v>
      </c>
      <c r="J325">
        <v>133.71236438487199</v>
      </c>
      <c r="K325">
        <v>45.527984379413297</v>
      </c>
      <c r="L325">
        <v>1.1851538305113135E-4</v>
      </c>
      <c r="M325">
        <v>1.6202810233364717E-5</v>
      </c>
      <c r="N325" s="1">
        <v>2.04908916389602E-6</v>
      </c>
      <c r="O325" s="1">
        <v>6.8622070213299102E-8</v>
      </c>
      <c r="P325" s="1">
        <v>-3.2617777073576901E-7</v>
      </c>
      <c r="Q325">
        <v>74.438758998294801</v>
      </c>
      <c r="R325">
        <v>9.5266523177233497E-2</v>
      </c>
      <c r="S325">
        <v>12.272956913364499</v>
      </c>
      <c r="T325">
        <v>0.24921993504568499</v>
      </c>
      <c r="V325">
        <v>0.59725037952850901</v>
      </c>
      <c r="W325">
        <v>2.6793709643595599E-2</v>
      </c>
      <c r="X325">
        <v>0.119083153971552</v>
      </c>
      <c r="AA325">
        <v>0.70593778034663501</v>
      </c>
      <c r="AB325">
        <v>3.2800416382785702</v>
      </c>
      <c r="AC325">
        <v>4.61104510019379</v>
      </c>
      <c r="AD325">
        <v>3.9694384657174599E-2</v>
      </c>
      <c r="AE325">
        <v>3.5639514834978501</v>
      </c>
    </row>
    <row r="326" spans="1:31" x14ac:dyDescent="0.2">
      <c r="A326">
        <v>325</v>
      </c>
      <c r="B326">
        <v>794</v>
      </c>
      <c r="C326">
        <v>100</v>
      </c>
      <c r="D326">
        <v>0.50963828890034402</v>
      </c>
      <c r="E326">
        <v>100.120881247661</v>
      </c>
      <c r="F326">
        <v>2.2138021076551699</v>
      </c>
      <c r="G326">
        <v>-1635.4399205900486</v>
      </c>
      <c r="H326">
        <v>-1369.8375791579053</v>
      </c>
      <c r="I326">
        <v>248.889417075522</v>
      </c>
      <c r="J326">
        <v>132.77036326500601</v>
      </c>
      <c r="K326">
        <v>45.225759295038301</v>
      </c>
      <c r="L326">
        <v>1.1822380446984562E-4</v>
      </c>
      <c r="M326">
        <v>1.6182117843740447E-5</v>
      </c>
      <c r="N326" s="1">
        <v>2.03698502110929E-6</v>
      </c>
      <c r="O326" s="1">
        <v>6.7981498298048605E-8</v>
      </c>
      <c r="P326" s="1">
        <v>-3.2305931738613801E-7</v>
      </c>
      <c r="Q326">
        <v>74.518568847269194</v>
      </c>
      <c r="R326">
        <v>9.5884094110731899E-2</v>
      </c>
      <c r="S326">
        <v>12.219482322843101</v>
      </c>
      <c r="T326">
        <v>0.25137105349859401</v>
      </c>
      <c r="V326">
        <v>0.60064021025135395</v>
      </c>
      <c r="W326">
        <v>2.6967401468641801E-2</v>
      </c>
      <c r="X326">
        <v>0.119855117638426</v>
      </c>
      <c r="AA326">
        <v>0.69473379209168695</v>
      </c>
      <c r="AB326">
        <v>3.2453161117391298</v>
      </c>
      <c r="AC326">
        <v>4.6296304230030296</v>
      </c>
      <c r="AD326">
        <v>3.9951705879464901E-2</v>
      </c>
      <c r="AE326">
        <v>3.5575989202065301</v>
      </c>
    </row>
    <row r="327" spans="1:31" x14ac:dyDescent="0.2">
      <c r="A327">
        <v>326</v>
      </c>
      <c r="B327">
        <v>792</v>
      </c>
      <c r="C327">
        <v>100</v>
      </c>
      <c r="D327">
        <v>0.50858611463174297</v>
      </c>
      <c r="E327">
        <v>99.473672349365899</v>
      </c>
      <c r="F327">
        <v>2.2142464224062</v>
      </c>
      <c r="G327">
        <v>-1624.1946216669899</v>
      </c>
      <c r="H327">
        <v>-1361.1831006062066</v>
      </c>
      <c r="I327">
        <v>246.924396620929</v>
      </c>
      <c r="J327">
        <v>131.83178950887401</v>
      </c>
      <c r="K327">
        <v>44.924391134961603</v>
      </c>
      <c r="L327">
        <v>1.1793034340205263E-4</v>
      </c>
      <c r="M327">
        <v>1.6161435264692541E-5</v>
      </c>
      <c r="N327" s="1">
        <v>2.0248627258702502E-6</v>
      </c>
      <c r="O327" s="1">
        <v>6.7344249535358003E-8</v>
      </c>
      <c r="P327" s="1">
        <v>-3.19948583697053E-7</v>
      </c>
      <c r="Q327">
        <v>74.5984009115775</v>
      </c>
      <c r="R327">
        <v>9.6507948015466805E-2</v>
      </c>
      <c r="S327">
        <v>12.166107425779799</v>
      </c>
      <c r="T327">
        <v>0.25354788912087001</v>
      </c>
      <c r="V327">
        <v>0.60406107962956401</v>
      </c>
      <c r="W327">
        <v>2.7142860379348301E-2</v>
      </c>
      <c r="X327">
        <v>0.120634935019346</v>
      </c>
      <c r="AA327">
        <v>0.68413117554476</v>
      </c>
      <c r="AB327">
        <v>3.2102074661852802</v>
      </c>
      <c r="AC327">
        <v>4.64784324504941</v>
      </c>
      <c r="AD327">
        <v>4.0211645006436703E-2</v>
      </c>
      <c r="AE327">
        <v>3.5512034186920598</v>
      </c>
    </row>
    <row r="328" spans="1:31" x14ac:dyDescent="0.2">
      <c r="A328">
        <v>327</v>
      </c>
      <c r="B328">
        <v>790</v>
      </c>
      <c r="C328">
        <v>100</v>
      </c>
      <c r="D328">
        <v>0.507529981658283</v>
      </c>
      <c r="E328">
        <v>97.6390739951879</v>
      </c>
      <c r="F328">
        <v>2.21520227145907</v>
      </c>
      <c r="G328">
        <v>-1593.229499726112</v>
      </c>
      <c r="H328">
        <v>-1335.9610569121796</v>
      </c>
      <c r="I328">
        <v>241.98696591631699</v>
      </c>
      <c r="J328">
        <v>129.33078175357801</v>
      </c>
      <c r="K328">
        <v>44.076820998777798</v>
      </c>
      <c r="L328">
        <v>1.1766540714924086E-4</v>
      </c>
      <c r="M328">
        <v>1.612785645019348E-5</v>
      </c>
      <c r="N328" s="1">
        <v>1.9859137236570598E-6</v>
      </c>
      <c r="O328" s="1">
        <v>6.5832257926060998E-8</v>
      </c>
      <c r="P328" s="1">
        <v>-3.1315733756737799E-7</v>
      </c>
      <c r="Q328">
        <v>74.604824321389302</v>
      </c>
      <c r="R328">
        <v>9.8321292974095295E-2</v>
      </c>
      <c r="S328">
        <v>12.1457163082899</v>
      </c>
      <c r="T328">
        <v>0.25897714860515902</v>
      </c>
      <c r="V328">
        <v>0.61481258820727602</v>
      </c>
      <c r="W328">
        <v>2.7652863648962099E-2</v>
      </c>
      <c r="X328">
        <v>0.122901616217635</v>
      </c>
      <c r="AA328">
        <v>0.66981456708987896</v>
      </c>
      <c r="AB328">
        <v>3.1655813057323101</v>
      </c>
      <c r="AC328">
        <v>4.7102823859583598</v>
      </c>
      <c r="AD328">
        <v>4.0967205405863003E-2</v>
      </c>
      <c r="AE328">
        <v>3.5401483964810998</v>
      </c>
    </row>
    <row r="329" spans="1:31" x14ac:dyDescent="0.2">
      <c r="A329">
        <v>328</v>
      </c>
      <c r="B329">
        <v>788</v>
      </c>
      <c r="C329">
        <v>100</v>
      </c>
      <c r="D329">
        <v>0.50646986759647905</v>
      </c>
      <c r="E329">
        <v>94.352706815723494</v>
      </c>
      <c r="F329">
        <v>2.21682482118131</v>
      </c>
      <c r="G329">
        <v>-1538.2024777647277</v>
      </c>
      <c r="H329">
        <v>-1290.5031456580748</v>
      </c>
      <c r="I329">
        <v>233.42537068901899</v>
      </c>
      <c r="J329">
        <v>124.920625152448</v>
      </c>
      <c r="K329">
        <v>42.562094178214799</v>
      </c>
      <c r="L329">
        <v>1.1742530935599722E-4</v>
      </c>
      <c r="M329">
        <v>1.6077991364867577E-5</v>
      </c>
      <c r="N329" s="1">
        <v>1.91421962062595E-6</v>
      </c>
      <c r="O329" s="1">
        <v>6.32607883176742E-8</v>
      </c>
      <c r="P329" s="1">
        <v>-3.0183254599212299E-7</v>
      </c>
      <c r="Q329">
        <v>74.522093680929103</v>
      </c>
      <c r="R329">
        <v>0.101745888634119</v>
      </c>
      <c r="S329">
        <v>12.1649060165335</v>
      </c>
      <c r="T329">
        <v>0.26880516417439598</v>
      </c>
      <c r="V329">
        <v>0.63550016672132803</v>
      </c>
      <c r="W329">
        <v>2.8616031178343299E-2</v>
      </c>
      <c r="X329">
        <v>0.12718236079267001</v>
      </c>
      <c r="AA329">
        <v>0.65284296262020702</v>
      </c>
      <c r="AB329">
        <v>3.1064201794737998</v>
      </c>
      <c r="AC329">
        <v>4.8264249803748296</v>
      </c>
      <c r="AD329">
        <v>4.2394120264203403E-2</v>
      </c>
      <c r="AE329">
        <v>3.52306844830344</v>
      </c>
    </row>
    <row r="330" spans="1:31" x14ac:dyDescent="0.2">
      <c r="A330">
        <v>329</v>
      </c>
      <c r="B330">
        <v>786</v>
      </c>
      <c r="C330">
        <v>100</v>
      </c>
      <c r="D330">
        <v>0.50540574989378495</v>
      </c>
      <c r="E330">
        <v>90.924789257566303</v>
      </c>
      <c r="F330">
        <v>2.21856373281627</v>
      </c>
      <c r="G330">
        <v>-1480.9223292525908</v>
      </c>
      <c r="H330">
        <v>-1243.1105512977408</v>
      </c>
      <c r="I330">
        <v>224.530782188405</v>
      </c>
      <c r="J330">
        <v>120.327004495778</v>
      </c>
      <c r="K330">
        <v>40.983627340804503</v>
      </c>
      <c r="L330">
        <v>1.1717099519717194E-4</v>
      </c>
      <c r="M330">
        <v>1.6026531495098284E-5</v>
      </c>
      <c r="N330" s="1">
        <v>1.83950663060412E-6</v>
      </c>
      <c r="O330" s="1">
        <v>6.0606822456443302E-8</v>
      </c>
      <c r="P330" s="1">
        <v>-2.9002066818307102E-7</v>
      </c>
      <c r="Q330">
        <v>74.434149255982604</v>
      </c>
      <c r="R330">
        <v>0.105581767946759</v>
      </c>
      <c r="S330">
        <v>12.185676201498</v>
      </c>
      <c r="T330">
        <v>0.27974499925802099</v>
      </c>
      <c r="V330">
        <v>0.65873389440504604</v>
      </c>
      <c r="W330">
        <v>2.96948722350227E-2</v>
      </c>
      <c r="X330">
        <v>0.13197720993347301</v>
      </c>
      <c r="AA330">
        <v>0.63934423409951302</v>
      </c>
      <c r="AB330">
        <v>3.0416287975199299</v>
      </c>
      <c r="AC330">
        <v>4.9443475952952598</v>
      </c>
      <c r="AD330">
        <v>4.3992403311134701E-2</v>
      </c>
      <c r="AE330">
        <v>3.5051287685151098</v>
      </c>
    </row>
    <row r="331" spans="1:31" x14ac:dyDescent="0.2">
      <c r="A331">
        <v>330</v>
      </c>
      <c r="B331">
        <v>784</v>
      </c>
      <c r="C331">
        <v>100</v>
      </c>
      <c r="D331">
        <v>0.50433760582698905</v>
      </c>
      <c r="E331">
        <v>87.196163706415206</v>
      </c>
      <c r="F331">
        <v>2.22047044874077</v>
      </c>
      <c r="G331">
        <v>-1418.7910047274074</v>
      </c>
      <c r="H331">
        <v>-1191.5967064743402</v>
      </c>
      <c r="I331">
        <v>214.91207326591899</v>
      </c>
      <c r="J331">
        <v>115.34030190021799</v>
      </c>
      <c r="K331">
        <v>39.2692295256007</v>
      </c>
      <c r="L331">
        <v>1.1690193199096677E-4</v>
      </c>
      <c r="M331">
        <v>1.5973355592191696E-5</v>
      </c>
      <c r="N331" s="1">
        <v>1.75857640640918E-6</v>
      </c>
      <c r="O331" s="1">
        <v>5.7766014608885697E-8</v>
      </c>
      <c r="P331" s="1">
        <v>-2.77208467677668E-7</v>
      </c>
      <c r="Q331">
        <v>74.338092956402704</v>
      </c>
      <c r="R331">
        <v>0.11009658672969901</v>
      </c>
      <c r="S331">
        <v>12.2087553806222</v>
      </c>
      <c r="T331">
        <v>0.29249042792348501</v>
      </c>
      <c r="V331">
        <v>0.68619755237813596</v>
      </c>
      <c r="W331">
        <v>3.0964665017724002E-2</v>
      </c>
      <c r="X331">
        <v>0.137620733412153</v>
      </c>
      <c r="AA331">
        <v>0.63044583682935995</v>
      </c>
      <c r="AB331">
        <v>2.96968769210071</v>
      </c>
      <c r="AC331">
        <v>5.0635744179961497</v>
      </c>
      <c r="AD331">
        <v>4.5873577804023E-2</v>
      </c>
      <c r="AE331">
        <v>3.48620017278345</v>
      </c>
    </row>
    <row r="332" spans="1:31" x14ac:dyDescent="0.2">
      <c r="A332">
        <v>331</v>
      </c>
      <c r="B332">
        <v>782</v>
      </c>
      <c r="C332">
        <v>100</v>
      </c>
      <c r="D332">
        <v>0.50326541250059598</v>
      </c>
      <c r="E332">
        <v>58.9710895646392</v>
      </c>
      <c r="F332">
        <v>2.2236382115315698</v>
      </c>
      <c r="G332">
        <v>-959.33083960970043</v>
      </c>
      <c r="H332">
        <v>-806.43387988669986</v>
      </c>
      <c r="I332">
        <v>144.905425506326</v>
      </c>
      <c r="J332">
        <v>78.0353355939707</v>
      </c>
      <c r="K332">
        <v>26.520091829156701</v>
      </c>
      <c r="L332">
        <v>1.1617869912633554E-4</v>
      </c>
      <c r="M332">
        <v>1.5895463967639118E-5</v>
      </c>
      <c r="N332" s="1">
        <v>1.1797974288917901E-6</v>
      </c>
      <c r="O332" s="1">
        <v>3.8648599977095398E-8</v>
      </c>
      <c r="P332" s="1">
        <v>-1.85098725583257E-7</v>
      </c>
      <c r="Q332">
        <v>74.117906766151094</v>
      </c>
      <c r="R332">
        <v>0.127567448576485</v>
      </c>
      <c r="S332">
        <v>12.436722094665599</v>
      </c>
      <c r="T332">
        <v>0.26976904659537898</v>
      </c>
      <c r="V332">
        <v>0.63404501485333198</v>
      </c>
      <c r="W332">
        <v>4.5785146924239503E-2</v>
      </c>
      <c r="X332">
        <v>0.196750532928057</v>
      </c>
      <c r="AA332">
        <v>0.687899660204077</v>
      </c>
      <c r="AB332">
        <v>2.7509805909377998</v>
      </c>
      <c r="AC332">
        <v>5.2143985241389297</v>
      </c>
      <c r="AD332">
        <v>6.7829847295123494E-2</v>
      </c>
      <c r="AE332">
        <v>3.4503453267297699</v>
      </c>
    </row>
    <row r="333" spans="1:31" x14ac:dyDescent="0.2">
      <c r="A333">
        <v>332</v>
      </c>
      <c r="B333">
        <v>780</v>
      </c>
      <c r="C333">
        <v>100</v>
      </c>
      <c r="D333">
        <v>0.50218914684517901</v>
      </c>
      <c r="E333">
        <v>34.631118546312997</v>
      </c>
      <c r="F333">
        <v>2.22796892513044</v>
      </c>
      <c r="G333">
        <v>-563.32560382789995</v>
      </c>
      <c r="H333">
        <v>-474.00873847454062</v>
      </c>
      <c r="I333">
        <v>84.809253528328398</v>
      </c>
      <c r="J333">
        <v>45.863024104032199</v>
      </c>
      <c r="K333">
        <v>15.5438068079362</v>
      </c>
      <c r="L333">
        <v>1.1545644137326033E-4</v>
      </c>
      <c r="M333">
        <v>1.5842301918010617E-5</v>
      </c>
      <c r="N333" s="1">
        <v>6.8748473568629996E-7</v>
      </c>
      <c r="O333" s="1">
        <v>2.24568130130723E-8</v>
      </c>
      <c r="P333" s="1">
        <v>-1.0682120619016E-7</v>
      </c>
      <c r="Q333">
        <v>73.701401760316301</v>
      </c>
      <c r="R333">
        <v>0.16548213305812301</v>
      </c>
      <c r="S333">
        <v>12.9157117566007</v>
      </c>
      <c r="T333">
        <v>0.24924579534295299</v>
      </c>
      <c r="V333">
        <v>0.59134269299919195</v>
      </c>
      <c r="W333">
        <v>7.7964562316649305E-2</v>
      </c>
      <c r="X333">
        <v>0.21031128786838599</v>
      </c>
      <c r="AA333">
        <v>0.74793763517376399</v>
      </c>
      <c r="AB333">
        <v>2.4741137072004298</v>
      </c>
      <c r="AC333">
        <v>5.3351347915651104</v>
      </c>
      <c r="AD333">
        <v>0.115503055283811</v>
      </c>
      <c r="AE333">
        <v>3.4158508222744799</v>
      </c>
    </row>
    <row r="334" spans="1:31" x14ac:dyDescent="0.2">
      <c r="A334">
        <v>333</v>
      </c>
      <c r="B334">
        <v>778</v>
      </c>
      <c r="C334">
        <v>100</v>
      </c>
      <c r="D334">
        <v>0.501108785615755</v>
      </c>
      <c r="E334">
        <v>24.867434378954801</v>
      </c>
      <c r="F334">
        <v>2.2314534569634401</v>
      </c>
      <c r="G334">
        <v>-404.49688339915531</v>
      </c>
      <c r="H334">
        <v>-340.65331364864647</v>
      </c>
      <c r="I334">
        <v>60.736878419358497</v>
      </c>
      <c r="J334">
        <v>32.960856994471698</v>
      </c>
      <c r="K334">
        <v>11.144052456641599</v>
      </c>
      <c r="L334">
        <v>1.1501532903406064E-4</v>
      </c>
      <c r="M334">
        <v>1.5818088384069083E-5</v>
      </c>
      <c r="N334" s="1">
        <v>4.9185548535199205E-7</v>
      </c>
      <c r="O334" s="1">
        <v>1.60146459330636E-8</v>
      </c>
      <c r="P334" s="1">
        <v>-7.5713530566781603E-8</v>
      </c>
      <c r="Q334">
        <v>73.316486719107601</v>
      </c>
      <c r="R334">
        <v>0.19141375559266599</v>
      </c>
      <c r="S334">
        <v>13.365936488344699</v>
      </c>
      <c r="T334">
        <v>0.23500053601089199</v>
      </c>
      <c r="V334">
        <v>0.56226054014288396</v>
      </c>
      <c r="W334">
        <v>0.10857573639700099</v>
      </c>
      <c r="X334">
        <v>0.213135651519651</v>
      </c>
      <c r="AA334">
        <v>0.77571160574110798</v>
      </c>
      <c r="AB334">
        <v>2.2731371752286398</v>
      </c>
      <c r="AC334">
        <v>5.4018676309010898</v>
      </c>
      <c r="AD334">
        <v>0.16085294281018001</v>
      </c>
      <c r="AE334">
        <v>3.3956212182035199</v>
      </c>
    </row>
    <row r="335" spans="1:31" x14ac:dyDescent="0.2">
      <c r="A335">
        <v>334</v>
      </c>
      <c r="B335">
        <v>776</v>
      </c>
      <c r="C335">
        <v>100</v>
      </c>
      <c r="D335">
        <v>0.50002430539008103</v>
      </c>
      <c r="E335">
        <v>19.9324546386053</v>
      </c>
      <c r="F335">
        <v>2.23435907200076</v>
      </c>
      <c r="G335">
        <v>-324.21950302351695</v>
      </c>
      <c r="H335">
        <v>-273.25659194085665</v>
      </c>
      <c r="I335">
        <v>48.575428759148103</v>
      </c>
      <c r="J335">
        <v>26.441501001073501</v>
      </c>
      <c r="K335">
        <v>8.9208824527728208</v>
      </c>
      <c r="L335">
        <v>1.147272683849729E-4</v>
      </c>
      <c r="M335">
        <v>1.5806419400004018E-5</v>
      </c>
      <c r="N335" s="1">
        <v>3.9368276194402799E-7</v>
      </c>
      <c r="O335" s="1">
        <v>1.27742499578857E-8</v>
      </c>
      <c r="P335" s="1">
        <v>-6.0086622223301197E-8</v>
      </c>
      <c r="Q335">
        <v>72.977435392756803</v>
      </c>
      <c r="R335">
        <v>0.209070626721091</v>
      </c>
      <c r="S335">
        <v>13.7616246533478</v>
      </c>
      <c r="T335">
        <v>0.224439582960902</v>
      </c>
      <c r="V335">
        <v>0.54064098304810704</v>
      </c>
      <c r="W335">
        <v>0.13545747620915899</v>
      </c>
      <c r="X335">
        <v>0.21450111017445</v>
      </c>
      <c r="AA335">
        <v>0.79294948703826995</v>
      </c>
      <c r="AB335">
        <v>2.1198323697327499</v>
      </c>
      <c r="AC335">
        <v>5.4403011529835599</v>
      </c>
      <c r="AD335">
        <v>0.200677742531814</v>
      </c>
      <c r="AE335">
        <v>3.3830694224951698</v>
      </c>
    </row>
    <row r="336" spans="1:31" x14ac:dyDescent="0.2">
      <c r="A336">
        <v>335</v>
      </c>
      <c r="B336">
        <v>774</v>
      </c>
      <c r="C336">
        <v>100</v>
      </c>
      <c r="D336">
        <v>0.49893568256697302</v>
      </c>
      <c r="E336">
        <v>16.938355393951301</v>
      </c>
      <c r="F336">
        <v>2.2368963673662701</v>
      </c>
      <c r="G336">
        <v>-275.51284685200551</v>
      </c>
      <c r="H336">
        <v>-232.37262259574746</v>
      </c>
      <c r="I336">
        <v>41.197750328279596</v>
      </c>
      <c r="J336">
        <v>22.487159097932601</v>
      </c>
      <c r="K336">
        <v>7.5722575444541702</v>
      </c>
      <c r="L336">
        <v>1.1452560145205083E-4</v>
      </c>
      <c r="M336">
        <v>1.5801025727573727E-5</v>
      </c>
      <c r="N336" s="1">
        <v>3.3449044499246802E-7</v>
      </c>
      <c r="O336" s="1">
        <v>1.0815220212906101E-8</v>
      </c>
      <c r="P336" s="1">
        <v>-5.0651413392645899E-8</v>
      </c>
      <c r="Q336">
        <v>72.672781229219495</v>
      </c>
      <c r="R336">
        <v>0.22206873659641899</v>
      </c>
      <c r="S336">
        <v>14.1156524470957</v>
      </c>
      <c r="T336">
        <v>0.215942158061216</v>
      </c>
      <c r="V336">
        <v>0.52303432986034304</v>
      </c>
      <c r="W336">
        <v>0.15940154384546301</v>
      </c>
      <c r="X336">
        <v>0.215073435416508</v>
      </c>
      <c r="AA336">
        <v>0.80636796295763802</v>
      </c>
      <c r="AB336">
        <v>1.9954486292846101</v>
      </c>
      <c r="AC336">
        <v>5.4632436147016001</v>
      </c>
      <c r="AD336">
        <v>0.236150435326275</v>
      </c>
      <c r="AE336">
        <v>3.3748354776346399</v>
      </c>
    </row>
    <row r="337" spans="1:31" x14ac:dyDescent="0.2">
      <c r="A337">
        <v>336</v>
      </c>
      <c r="B337">
        <v>772</v>
      </c>
      <c r="C337">
        <v>100</v>
      </c>
      <c r="D337">
        <v>0.49784289336458698</v>
      </c>
      <c r="E337">
        <v>14.9066370025689</v>
      </c>
      <c r="F337">
        <v>2.2391812073930701</v>
      </c>
      <c r="G337">
        <v>-242.45993515077038</v>
      </c>
      <c r="H337">
        <v>-204.63479263260874</v>
      </c>
      <c r="I337">
        <v>36.1911137331116</v>
      </c>
      <c r="J337">
        <v>19.804479034420599</v>
      </c>
      <c r="K337">
        <v>6.6571820776951398</v>
      </c>
      <c r="L337">
        <v>1.1437935962491796E-4</v>
      </c>
      <c r="M337">
        <v>1.5799334570983388E-5</v>
      </c>
      <c r="N337" s="1">
        <v>2.9455736135808601E-7</v>
      </c>
      <c r="O337" s="1">
        <v>9.4897613511440108E-9</v>
      </c>
      <c r="P337" s="1">
        <v>-4.4276056661012697E-8</v>
      </c>
      <c r="Q337">
        <v>72.393627540741306</v>
      </c>
      <c r="R337">
        <v>0.23219289412552199</v>
      </c>
      <c r="S337">
        <v>14.438503828565301</v>
      </c>
      <c r="T337">
        <v>0.208742898980461</v>
      </c>
      <c r="V337">
        <v>0.50788484020895197</v>
      </c>
      <c r="W337">
        <v>0.18112737296369799</v>
      </c>
      <c r="X337">
        <v>0.21517020182735999</v>
      </c>
      <c r="AA337">
        <v>0.818175891316267</v>
      </c>
      <c r="AB337">
        <v>1.8904369181814999</v>
      </c>
      <c r="AC337">
        <v>5.4764408852167303</v>
      </c>
      <c r="AD337">
        <v>0.26833684883466202</v>
      </c>
      <c r="AE337">
        <v>3.3693598790380701</v>
      </c>
    </row>
    <row r="338" spans="1:31" x14ac:dyDescent="0.2">
      <c r="A338">
        <v>337</v>
      </c>
      <c r="B338">
        <v>770</v>
      </c>
      <c r="C338">
        <v>100</v>
      </c>
      <c r="D338">
        <v>0.49674591381872402</v>
      </c>
      <c r="E338">
        <v>13.423294798574901</v>
      </c>
      <c r="F338">
        <v>2.2412818883362098</v>
      </c>
      <c r="G338">
        <v>-218.32661630539874</v>
      </c>
      <c r="H338">
        <v>-184.3875162334312</v>
      </c>
      <c r="I338">
        <v>32.535205935836203</v>
      </c>
      <c r="J338">
        <v>17.846313111117599</v>
      </c>
      <c r="K338">
        <v>5.98911492054195</v>
      </c>
      <c r="L338">
        <v>1.1427193486475015E-4</v>
      </c>
      <c r="M338">
        <v>1.5800086021633177E-5</v>
      </c>
      <c r="N338" s="1">
        <v>2.6556582920040199E-7</v>
      </c>
      <c r="O338" s="1">
        <v>8.5245561212914695E-9</v>
      </c>
      <c r="P338" s="1">
        <v>-3.9639702843712003E-8</v>
      </c>
      <c r="Q338">
        <v>72.133964262740093</v>
      </c>
      <c r="R338">
        <v>0.24039527566663699</v>
      </c>
      <c r="S338">
        <v>14.737372994625099</v>
      </c>
      <c r="T338">
        <v>0.20243605412551399</v>
      </c>
      <c r="V338">
        <v>0.49439445617746902</v>
      </c>
      <c r="W338">
        <v>0.20114286697221601</v>
      </c>
      <c r="X338">
        <v>0.21495685909385701</v>
      </c>
      <c r="AA338">
        <v>0.829251355826642</v>
      </c>
      <c r="AB338">
        <v>1.7993741553384599</v>
      </c>
      <c r="AC338">
        <v>5.4829126889691704</v>
      </c>
      <c r="AD338">
        <v>0.29798943255086702</v>
      </c>
      <c r="AE338">
        <v>3.3658095979137901</v>
      </c>
    </row>
    <row r="339" spans="1:31" x14ac:dyDescent="0.2">
      <c r="A339">
        <v>338</v>
      </c>
      <c r="B339">
        <v>768</v>
      </c>
      <c r="C339">
        <v>100</v>
      </c>
      <c r="D339">
        <v>0.49564471978101199</v>
      </c>
      <c r="E339">
        <v>12.283717773804399</v>
      </c>
      <c r="F339">
        <v>2.2432418026127499</v>
      </c>
      <c r="G339">
        <v>-199.78479954692111</v>
      </c>
      <c r="H339">
        <v>-168.83565328503212</v>
      </c>
      <c r="I339">
        <v>29.725924469950399</v>
      </c>
      <c r="J339">
        <v>16.342275428116999</v>
      </c>
      <c r="K339">
        <v>5.4758777049791698</v>
      </c>
      <c r="L339">
        <v>1.141934028785014E-4</v>
      </c>
      <c r="M339">
        <v>1.5802577765542503E-5</v>
      </c>
      <c r="N339" s="1">
        <v>2.43415200578755E-7</v>
      </c>
      <c r="O339" s="1">
        <v>7.7847976635557307E-9</v>
      </c>
      <c r="P339" s="1">
        <v>-3.6091113064892797E-8</v>
      </c>
      <c r="Q339">
        <v>71.889675216543196</v>
      </c>
      <c r="R339">
        <v>0.24723119459752299</v>
      </c>
      <c r="S339">
        <v>15.017226438622</v>
      </c>
      <c r="T339">
        <v>0.19678338837026599</v>
      </c>
      <c r="V339">
        <v>0.48210647289124398</v>
      </c>
      <c r="W339">
        <v>0.219803161365064</v>
      </c>
      <c r="X339">
        <v>0.21452807099936999</v>
      </c>
      <c r="AA339">
        <v>0.83999319283041696</v>
      </c>
      <c r="AB339">
        <v>1.71888797074476</v>
      </c>
      <c r="AC339">
        <v>5.4844415458264297</v>
      </c>
      <c r="AD339">
        <v>0.32563431313275798</v>
      </c>
      <c r="AE339">
        <v>3.3636890340768</v>
      </c>
    </row>
    <row r="340" spans="1:31" x14ac:dyDescent="0.2">
      <c r="A340">
        <v>339</v>
      </c>
      <c r="B340">
        <v>766</v>
      </c>
      <c r="C340">
        <v>100</v>
      </c>
      <c r="D340">
        <v>0.49453928691719501</v>
      </c>
      <c r="E340">
        <v>11.374981057578999</v>
      </c>
      <c r="F340">
        <v>2.2450902586842401</v>
      </c>
      <c r="G340">
        <v>-184.99773549584694</v>
      </c>
      <c r="H340">
        <v>-156.43657834108217</v>
      </c>
      <c r="I340">
        <v>27.485114906187398</v>
      </c>
      <c r="J340">
        <v>15.1431529263601</v>
      </c>
      <c r="K340">
        <v>5.06660300786546</v>
      </c>
      <c r="L340">
        <v>1.1413734675397927E-4</v>
      </c>
      <c r="M340">
        <v>1.5806379932216084E-5</v>
      </c>
      <c r="N340" s="1">
        <v>2.2584705640505599E-7</v>
      </c>
      <c r="O340" s="1">
        <v>7.1962045411822301E-9</v>
      </c>
      <c r="P340" s="1">
        <v>-3.3271562655960897E-8</v>
      </c>
      <c r="Q340">
        <v>71.657842626534503</v>
      </c>
      <c r="R340">
        <v>0.25304916311591003</v>
      </c>
      <c r="S340">
        <v>15.281601455057199</v>
      </c>
      <c r="T340">
        <v>0.19163356749233401</v>
      </c>
      <c r="V340">
        <v>0.47073675591474301</v>
      </c>
      <c r="W340">
        <v>0.23736303263550801</v>
      </c>
      <c r="X340">
        <v>0.213942261700966</v>
      </c>
      <c r="AA340">
        <v>0.85059972237775505</v>
      </c>
      <c r="AB340">
        <v>1.6467319270781799</v>
      </c>
      <c r="AC340">
        <v>5.4821714857093697</v>
      </c>
      <c r="AD340">
        <v>0.35164893723705198</v>
      </c>
      <c r="AE340">
        <v>3.3626790651463598</v>
      </c>
    </row>
    <row r="341" spans="1:31" x14ac:dyDescent="0.2">
      <c r="A341">
        <v>340</v>
      </c>
      <c r="B341">
        <v>764</v>
      </c>
      <c r="C341">
        <v>100</v>
      </c>
      <c r="D341">
        <v>0.49342959070530001</v>
      </c>
      <c r="E341">
        <v>10.6294690381962</v>
      </c>
      <c r="F341">
        <v>2.2468480316302801</v>
      </c>
      <c r="G341">
        <v>-172.86564693723511</v>
      </c>
      <c r="H341">
        <v>-146.26663577611575</v>
      </c>
      <c r="I341">
        <v>25.646252867106298</v>
      </c>
      <c r="J341">
        <v>14.159608851225601</v>
      </c>
      <c r="K341">
        <v>4.7308357701805104</v>
      </c>
      <c r="L341">
        <v>1.1409936599338857E-4</v>
      </c>
      <c r="M341">
        <v>1.581121048630708E-5</v>
      </c>
      <c r="N341" s="1">
        <v>2.1151164213587501E-7</v>
      </c>
      <c r="O341" s="1">
        <v>6.7143585039611999E-9</v>
      </c>
      <c r="P341" s="1">
        <v>-3.0966613660633898E-8</v>
      </c>
      <c r="Q341">
        <v>71.436326471711197</v>
      </c>
      <c r="R341">
        <v>0.25808101684564999</v>
      </c>
      <c r="S341">
        <v>15.5331003700873</v>
      </c>
      <c r="T341">
        <v>0.18688446366468101</v>
      </c>
      <c r="V341">
        <v>0.46009683764464598</v>
      </c>
      <c r="W341">
        <v>0.25401080621205802</v>
      </c>
      <c r="X341">
        <v>0.213237699613954</v>
      </c>
      <c r="AA341">
        <v>0.86117570335368698</v>
      </c>
      <c r="AB341">
        <v>1.5813289768582299</v>
      </c>
      <c r="AC341">
        <v>5.47688368586258</v>
      </c>
      <c r="AD341">
        <v>0.37631230549851602</v>
      </c>
      <c r="AE341">
        <v>3.3625616626473902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BBDFA-39AE-4779-ACAA-7D6C566785FD}">
  <sheetPr codeName="Sheet5"/>
  <dimension ref="A1:P341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760</v>
      </c>
      <c r="C2">
        <v>300</v>
      </c>
      <c r="D2">
        <v>0.27825630353772701</v>
      </c>
      <c r="E2">
        <v>3.8793979666885701</v>
      </c>
      <c r="F2">
        <v>0.57755233730724798</v>
      </c>
      <c r="G2">
        <v>-83.993731078877104</v>
      </c>
      <c r="H2">
        <v>-49.373003339834888</v>
      </c>
      <c r="I2">
        <v>33.512024167624297</v>
      </c>
      <c r="J2">
        <v>14.8267643861148</v>
      </c>
      <c r="K2">
        <v>6.7169634959416502</v>
      </c>
      <c r="L2">
        <v>1.1159856656337461E-3</v>
      </c>
      <c r="M2">
        <v>1.6872488244912802E-4</v>
      </c>
      <c r="N2" s="1">
        <v>4.8478330994436999E-6</v>
      </c>
      <c r="O2" s="1">
        <v>8.1820426276494895E-7</v>
      </c>
      <c r="P2" s="1">
        <v>-3.2902730389357401E-6</v>
      </c>
    </row>
    <row r="3" spans="1:16" x14ac:dyDescent="0.2">
      <c r="A3">
        <v>2</v>
      </c>
      <c r="B3">
        <v>758</v>
      </c>
      <c r="C3">
        <v>300</v>
      </c>
      <c r="D3">
        <v>0.27672065169955901</v>
      </c>
      <c r="E3">
        <v>4.0662601185542098</v>
      </c>
      <c r="F3">
        <v>0.59878999268280997</v>
      </c>
      <c r="G3">
        <v>-87.033815509709953</v>
      </c>
      <c r="H3">
        <v>-52.051000596070594</v>
      </c>
      <c r="I3">
        <v>33.9281787695178</v>
      </c>
      <c r="J3">
        <v>15.085206016085101</v>
      </c>
      <c r="K3">
        <v>6.7907950504245997</v>
      </c>
      <c r="L3">
        <v>1.1056899186889608E-3</v>
      </c>
      <c r="M3">
        <v>1.6642746616707602E-4</v>
      </c>
      <c r="N3" s="1">
        <v>4.9268221639676903E-6</v>
      </c>
      <c r="O3" s="1">
        <v>8.1498919941715899E-7</v>
      </c>
      <c r="P3" s="1">
        <v>-3.2959537806167399E-6</v>
      </c>
    </row>
    <row r="4" spans="1:16" x14ac:dyDescent="0.2">
      <c r="A4">
        <v>3</v>
      </c>
      <c r="B4">
        <v>756</v>
      </c>
      <c r="C4">
        <v>300</v>
      </c>
      <c r="D4">
        <v>0.27517903123937498</v>
      </c>
      <c r="E4">
        <v>4.53161476166279</v>
      </c>
      <c r="F4">
        <v>0.64797224837567602</v>
      </c>
      <c r="G4">
        <v>-94.688237822531107</v>
      </c>
      <c r="H4">
        <v>-58.681538660213491</v>
      </c>
      <c r="I4">
        <v>34.989011107181298</v>
      </c>
      <c r="J4">
        <v>15.7054473095252</v>
      </c>
      <c r="K4">
        <v>6.9935321659570402</v>
      </c>
      <c r="L4">
        <v>1.0794389252864656E-3</v>
      </c>
      <c r="M4">
        <v>1.6177325753522121E-4</v>
      </c>
      <c r="N4" s="1">
        <v>5.0251277613355603E-6</v>
      </c>
      <c r="O4" s="1">
        <v>8.1479379077148104E-7</v>
      </c>
      <c r="P4" s="1">
        <v>-3.31389779727382E-6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4.9922512812844797</v>
      </c>
      <c r="F5">
        <v>0.69396620993364799</v>
      </c>
      <c r="G5">
        <v>-102.25974914130664</v>
      </c>
      <c r="H5">
        <v>-65.247700847064323</v>
      </c>
      <c r="I5">
        <v>36.035929239498202</v>
      </c>
      <c r="J5">
        <v>16.319196298491601</v>
      </c>
      <c r="K5">
        <v>7.1937959079618601</v>
      </c>
      <c r="L5">
        <v>1.0549046698955188E-3</v>
      </c>
      <c r="M5">
        <v>1.5741082694954532E-4</v>
      </c>
      <c r="N5" s="1">
        <v>5.1239728494846202E-6</v>
      </c>
      <c r="O5" s="1">
        <v>8.1445458289182097E-7</v>
      </c>
      <c r="P5" s="1">
        <v>-3.3313750722964401E-6</v>
      </c>
    </row>
    <row r="6" spans="1:16" x14ac:dyDescent="0.2">
      <c r="A6">
        <v>5</v>
      </c>
      <c r="B6">
        <v>752</v>
      </c>
      <c r="C6">
        <v>300</v>
      </c>
      <c r="D6">
        <v>0.27207774472028401</v>
      </c>
      <c r="E6">
        <v>5.4482484551390202</v>
      </c>
      <c r="F6">
        <v>0.73708367384070395</v>
      </c>
      <c r="G6">
        <v>-109.74973445024243</v>
      </c>
      <c r="H6">
        <v>-71.750565735839842</v>
      </c>
      <c r="I6">
        <v>37.0691506200681</v>
      </c>
      <c r="J6">
        <v>16.926554749224799</v>
      </c>
      <c r="K6">
        <v>7.39162818075995</v>
      </c>
      <c r="L6">
        <v>1.0319183797581116E-3</v>
      </c>
      <c r="M6">
        <v>1.5331168912470172E-4</v>
      </c>
      <c r="N6" s="1">
        <v>5.2233396554208398E-6</v>
      </c>
      <c r="O6" s="1">
        <v>8.1397440655092396E-7</v>
      </c>
      <c r="P6" s="1">
        <v>-3.3483877997689601E-6</v>
      </c>
    </row>
    <row r="7" spans="1:16" x14ac:dyDescent="0.2">
      <c r="A7">
        <v>6</v>
      </c>
      <c r="B7">
        <v>750</v>
      </c>
      <c r="C7">
        <v>300</v>
      </c>
      <c r="D7">
        <v>0.270518008112205</v>
      </c>
      <c r="E7">
        <v>5.8996833470543599</v>
      </c>
      <c r="F7">
        <v>0.77759706518211602</v>
      </c>
      <c r="G7">
        <v>-117.15954855716065</v>
      </c>
      <c r="H7">
        <v>-78.191188451199821</v>
      </c>
      <c r="I7">
        <v>38.088887832952899</v>
      </c>
      <c r="J7">
        <v>17.527622088834701</v>
      </c>
      <c r="K7">
        <v>7.5870699764956502</v>
      </c>
      <c r="L7">
        <v>1.0103325910409218E-3</v>
      </c>
      <c r="M7">
        <v>1.4945095749451383E-4</v>
      </c>
      <c r="N7" s="1">
        <v>5.32321019282553E-6</v>
      </c>
      <c r="O7" s="1">
        <v>8.1335605276283199E-7</v>
      </c>
      <c r="P7" s="1">
        <v>-3.3649381364857001E-6</v>
      </c>
    </row>
    <row r="8" spans="1:16" x14ac:dyDescent="0.2">
      <c r="A8">
        <v>7</v>
      </c>
      <c r="B8">
        <v>748</v>
      </c>
      <c r="C8">
        <v>300</v>
      </c>
      <c r="D8">
        <v>0.26895216177838999</v>
      </c>
      <c r="E8">
        <v>6.3466313557973502</v>
      </c>
      <c r="F8">
        <v>0.81574546195226805</v>
      </c>
      <c r="G8">
        <v>-124.49051694949668</v>
      </c>
      <c r="H8">
        <v>-84.570601332783014</v>
      </c>
      <c r="I8">
        <v>39.095348727590498</v>
      </c>
      <c r="J8">
        <v>18.122495470375299</v>
      </c>
      <c r="K8">
        <v>7.7801614006020801</v>
      </c>
      <c r="L8">
        <v>9.900178884869981E-4</v>
      </c>
      <c r="M8">
        <v>1.4580679357225436E-4</v>
      </c>
      <c r="N8" s="1">
        <v>5.4235662657471E-6</v>
      </c>
      <c r="O8" s="1">
        <v>8.1260227394688103E-7</v>
      </c>
      <c r="P8" s="1">
        <v>-3.3810282054434002E-6</v>
      </c>
    </row>
    <row r="9" spans="1:16" x14ac:dyDescent="0.2">
      <c r="A9">
        <v>8</v>
      </c>
      <c r="B9">
        <v>746</v>
      </c>
      <c r="C9">
        <v>300</v>
      </c>
      <c r="D9">
        <v>0.26738016974930101</v>
      </c>
      <c r="E9">
        <v>6.7891662591850404</v>
      </c>
      <c r="F9">
        <v>0.85173954586573597</v>
      </c>
      <c r="G9">
        <v>-131.74393656951429</v>
      </c>
      <c r="H9">
        <v>-90.889814538822876</v>
      </c>
      <c r="I9">
        <v>40.088736540714898</v>
      </c>
      <c r="J9">
        <v>18.711269831198099</v>
      </c>
      <c r="K9">
        <v>7.9709416947223</v>
      </c>
      <c r="L9">
        <v>9.7086022605120535E-4</v>
      </c>
      <c r="M9">
        <v>1.4235995442953066E-4</v>
      </c>
      <c r="N9" s="1">
        <v>5.5243894719618301E-6</v>
      </c>
      <c r="O9" s="1">
        <v>8.1171578496676103E-7</v>
      </c>
      <c r="P9" s="1">
        <v>-3.3966600989225001E-6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7.2273602590581998</v>
      </c>
      <c r="F10">
        <v>0.88576569675566597</v>
      </c>
      <c r="G10">
        <v>-138.92107660316884</v>
      </c>
      <c r="H10">
        <v>-97.149816662499063</v>
      </c>
      <c r="I10">
        <v>41.069250020611499</v>
      </c>
      <c r="J10">
        <v>19.2940379527918</v>
      </c>
      <c r="K10">
        <v>8.15944926014879</v>
      </c>
      <c r="L10">
        <v>9.5275871102036254E-4</v>
      </c>
      <c r="M10">
        <v>1.390934184550216E-4</v>
      </c>
      <c r="N10" s="1">
        <v>5.6256612068712702E-6</v>
      </c>
      <c r="O10" s="1">
        <v>8.1069926418077399E-7</v>
      </c>
      <c r="P10" s="1">
        <v>-3.41183588171087E-6</v>
      </c>
    </row>
    <row r="11" spans="1:16" x14ac:dyDescent="0.2">
      <c r="A11">
        <v>10</v>
      </c>
      <c r="B11">
        <v>742</v>
      </c>
      <c r="C11">
        <v>300</v>
      </c>
      <c r="D11">
        <v>0.264217603309855</v>
      </c>
      <c r="E11">
        <v>7.6612840261535604</v>
      </c>
      <c r="F11">
        <v>0.91798939851640804</v>
      </c>
      <c r="G11">
        <v>-146.0231792654312</v>
      </c>
      <c r="H11">
        <v>-103.35157534769809</v>
      </c>
      <c r="I11">
        <v>42.037083549936398</v>
      </c>
      <c r="J11">
        <v>19.8708905202419</v>
      </c>
      <c r="K11">
        <v>8.3457216810294295</v>
      </c>
      <c r="L11">
        <v>9.356237607222312E-4</v>
      </c>
      <c r="M11">
        <v>1.3599207404069071E-4</v>
      </c>
      <c r="N11" s="1">
        <v>5.7273626675365003E-6</v>
      </c>
      <c r="O11" s="1">
        <v>8.0955535444432605E-7</v>
      </c>
      <c r="P11" s="1">
        <v>-3.4265575942255001E-6</v>
      </c>
    </row>
    <row r="12" spans="1:16" x14ac:dyDescent="0.2">
      <c r="A12">
        <v>11</v>
      </c>
      <c r="B12">
        <v>740</v>
      </c>
      <c r="C12">
        <v>300</v>
      </c>
      <c r="D12">
        <v>0.26262695553471999</v>
      </c>
      <c r="E12">
        <v>8.0910067394956595</v>
      </c>
      <c r="F12">
        <v>0.94855808761931404</v>
      </c>
      <c r="G12">
        <v>-153.051460492991</v>
      </c>
      <c r="H12">
        <v>-109.49603782778425</v>
      </c>
      <c r="I12">
        <v>42.992427254562699</v>
      </c>
      <c r="J12">
        <v>20.441916174248298</v>
      </c>
      <c r="K12">
        <v>8.5297957448261492</v>
      </c>
      <c r="L12">
        <v>9.193755609231256E-4</v>
      </c>
      <c r="M12">
        <v>1.3304245921596215E-4</v>
      </c>
      <c r="N12" s="1">
        <v>5.8294748564361899E-6</v>
      </c>
      <c r="O12" s="1">
        <v>8.08286664005643E-7</v>
      </c>
      <c r="P12" s="1">
        <v>-3.4408272552761298E-6</v>
      </c>
    </row>
    <row r="13" spans="1:16" x14ac:dyDescent="0.2">
      <c r="A13">
        <v>12</v>
      </c>
      <c r="B13">
        <v>738</v>
      </c>
      <c r="C13">
        <v>300</v>
      </c>
      <c r="D13">
        <v>0.26103001532908299</v>
      </c>
      <c r="E13">
        <v>8.5165961278828899</v>
      </c>
      <c r="F13">
        <v>0.97760354824810103</v>
      </c>
      <c r="G13">
        <v>-160.00711067073266</v>
      </c>
      <c r="H13">
        <v>-115.58413149465187</v>
      </c>
      <c r="I13">
        <v>43.935467117170802</v>
      </c>
      <c r="J13">
        <v>21.007201566041999</v>
      </c>
      <c r="K13">
        <v>8.7117074637719103</v>
      </c>
      <c r="L13">
        <v>9.0394276958669344E-4</v>
      </c>
      <c r="M13">
        <v>1.3023254272407991E-4</v>
      </c>
      <c r="N13" s="1">
        <v>5.9319785857055402E-6</v>
      </c>
      <c r="O13" s="1">
        <v>8.0689576741230795E-7</v>
      </c>
      <c r="P13" s="1">
        <v>-3.4546468649575501E-6</v>
      </c>
    </row>
    <row r="14" spans="1:16" x14ac:dyDescent="0.2">
      <c r="A14">
        <v>13</v>
      </c>
      <c r="B14">
        <v>736</v>
      </c>
      <c r="C14">
        <v>300</v>
      </c>
      <c r="D14">
        <v>0.25942674528068399</v>
      </c>
      <c r="E14">
        <v>9.4257953535976498</v>
      </c>
      <c r="F14">
        <v>1.03353793324345</v>
      </c>
      <c r="G14">
        <v>-174.78559217539933</v>
      </c>
      <c r="H14">
        <v>-128.33968448282667</v>
      </c>
      <c r="I14">
        <v>46.027156743395601</v>
      </c>
      <c r="J14">
        <v>22.215580723340501</v>
      </c>
      <c r="K14">
        <v>9.1199316932834193</v>
      </c>
      <c r="L14">
        <v>8.7315833550180187E-4</v>
      </c>
      <c r="M14">
        <v>1.252175625047667E-4</v>
      </c>
      <c r="N14" s="1">
        <v>6.0717750062574E-6</v>
      </c>
      <c r="O14" s="1">
        <v>8.10766548203073E-7</v>
      </c>
      <c r="P14" s="1">
        <v>-3.49117316449109E-6</v>
      </c>
    </row>
    <row r="15" spans="1:16" x14ac:dyDescent="0.2">
      <c r="A15">
        <v>14</v>
      </c>
      <c r="B15">
        <v>734</v>
      </c>
      <c r="C15">
        <v>300</v>
      </c>
      <c r="D15">
        <v>0.25781710768008598</v>
      </c>
      <c r="E15">
        <v>72.112683629716201</v>
      </c>
      <c r="F15">
        <v>1.8487235973549401</v>
      </c>
      <c r="G15">
        <v>-1194.2077722680376</v>
      </c>
      <c r="H15">
        <v>-993.1674700251275</v>
      </c>
      <c r="I15">
        <v>199.61784047971301</v>
      </c>
      <c r="J15">
        <v>107.889834704287</v>
      </c>
      <c r="K15">
        <v>39.0067415880293</v>
      </c>
      <c r="L15">
        <v>4.2034790116974956E-4</v>
      </c>
      <c r="M15">
        <v>5.9193469308248852E-5</v>
      </c>
      <c r="N15" s="1">
        <v>1.1575896819640399E-5</v>
      </c>
      <c r="O15" s="1">
        <v>1.6131729260783699E-6</v>
      </c>
      <c r="P15" s="1">
        <v>-6.9832989459159403E-6</v>
      </c>
    </row>
    <row r="16" spans="1:16" x14ac:dyDescent="0.2">
      <c r="A16">
        <v>15</v>
      </c>
      <c r="B16">
        <v>732</v>
      </c>
      <c r="C16">
        <v>300</v>
      </c>
      <c r="D16">
        <v>0.256201064517732</v>
      </c>
      <c r="E16">
        <v>88.301791897394594</v>
      </c>
      <c r="F16">
        <v>1.8909185961575199</v>
      </c>
      <c r="G16">
        <v>-1457.092087726428</v>
      </c>
      <c r="H16">
        <v>-1216.7684046933191</v>
      </c>
      <c r="I16">
        <v>239.097761244504</v>
      </c>
      <c r="J16">
        <v>130.12583015078101</v>
      </c>
      <c r="K16">
        <v>46.697828281360202</v>
      </c>
      <c r="L16">
        <v>3.9758001722633486E-4</v>
      </c>
      <c r="M16">
        <v>5.5639150976900951E-5</v>
      </c>
      <c r="N16" s="1">
        <v>1.30751931641764E-5</v>
      </c>
      <c r="O16" s="1">
        <v>1.80958297582351E-6</v>
      </c>
      <c r="P16" s="1">
        <v>-7.8781051681557204E-6</v>
      </c>
    </row>
    <row r="17" spans="1:16" x14ac:dyDescent="0.2">
      <c r="A17">
        <v>16</v>
      </c>
      <c r="B17">
        <v>730</v>
      </c>
      <c r="C17">
        <v>300</v>
      </c>
      <c r="D17">
        <v>0.25457857748093798</v>
      </c>
      <c r="E17">
        <v>93.756580096639894</v>
      </c>
      <c r="F17">
        <v>1.90326103407173</v>
      </c>
      <c r="G17">
        <v>-1545.2824385467229</v>
      </c>
      <c r="H17">
        <v>-1292.3004876641587</v>
      </c>
      <c r="I17">
        <v>252.193184742554</v>
      </c>
      <c r="J17">
        <v>137.68152190278801</v>
      </c>
      <c r="K17">
        <v>49.261020121902099</v>
      </c>
      <c r="L17">
        <v>3.9132827425183297E-4</v>
      </c>
      <c r="M17">
        <v>5.4484571044628219E-5</v>
      </c>
      <c r="N17" s="1">
        <v>1.36406045047934E-5</v>
      </c>
      <c r="O17" s="1">
        <v>1.8655676156042099E-6</v>
      </c>
      <c r="P17" s="1">
        <v>-8.1683694087830993E-6</v>
      </c>
    </row>
    <row r="18" spans="1:16" x14ac:dyDescent="0.2">
      <c r="A18">
        <v>17</v>
      </c>
      <c r="B18">
        <v>728</v>
      </c>
      <c r="C18">
        <v>300</v>
      </c>
      <c r="D18">
        <v>0.25294960795086002</v>
      </c>
      <c r="E18">
        <v>96.669157162856806</v>
      </c>
      <c r="F18">
        <v>1.9101234856101701</v>
      </c>
      <c r="G18">
        <v>-1592.099874293732</v>
      </c>
      <c r="H18">
        <v>-1332.7751844476957</v>
      </c>
      <c r="I18">
        <v>259.03255686971602</v>
      </c>
      <c r="J18">
        <v>141.76317021880399</v>
      </c>
      <c r="K18">
        <v>50.608852197833897</v>
      </c>
      <c r="L18">
        <v>3.8810539260891139E-4</v>
      </c>
      <c r="M18">
        <v>5.3771239758464036E-5</v>
      </c>
      <c r="N18" s="1">
        <v>1.3980602929022399E-5</v>
      </c>
      <c r="O18" s="1">
        <v>1.88813736694802E-6</v>
      </c>
      <c r="P18" s="1">
        <v>-8.31465162156538E-6</v>
      </c>
    </row>
    <row r="19" spans="1:16" x14ac:dyDescent="0.2">
      <c r="A19">
        <v>18</v>
      </c>
      <c r="B19">
        <v>726</v>
      </c>
      <c r="C19">
        <v>300</v>
      </c>
      <c r="D19">
        <v>0.251314116999449</v>
      </c>
      <c r="E19">
        <v>98.533337292821997</v>
      </c>
      <c r="F19">
        <v>1.9149245854488499</v>
      </c>
      <c r="G19">
        <v>-1621.8549571706444</v>
      </c>
      <c r="H19">
        <v>-1358.7937156813373</v>
      </c>
      <c r="I19">
        <v>263.29086460042799</v>
      </c>
      <c r="J19">
        <v>144.41603214311399</v>
      </c>
      <c r="K19">
        <v>51.455466205592501</v>
      </c>
      <c r="L19">
        <v>3.8601954942209948E-4</v>
      </c>
      <c r="M19">
        <v>5.322418505691561E-5</v>
      </c>
      <c r="N19" s="1">
        <v>1.42246468922374E-5</v>
      </c>
      <c r="O19" s="1">
        <v>1.89691830904458E-6</v>
      </c>
      <c r="P19" s="1">
        <v>-8.4013332271781893E-6</v>
      </c>
    </row>
    <row r="20" spans="1:16" x14ac:dyDescent="0.2">
      <c r="A20">
        <v>19</v>
      </c>
      <c r="B20">
        <v>724</v>
      </c>
      <c r="C20">
        <v>300</v>
      </c>
      <c r="D20">
        <v>0.249672065386352</v>
      </c>
      <c r="E20">
        <v>99.852538115559597</v>
      </c>
      <c r="F20">
        <v>1.9187073761817599</v>
      </c>
      <c r="G20">
        <v>-1642.740771354861</v>
      </c>
      <c r="H20">
        <v>-1377.2984350516072</v>
      </c>
      <c r="I20">
        <v>266.20690214736999</v>
      </c>
      <c r="J20">
        <v>146.32962483170101</v>
      </c>
      <c r="K20">
        <v>52.041566814772203</v>
      </c>
      <c r="L20">
        <v>3.8449369021313574E-4</v>
      </c>
      <c r="M20">
        <v>5.2759470340963016E-5</v>
      </c>
      <c r="N20" s="1">
        <v>1.4416410035335399E-5</v>
      </c>
      <c r="O20" s="1">
        <v>1.89853405315006E-6</v>
      </c>
      <c r="P20" s="1">
        <v>-8.4568664652689305E-6</v>
      </c>
    </row>
    <row r="21" spans="1:16" x14ac:dyDescent="0.2">
      <c r="A21">
        <v>20</v>
      </c>
      <c r="B21">
        <v>760</v>
      </c>
      <c r="C21">
        <v>290</v>
      </c>
      <c r="D21">
        <v>0.28890335382083798</v>
      </c>
      <c r="E21">
        <v>4.0474470312628901</v>
      </c>
      <c r="F21">
        <v>0.56761529585283999</v>
      </c>
      <c r="G21">
        <v>-87.702884924735102</v>
      </c>
      <c r="H21">
        <v>-51.499819363040167</v>
      </c>
      <c r="I21">
        <v>35.043683646544899</v>
      </c>
      <c r="J21">
        <v>15.5223685025425</v>
      </c>
      <c r="K21">
        <v>7.1306165651889604</v>
      </c>
      <c r="L21">
        <v>1.147070597194894E-3</v>
      </c>
      <c r="M21">
        <v>1.7854376448937055E-4</v>
      </c>
      <c r="N21" s="1">
        <v>5.2659535012349202E-6</v>
      </c>
      <c r="O21" s="1">
        <v>9.6361006125725994E-7</v>
      </c>
      <c r="P21" s="1">
        <v>-3.7448998000385701E-6</v>
      </c>
    </row>
    <row r="22" spans="1:16" x14ac:dyDescent="0.2">
      <c r="A22">
        <v>21</v>
      </c>
      <c r="B22">
        <v>758</v>
      </c>
      <c r="C22">
        <v>290</v>
      </c>
      <c r="D22">
        <v>0.28738835280996899</v>
      </c>
      <c r="E22">
        <v>4.22090993682027</v>
      </c>
      <c r="F22">
        <v>0.58646037710156196</v>
      </c>
      <c r="G22">
        <v>-90.518795618677217</v>
      </c>
      <c r="H22">
        <v>-53.989666890583123</v>
      </c>
      <c r="I22">
        <v>35.427872898975998</v>
      </c>
      <c r="J22">
        <v>15.7647591529882</v>
      </c>
      <c r="K22">
        <v>7.1972636202314098</v>
      </c>
      <c r="L22">
        <v>1.1380199445523782E-3</v>
      </c>
      <c r="M22">
        <v>1.7633314442287148E-4</v>
      </c>
      <c r="N22" s="1">
        <v>5.35468070280675E-6</v>
      </c>
      <c r="O22" s="1">
        <v>9.5954673152209701E-7</v>
      </c>
      <c r="P22" s="1">
        <v>-3.75074333537648E-6</v>
      </c>
    </row>
    <row r="23" spans="1:16" x14ac:dyDescent="0.2">
      <c r="A23">
        <v>22</v>
      </c>
      <c r="B23">
        <v>756</v>
      </c>
      <c r="C23">
        <v>290</v>
      </c>
      <c r="D23">
        <v>0.28586746344070502</v>
      </c>
      <c r="E23">
        <v>4.6811888695906303</v>
      </c>
      <c r="F23">
        <v>0.63286400306586599</v>
      </c>
      <c r="G23">
        <v>-98.087256782206808</v>
      </c>
      <c r="H23">
        <v>-60.551462519002982</v>
      </c>
      <c r="I23">
        <v>36.4748884124648</v>
      </c>
      <c r="J23">
        <v>16.3793659440536</v>
      </c>
      <c r="K23">
        <v>7.39683225292152</v>
      </c>
      <c r="L23">
        <v>1.1128741500399065E-3</v>
      </c>
      <c r="M23">
        <v>1.7167273714166766E-4</v>
      </c>
      <c r="N23" s="1">
        <v>5.4638685190730601E-6</v>
      </c>
      <c r="O23" s="1">
        <v>9.5894181070066109E-7</v>
      </c>
      <c r="P23" s="1">
        <v>-3.7701535405872801E-6</v>
      </c>
    </row>
    <row r="24" spans="1:16" x14ac:dyDescent="0.2">
      <c r="A24">
        <v>23</v>
      </c>
      <c r="B24">
        <v>754</v>
      </c>
      <c r="C24">
        <v>290</v>
      </c>
      <c r="D24">
        <v>0.28434065131675001</v>
      </c>
      <c r="E24">
        <v>5.1368340136773103</v>
      </c>
      <c r="F24">
        <v>0.67643596927828298</v>
      </c>
      <c r="G24">
        <v>-105.5742993420063</v>
      </c>
      <c r="H24">
        <v>-67.050019727196656</v>
      </c>
      <c r="I24">
        <v>37.508281474950003</v>
      </c>
      <c r="J24">
        <v>16.987623141690701</v>
      </c>
      <c r="K24">
        <v>7.5939693437029998</v>
      </c>
      <c r="L24">
        <v>1.0892773694176434E-3</v>
      </c>
      <c r="M24">
        <v>1.6728640020505131E-4</v>
      </c>
      <c r="N24" s="1">
        <v>5.5737109287648897E-6</v>
      </c>
      <c r="O24" s="1">
        <v>9.5817765519059802E-7</v>
      </c>
      <c r="P24" s="1">
        <v>-3.7890613695128799E-6</v>
      </c>
    </row>
    <row r="25" spans="1:16" x14ac:dyDescent="0.2">
      <c r="A25">
        <v>24</v>
      </c>
      <c r="B25">
        <v>752</v>
      </c>
      <c r="C25">
        <v>290</v>
      </c>
      <c r="D25">
        <v>0.28280788177339999</v>
      </c>
      <c r="E25">
        <v>5.5879219235181097</v>
      </c>
      <c r="F25">
        <v>0.71743814559272001</v>
      </c>
      <c r="G25">
        <v>-112.98127015240746</v>
      </c>
      <c r="H25">
        <v>-73.486386642513807</v>
      </c>
      <c r="I25">
        <v>38.528263757906402</v>
      </c>
      <c r="J25">
        <v>17.589629468991198</v>
      </c>
      <c r="K25">
        <v>7.7887159441481604</v>
      </c>
      <c r="L25">
        <v>1.0670854237964991E-3</v>
      </c>
      <c r="M25">
        <v>1.6314883278403897E-4</v>
      </c>
      <c r="N25" s="1">
        <v>5.6841876287857096E-6</v>
      </c>
      <c r="O25" s="1">
        <v>9.5725734815272703E-7</v>
      </c>
      <c r="P25" s="1">
        <v>-3.8074686148412302E-6</v>
      </c>
    </row>
    <row r="26" spans="1:16" x14ac:dyDescent="0.2">
      <c r="A26">
        <v>25</v>
      </c>
      <c r="B26">
        <v>750</v>
      </c>
      <c r="C26">
        <v>290</v>
      </c>
      <c r="D26">
        <v>0.281269119874895</v>
      </c>
      <c r="E26">
        <v>6.0345274936867801</v>
      </c>
      <c r="F26">
        <v>0.75610107030658802</v>
      </c>
      <c r="G26">
        <v>-120.30948685368642</v>
      </c>
      <c r="H26">
        <v>-79.861588666679765</v>
      </c>
      <c r="I26">
        <v>39.535042246180303</v>
      </c>
      <c r="J26">
        <v>18.185481395881201</v>
      </c>
      <c r="K26">
        <v>7.9811122225231896</v>
      </c>
      <c r="L26">
        <v>1.046171382003198E-3</v>
      </c>
      <c r="M26">
        <v>1.5923776310660962E-4</v>
      </c>
      <c r="N26" s="1">
        <v>5.7952780486562797E-6</v>
      </c>
      <c r="O26" s="1">
        <v>9.5618393332216591E-7</v>
      </c>
      <c r="P26" s="1">
        <v>-3.8253770412447899E-6</v>
      </c>
    </row>
    <row r="27" spans="1:16" x14ac:dyDescent="0.2">
      <c r="A27">
        <v>26</v>
      </c>
      <c r="B27">
        <v>748</v>
      </c>
      <c r="C27">
        <v>290</v>
      </c>
      <c r="D27">
        <v>0.27972433041179201</v>
      </c>
      <c r="E27">
        <v>6.4767240063716898</v>
      </c>
      <c r="F27">
        <v>0.79262849972528804</v>
      </c>
      <c r="G27">
        <v>-127.5602387041618</v>
      </c>
      <c r="H27">
        <v>-86.176629127161902</v>
      </c>
      <c r="I27">
        <v>40.528819369083898</v>
      </c>
      <c r="J27">
        <v>18.7752732025636</v>
      </c>
      <c r="K27">
        <v>8.1711974886298098</v>
      </c>
      <c r="L27">
        <v>1.0264230562954018E-3</v>
      </c>
      <c r="M27">
        <v>1.5553350862587391E-4</v>
      </c>
      <c r="N27" s="1">
        <v>5.9069613558472998E-6</v>
      </c>
      <c r="O27" s="1">
        <v>9.5496041623379607E-7</v>
      </c>
      <c r="P27" s="1">
        <v>-3.8427883893893904E-6</v>
      </c>
    </row>
    <row r="28" spans="1:16" x14ac:dyDescent="0.2">
      <c r="A28">
        <v>27</v>
      </c>
      <c r="B28">
        <v>746</v>
      </c>
      <c r="C28">
        <v>290</v>
      </c>
      <c r="D28">
        <v>0.27817347789824898</v>
      </c>
      <c r="E28">
        <v>6.9145831743177402</v>
      </c>
      <c r="F28">
        <v>0.82720118714302904</v>
      </c>
      <c r="G28">
        <v>-134.73478733531124</v>
      </c>
      <c r="H28">
        <v>-92.432489864962633</v>
      </c>
      <c r="I28">
        <v>41.509793119877003</v>
      </c>
      <c r="J28">
        <v>19.3590970368619</v>
      </c>
      <c r="K28">
        <v>8.3590102163648901</v>
      </c>
      <c r="L28">
        <v>1.0077409222512513E-3</v>
      </c>
      <c r="M28">
        <v>1.5201861068240747E-4</v>
      </c>
      <c r="N28" s="1">
        <v>6.0192164610626502E-6</v>
      </c>
      <c r="O28" s="1">
        <v>9.5358976534191798E-7</v>
      </c>
      <c r="P28" s="1">
        <v>-3.8597043796370403E-6</v>
      </c>
    </row>
    <row r="29" spans="1:16" x14ac:dyDescent="0.2">
      <c r="A29">
        <v>28</v>
      </c>
      <c r="B29">
        <v>744</v>
      </c>
      <c r="C29">
        <v>290</v>
      </c>
      <c r="D29">
        <v>0.27661652656933799</v>
      </c>
      <c r="E29">
        <v>7.3481751842671104</v>
      </c>
      <c r="F29">
        <v>0.85998003966543202</v>
      </c>
      <c r="G29">
        <v>-141.83436751363868</v>
      </c>
      <c r="H29">
        <v>-98.630131830229729</v>
      </c>
      <c r="I29">
        <v>42.478157175609702</v>
      </c>
      <c r="J29">
        <v>19.937042972117499</v>
      </c>
      <c r="K29">
        <v>8.5445880663995997</v>
      </c>
      <c r="L29">
        <v>9.90036381117401E-4</v>
      </c>
      <c r="M29">
        <v>1.4867752931493867E-4</v>
      </c>
      <c r="N29" s="1">
        <v>6.1320220238735297E-6</v>
      </c>
      <c r="O29" s="1">
        <v>9.5207491310480604E-7</v>
      </c>
      <c r="P29" s="1">
        <v>-3.8761267157164396E-6</v>
      </c>
    </row>
    <row r="30" spans="1:16" x14ac:dyDescent="0.2">
      <c r="A30">
        <v>29</v>
      </c>
      <c r="B30">
        <v>742</v>
      </c>
      <c r="C30">
        <v>290</v>
      </c>
      <c r="D30">
        <v>0.27505344037826801</v>
      </c>
      <c r="E30">
        <v>7.7775687365003803</v>
      </c>
      <c r="F30">
        <v>0.89110876888513102</v>
      </c>
      <c r="G30">
        <v>-148.86018783684716</v>
      </c>
      <c r="H30">
        <v>-104.77049562309431</v>
      </c>
      <c r="I30">
        <v>43.434101007622402</v>
      </c>
      <c r="J30">
        <v>20.5091990601031</v>
      </c>
      <c r="K30">
        <v>8.7279679070276792</v>
      </c>
      <c r="L30">
        <v>9.7323030077087604E-4</v>
      </c>
      <c r="M30">
        <v>1.4549638700112007E-4</v>
      </c>
      <c r="N30" s="1">
        <v>6.2453564584686597E-6</v>
      </c>
      <c r="O30" s="1">
        <v>9.50418756999022E-7</v>
      </c>
      <c r="P30" s="1">
        <v>-3.8920570882140399E-6</v>
      </c>
    </row>
    <row r="31" spans="1:16" x14ac:dyDescent="0.2">
      <c r="A31">
        <v>30</v>
      </c>
      <c r="B31">
        <v>740</v>
      </c>
      <c r="C31">
        <v>290</v>
      </c>
      <c r="D31">
        <v>0.27348418299363703</v>
      </c>
      <c r="E31">
        <v>8.2028310863865208</v>
      </c>
      <c r="F31">
        <v>0.920716128012671</v>
      </c>
      <c r="G31">
        <v>-155.81343146128395</v>
      </c>
      <c r="H31">
        <v>-110.85450206389713</v>
      </c>
      <c r="I31">
        <v>44.377809995214001</v>
      </c>
      <c r="J31">
        <v>21.075651386167898</v>
      </c>
      <c r="K31">
        <v>8.9091858356950908</v>
      </c>
      <c r="L31">
        <v>9.5725178430524705E-4</v>
      </c>
      <c r="M31">
        <v>1.4246275238001351E-4</v>
      </c>
      <c r="N31" s="1">
        <v>6.3591979396882603E-6</v>
      </c>
      <c r="O31" s="1">
        <v>9.4862416049490905E-7</v>
      </c>
      <c r="P31" s="1">
        <v>-3.9074971780058699E-6</v>
      </c>
    </row>
    <row r="32" spans="1:16" x14ac:dyDescent="0.2">
      <c r="A32">
        <v>31</v>
      </c>
      <c r="B32">
        <v>738</v>
      </c>
      <c r="C32">
        <v>290</v>
      </c>
      <c r="D32">
        <v>0.27190871779657</v>
      </c>
      <c r="E32">
        <v>8.6240280818739592</v>
      </c>
      <c r="F32">
        <v>0.94891780842470197</v>
      </c>
      <c r="G32">
        <v>-162.69525676195678</v>
      </c>
      <c r="H32">
        <v>-116.88305270609597</v>
      </c>
      <c r="I32">
        <v>45.309465530660901</v>
      </c>
      <c r="J32">
        <v>21.636484119609801</v>
      </c>
      <c r="K32">
        <v>9.0882771988342199</v>
      </c>
      <c r="L32">
        <v>9.4203712609777085E-4</v>
      </c>
      <c r="M32">
        <v>1.395654568983575E-4</v>
      </c>
      <c r="N32" s="1">
        <v>6.4735244093547898E-6</v>
      </c>
      <c r="O32" s="1">
        <v>9.4669395399595104E-7</v>
      </c>
      <c r="P32" s="1">
        <v>-3.9224486596377196E-6</v>
      </c>
    </row>
    <row r="33" spans="1:16" x14ac:dyDescent="0.2">
      <c r="A33">
        <v>32</v>
      </c>
      <c r="B33">
        <v>736</v>
      </c>
      <c r="C33">
        <v>290</v>
      </c>
      <c r="D33">
        <v>0.27032700787792002</v>
      </c>
      <c r="E33">
        <v>61.726596787380799</v>
      </c>
      <c r="F33">
        <v>1.79367209766838</v>
      </c>
      <c r="G33">
        <v>-1026.5184778007706</v>
      </c>
      <c r="H33">
        <v>-849.85531635709174</v>
      </c>
      <c r="I33">
        <v>175.065763874852</v>
      </c>
      <c r="J33">
        <v>93.989812145574206</v>
      </c>
      <c r="K33">
        <v>34.413534596217403</v>
      </c>
      <c r="L33">
        <v>4.6069442955168853E-4</v>
      </c>
      <c r="M33">
        <v>6.7119345196036366E-5</v>
      </c>
      <c r="N33" s="1">
        <v>1.12794236893716E-5</v>
      </c>
      <c r="O33" s="1">
        <v>1.7000909927226201E-6</v>
      </c>
      <c r="P33" s="1">
        <v>-7.0829777111534603E-6</v>
      </c>
    </row>
    <row r="34" spans="1:16" x14ac:dyDescent="0.2">
      <c r="A34">
        <v>33</v>
      </c>
      <c r="B34">
        <v>734</v>
      </c>
      <c r="C34">
        <v>290</v>
      </c>
      <c r="D34">
        <v>0.268739016035347</v>
      </c>
      <c r="E34">
        <v>85.893317078466097</v>
      </c>
      <c r="F34">
        <v>1.87081554209542</v>
      </c>
      <c r="G34">
        <v>-1419.1214943367875</v>
      </c>
      <c r="H34">
        <v>-1183.4994197367371</v>
      </c>
      <c r="I34">
        <v>233.95466365788599</v>
      </c>
      <c r="J34">
        <v>127.02110286396901</v>
      </c>
      <c r="K34">
        <v>45.912231936164297</v>
      </c>
      <c r="L34">
        <v>4.1750158726411009E-4</v>
      </c>
      <c r="M34">
        <v>6.0384628604922479E-5</v>
      </c>
      <c r="N34" s="1">
        <v>1.35476558838922E-5</v>
      </c>
      <c r="O34" s="1">
        <v>2.0323846982610098E-6</v>
      </c>
      <c r="P34" s="1">
        <v>-8.51641915915483E-6</v>
      </c>
    </row>
    <row r="35" spans="1:16" x14ac:dyDescent="0.2">
      <c r="A35">
        <v>34</v>
      </c>
      <c r="B35">
        <v>732</v>
      </c>
      <c r="C35">
        <v>290</v>
      </c>
      <c r="D35">
        <v>0.267144704770434</v>
      </c>
      <c r="E35">
        <v>92.627412557664996</v>
      </c>
      <c r="F35">
        <v>1.88714365452752</v>
      </c>
      <c r="G35">
        <v>-1528.1146620633936</v>
      </c>
      <c r="H35">
        <v>-1276.6972335256382</v>
      </c>
      <c r="I35">
        <v>250.13485214232401</v>
      </c>
      <c r="J35">
        <v>136.28916611247701</v>
      </c>
      <c r="K35">
        <v>49.083392425074997</v>
      </c>
      <c r="L35">
        <v>4.0885277456914734E-4</v>
      </c>
      <c r="M35">
        <v>5.8820657849152711E-5</v>
      </c>
      <c r="N35" s="1">
        <v>1.42629727754601E-5</v>
      </c>
      <c r="O35" s="1">
        <v>2.1122413611061301E-6</v>
      </c>
      <c r="P35" s="1">
        <v>-8.9028455609785998E-6</v>
      </c>
    </row>
    <row r="36" spans="1:16" x14ac:dyDescent="0.2">
      <c r="A36">
        <v>35</v>
      </c>
      <c r="B36">
        <v>730</v>
      </c>
      <c r="C36">
        <v>290</v>
      </c>
      <c r="D36">
        <v>0.265544036285703</v>
      </c>
      <c r="E36">
        <v>95.974335976752201</v>
      </c>
      <c r="F36">
        <v>1.8953730173554899</v>
      </c>
      <c r="G36">
        <v>-1581.9919920088266</v>
      </c>
      <c r="H36">
        <v>-1323.1727074959665</v>
      </c>
      <c r="I36">
        <v>258.012289265628</v>
      </c>
      <c r="J36">
        <v>140.943389710356</v>
      </c>
      <c r="K36">
        <v>50.636120224323697</v>
      </c>
      <c r="L36">
        <v>4.0480058327752949E-4</v>
      </c>
      <c r="M36">
        <v>5.7946206500152119E-5</v>
      </c>
      <c r="N36" s="1">
        <v>1.46729647910706E-5</v>
      </c>
      <c r="O36" s="1">
        <v>2.1429655420014901E-6</v>
      </c>
      <c r="P36" s="1">
        <v>-9.0853253613866808E-6</v>
      </c>
    </row>
    <row r="37" spans="1:16" x14ac:dyDescent="0.2">
      <c r="A37">
        <v>36</v>
      </c>
      <c r="B37">
        <v>728</v>
      </c>
      <c r="C37">
        <v>290</v>
      </c>
      <c r="D37">
        <v>0.26393697248164799</v>
      </c>
      <c r="E37">
        <v>98.043720873962499</v>
      </c>
      <c r="F37">
        <v>1.90086743382836</v>
      </c>
      <c r="G37">
        <v>-1615.0808386000292</v>
      </c>
      <c r="H37">
        <v>-1352.0275363577227</v>
      </c>
      <c r="I37">
        <v>262.75695239412403</v>
      </c>
      <c r="J37">
        <v>143.86129551947599</v>
      </c>
      <c r="K37">
        <v>51.578410534658602</v>
      </c>
      <c r="L37">
        <v>4.0229752872437697E-4</v>
      </c>
      <c r="M37">
        <v>5.730493613260851E-5</v>
      </c>
      <c r="N37" s="1">
        <v>1.4964699946405301E-5</v>
      </c>
      <c r="O37" s="1">
        <v>2.1551414064735901E-6</v>
      </c>
      <c r="P37" s="1">
        <v>-9.1906105041188994E-6</v>
      </c>
    </row>
    <row r="38" spans="1:16" x14ac:dyDescent="0.2">
      <c r="A38">
        <v>37</v>
      </c>
      <c r="B38">
        <v>726</v>
      </c>
      <c r="C38">
        <v>290</v>
      </c>
      <c r="D38">
        <v>0.26232347495371</v>
      </c>
      <c r="E38">
        <v>99.478535400895694</v>
      </c>
      <c r="F38">
        <v>1.9050795429151699</v>
      </c>
      <c r="G38">
        <v>-1637.8438707926359</v>
      </c>
      <c r="H38">
        <v>-1372.1308765321537</v>
      </c>
      <c r="I38">
        <v>265.94492136216797</v>
      </c>
      <c r="J38">
        <v>145.92016103051299</v>
      </c>
      <c r="K38">
        <v>52.217523289695599</v>
      </c>
      <c r="L38">
        <v>4.0051845544000075E-4</v>
      </c>
      <c r="M38">
        <v>5.6773199620670932E-5</v>
      </c>
      <c r="N38" s="1">
        <v>1.51951064571153E-5</v>
      </c>
      <c r="O38" s="1">
        <v>2.1581033693201598E-6</v>
      </c>
      <c r="P38" s="1">
        <v>-9.2573499164844305E-6</v>
      </c>
    </row>
    <row r="39" spans="1:16" x14ac:dyDescent="0.2">
      <c r="A39">
        <v>38</v>
      </c>
      <c r="B39">
        <v>724</v>
      </c>
      <c r="C39">
        <v>290</v>
      </c>
      <c r="D39">
        <v>0.26070350498922301</v>
      </c>
      <c r="E39">
        <v>100.546469094602</v>
      </c>
      <c r="F39">
        <v>1.9085767369825699</v>
      </c>
      <c r="G39">
        <v>-1654.6371668477818</v>
      </c>
      <c r="H39">
        <v>-1387.1751000778011</v>
      </c>
      <c r="I39">
        <v>268.23244261376499</v>
      </c>
      <c r="J39">
        <v>147.48539851636301</v>
      </c>
      <c r="K39">
        <v>52.681386682708997</v>
      </c>
      <c r="L39">
        <v>3.9914119903669201E-4</v>
      </c>
      <c r="M39">
        <v>5.6302685067021378E-5</v>
      </c>
      <c r="N39" s="1">
        <v>1.5387922099476199E-5</v>
      </c>
      <c r="O39" s="1">
        <v>2.1557415444239602E-6</v>
      </c>
      <c r="P39" s="1">
        <v>-9.3016334541904194E-6</v>
      </c>
    </row>
    <row r="40" spans="1:16" x14ac:dyDescent="0.2">
      <c r="A40">
        <v>39</v>
      </c>
      <c r="B40">
        <v>760</v>
      </c>
      <c r="C40">
        <v>280</v>
      </c>
      <c r="D40">
        <v>0.29955040410395301</v>
      </c>
      <c r="E40">
        <v>4.2129195305317904</v>
      </c>
      <c r="F40">
        <v>0.55727281173612397</v>
      </c>
      <c r="G40">
        <v>-91.363358847943658</v>
      </c>
      <c r="H40">
        <v>-53.59016252823335</v>
      </c>
      <c r="I40">
        <v>36.563526313670401</v>
      </c>
      <c r="J40">
        <v>16.214692362856599</v>
      </c>
      <c r="K40">
        <v>7.5598870818888297</v>
      </c>
      <c r="L40">
        <v>1.1801103374306891E-3</v>
      </c>
      <c r="M40">
        <v>1.8942560748166481E-4</v>
      </c>
      <c r="N40" s="1">
        <v>5.69052221468314E-6</v>
      </c>
      <c r="O40" s="1">
        <v>1.1379542548869299E-6</v>
      </c>
      <c r="P40" s="1">
        <v>-4.2652633802727499E-6</v>
      </c>
    </row>
    <row r="41" spans="1:16" x14ac:dyDescent="0.2">
      <c r="A41">
        <v>40</v>
      </c>
      <c r="B41">
        <v>758</v>
      </c>
      <c r="C41">
        <v>280</v>
      </c>
      <c r="D41">
        <v>0.29805605392037998</v>
      </c>
      <c r="E41">
        <v>4.3765028507488601</v>
      </c>
      <c r="F41">
        <v>0.57428269762772699</v>
      </c>
      <c r="G41">
        <v>-94.013229332465556</v>
      </c>
      <c r="H41">
        <v>-55.941753157863303</v>
      </c>
      <c r="I41">
        <v>36.923719137113999</v>
      </c>
      <c r="J41">
        <v>16.4456421672594</v>
      </c>
      <c r="K41">
        <v>7.6208161395555001</v>
      </c>
      <c r="L41">
        <v>1.1720426224899798E-3</v>
      </c>
      <c r="M41">
        <v>1.8726094739693008E-4</v>
      </c>
      <c r="N41" s="1">
        <v>5.7908359426400196E-6</v>
      </c>
      <c r="O41" s="1">
        <v>1.1329154049698201E-6</v>
      </c>
      <c r="P41" s="1">
        <v>-4.2715776599921698E-6</v>
      </c>
    </row>
    <row r="42" spans="1:16" x14ac:dyDescent="0.2">
      <c r="A42">
        <v>41</v>
      </c>
      <c r="B42">
        <v>756</v>
      </c>
      <c r="C42">
        <v>280</v>
      </c>
      <c r="D42">
        <v>0.29655589564203599</v>
      </c>
      <c r="E42">
        <v>4.8315958682353699</v>
      </c>
      <c r="F42">
        <v>0.61808661659073005</v>
      </c>
      <c r="G42">
        <v>-101.49364353418891</v>
      </c>
      <c r="H42">
        <v>-62.433258886769551</v>
      </c>
      <c r="I42">
        <v>37.956387221987796</v>
      </c>
      <c r="J42">
        <v>17.0544835636192</v>
      </c>
      <c r="K42">
        <v>7.8170206869802499</v>
      </c>
      <c r="L42">
        <v>1.1479541304528554E-3</v>
      </c>
      <c r="M42">
        <v>1.8258000590547202E-4</v>
      </c>
      <c r="N42" s="1">
        <v>5.9125020821644297E-6</v>
      </c>
      <c r="O42" s="1">
        <v>1.13180163618624E-6</v>
      </c>
      <c r="P42" s="1">
        <v>-4.2927374585566901E-6</v>
      </c>
    </row>
    <row r="43" spans="1:16" x14ac:dyDescent="0.2">
      <c r="A43">
        <v>42</v>
      </c>
      <c r="B43">
        <v>754</v>
      </c>
      <c r="C43">
        <v>280</v>
      </c>
      <c r="D43">
        <v>0.29504989534147702</v>
      </c>
      <c r="E43">
        <v>5.2821425786010598</v>
      </c>
      <c r="F43">
        <v>0.65937469971271601</v>
      </c>
      <c r="G43">
        <v>-108.89418209840798</v>
      </c>
      <c r="H43">
        <v>-68.862709549745603</v>
      </c>
      <c r="I43">
        <v>38.975727098493998</v>
      </c>
      <c r="J43">
        <v>17.657120414321199</v>
      </c>
      <c r="K43">
        <v>8.0108359949243493</v>
      </c>
      <c r="L43">
        <v>1.125263284876973E-3</v>
      </c>
      <c r="M43">
        <v>1.7815715861668966E-4</v>
      </c>
      <c r="N43" s="1">
        <v>6.0349655625539299E-6</v>
      </c>
      <c r="O43" s="1">
        <v>1.1305103080603099E-6</v>
      </c>
      <c r="P43" s="1">
        <v>-4.3133544038538202E-6</v>
      </c>
    </row>
    <row r="44" spans="1:16" x14ac:dyDescent="0.2">
      <c r="A44">
        <v>43</v>
      </c>
      <c r="B44">
        <v>752</v>
      </c>
      <c r="C44">
        <v>280</v>
      </c>
      <c r="D44">
        <v>0.29353801882651298</v>
      </c>
      <c r="E44">
        <v>5.72821728941007</v>
      </c>
      <c r="F44">
        <v>0.69836700977213495</v>
      </c>
      <c r="G44">
        <v>-116.21615322867756</v>
      </c>
      <c r="H44">
        <v>-75.231122509475512</v>
      </c>
      <c r="I44">
        <v>39.981944467536302</v>
      </c>
      <c r="J44">
        <v>18.2536482772102</v>
      </c>
      <c r="K44">
        <v>8.2023022411655404</v>
      </c>
      <c r="L44">
        <v>1.1038468543015884E-3</v>
      </c>
      <c r="M44">
        <v>1.7396987031821878E-4</v>
      </c>
      <c r="N44" s="1">
        <v>6.1582030663910299E-6</v>
      </c>
      <c r="O44" s="1">
        <v>1.1290447774508001E-6</v>
      </c>
      <c r="P44" s="1">
        <v>-4.3334296992055598E-6</v>
      </c>
    </row>
    <row r="45" spans="1:16" x14ac:dyDescent="0.2">
      <c r="A45">
        <v>44</v>
      </c>
      <c r="B45">
        <v>750</v>
      </c>
      <c r="C45">
        <v>280</v>
      </c>
      <c r="D45">
        <v>0.292020231637589</v>
      </c>
      <c r="E45">
        <v>6.1698927075770396</v>
      </c>
      <c r="F45">
        <v>0.73525865893533404</v>
      </c>
      <c r="G45">
        <v>-123.4608369595947</v>
      </c>
      <c r="H45">
        <v>-81.539493206756447</v>
      </c>
      <c r="I45">
        <v>40.975240532609703</v>
      </c>
      <c r="J45">
        <v>18.844160546435401</v>
      </c>
      <c r="K45">
        <v>8.3914587507356195</v>
      </c>
      <c r="L45">
        <v>1.0835955762241961E-3</v>
      </c>
      <c r="M45">
        <v>1.6999816292375135E-4</v>
      </c>
      <c r="N45" s="1">
        <v>6.2821909274543701E-6</v>
      </c>
      <c r="O45" s="1">
        <v>1.12740836298833E-6</v>
      </c>
      <c r="P45" s="1">
        <v>-4.3529645297301103E-6</v>
      </c>
    </row>
    <row r="46" spans="1:16" x14ac:dyDescent="0.2">
      <c r="A46">
        <v>45</v>
      </c>
      <c r="B46">
        <v>748</v>
      </c>
      <c r="C46">
        <v>280</v>
      </c>
      <c r="D46">
        <v>0.29049649904519698</v>
      </c>
      <c r="E46">
        <v>6.6072399800664599</v>
      </c>
      <c r="F46">
        <v>0.770223246619271</v>
      </c>
      <c r="G46">
        <v>-130.62948587602116</v>
      </c>
      <c r="H46">
        <v>-87.788795716337873</v>
      </c>
      <c r="I46">
        <v>41.9558121157595</v>
      </c>
      <c r="J46">
        <v>19.428748507728901</v>
      </c>
      <c r="K46">
        <v>8.5783440178772992</v>
      </c>
      <c r="L46">
        <v>1.0644122326186553E-3</v>
      </c>
      <c r="M46">
        <v>1.6622426314178218E-4</v>
      </c>
      <c r="N46" s="1">
        <v>6.4069051377393504E-6</v>
      </c>
      <c r="O46" s="1">
        <v>1.1256043463604201E-6</v>
      </c>
      <c r="P46" s="1">
        <v>-4.3719600669739299E-6</v>
      </c>
    </row>
    <row r="47" spans="1:16" x14ac:dyDescent="0.2">
      <c r="A47">
        <v>46</v>
      </c>
      <c r="B47">
        <v>746</v>
      </c>
      <c r="C47">
        <v>280</v>
      </c>
      <c r="D47">
        <v>0.288966786047197</v>
      </c>
      <c r="E47">
        <v>7.0403287385302704</v>
      </c>
      <c r="F47">
        <v>0.80341574457773002</v>
      </c>
      <c r="G47">
        <v>-137.72332589420057</v>
      </c>
      <c r="H47">
        <v>-93.979983359962432</v>
      </c>
      <c r="I47">
        <v>42.923851779509</v>
      </c>
      <c r="J47">
        <v>20.0075013977727</v>
      </c>
      <c r="K47">
        <v>8.7629957292293508</v>
      </c>
      <c r="L47">
        <v>1.0462100348783919E-3</v>
      </c>
      <c r="M47">
        <v>1.626323067990202E-4</v>
      </c>
      <c r="N47" s="1">
        <v>6.5323213547260702E-6</v>
      </c>
      <c r="O47" s="1">
        <v>1.1236359735105001E-6</v>
      </c>
      <c r="P47" s="1">
        <v>-4.3904174733440602E-6</v>
      </c>
    </row>
    <row r="48" spans="1:16" x14ac:dyDescent="0.2">
      <c r="A48">
        <v>47</v>
      </c>
      <c r="B48">
        <v>744</v>
      </c>
      <c r="C48">
        <v>280</v>
      </c>
      <c r="D48">
        <v>0.28743105736617303</v>
      </c>
      <c r="E48">
        <v>7.4692271372196597</v>
      </c>
      <c r="F48">
        <v>0.83497492943443796</v>
      </c>
      <c r="G48">
        <v>-144.74355693128732</v>
      </c>
      <c r="H48">
        <v>-100.11398922420173</v>
      </c>
      <c r="I48">
        <v>43.879547934119699</v>
      </c>
      <c r="J48">
        <v>20.580506455395899</v>
      </c>
      <c r="K48">
        <v>8.9454507841078197</v>
      </c>
      <c r="L48">
        <v>1.0289112621146618E-3</v>
      </c>
      <c r="M48">
        <v>1.592080895386855E-4</v>
      </c>
      <c r="N48" s="1">
        <v>6.6584149089288698E-6</v>
      </c>
      <c r="O48" s="1">
        <v>1.1215064557614E-6</v>
      </c>
      <c r="P48" s="1">
        <v>-4.4083379063717897E-6</v>
      </c>
    </row>
    <row r="49" spans="1:16" x14ac:dyDescent="0.2">
      <c r="A49">
        <v>48</v>
      </c>
      <c r="B49">
        <v>742</v>
      </c>
      <c r="C49">
        <v>280</v>
      </c>
      <c r="D49">
        <v>0.28588927744668102</v>
      </c>
      <c r="E49">
        <v>7.8940018929636802</v>
      </c>
      <c r="F49">
        <v>0.86502544395661896</v>
      </c>
      <c r="G49">
        <v>-151.69135360713852</v>
      </c>
      <c r="H49">
        <v>-106.19172670849588</v>
      </c>
      <c r="I49">
        <v>44.823084948146999</v>
      </c>
      <c r="J49">
        <v>21.147848975076101</v>
      </c>
      <c r="K49">
        <v>9.1257453154864301</v>
      </c>
      <c r="L49">
        <v>1.0124461072743339E-3</v>
      </c>
      <c r="M49">
        <v>1.5593885556936809E-4</v>
      </c>
      <c r="N49" s="1">
        <v>6.78516081185035E-6</v>
      </c>
      <c r="O49" s="1">
        <v>1.11921897089388E-6</v>
      </c>
      <c r="P49" s="1">
        <v>-4.4257225229169199E-6</v>
      </c>
    </row>
    <row r="50" spans="1:16" x14ac:dyDescent="0.2">
      <c r="A50">
        <v>49</v>
      </c>
      <c r="B50">
        <v>740</v>
      </c>
      <c r="C50">
        <v>280</v>
      </c>
      <c r="D50">
        <v>0.28434141045255101</v>
      </c>
      <c r="E50">
        <v>8.3147183250579904</v>
      </c>
      <c r="F50">
        <v>0.89367955139154798</v>
      </c>
      <c r="G50">
        <v>-158.56786594365821</v>
      </c>
      <c r="H50">
        <v>-112.21409007247388</v>
      </c>
      <c r="I50">
        <v>45.754643258600503</v>
      </c>
      <c r="J50">
        <v>21.7096123604605</v>
      </c>
      <c r="K50">
        <v>9.3039147109398908</v>
      </c>
      <c r="L50">
        <v>9.9675169507664938E-4</v>
      </c>
      <c r="M50">
        <v>1.5281311787026039E-4</v>
      </c>
      <c r="N50" s="1">
        <v>6.9125337644759499E-6</v>
      </c>
      <c r="O50" s="1">
        <v>1.11677666419782E-6</v>
      </c>
      <c r="P50" s="1">
        <v>-4.4425724833814103E-6</v>
      </c>
    </row>
    <row r="51" spans="1:16" x14ac:dyDescent="0.2">
      <c r="A51">
        <v>50</v>
      </c>
      <c r="B51">
        <v>738</v>
      </c>
      <c r="C51">
        <v>280</v>
      </c>
      <c r="D51">
        <v>0.28278742026405701</v>
      </c>
      <c r="E51">
        <v>8.7314403906205005</v>
      </c>
      <c r="F51">
        <v>0.92103863464197899</v>
      </c>
      <c r="G51">
        <v>-165.37421998761283</v>
      </c>
      <c r="H51">
        <v>-118.18195491953853</v>
      </c>
      <c r="I51">
        <v>46.674399469757802</v>
      </c>
      <c r="J51">
        <v>22.2658781718408</v>
      </c>
      <c r="K51">
        <v>9.4799936313361393</v>
      </c>
      <c r="L51">
        <v>9.8177124279836777E-4</v>
      </c>
      <c r="M51">
        <v>1.4982050454399762E-4</v>
      </c>
      <c r="N51" s="1">
        <v>7.0405081657643198E-6</v>
      </c>
      <c r="O51" s="1">
        <v>1.1141826494130299E-6</v>
      </c>
      <c r="P51" s="1">
        <v>-4.4588889555955604E-6</v>
      </c>
    </row>
    <row r="52" spans="1:16" x14ac:dyDescent="0.2">
      <c r="A52">
        <v>51</v>
      </c>
      <c r="B52">
        <v>736</v>
      </c>
      <c r="C52">
        <v>280</v>
      </c>
      <c r="D52">
        <v>0.281227270475152</v>
      </c>
      <c r="E52">
        <v>82.696184197212602</v>
      </c>
      <c r="F52">
        <v>1.8469100801951599</v>
      </c>
      <c r="G52">
        <v>-1368.3270761263816</v>
      </c>
      <c r="H52">
        <v>-1139.3272384122774</v>
      </c>
      <c r="I52">
        <v>226.92871319771601</v>
      </c>
      <c r="J52">
        <v>122.873959652145</v>
      </c>
      <c r="K52">
        <v>44.775425227238998</v>
      </c>
      <c r="L52">
        <v>4.4068883691384959E-4</v>
      </c>
      <c r="M52">
        <v>6.5998812936618088E-5</v>
      </c>
      <c r="N52" s="1">
        <v>1.39187898059277E-5</v>
      </c>
      <c r="O52" s="1">
        <v>2.2834890684737599E-6</v>
      </c>
      <c r="P52" s="1">
        <v>-9.1899557363369798E-6</v>
      </c>
    </row>
    <row r="53" spans="1:16" x14ac:dyDescent="0.2">
      <c r="A53">
        <v>52</v>
      </c>
      <c r="B53">
        <v>734</v>
      </c>
      <c r="C53">
        <v>280</v>
      </c>
      <c r="D53">
        <v>0.27966092439060802</v>
      </c>
      <c r="E53">
        <v>91.292973585731005</v>
      </c>
      <c r="F53">
        <v>1.86947534783379</v>
      </c>
      <c r="G53">
        <v>-1507.6111097216647</v>
      </c>
      <c r="H53">
        <v>-1258.2488281057051</v>
      </c>
      <c r="I53">
        <v>247.59754704677101</v>
      </c>
      <c r="J53">
        <v>134.63678235392601</v>
      </c>
      <c r="K53">
        <v>48.833472819801699</v>
      </c>
      <c r="L53">
        <v>4.2821056365390295E-4</v>
      </c>
      <c r="M53">
        <v>6.3774568545727861E-5</v>
      </c>
      <c r="N53" s="1">
        <v>1.4842993878431201E-5</v>
      </c>
      <c r="O53" s="1">
        <v>2.4015832372588902E-6</v>
      </c>
      <c r="P53" s="1">
        <v>-9.7230647483401699E-6</v>
      </c>
    </row>
    <row r="54" spans="1:16" x14ac:dyDescent="0.2">
      <c r="A54">
        <v>53</v>
      </c>
      <c r="B54">
        <v>732</v>
      </c>
      <c r="C54">
        <v>280</v>
      </c>
      <c r="D54">
        <v>0.27808834502313201</v>
      </c>
      <c r="E54">
        <v>95.192089001868496</v>
      </c>
      <c r="F54">
        <v>1.87950282161724</v>
      </c>
      <c r="G54">
        <v>-1570.4647827190995</v>
      </c>
      <c r="H54">
        <v>-1312.353789192395</v>
      </c>
      <c r="I54">
        <v>256.79423333143802</v>
      </c>
      <c r="J54">
        <v>140.02083716379701</v>
      </c>
      <c r="K54">
        <v>50.647483955336199</v>
      </c>
      <c r="L54">
        <v>4.2304108313872895E-4</v>
      </c>
      <c r="M54">
        <v>6.2681625791492456E-5</v>
      </c>
      <c r="N54" s="1">
        <v>1.5337560370561699E-5</v>
      </c>
      <c r="O54" s="1">
        <v>2.4440646783595401E-6</v>
      </c>
      <c r="P54" s="1">
        <v>-9.9544274472423201E-6</v>
      </c>
    </row>
    <row r="55" spans="1:16" x14ac:dyDescent="0.2">
      <c r="A55">
        <v>54</v>
      </c>
      <c r="B55">
        <v>730</v>
      </c>
      <c r="C55">
        <v>280</v>
      </c>
      <c r="D55">
        <v>0.27650949509046802</v>
      </c>
      <c r="E55">
        <v>97.506883693481797</v>
      </c>
      <c r="F55">
        <v>1.8858431986085999</v>
      </c>
      <c r="G55">
        <v>-1607.5412195040324</v>
      </c>
      <c r="H55">
        <v>-1344.6008708856327</v>
      </c>
      <c r="I55">
        <v>262.12048327877301</v>
      </c>
      <c r="J55">
        <v>143.25750489209099</v>
      </c>
      <c r="K55">
        <v>51.704661217551497</v>
      </c>
      <c r="L55">
        <v>4.2001675960521266E-4</v>
      </c>
      <c r="M55">
        <v>6.1921745151463637E-5</v>
      </c>
      <c r="N55" s="1">
        <v>1.5684161405964201E-5</v>
      </c>
      <c r="O55" s="1">
        <v>2.4610155344956498E-6</v>
      </c>
      <c r="P55" s="1">
        <v>-1.00836937320642E-5</v>
      </c>
    </row>
    <row r="56" spans="1:16" x14ac:dyDescent="0.2">
      <c r="A56">
        <v>55</v>
      </c>
      <c r="B56">
        <v>728</v>
      </c>
      <c r="C56">
        <v>280</v>
      </c>
      <c r="D56">
        <v>0.27492433701243602</v>
      </c>
      <c r="E56">
        <v>99.075221465755007</v>
      </c>
      <c r="F56">
        <v>1.8905574605617499</v>
      </c>
      <c r="G56">
        <v>-1632.4727405186875</v>
      </c>
      <c r="H56">
        <v>-1366.5506071132349</v>
      </c>
      <c r="I56">
        <v>265.622538381688</v>
      </c>
      <c r="J56">
        <v>145.485804242379</v>
      </c>
      <c r="K56">
        <v>52.4052950161674</v>
      </c>
      <c r="L56">
        <v>4.1793539132370286E-4</v>
      </c>
      <c r="M56">
        <v>6.1308958820305816E-5</v>
      </c>
      <c r="N56" s="1">
        <v>1.5958392489050099E-5</v>
      </c>
      <c r="O56" s="1">
        <v>2.46593177828674E-6</v>
      </c>
      <c r="P56" s="1">
        <v>-1.0164612462529001E-5</v>
      </c>
    </row>
    <row r="57" spans="1:16" x14ac:dyDescent="0.2">
      <c r="A57">
        <v>56</v>
      </c>
      <c r="B57">
        <v>726</v>
      </c>
      <c r="C57">
        <v>280</v>
      </c>
      <c r="D57">
        <v>0.273332832907971</v>
      </c>
      <c r="E57">
        <v>100.225243638317</v>
      </c>
      <c r="F57">
        <v>1.8943964766369901</v>
      </c>
      <c r="G57">
        <v>-1650.5984371563757</v>
      </c>
      <c r="H57">
        <v>-1382.7303698222099</v>
      </c>
      <c r="I57">
        <v>268.10186621302302</v>
      </c>
      <c r="J57">
        <v>147.15199144246401</v>
      </c>
      <c r="K57">
        <v>52.9061602860669</v>
      </c>
      <c r="L57">
        <v>4.1635914247065332E-4</v>
      </c>
      <c r="M57">
        <v>6.0775491159771091E-5</v>
      </c>
      <c r="N57" s="1">
        <v>1.61897833897241E-5</v>
      </c>
      <c r="O57" s="1">
        <v>2.4641038523724601E-6</v>
      </c>
      <c r="P57" s="1">
        <v>-1.02182300109709E-5</v>
      </c>
    </row>
    <row r="58" spans="1:16" x14ac:dyDescent="0.2">
      <c r="A58">
        <v>57</v>
      </c>
      <c r="B58">
        <v>760</v>
      </c>
      <c r="C58">
        <v>270</v>
      </c>
      <c r="D58">
        <v>0.31019745438706797</v>
      </c>
      <c r="E58">
        <v>4.3761788338493002</v>
      </c>
      <c r="F58">
        <v>0.54649111306141895</v>
      </c>
      <c r="G58">
        <v>-94.983169663688827</v>
      </c>
      <c r="H58">
        <v>-55.648079042935663</v>
      </c>
      <c r="I58">
        <v>38.075395575676303</v>
      </c>
      <c r="J58">
        <v>16.9051714954795</v>
      </c>
      <c r="K58">
        <v>8.0077767584071609</v>
      </c>
      <c r="L58">
        <v>1.215249924353863E-3</v>
      </c>
      <c r="M58">
        <v>2.0153019672638676E-4</v>
      </c>
      <c r="N58" s="1">
        <v>6.1118923789090103E-6</v>
      </c>
      <c r="O58" s="1">
        <v>1.3483263688551901E-6</v>
      </c>
      <c r="P58" s="1">
        <v>-4.8630390172455102E-6</v>
      </c>
    </row>
    <row r="59" spans="1:16" x14ac:dyDescent="0.2">
      <c r="A59">
        <v>58</v>
      </c>
      <c r="B59">
        <v>758</v>
      </c>
      <c r="C59">
        <v>270</v>
      </c>
      <c r="D59">
        <v>0.30872375503079302</v>
      </c>
      <c r="E59">
        <v>4.53441348047585</v>
      </c>
      <c r="F59">
        <v>0.56223953186193698</v>
      </c>
      <c r="G59">
        <v>-97.541910066372139</v>
      </c>
      <c r="H59">
        <v>-57.925716243018385</v>
      </c>
      <c r="I59">
        <v>38.4218628594422</v>
      </c>
      <c r="J59">
        <v>17.130613244819401</v>
      </c>
      <c r="K59">
        <v>8.0649140153120893</v>
      </c>
      <c r="L59">
        <v>1.2078772319815457E-3</v>
      </c>
      <c r="M59">
        <v>1.9936221897690556E-4</v>
      </c>
      <c r="N59" s="1">
        <v>6.2260359733706601E-6</v>
      </c>
      <c r="O59" s="1">
        <v>1.34218167407634E-6</v>
      </c>
      <c r="P59" s="1">
        <v>-4.8703003572223302E-6</v>
      </c>
    </row>
    <row r="60" spans="1:16" x14ac:dyDescent="0.2">
      <c r="A60">
        <v>59</v>
      </c>
      <c r="B60">
        <v>756</v>
      </c>
      <c r="C60">
        <v>270</v>
      </c>
      <c r="D60">
        <v>0.30724432784336703</v>
      </c>
      <c r="E60">
        <v>4.9841876310632296</v>
      </c>
      <c r="F60">
        <v>0.60359275234439103</v>
      </c>
      <c r="G60">
        <v>-104.93181413320451</v>
      </c>
      <c r="H60">
        <v>-64.345061821052965</v>
      </c>
      <c r="I60">
        <v>39.439611827554003</v>
      </c>
      <c r="J60">
        <v>17.733556251479399</v>
      </c>
      <c r="K60">
        <v>8.2575339278086801</v>
      </c>
      <c r="L60">
        <v>1.1848166916924655E-3</v>
      </c>
      <c r="M60">
        <v>1.9464761111448201E-4</v>
      </c>
      <c r="N60" s="1">
        <v>6.3620597844113703E-6</v>
      </c>
      <c r="O60" s="1">
        <v>1.3404394400902899E-6</v>
      </c>
      <c r="P60" s="1">
        <v>-4.8935834898685702E-6</v>
      </c>
    </row>
    <row r="61" spans="1:16" x14ac:dyDescent="0.2">
      <c r="A61">
        <v>60</v>
      </c>
      <c r="B61">
        <v>754</v>
      </c>
      <c r="C61">
        <v>270</v>
      </c>
      <c r="D61">
        <v>0.30575913936620902</v>
      </c>
      <c r="E61">
        <v>5.4295063498442602</v>
      </c>
      <c r="F61">
        <v>0.64271189086165603</v>
      </c>
      <c r="G61">
        <v>-112.24344089077938</v>
      </c>
      <c r="H61">
        <v>-70.703584928823588</v>
      </c>
      <c r="I61">
        <v>40.444330562153503</v>
      </c>
      <c r="J61">
        <v>18.330442906374302</v>
      </c>
      <c r="K61">
        <v>8.4478075278258</v>
      </c>
      <c r="L61">
        <v>1.1630157539360296E-3</v>
      </c>
      <c r="M61">
        <v>1.9017646777932424E-4</v>
      </c>
      <c r="N61" s="1">
        <v>6.4990611201211E-6</v>
      </c>
      <c r="O61" s="1">
        <v>1.33849773027309E-6</v>
      </c>
      <c r="P61" s="1">
        <v>-4.9162781559703697E-6</v>
      </c>
    </row>
    <row r="62" spans="1:16" x14ac:dyDescent="0.2">
      <c r="A62">
        <v>61</v>
      </c>
      <c r="B62">
        <v>752</v>
      </c>
      <c r="C62">
        <v>270</v>
      </c>
      <c r="D62">
        <v>0.30426815587962902</v>
      </c>
      <c r="E62">
        <v>5.8704416718251702</v>
      </c>
      <c r="F62">
        <v>0.67978175470680002</v>
      </c>
      <c r="G62">
        <v>-119.47805934777078</v>
      </c>
      <c r="H62">
        <v>-77.002271820222575</v>
      </c>
      <c r="I62">
        <v>41.436218620336597</v>
      </c>
      <c r="J62">
        <v>18.921365480014099</v>
      </c>
      <c r="K62">
        <v>8.63577410128811</v>
      </c>
      <c r="L62">
        <v>1.1423691830499325E-3</v>
      </c>
      <c r="M62">
        <v>1.8592868432798534E-4</v>
      </c>
      <c r="N62" s="1">
        <v>6.6370131456237499E-6</v>
      </c>
      <c r="O62" s="1">
        <v>1.33636019361371E-6</v>
      </c>
      <c r="P62" s="1">
        <v>-4.9383847187718197E-6</v>
      </c>
    </row>
    <row r="63" spans="1:16" x14ac:dyDescent="0.2">
      <c r="A63">
        <v>62</v>
      </c>
      <c r="B63">
        <v>750</v>
      </c>
      <c r="C63">
        <v>270</v>
      </c>
      <c r="D63">
        <v>0.302771343400284</v>
      </c>
      <c r="E63">
        <v>6.3070640888768503</v>
      </c>
      <c r="F63">
        <v>0.71496729904015999</v>
      </c>
      <c r="G63">
        <v>-126.63691136044133</v>
      </c>
      <c r="H63">
        <v>-83.242087607211488</v>
      </c>
      <c r="I63">
        <v>42.415471244993597</v>
      </c>
      <c r="J63">
        <v>19.506414164445701</v>
      </c>
      <c r="K63">
        <v>8.8214721111637502</v>
      </c>
      <c r="L63">
        <v>1.1227830443910612E-3</v>
      </c>
      <c r="M63">
        <v>1.818863180794199E-4</v>
      </c>
      <c r="N63" s="1">
        <v>6.77588855799351E-6</v>
      </c>
      <c r="O63" s="1">
        <v>1.33403044329527E-6</v>
      </c>
      <c r="P63" s="1">
        <v>-4.9599035329691898E-6</v>
      </c>
    </row>
    <row r="64" spans="1:16" x14ac:dyDescent="0.2">
      <c r="A64">
        <v>63</v>
      </c>
      <c r="B64">
        <v>748</v>
      </c>
      <c r="C64">
        <v>270</v>
      </c>
      <c r="D64">
        <v>0.301268667678598</v>
      </c>
      <c r="E64">
        <v>6.7394425890042404</v>
      </c>
      <c r="F64">
        <v>0.74841622198276403</v>
      </c>
      <c r="G64">
        <v>-133.72121232517955</v>
      </c>
      <c r="H64">
        <v>-89.42397679676786</v>
      </c>
      <c r="I64">
        <v>43.382279474930499</v>
      </c>
      <c r="J64">
        <v>20.085677126094101</v>
      </c>
      <c r="K64">
        <v>9.0049392183798105</v>
      </c>
      <c r="L64">
        <v>1.1041732273474217E-3</v>
      </c>
      <c r="M64">
        <v>1.7803330571130929E-4</v>
      </c>
      <c r="N64" s="1">
        <v>6.9156595947614702E-6</v>
      </c>
      <c r="O64" s="1">
        <v>1.3315120580157601E-6</v>
      </c>
      <c r="P64" s="1">
        <v>-4.9808349500220404E-6</v>
      </c>
    </row>
    <row r="65" spans="1:16" x14ac:dyDescent="0.2">
      <c r="A65">
        <v>64</v>
      </c>
      <c r="B65">
        <v>746</v>
      </c>
      <c r="C65">
        <v>270</v>
      </c>
      <c r="D65">
        <v>0.29976009419614502</v>
      </c>
      <c r="E65">
        <v>7.1676446981007302</v>
      </c>
      <c r="F65">
        <v>0.78026116325497896</v>
      </c>
      <c r="G65">
        <v>-140.73215191101343</v>
      </c>
      <c r="H65">
        <v>-95.548863863765106</v>
      </c>
      <c r="I65">
        <v>44.336830260253599</v>
      </c>
      <c r="J65">
        <v>20.659240561868899</v>
      </c>
      <c r="K65">
        <v>9.1862123038391399</v>
      </c>
      <c r="L65">
        <v>1.0864641939825211E-3</v>
      </c>
      <c r="M65">
        <v>1.7435522383154161E-4</v>
      </c>
      <c r="N65" s="1">
        <v>7.0562980432715997E-6</v>
      </c>
      <c r="O65" s="1">
        <v>1.3288085833030999E-6</v>
      </c>
      <c r="P65" s="1">
        <v>-5.0011793235951797E-6</v>
      </c>
    </row>
    <row r="66" spans="1:16" x14ac:dyDescent="0.2">
      <c r="A66">
        <v>65</v>
      </c>
      <c r="B66">
        <v>744</v>
      </c>
      <c r="C66">
        <v>270</v>
      </c>
      <c r="D66">
        <v>0.298245588163005</v>
      </c>
      <c r="E66">
        <v>7.5917365165459199</v>
      </c>
      <c r="F66">
        <v>0.81062157476579899</v>
      </c>
      <c r="G66">
        <v>-147.67089470571725</v>
      </c>
      <c r="H66">
        <v>-101.6176537511361</v>
      </c>
      <c r="I66">
        <v>45.279306565655297</v>
      </c>
      <c r="J66">
        <v>21.227188748706499</v>
      </c>
      <c r="K66">
        <v>9.3653274880319799</v>
      </c>
      <c r="L66">
        <v>1.069587914404622E-3</v>
      </c>
      <c r="M66">
        <v>1.7083908526979044E-4</v>
      </c>
      <c r="N66" s="1">
        <v>7.1977752503925597E-6</v>
      </c>
      <c r="O66" s="1">
        <v>1.3259235327191999E-6</v>
      </c>
      <c r="P66" s="1">
        <v>-5.0209370147356696E-6</v>
      </c>
    </row>
    <row r="67" spans="1:16" x14ac:dyDescent="0.2">
      <c r="A67">
        <v>66</v>
      </c>
      <c r="B67">
        <v>742</v>
      </c>
      <c r="C67">
        <v>270</v>
      </c>
      <c r="D67">
        <v>0.29672511451509398</v>
      </c>
      <c r="E67">
        <v>8.0117827585797201</v>
      </c>
      <c r="F67">
        <v>0.83960531937538796</v>
      </c>
      <c r="G67">
        <v>-154.53858090619877</v>
      </c>
      <c r="H67">
        <v>-107.63123241025045</v>
      </c>
      <c r="I67">
        <v>46.209887478927797</v>
      </c>
      <c r="J67">
        <v>21.789604096455498</v>
      </c>
      <c r="K67">
        <v>9.5423201517350602</v>
      </c>
      <c r="L67">
        <v>1.0534829568343415E-3</v>
      </c>
      <c r="M67">
        <v>1.6747316497293287E-4</v>
      </c>
      <c r="N67" s="1">
        <v>7.3400621329081003E-6</v>
      </c>
      <c r="O67" s="1">
        <v>1.3228603890313801E-6</v>
      </c>
      <c r="P67" s="1">
        <v>-5.0401083970662101E-6</v>
      </c>
    </row>
    <row r="68" spans="1:16" x14ac:dyDescent="0.2">
      <c r="A68">
        <v>67</v>
      </c>
      <c r="B68">
        <v>740</v>
      </c>
      <c r="C68">
        <v>270</v>
      </c>
      <c r="D68">
        <v>0.295198637911468</v>
      </c>
      <c r="E68">
        <v>8.4278467873657199</v>
      </c>
      <c r="F68">
        <v>0.86731004237793796</v>
      </c>
      <c r="G68">
        <v>-161.33632693705215</v>
      </c>
      <c r="H68">
        <v>-113.59046728040968</v>
      </c>
      <c r="I68">
        <v>47.1287483099509</v>
      </c>
      <c r="J68">
        <v>22.346567195536299</v>
      </c>
      <c r="K68">
        <v>9.7172249548255607</v>
      </c>
      <c r="L68">
        <v>1.0380937070412035E-3</v>
      </c>
      <c r="M68">
        <v>1.6424685064770128E-4</v>
      </c>
      <c r="N68" s="1">
        <v>7.4831291884207399E-6</v>
      </c>
      <c r="O68" s="1">
        <v>1.31962260531332E-6</v>
      </c>
      <c r="P68" s="1">
        <v>-5.0586938618496401E-6</v>
      </c>
    </row>
    <row r="69" spans="1:16" x14ac:dyDescent="0.2">
      <c r="A69">
        <v>68</v>
      </c>
      <c r="B69">
        <v>738</v>
      </c>
      <c r="C69">
        <v>270</v>
      </c>
      <c r="D69">
        <v>0.29366612273154402</v>
      </c>
      <c r="E69">
        <v>78.133675905706198</v>
      </c>
      <c r="F69">
        <v>1.81641522058379</v>
      </c>
      <c r="G69">
        <v>-1295.3248916906516</v>
      </c>
      <c r="H69">
        <v>-1076.2743304979813</v>
      </c>
      <c r="I69">
        <v>216.64016184063101</v>
      </c>
      <c r="J69">
        <v>116.91363004680601</v>
      </c>
      <c r="K69">
        <v>43.015316663441197</v>
      </c>
      <c r="L69">
        <v>4.6905340560124333E-4</v>
      </c>
      <c r="M69">
        <v>7.2893251212788779E-5</v>
      </c>
      <c r="N69" s="1">
        <v>1.4112465674428E-5</v>
      </c>
      <c r="O69" s="1">
        <v>2.5576923377074001E-6</v>
      </c>
      <c r="P69" s="1">
        <v>-9.8621077919915308E-6</v>
      </c>
    </row>
    <row r="70" spans="1:16" x14ac:dyDescent="0.2">
      <c r="A70">
        <v>69</v>
      </c>
      <c r="B70">
        <v>736</v>
      </c>
      <c r="C70">
        <v>270</v>
      </c>
      <c r="D70">
        <v>0.29212753307238798</v>
      </c>
      <c r="E70">
        <v>89.708974333028394</v>
      </c>
      <c r="F70">
        <v>1.8499216029802199</v>
      </c>
      <c r="G70">
        <v>-1483.0523684511779</v>
      </c>
      <c r="H70">
        <v>-1236.3415511816731</v>
      </c>
      <c r="I70">
        <v>244.47938172470799</v>
      </c>
      <c r="J70">
        <v>132.66619383131601</v>
      </c>
      <c r="K70">
        <v>48.4933924705281</v>
      </c>
      <c r="L70">
        <v>4.4973255722678007E-4</v>
      </c>
      <c r="M70">
        <v>6.9477531205976856E-5</v>
      </c>
      <c r="N70" s="1">
        <v>1.53537621570187E-5</v>
      </c>
      <c r="O70" s="1">
        <v>2.7423448908694399E-6</v>
      </c>
      <c r="P70" s="1">
        <v>-1.06388636993591E-5</v>
      </c>
    </row>
    <row r="71" spans="1:16" x14ac:dyDescent="0.2">
      <c r="A71">
        <v>70</v>
      </c>
      <c r="B71">
        <v>734</v>
      </c>
      <c r="C71">
        <v>270</v>
      </c>
      <c r="D71">
        <v>0.29058283274586499</v>
      </c>
      <c r="E71">
        <v>94.315171370854699</v>
      </c>
      <c r="F71">
        <v>1.86235574650897</v>
      </c>
      <c r="G71">
        <v>-1557.401142807511</v>
      </c>
      <c r="H71">
        <v>-1300.2170101916688</v>
      </c>
      <c r="I71">
        <v>255.363994457914</v>
      </c>
      <c r="J71">
        <v>138.98605551772599</v>
      </c>
      <c r="K71">
        <v>50.642940559369798</v>
      </c>
      <c r="L71">
        <v>4.4303011362572582E-4</v>
      </c>
      <c r="M71">
        <v>6.8081610192102901E-5</v>
      </c>
      <c r="N71" s="1">
        <v>1.59509524824226E-5</v>
      </c>
      <c r="O71" s="1">
        <v>2.8019553002749402E-6</v>
      </c>
      <c r="P71" s="1">
        <v>-1.0936920235442999E-5</v>
      </c>
    </row>
    <row r="72" spans="1:16" x14ac:dyDescent="0.2">
      <c r="A72">
        <v>71</v>
      </c>
      <c r="B72">
        <v>732</v>
      </c>
      <c r="C72">
        <v>270</v>
      </c>
      <c r="D72">
        <v>0.28903198527583002</v>
      </c>
      <c r="E72">
        <v>96.9224734806713</v>
      </c>
      <c r="F72">
        <v>1.8697339844290899</v>
      </c>
      <c r="G72">
        <v>-1599.231023598242</v>
      </c>
      <c r="H72">
        <v>-1336.507757013954</v>
      </c>
      <c r="I72">
        <v>261.38295101818198</v>
      </c>
      <c r="J72">
        <v>142.60406545202599</v>
      </c>
      <c r="K72">
        <v>51.837573840893597</v>
      </c>
      <c r="L72">
        <v>4.3935007007068897E-4</v>
      </c>
      <c r="M72">
        <v>6.7170823202065714E-5</v>
      </c>
      <c r="N72" s="1">
        <v>1.6360362662106599E-5</v>
      </c>
      <c r="O72" s="1">
        <v>2.8256108699247402E-6</v>
      </c>
      <c r="P72" s="1">
        <v>-1.1097137013044901E-5</v>
      </c>
    </row>
    <row r="73" spans="1:16" x14ac:dyDescent="0.2">
      <c r="A73">
        <v>72</v>
      </c>
      <c r="B73">
        <v>730</v>
      </c>
      <c r="C73">
        <v>270</v>
      </c>
      <c r="D73">
        <v>0.28747495389523398</v>
      </c>
      <c r="E73">
        <v>98.643860984731901</v>
      </c>
      <c r="F73">
        <v>1.87503644966817</v>
      </c>
      <c r="G73">
        <v>-1626.6485643041869</v>
      </c>
      <c r="H73">
        <v>-1360.5741172930047</v>
      </c>
      <c r="I73">
        <v>265.24479317406502</v>
      </c>
      <c r="J73">
        <v>145.02796355446401</v>
      </c>
      <c r="K73">
        <v>52.6090364814983</v>
      </c>
      <c r="L73">
        <v>4.3690685189269292E-4</v>
      </c>
      <c r="M73">
        <v>6.6459409396717314E-5</v>
      </c>
      <c r="N73" s="1">
        <v>1.6683944672545398E-5</v>
      </c>
      <c r="O73" s="1">
        <v>2.8333176776611E-6</v>
      </c>
      <c r="P73" s="1">
        <v>-1.11959687477524E-5</v>
      </c>
    </row>
    <row r="74" spans="1:16" x14ac:dyDescent="0.2">
      <c r="A74">
        <v>73</v>
      </c>
      <c r="B74">
        <v>728</v>
      </c>
      <c r="C74">
        <v>270</v>
      </c>
      <c r="D74">
        <v>0.28591170154322698</v>
      </c>
      <c r="E74">
        <v>99.885694839191004</v>
      </c>
      <c r="F74">
        <v>1.87926469508066</v>
      </c>
      <c r="G74">
        <v>-1646.2647902985912</v>
      </c>
      <c r="H74">
        <v>-1378.024056269109</v>
      </c>
      <c r="I74">
        <v>267.938515544491</v>
      </c>
      <c r="J74">
        <v>146.80839780883599</v>
      </c>
      <c r="K74">
        <v>53.151477330820498</v>
      </c>
      <c r="L74">
        <v>4.351005552854544E-4</v>
      </c>
      <c r="M74">
        <v>6.5851299412931287E-5</v>
      </c>
      <c r="N74" s="1">
        <v>1.6958747604471699E-5</v>
      </c>
      <c r="O74" s="1">
        <v>2.83238613435018E-6</v>
      </c>
      <c r="P74" s="1">
        <v>-1.12613209265999E-5</v>
      </c>
    </row>
    <row r="75" spans="1:16" x14ac:dyDescent="0.2">
      <c r="A75">
        <v>74</v>
      </c>
      <c r="B75">
        <v>760</v>
      </c>
      <c r="C75">
        <v>260</v>
      </c>
      <c r="D75">
        <v>0.320844504670183</v>
      </c>
      <c r="E75">
        <v>4.5375886599995798</v>
      </c>
      <c r="F75">
        <v>0.53523282891560098</v>
      </c>
      <c r="G75">
        <v>-98.570395960972377</v>
      </c>
      <c r="H75">
        <v>-57.677541718416066</v>
      </c>
      <c r="I75">
        <v>39.583265672387697</v>
      </c>
      <c r="J75">
        <v>17.595124595326901</v>
      </c>
      <c r="K75">
        <v>8.4777846478379804</v>
      </c>
      <c r="L75">
        <v>1.2526337723695739E-3</v>
      </c>
      <c r="M75">
        <v>2.150466120372842E-4</v>
      </c>
      <c r="N75" s="1">
        <v>6.5155136318411102E-6</v>
      </c>
      <c r="O75" s="1">
        <v>1.60385533807041E-6</v>
      </c>
      <c r="P75" s="1">
        <v>-5.5521130325021597E-6</v>
      </c>
    </row>
    <row r="76" spans="1:16" x14ac:dyDescent="0.2">
      <c r="A76">
        <v>75</v>
      </c>
      <c r="B76">
        <v>758</v>
      </c>
      <c r="C76">
        <v>260</v>
      </c>
      <c r="D76">
        <v>0.31939145614120401</v>
      </c>
      <c r="E76">
        <v>4.6961352346774596</v>
      </c>
      <c r="F76">
        <v>0.55031296342047797</v>
      </c>
      <c r="G76">
        <v>-101.13165384153542</v>
      </c>
      <c r="H76">
        <v>-59.961641776586539</v>
      </c>
      <c r="I76">
        <v>39.928831366187502</v>
      </c>
      <c r="J76">
        <v>17.822463451625101</v>
      </c>
      <c r="K76">
        <v>8.53357188878228</v>
      </c>
      <c r="L76">
        <v>1.2456379725163667E-3</v>
      </c>
      <c r="M76">
        <v>2.1281542835864336E-4</v>
      </c>
      <c r="N76" s="1">
        <v>6.6461695065524096E-6</v>
      </c>
      <c r="O76" s="1">
        <v>1.5964805601378699E-6</v>
      </c>
      <c r="P76" s="1">
        <v>-5.5610299845583998E-6</v>
      </c>
    </row>
    <row r="77" spans="1:16" x14ac:dyDescent="0.2">
      <c r="A77">
        <v>76</v>
      </c>
      <c r="B77">
        <v>756</v>
      </c>
      <c r="C77">
        <v>260</v>
      </c>
      <c r="D77">
        <v>0.317932760044698</v>
      </c>
      <c r="E77">
        <v>5.1404330927069903</v>
      </c>
      <c r="F77">
        <v>0.589339879648212</v>
      </c>
      <c r="G77">
        <v>-108.42817555790657</v>
      </c>
      <c r="H77">
        <v>-66.306609969565329</v>
      </c>
      <c r="I77">
        <v>40.931041913045298</v>
      </c>
      <c r="J77">
        <v>18.419373708197501</v>
      </c>
      <c r="K77">
        <v>8.7223574548788605</v>
      </c>
      <c r="L77">
        <v>1.2235936321990206E-3</v>
      </c>
      <c r="M77">
        <v>2.0805515954246551E-4</v>
      </c>
      <c r="N77" s="1">
        <v>6.7987446966740503E-6</v>
      </c>
      <c r="O77" s="1">
        <v>1.5939668116905901E-6</v>
      </c>
      <c r="P77" s="1">
        <v>-5.5869312751519398E-6</v>
      </c>
    </row>
    <row r="78" spans="1:16" x14ac:dyDescent="0.2">
      <c r="A78">
        <v>77</v>
      </c>
      <c r="B78">
        <v>754</v>
      </c>
      <c r="C78">
        <v>260</v>
      </c>
      <c r="D78">
        <v>0.31646838339093702</v>
      </c>
      <c r="E78">
        <v>5.58037004751725</v>
      </c>
      <c r="F78">
        <v>0.62638568042910003</v>
      </c>
      <c r="G78">
        <v>-115.64807858677345</v>
      </c>
      <c r="H78">
        <v>-72.592041075018756</v>
      </c>
      <c r="I78">
        <v>41.920525097240102</v>
      </c>
      <c r="J78">
        <v>19.010379833472602</v>
      </c>
      <c r="K78">
        <v>8.9088403867956494</v>
      </c>
      <c r="L78">
        <v>1.2026817790664166E-3</v>
      </c>
      <c r="M78">
        <v>2.0352474539069338E-4</v>
      </c>
      <c r="N78" s="1">
        <v>6.9525283601226397E-6</v>
      </c>
      <c r="O78" s="1">
        <v>1.5912271824951101E-6</v>
      </c>
      <c r="P78" s="1">
        <v>-5.6121933308002602E-6</v>
      </c>
    </row>
    <row r="79" spans="1:16" x14ac:dyDescent="0.2">
      <c r="A79">
        <v>78</v>
      </c>
      <c r="B79">
        <v>752</v>
      </c>
      <c r="C79">
        <v>260</v>
      </c>
      <c r="D79">
        <v>0.31499829293274201</v>
      </c>
      <c r="E79">
        <v>6.0160158289411001</v>
      </c>
      <c r="F79">
        <v>0.66160527367505495</v>
      </c>
      <c r="G79">
        <v>-122.79259209455928</v>
      </c>
      <c r="H79">
        <v>-78.818889793940613</v>
      </c>
      <c r="I79">
        <v>42.8974741624315</v>
      </c>
      <c r="J79">
        <v>19.5955706812166</v>
      </c>
      <c r="K79">
        <v>9.0930590615210907</v>
      </c>
      <c r="L79">
        <v>1.182812749150166E-3</v>
      </c>
      <c r="M79">
        <v>1.99206241410532E-4</v>
      </c>
      <c r="N79" s="1">
        <v>7.1074896728942897E-6</v>
      </c>
      <c r="O79" s="1">
        <v>1.58826562511392E-6</v>
      </c>
      <c r="P79" s="1">
        <v>-5.63681534118989E-6</v>
      </c>
    </row>
    <row r="80" spans="1:16" x14ac:dyDescent="0.2">
      <c r="A80">
        <v>79</v>
      </c>
      <c r="B80">
        <v>750</v>
      </c>
      <c r="C80">
        <v>260</v>
      </c>
      <c r="D80">
        <v>0.313522455162978</v>
      </c>
      <c r="E80">
        <v>6.4474386822340701</v>
      </c>
      <c r="F80">
        <v>0.69513780986614004</v>
      </c>
      <c r="G80">
        <v>-129.86291912668901</v>
      </c>
      <c r="H80">
        <v>-84.988090481113446</v>
      </c>
      <c r="I80">
        <v>43.862078219073702</v>
      </c>
      <c r="J80">
        <v>20.175033109880001</v>
      </c>
      <c r="K80">
        <v>9.2750510628613707</v>
      </c>
      <c r="L80">
        <v>1.1639059949701898E-3</v>
      </c>
      <c r="M80">
        <v>1.9508353101414273E-4</v>
      </c>
      <c r="N80" s="1">
        <v>7.2635971708421404E-6</v>
      </c>
      <c r="O80" s="1">
        <v>1.58508606026042E-6</v>
      </c>
      <c r="P80" s="1">
        <v>-5.6607964950091401E-6</v>
      </c>
    </row>
    <row r="81" spans="1:16" x14ac:dyDescent="0.2">
      <c r="A81">
        <v>80</v>
      </c>
      <c r="B81">
        <v>748</v>
      </c>
      <c r="C81">
        <v>260</v>
      </c>
      <c r="D81">
        <v>0.31204083631200402</v>
      </c>
      <c r="E81">
        <v>6.8747054068353597</v>
      </c>
      <c r="F81">
        <v>0.72710863509605395</v>
      </c>
      <c r="G81">
        <v>-136.86023729017666</v>
      </c>
      <c r="H81">
        <v>-91.100557675822444</v>
      </c>
      <c r="I81">
        <v>44.814522352668803</v>
      </c>
      <c r="J81">
        <v>20.748852034965999</v>
      </c>
      <c r="K81">
        <v>9.45485320213146</v>
      </c>
      <c r="L81">
        <v>1.1458889559347182E-3</v>
      </c>
      <c r="M81">
        <v>1.9114209897723013E-4</v>
      </c>
      <c r="N81" s="1">
        <v>7.42081875988961E-6</v>
      </c>
      <c r="O81" s="1">
        <v>1.58169237830128E-6</v>
      </c>
      <c r="P81" s="1">
        <v>-5.6841359866277897E-6</v>
      </c>
    </row>
    <row r="82" spans="1:16" x14ac:dyDescent="0.2">
      <c r="A82">
        <v>81</v>
      </c>
      <c r="B82">
        <v>746</v>
      </c>
      <c r="C82">
        <v>260</v>
      </c>
      <c r="D82">
        <v>0.31055340234509199</v>
      </c>
      <c r="E82">
        <v>7.2978813931392796</v>
      </c>
      <c r="F82">
        <v>0.75763096059608603</v>
      </c>
      <c r="G82">
        <v>-143.78569940243455</v>
      </c>
      <c r="H82">
        <v>-97.157186604790198</v>
      </c>
      <c r="I82">
        <v>45.754987727408398</v>
      </c>
      <c r="J82">
        <v>21.317110479037101</v>
      </c>
      <c r="K82">
        <v>9.6325015379486008</v>
      </c>
      <c r="L82">
        <v>1.1286960927321546E-3</v>
      </c>
      <c r="M82">
        <v>1.8736883778241832E-4</v>
      </c>
      <c r="N82" s="1">
        <v>7.5791217271271597E-6</v>
      </c>
      <c r="O82" s="1">
        <v>1.57808844069479E-6</v>
      </c>
      <c r="P82" s="1">
        <v>-5.7068330227395503E-6</v>
      </c>
    </row>
    <row r="83" spans="1:16" x14ac:dyDescent="0.2">
      <c r="A83">
        <v>82</v>
      </c>
      <c r="B83">
        <v>744</v>
      </c>
      <c r="C83">
        <v>260</v>
      </c>
      <c r="D83">
        <v>0.30906011895984098</v>
      </c>
      <c r="E83">
        <v>7.7170306617055102</v>
      </c>
      <c r="F83">
        <v>0.78680729591728304</v>
      </c>
      <c r="G83">
        <v>-150.64043417877807</v>
      </c>
      <c r="H83">
        <v>-103.15885372053911</v>
      </c>
      <c r="I83">
        <v>46.683651694250301</v>
      </c>
      <c r="J83">
        <v>21.8798896246164</v>
      </c>
      <c r="K83">
        <v>9.8080313969493194</v>
      </c>
      <c r="L83">
        <v>1.1122680584073972E-3</v>
      </c>
      <c r="M83">
        <v>1.8375188137846629E-4</v>
      </c>
      <c r="N83" s="1">
        <v>7.7384727528506497E-6</v>
      </c>
      <c r="O83" s="1">
        <v>1.57427808137908E-6</v>
      </c>
      <c r="P83" s="1">
        <v>-5.7288868290102998E-6</v>
      </c>
    </row>
    <row r="84" spans="1:16" x14ac:dyDescent="0.2">
      <c r="A84">
        <v>83</v>
      </c>
      <c r="B84">
        <v>742</v>
      </c>
      <c r="C84">
        <v>260</v>
      </c>
      <c r="D84">
        <v>0.30756095158350699</v>
      </c>
      <c r="E84">
        <v>10.114227641458299</v>
      </c>
      <c r="F84">
        <v>0.92236297712002902</v>
      </c>
      <c r="G84">
        <v>-190.34910648511388</v>
      </c>
      <c r="H84">
        <v>-136.92977591072332</v>
      </c>
      <c r="I84">
        <v>52.624857348064403</v>
      </c>
      <c r="J84">
        <v>25.224462504502299</v>
      </c>
      <c r="K84">
        <v>10.965561164476499</v>
      </c>
      <c r="L84">
        <v>1.0307402728225302E-3</v>
      </c>
      <c r="M84">
        <v>1.69334275141119E-4</v>
      </c>
      <c r="N84" s="1">
        <v>8.1179767015376492E-6</v>
      </c>
      <c r="O84" s="1">
        <v>1.61938410575899E-6</v>
      </c>
      <c r="P84" s="1">
        <v>-5.9300628945212103E-6</v>
      </c>
    </row>
    <row r="85" spans="1:16" x14ac:dyDescent="0.2">
      <c r="A85">
        <v>84</v>
      </c>
      <c r="B85">
        <v>740</v>
      </c>
      <c r="C85">
        <v>260</v>
      </c>
      <c r="D85">
        <v>0.30605586537038199</v>
      </c>
      <c r="E85">
        <v>72.263926733107994</v>
      </c>
      <c r="F85">
        <v>1.77736451067167</v>
      </c>
      <c r="G85">
        <v>-1201.094528875826</v>
      </c>
      <c r="H85">
        <v>-995.18819601673624</v>
      </c>
      <c r="I85">
        <v>203.23870880645501</v>
      </c>
      <c r="J85">
        <v>109.227929629787</v>
      </c>
      <c r="K85">
        <v>40.657910236881598</v>
      </c>
      <c r="L85">
        <v>5.0420830224163907E-4</v>
      </c>
      <c r="M85">
        <v>8.1497784496105443E-5</v>
      </c>
      <c r="N85" s="1">
        <v>1.4101070247059899E-5</v>
      </c>
      <c r="O85" s="1">
        <v>2.8574056554207198E-6</v>
      </c>
      <c r="P85" s="1">
        <v>-1.0527197827963E-5</v>
      </c>
    </row>
    <row r="86" spans="1:16" x14ac:dyDescent="0.2">
      <c r="A86">
        <v>85</v>
      </c>
      <c r="B86">
        <v>738</v>
      </c>
      <c r="C86">
        <v>260</v>
      </c>
      <c r="D86">
        <v>0.30454482519902998</v>
      </c>
      <c r="E86">
        <v>87.822046138799095</v>
      </c>
      <c r="F86">
        <v>1.82804997350076</v>
      </c>
      <c r="G86">
        <v>-1453.5713194995876</v>
      </c>
      <c r="H86">
        <v>-1210.2358426708493</v>
      </c>
      <c r="I86">
        <v>240.65764968314201</v>
      </c>
      <c r="J86">
        <v>130.30732252503699</v>
      </c>
      <c r="K86">
        <v>48.041381478547699</v>
      </c>
      <c r="L86">
        <v>4.7383557618220669E-4</v>
      </c>
      <c r="M86">
        <v>7.6098505894666533E-5</v>
      </c>
      <c r="N86" s="1">
        <v>1.5759039292674501E-5</v>
      </c>
      <c r="O86" s="1">
        <v>3.1452215088985301E-6</v>
      </c>
      <c r="P86" s="1">
        <v>-1.1660280282671199E-5</v>
      </c>
    </row>
    <row r="87" spans="1:16" x14ac:dyDescent="0.2">
      <c r="A87">
        <v>86</v>
      </c>
      <c r="B87">
        <v>736</v>
      </c>
      <c r="C87">
        <v>260</v>
      </c>
      <c r="D87">
        <v>0.30302779566962401</v>
      </c>
      <c r="E87">
        <v>93.338673131382805</v>
      </c>
      <c r="F87">
        <v>1.8437566762653399</v>
      </c>
      <c r="G87">
        <v>-1542.7218985406384</v>
      </c>
      <c r="H87">
        <v>-1286.6930805567065</v>
      </c>
      <c r="I87">
        <v>253.71304012809799</v>
      </c>
      <c r="J87">
        <v>137.83250886866799</v>
      </c>
      <c r="K87">
        <v>50.624181776766001</v>
      </c>
      <c r="L87">
        <v>4.6499446462723576E-4</v>
      </c>
      <c r="M87">
        <v>7.4273232124000507E-5</v>
      </c>
      <c r="N87" s="1">
        <v>1.6480776232848301E-5</v>
      </c>
      <c r="O87" s="1">
        <v>3.2300296797453701E-6</v>
      </c>
      <c r="P87" s="1">
        <v>-1.20501511683849E-5</v>
      </c>
    </row>
    <row r="88" spans="1:16" x14ac:dyDescent="0.2">
      <c r="A88">
        <v>87</v>
      </c>
      <c r="B88">
        <v>734</v>
      </c>
      <c r="C88">
        <v>260</v>
      </c>
      <c r="D88">
        <v>0.30150474110112602</v>
      </c>
      <c r="E88">
        <v>96.2923530245329</v>
      </c>
      <c r="F88">
        <v>1.85241064038037</v>
      </c>
      <c r="G88">
        <v>-1590.1811631569119</v>
      </c>
      <c r="H88">
        <v>-1327.7727624976692</v>
      </c>
      <c r="I88">
        <v>260.55125738286</v>
      </c>
      <c r="J88">
        <v>141.903033221893</v>
      </c>
      <c r="K88">
        <v>51.9821852269</v>
      </c>
      <c r="L88">
        <v>4.6048693194995928E-4</v>
      </c>
      <c r="M88">
        <v>7.3168835065343861E-5</v>
      </c>
      <c r="N88" s="1">
        <v>1.6961436414710501E-5</v>
      </c>
      <c r="O88" s="1">
        <v>3.26307296615588E-6</v>
      </c>
      <c r="P88" s="1">
        <v>-1.2250269186852201E-5</v>
      </c>
    </row>
    <row r="89" spans="1:16" x14ac:dyDescent="0.2">
      <c r="A89">
        <v>88</v>
      </c>
      <c r="B89">
        <v>732</v>
      </c>
      <c r="C89">
        <v>260</v>
      </c>
      <c r="D89">
        <v>0.29997562552852802</v>
      </c>
      <c r="E89">
        <v>98.187307728829097</v>
      </c>
      <c r="F89">
        <v>1.8584007638256099</v>
      </c>
      <c r="G89">
        <v>-1620.4183424597552</v>
      </c>
      <c r="H89">
        <v>-1354.2397908949247</v>
      </c>
      <c r="I89">
        <v>264.82058875219099</v>
      </c>
      <c r="J89">
        <v>144.54982518431501</v>
      </c>
      <c r="K89">
        <v>52.8343022883316</v>
      </c>
      <c r="L89">
        <v>4.5761099105103134E-4</v>
      </c>
      <c r="M89">
        <v>7.2336884092380366E-5</v>
      </c>
      <c r="N89" s="1">
        <v>1.7340090385788101E-5</v>
      </c>
      <c r="O89" s="1">
        <v>3.2747082156654401E-6</v>
      </c>
      <c r="P89" s="1">
        <v>-1.23716529646676E-5</v>
      </c>
    </row>
    <row r="90" spans="1:16" x14ac:dyDescent="0.2">
      <c r="A90">
        <v>89</v>
      </c>
      <c r="B90">
        <v>730</v>
      </c>
      <c r="C90">
        <v>260</v>
      </c>
      <c r="D90">
        <v>0.29844041269999899</v>
      </c>
      <c r="E90">
        <v>99.530556091433596</v>
      </c>
      <c r="F90">
        <v>1.8630708486454099</v>
      </c>
      <c r="G90">
        <v>-1641.6812527093171</v>
      </c>
      <c r="H90">
        <v>-1373.0929419722543</v>
      </c>
      <c r="I90">
        <v>267.75080480307901</v>
      </c>
      <c r="J90">
        <v>146.45756308691799</v>
      </c>
      <c r="K90">
        <v>53.422850861414702</v>
      </c>
      <c r="L90">
        <v>4.5553957280491372E-4</v>
      </c>
      <c r="M90">
        <v>7.1640034049973614E-5</v>
      </c>
      <c r="N90" s="1">
        <v>1.7663347195618701E-5</v>
      </c>
      <c r="O90" s="1">
        <v>3.2751745611384602E-6</v>
      </c>
      <c r="P90" s="1">
        <v>-1.24517045980871E-5</v>
      </c>
    </row>
    <row r="91" spans="1:16" x14ac:dyDescent="0.2">
      <c r="A91">
        <v>90</v>
      </c>
      <c r="B91">
        <v>728</v>
      </c>
      <c r="C91">
        <v>260</v>
      </c>
      <c r="D91">
        <v>0.29689906607401501</v>
      </c>
      <c r="E91">
        <v>100.54513561421901</v>
      </c>
      <c r="F91">
        <v>1.8669800784861299</v>
      </c>
      <c r="G91">
        <v>-1657.5981432256756</v>
      </c>
      <c r="H91">
        <v>-1387.4108334706159</v>
      </c>
      <c r="I91">
        <v>269.88288803990503</v>
      </c>
      <c r="J91">
        <v>147.92758159839201</v>
      </c>
      <c r="K91">
        <v>53.854423393605302</v>
      </c>
      <c r="L91">
        <v>4.5392866576467129E-4</v>
      </c>
      <c r="M91">
        <v>7.1021120936211305E-5</v>
      </c>
      <c r="N91" s="1">
        <v>1.79515635571597E-5</v>
      </c>
      <c r="O91" s="1">
        <v>3.26897930604186E-6</v>
      </c>
      <c r="P91" s="1">
        <v>-1.25068660095248E-5</v>
      </c>
    </row>
    <row r="92" spans="1:16" x14ac:dyDescent="0.2">
      <c r="A92">
        <v>91</v>
      </c>
      <c r="B92">
        <v>760</v>
      </c>
      <c r="C92">
        <v>250</v>
      </c>
      <c r="D92">
        <v>0.33149155495329902</v>
      </c>
      <c r="E92">
        <v>4.6975171451941504</v>
      </c>
      <c r="F92">
        <v>0.523456657347251</v>
      </c>
      <c r="G92">
        <v>-102.1332732768589</v>
      </c>
      <c r="H92">
        <v>-59.68248757039364</v>
      </c>
      <c r="I92">
        <v>41.091297405252199</v>
      </c>
      <c r="J92">
        <v>18.285705932975699</v>
      </c>
      <c r="K92">
        <v>8.9740326715873806</v>
      </c>
      <c r="L92">
        <v>1.2923987114362438E-3</v>
      </c>
      <c r="M92">
        <v>2.3019915088390771E-4</v>
      </c>
      <c r="N92" s="1">
        <v>6.8800255249594402E-6</v>
      </c>
      <c r="O92" s="1">
        <v>1.9163785769904701E-6</v>
      </c>
      <c r="P92" s="1">
        <v>-6.3489625164718199E-6</v>
      </c>
    </row>
    <row r="93" spans="1:16" x14ac:dyDescent="0.2">
      <c r="A93">
        <v>92</v>
      </c>
      <c r="B93">
        <v>758</v>
      </c>
      <c r="C93">
        <v>250</v>
      </c>
      <c r="D93">
        <v>0.330059157251614</v>
      </c>
      <c r="E93">
        <v>4.8633026963002202</v>
      </c>
      <c r="F93">
        <v>0.53848270702406198</v>
      </c>
      <c r="G93">
        <v>-104.81169740415388</v>
      </c>
      <c r="H93">
        <v>-62.071544702940557</v>
      </c>
      <c r="I93">
        <v>41.451628527394597</v>
      </c>
      <c r="J93">
        <v>18.5239919113973</v>
      </c>
      <c r="K93">
        <v>9.0314928090771502</v>
      </c>
      <c r="L93">
        <v>1.2854275358910106E-3</v>
      </c>
      <c r="M93">
        <v>2.2783169940899205E-4</v>
      </c>
      <c r="N93" s="1">
        <v>7.0303376424271496E-6</v>
      </c>
      <c r="O93" s="1">
        <v>1.9076715447542999E-6</v>
      </c>
      <c r="P93" s="1">
        <v>-6.3605616469918304E-6</v>
      </c>
    </row>
    <row r="94" spans="1:16" x14ac:dyDescent="0.2">
      <c r="A94">
        <v>93</v>
      </c>
      <c r="B94">
        <v>756</v>
      </c>
      <c r="C94">
        <v>250</v>
      </c>
      <c r="D94">
        <v>0.32862119224602798</v>
      </c>
      <c r="E94">
        <v>5.30194046006193</v>
      </c>
      <c r="F94">
        <v>0.57528735317854995</v>
      </c>
      <c r="G94">
        <v>-112.01152100944627</v>
      </c>
      <c r="H94">
        <v>-68.339544472955382</v>
      </c>
      <c r="I94">
        <v>42.437627193997898</v>
      </c>
      <c r="J94">
        <v>19.1147348854204</v>
      </c>
      <c r="K94">
        <v>9.2161602906232805</v>
      </c>
      <c r="L94">
        <v>1.264404943240116E-3</v>
      </c>
      <c r="M94">
        <v>2.2301497135047483E-4</v>
      </c>
      <c r="N94" s="1">
        <v>7.2019896283361703E-6</v>
      </c>
      <c r="O94" s="1">
        <v>1.9042168759327E-6</v>
      </c>
      <c r="P94" s="1">
        <v>-6.3897377877943E-6</v>
      </c>
    </row>
    <row r="95" spans="1:16" x14ac:dyDescent="0.2">
      <c r="A95">
        <v>94</v>
      </c>
      <c r="B95">
        <v>754</v>
      </c>
      <c r="C95">
        <v>250</v>
      </c>
      <c r="D95">
        <v>0.32717762741566497</v>
      </c>
      <c r="E95">
        <v>5.7363157675304501</v>
      </c>
      <c r="F95">
        <v>0.61033922981622601</v>
      </c>
      <c r="G95">
        <v>-119.13644981603005</v>
      </c>
      <c r="H95">
        <v>-74.549348970322797</v>
      </c>
      <c r="I95">
        <v>43.411207347286599</v>
      </c>
      <c r="J95">
        <v>19.699730965569898</v>
      </c>
      <c r="K95">
        <v>9.3985696597901107</v>
      </c>
      <c r="L95">
        <v>1.2443967603670576E-3</v>
      </c>
      <c r="M95">
        <v>2.1841522246923009E-4</v>
      </c>
      <c r="N95" s="1">
        <v>7.3751498526486798E-6</v>
      </c>
      <c r="O95" s="1">
        <v>1.90050429825385E-6</v>
      </c>
      <c r="P95" s="1">
        <v>-6.4182192925091904E-6</v>
      </c>
    </row>
    <row r="96" spans="1:16" x14ac:dyDescent="0.2">
      <c r="A96">
        <v>95</v>
      </c>
      <c r="B96">
        <v>752</v>
      </c>
      <c r="C96">
        <v>250</v>
      </c>
      <c r="D96">
        <v>0.32572842998585799</v>
      </c>
      <c r="E96">
        <v>6.1664960062029399</v>
      </c>
      <c r="F96">
        <v>0.64376777960730802</v>
      </c>
      <c r="G96">
        <v>-126.18767243192545</v>
      </c>
      <c r="H96">
        <v>-80.701880834518064</v>
      </c>
      <c r="I96">
        <v>44.372555750028397</v>
      </c>
      <c r="J96">
        <v>20.2790654520083</v>
      </c>
      <c r="K96">
        <v>9.5787583683738209</v>
      </c>
      <c r="L96">
        <v>1.225326873764484E-3</v>
      </c>
      <c r="M96">
        <v>2.1401644820250449E-4</v>
      </c>
      <c r="N96" s="1">
        <v>7.5497831608132203E-6</v>
      </c>
      <c r="O96" s="1">
        <v>1.89653806528902E-6</v>
      </c>
      <c r="P96" s="1">
        <v>-6.4460037363371104E-6</v>
      </c>
    </row>
    <row r="97" spans="1:16" x14ac:dyDescent="0.2">
      <c r="A97">
        <v>96</v>
      </c>
      <c r="B97">
        <v>750</v>
      </c>
      <c r="C97">
        <v>250</v>
      </c>
      <c r="D97">
        <v>0.324273566925672</v>
      </c>
      <c r="E97">
        <v>6.5925471391529102</v>
      </c>
      <c r="F97">
        <v>0.67568998733302199</v>
      </c>
      <c r="G97">
        <v>-133.1663524011914</v>
      </c>
      <c r="H97">
        <v>-86.79804317766262</v>
      </c>
      <c r="I97">
        <v>45.321855213905998</v>
      </c>
      <c r="J97">
        <v>20.8528217316073</v>
      </c>
      <c r="K97">
        <v>9.7567631054797399</v>
      </c>
      <c r="L97">
        <v>1.2071264898803661E-3</v>
      </c>
      <c r="M97">
        <v>2.0980418718468099E-4</v>
      </c>
      <c r="N97" s="1">
        <v>7.7258535140787103E-6</v>
      </c>
      <c r="O97" s="1">
        <v>1.8923224047718899E-6</v>
      </c>
      <c r="P97" s="1">
        <v>-6.4730886962314301E-6</v>
      </c>
    </row>
    <row r="98" spans="1:16" x14ac:dyDescent="0.2">
      <c r="A98">
        <v>97</v>
      </c>
      <c r="B98">
        <v>748</v>
      </c>
      <c r="C98">
        <v>250</v>
      </c>
      <c r="D98">
        <v>0.32281300494540499</v>
      </c>
      <c r="E98">
        <v>7.0145337413097701</v>
      </c>
      <c r="F98">
        <v>0.70621184242795898</v>
      </c>
      <c r="G98">
        <v>-140.07362884467034</v>
      </c>
      <c r="H98">
        <v>-92.838720080711539</v>
      </c>
      <c r="I98">
        <v>46.259284702388697</v>
      </c>
      <c r="J98">
        <v>21.421081327741302</v>
      </c>
      <c r="K98">
        <v>9.9326198172970006</v>
      </c>
      <c r="L98">
        <v>1.1897332761617589E-3</v>
      </c>
      <c r="M98">
        <v>2.0576534010322052E-4</v>
      </c>
      <c r="N98" s="1">
        <v>7.9033240007341794E-6</v>
      </c>
      <c r="O98" s="1">
        <v>1.8878615204074399E-6</v>
      </c>
      <c r="P98" s="1">
        <v>-6.4994717595066002E-6</v>
      </c>
    </row>
    <row r="99" spans="1:16" x14ac:dyDescent="0.2">
      <c r="A99">
        <v>98</v>
      </c>
      <c r="B99">
        <v>746</v>
      </c>
      <c r="C99">
        <v>250</v>
      </c>
      <c r="D99">
        <v>0.32134671049404001</v>
      </c>
      <c r="E99">
        <v>7.43251903651917</v>
      </c>
      <c r="F99">
        <v>0.73542960034604998</v>
      </c>
      <c r="G99">
        <v>-146.91061711105979</v>
      </c>
      <c r="H99">
        <v>-98.824777101756709</v>
      </c>
      <c r="I99">
        <v>47.185019433060504</v>
      </c>
      <c r="J99">
        <v>21.983923950370599</v>
      </c>
      <c r="K99">
        <v>10.1063637267548</v>
      </c>
      <c r="L99">
        <v>1.1730906202484419E-3</v>
      </c>
      <c r="M99">
        <v>2.0188801347164088E-4</v>
      </c>
      <c r="N99" s="1">
        <v>8.0821568482514905E-6</v>
      </c>
      <c r="O99" s="1">
        <v>1.88315959351902E-6</v>
      </c>
      <c r="P99" s="1">
        <v>-6.5251505321474197E-6</v>
      </c>
    </row>
    <row r="100" spans="1:16" x14ac:dyDescent="0.2">
      <c r="A100">
        <v>99</v>
      </c>
      <c r="B100">
        <v>744</v>
      </c>
      <c r="C100">
        <v>250</v>
      </c>
      <c r="D100">
        <v>0.31987464975667701</v>
      </c>
      <c r="E100">
        <v>10.007079019737199</v>
      </c>
      <c r="F100">
        <v>0.88155071422395703</v>
      </c>
      <c r="G100">
        <v>-189.56703206914889</v>
      </c>
      <c r="H100">
        <v>-135.09539671355145</v>
      </c>
      <c r="I100">
        <v>53.556024534907898</v>
      </c>
      <c r="J100">
        <v>25.567821244851899</v>
      </c>
      <c r="K100">
        <v>11.351677059835</v>
      </c>
      <c r="L100">
        <v>1.0829440710393014E-3</v>
      </c>
      <c r="M100">
        <v>1.8531368617243646E-4</v>
      </c>
      <c r="N100" s="1">
        <v>8.5005909571943599E-6</v>
      </c>
      <c r="O100" s="1">
        <v>1.9388185411321899E-6</v>
      </c>
      <c r="P100" s="1">
        <v>-6.7613420015344398E-6</v>
      </c>
    </row>
    <row r="101" spans="1:16" x14ac:dyDescent="0.2">
      <c r="A101">
        <v>100</v>
      </c>
      <c r="B101">
        <v>742</v>
      </c>
      <c r="C101">
        <v>250</v>
      </c>
      <c r="D101">
        <v>0.318396788651924</v>
      </c>
      <c r="E101">
        <v>63.633149668243099</v>
      </c>
      <c r="F101">
        <v>1.7192751729067901</v>
      </c>
      <c r="G101">
        <v>-1061.9809897487244</v>
      </c>
      <c r="H101">
        <v>-875.95997927640212</v>
      </c>
      <c r="I101">
        <v>183.249488359325</v>
      </c>
      <c r="J101">
        <v>97.877363113157102</v>
      </c>
      <c r="K101">
        <v>37.011614354122202</v>
      </c>
      <c r="L101">
        <v>5.5328962443398043E-4</v>
      </c>
      <c r="M101">
        <v>9.3271325982493449E-5</v>
      </c>
      <c r="N101" s="1">
        <v>1.3717670198696699E-5</v>
      </c>
      <c r="O101" s="1">
        <v>3.15196380925829E-6</v>
      </c>
      <c r="P101" s="1">
        <v>-1.1061203591407701E-5</v>
      </c>
    </row>
    <row r="102" spans="1:16" x14ac:dyDescent="0.2">
      <c r="A102">
        <v>101</v>
      </c>
      <c r="B102">
        <v>740</v>
      </c>
      <c r="C102">
        <v>250</v>
      </c>
      <c r="D102">
        <v>0.31691309282929903</v>
      </c>
      <c r="E102">
        <v>85.394028791033193</v>
      </c>
      <c r="F102">
        <v>1.8027341418751801</v>
      </c>
      <c r="G102">
        <v>-1415.2878051519872</v>
      </c>
      <c r="H102">
        <v>-1176.6236068250143</v>
      </c>
      <c r="I102">
        <v>235.57187381725601</v>
      </c>
      <c r="J102">
        <v>127.243866964696</v>
      </c>
      <c r="K102">
        <v>47.3691748591433</v>
      </c>
      <c r="L102">
        <v>5.0139954622879302E-4</v>
      </c>
      <c r="M102">
        <v>8.3917857749216804E-5</v>
      </c>
      <c r="N102" s="1">
        <v>1.5995454029430699E-5</v>
      </c>
      <c r="O102" s="1">
        <v>3.61963273517091E-6</v>
      </c>
      <c r="P102" s="1">
        <v>-1.27841392408501E-5</v>
      </c>
    </row>
    <row r="103" spans="1:16" x14ac:dyDescent="0.2">
      <c r="A103">
        <v>102</v>
      </c>
      <c r="B103">
        <v>738</v>
      </c>
      <c r="C103">
        <v>250</v>
      </c>
      <c r="D103">
        <v>0.31542352766652099</v>
      </c>
      <c r="E103">
        <v>92.263164496515799</v>
      </c>
      <c r="F103">
        <v>1.82351827512903</v>
      </c>
      <c r="G103">
        <v>-1526.4369579019817</v>
      </c>
      <c r="H103">
        <v>-1271.7883105064057</v>
      </c>
      <c r="I103">
        <v>251.84623842547501</v>
      </c>
      <c r="J103">
        <v>136.56067133788201</v>
      </c>
      <c r="K103">
        <v>50.596237918145903</v>
      </c>
      <c r="L103">
        <v>4.8917967082181657E-4</v>
      </c>
      <c r="M103">
        <v>8.1411310122871729E-5</v>
      </c>
      <c r="N103" s="1">
        <v>1.6883003901424801E-5</v>
      </c>
      <c r="O103" s="1">
        <v>3.7455086653784699E-6</v>
      </c>
      <c r="P103" s="1">
        <v>-1.33143125617151E-5</v>
      </c>
    </row>
    <row r="104" spans="1:16" x14ac:dyDescent="0.2">
      <c r="A104">
        <v>103</v>
      </c>
      <c r="B104">
        <v>736</v>
      </c>
      <c r="C104">
        <v>250</v>
      </c>
      <c r="D104">
        <v>0.31392805826685999</v>
      </c>
      <c r="E104">
        <v>95.622104481004598</v>
      </c>
      <c r="F104">
        <v>1.8337349178157201</v>
      </c>
      <c r="G104">
        <v>-1580.4830124506132</v>
      </c>
      <c r="H104">
        <v>-1318.4717828339767</v>
      </c>
      <c r="I104">
        <v>259.64130097685103</v>
      </c>
      <c r="J104">
        <v>141.16099597592299</v>
      </c>
      <c r="K104">
        <v>52.146089138612098</v>
      </c>
      <c r="L104">
        <v>4.8363019660891841E-4</v>
      </c>
      <c r="M104">
        <v>8.0057367142069468E-5</v>
      </c>
      <c r="N104" s="1">
        <v>1.7443142103458099E-5</v>
      </c>
      <c r="O104" s="1">
        <v>3.7916222682097501E-6</v>
      </c>
      <c r="P104" s="1">
        <v>-1.35656123711031E-5</v>
      </c>
    </row>
    <row r="105" spans="1:16" x14ac:dyDescent="0.2">
      <c r="A105">
        <v>104</v>
      </c>
      <c r="B105">
        <v>734</v>
      </c>
      <c r="C105">
        <v>250</v>
      </c>
      <c r="D105">
        <v>0.31242664945638698</v>
      </c>
      <c r="E105">
        <v>97.710804880847206</v>
      </c>
      <c r="F105">
        <v>1.84052362116861</v>
      </c>
      <c r="G105">
        <v>-1613.8679199232586</v>
      </c>
      <c r="H105">
        <v>-1347.6189681862738</v>
      </c>
      <c r="I105">
        <v>264.36460385885499</v>
      </c>
      <c r="J105">
        <v>144.05729872478199</v>
      </c>
      <c r="K105">
        <v>53.0885905277364</v>
      </c>
      <c r="L105">
        <v>4.8023987662744493E-4</v>
      </c>
      <c r="M105">
        <v>7.9077897869565605E-5</v>
      </c>
      <c r="N105" s="1">
        <v>1.7882409544752799E-5</v>
      </c>
      <c r="O105" s="1">
        <v>3.8087088514913402E-6</v>
      </c>
      <c r="P105" s="1">
        <v>-1.3715206742193299E-5</v>
      </c>
    </row>
    <row r="106" spans="1:16" x14ac:dyDescent="0.2">
      <c r="A106">
        <v>105</v>
      </c>
      <c r="B106">
        <v>732</v>
      </c>
      <c r="C106">
        <v>250</v>
      </c>
      <c r="D106">
        <v>0.31091926578122597</v>
      </c>
      <c r="E106">
        <v>99.164172297291799</v>
      </c>
      <c r="F106">
        <v>1.8456917411090601</v>
      </c>
      <c r="G106">
        <v>-1636.919052393007</v>
      </c>
      <c r="H106">
        <v>-1367.9960124544057</v>
      </c>
      <c r="I106">
        <v>267.551059369683</v>
      </c>
      <c r="J106">
        <v>146.10410596676101</v>
      </c>
      <c r="K106">
        <v>53.727374993672797</v>
      </c>
      <c r="L106">
        <v>4.7786530862617112E-4</v>
      </c>
      <c r="M106">
        <v>7.8275499079957298E-5</v>
      </c>
      <c r="N106" s="1">
        <v>1.8259183204325299E-5</v>
      </c>
      <c r="O106" s="1">
        <v>3.8112522529883801E-6</v>
      </c>
      <c r="P106" s="1">
        <v>-1.38135682971664E-5</v>
      </c>
    </row>
    <row r="107" spans="1:16" x14ac:dyDescent="0.2">
      <c r="A107">
        <v>106</v>
      </c>
      <c r="B107">
        <v>730</v>
      </c>
      <c r="C107">
        <v>250</v>
      </c>
      <c r="D107">
        <v>0.30940587150476501</v>
      </c>
      <c r="E107">
        <v>100.248474309806</v>
      </c>
      <c r="F107">
        <v>1.84995186001497</v>
      </c>
      <c r="G107">
        <v>-1653.967537520519</v>
      </c>
      <c r="H107">
        <v>-1383.2790943775835</v>
      </c>
      <c r="I107">
        <v>269.84437666088201</v>
      </c>
      <c r="J107">
        <v>147.65991851220201</v>
      </c>
      <c r="K107">
        <v>54.1897745971592</v>
      </c>
      <c r="L107">
        <v>4.7605585606056116E-4</v>
      </c>
      <c r="M107">
        <v>7.7572324849078716E-5</v>
      </c>
      <c r="N107" s="1">
        <v>1.8597728525095998E-5</v>
      </c>
      <c r="O107" s="1">
        <v>3.8053301034477601E-6</v>
      </c>
      <c r="P107" s="1">
        <v>-1.3881846135113201E-5</v>
      </c>
    </row>
    <row r="108" spans="1:16" x14ac:dyDescent="0.2">
      <c r="A108">
        <v>107</v>
      </c>
      <c r="B108">
        <v>760</v>
      </c>
      <c r="C108">
        <v>240</v>
      </c>
      <c r="D108">
        <v>0.34213860523641398</v>
      </c>
      <c r="E108">
        <v>4.8563412436960398</v>
      </c>
      <c r="F108">
        <v>0.51111706220977304</v>
      </c>
      <c r="G108">
        <v>-105.68029851544419</v>
      </c>
      <c r="H108">
        <v>-61.666857255700435</v>
      </c>
      <c r="I108">
        <v>42.603901037039002</v>
      </c>
      <c r="J108">
        <v>18.977834754858101</v>
      </c>
      <c r="K108">
        <v>9.5014265865045608</v>
      </c>
      <c r="L108">
        <v>1.3346634856921684E-3</v>
      </c>
      <c r="M108">
        <v>2.4725440591611515E-4</v>
      </c>
      <c r="N108" s="1">
        <v>7.1747187401388201E-6</v>
      </c>
      <c r="O108" s="1">
        <v>2.3013552174753102E-6</v>
      </c>
      <c r="P108" s="1">
        <v>-7.2730587985487602E-6</v>
      </c>
    </row>
    <row r="109" spans="1:16" x14ac:dyDescent="0.2">
      <c r="A109">
        <v>108</v>
      </c>
      <c r="B109">
        <v>758</v>
      </c>
      <c r="C109">
        <v>240</v>
      </c>
      <c r="D109">
        <v>0.34072685836202499</v>
      </c>
      <c r="E109">
        <v>5.0377176787553504</v>
      </c>
      <c r="F109">
        <v>0.52672425593513506</v>
      </c>
      <c r="G109">
        <v>-108.61416052789775</v>
      </c>
      <c r="H109">
        <v>-64.279719592229313</v>
      </c>
      <c r="I109">
        <v>42.9978433928638</v>
      </c>
      <c r="J109">
        <v>19.2379615009216</v>
      </c>
      <c r="K109">
        <v>9.5642409135145794</v>
      </c>
      <c r="L109">
        <v>1.3273273098345184E-3</v>
      </c>
      <c r="M109">
        <v>2.4466140249227195E-4</v>
      </c>
      <c r="N109" s="1">
        <v>7.34826898600039E-6</v>
      </c>
      <c r="O109" s="1">
        <v>2.2912625994241898E-6</v>
      </c>
      <c r="P109" s="1">
        <v>-7.2887985316825199E-6</v>
      </c>
    </row>
    <row r="110" spans="1:16" x14ac:dyDescent="0.2">
      <c r="A110">
        <v>109</v>
      </c>
      <c r="B110">
        <v>756</v>
      </c>
      <c r="C110">
        <v>240</v>
      </c>
      <c r="D110">
        <v>0.33930962444735902</v>
      </c>
      <c r="E110">
        <v>5.4704830876321697</v>
      </c>
      <c r="F110">
        <v>0.56139377738971197</v>
      </c>
      <c r="G110">
        <v>-115.713489258021</v>
      </c>
      <c r="H110">
        <v>-70.467756527791366</v>
      </c>
      <c r="I110">
        <v>43.966896037591503</v>
      </c>
      <c r="J110">
        <v>19.8224039934533</v>
      </c>
      <c r="K110">
        <v>9.7444669106737098</v>
      </c>
      <c r="L110">
        <v>1.3073495517813402E-3</v>
      </c>
      <c r="M110">
        <v>2.3977881595750998E-4</v>
      </c>
      <c r="N110" s="1">
        <v>7.5418422354530004E-6</v>
      </c>
      <c r="O110" s="1">
        <v>2.2866691128674598E-6</v>
      </c>
      <c r="P110" s="1">
        <v>-7.3221212798934999E-6</v>
      </c>
    </row>
    <row r="111" spans="1:16" x14ac:dyDescent="0.2">
      <c r="A111">
        <v>110</v>
      </c>
      <c r="B111">
        <v>754</v>
      </c>
      <c r="C111">
        <v>240</v>
      </c>
      <c r="D111">
        <v>0.33788687144039198</v>
      </c>
      <c r="E111">
        <v>5.8990886711590598</v>
      </c>
      <c r="F111">
        <v>0.59451755485430102</v>
      </c>
      <c r="G111">
        <v>-122.73971728321114</v>
      </c>
      <c r="H111">
        <v>-76.599000110971929</v>
      </c>
      <c r="I111">
        <v>44.923845991832401</v>
      </c>
      <c r="J111">
        <v>20.401262999287201</v>
      </c>
      <c r="K111">
        <v>9.9224802076782304</v>
      </c>
      <c r="L111">
        <v>1.2882756886884613E-3</v>
      </c>
      <c r="M111">
        <v>2.3510081071421101E-4</v>
      </c>
      <c r="N111" s="1">
        <v>7.7373164813041598E-6</v>
      </c>
      <c r="O111" s="1">
        <v>2.2817786512674799E-6</v>
      </c>
      <c r="P111" s="1">
        <v>-7.3546908548243097E-6</v>
      </c>
    </row>
    <row r="112" spans="1:16" x14ac:dyDescent="0.2">
      <c r="A112">
        <v>111</v>
      </c>
      <c r="B112">
        <v>752</v>
      </c>
      <c r="C112">
        <v>240</v>
      </c>
      <c r="D112">
        <v>0.33645856703896998</v>
      </c>
      <c r="E112">
        <v>6.3235994352911504</v>
      </c>
      <c r="F112">
        <v>0.62620328091914901</v>
      </c>
      <c r="G112">
        <v>-129.69399190837666</v>
      </c>
      <c r="H112">
        <v>-82.674340382818826</v>
      </c>
      <c r="I112">
        <v>45.868873375570402</v>
      </c>
      <c r="J112">
        <v>20.9746201235501</v>
      </c>
      <c r="K112">
        <v>10.0983173163981</v>
      </c>
      <c r="L112">
        <v>1.2700414448463299E-3</v>
      </c>
      <c r="M112">
        <v>2.3061314097492928E-4</v>
      </c>
      <c r="N112" s="1">
        <v>7.9346522101987399E-6</v>
      </c>
      <c r="O112" s="1">
        <v>2.2765957417709E-6</v>
      </c>
      <c r="P112" s="1">
        <v>-7.3865026431162297E-6</v>
      </c>
    </row>
    <row r="113" spans="1:16" x14ac:dyDescent="0.2">
      <c r="A113">
        <v>112</v>
      </c>
      <c r="B113">
        <v>750</v>
      </c>
      <c r="C113">
        <v>240</v>
      </c>
      <c r="D113">
        <v>0.335024678688366</v>
      </c>
      <c r="E113">
        <v>6.7440790209127197</v>
      </c>
      <c r="F113">
        <v>0.656548853022492</v>
      </c>
      <c r="G113">
        <v>-136.5774364193006</v>
      </c>
      <c r="H113">
        <v>-88.694648664396823</v>
      </c>
      <c r="I113">
        <v>46.802154537860197</v>
      </c>
      <c r="J113">
        <v>21.542555136048001</v>
      </c>
      <c r="K113">
        <v>10.2720140167264</v>
      </c>
      <c r="L113">
        <v>1.2525883836449372E-3</v>
      </c>
      <c r="M113">
        <v>2.2630285990315154E-4</v>
      </c>
      <c r="N113" s="1">
        <v>8.13380868403155E-6</v>
      </c>
      <c r="O113" s="1">
        <v>2.2711248942475098E-6</v>
      </c>
      <c r="P113" s="1">
        <v>-7.4175520262388398E-6</v>
      </c>
    </row>
    <row r="114" spans="1:16" x14ac:dyDescent="0.2">
      <c r="A114">
        <v>113</v>
      </c>
      <c r="B114">
        <v>748</v>
      </c>
      <c r="C114">
        <v>240</v>
      </c>
      <c r="D114">
        <v>0.33358517357881101</v>
      </c>
      <c r="E114">
        <v>7.1605897413658699</v>
      </c>
      <c r="F114">
        <v>0.68564346155061195</v>
      </c>
      <c r="G114">
        <v>-143.39115074069133</v>
      </c>
      <c r="H114">
        <v>-94.660778072252413</v>
      </c>
      <c r="I114">
        <v>47.723862159532402</v>
      </c>
      <c r="J114">
        <v>22.105146021971901</v>
      </c>
      <c r="K114">
        <v>10.4436053764326</v>
      </c>
      <c r="L114">
        <v>1.2358632593821636E-3</v>
      </c>
      <c r="M114">
        <v>2.2215817536060711E-4</v>
      </c>
      <c r="N114" s="1">
        <v>8.3347439498276605E-6</v>
      </c>
      <c r="O114" s="1">
        <v>2.26537060342777E-6</v>
      </c>
      <c r="P114" s="1">
        <v>-7.4478343911518196E-6</v>
      </c>
    </row>
    <row r="115" spans="1:16" x14ac:dyDescent="0.2">
      <c r="A115">
        <v>114</v>
      </c>
      <c r="B115">
        <v>746</v>
      </c>
      <c r="C115">
        <v>240</v>
      </c>
      <c r="D115">
        <v>0.33214001864298798</v>
      </c>
      <c r="E115">
        <v>9.9789283906921398</v>
      </c>
      <c r="F115">
        <v>0.84494689681676605</v>
      </c>
      <c r="G115">
        <v>-190.09792403211975</v>
      </c>
      <c r="H115">
        <v>-134.36486544606194</v>
      </c>
      <c r="I115">
        <v>54.688728312725502</v>
      </c>
      <c r="J115">
        <v>26.0194739988967</v>
      </c>
      <c r="K115">
        <v>11.810124906413</v>
      </c>
      <c r="L115">
        <v>1.1349943326190116E-3</v>
      </c>
      <c r="M115">
        <v>2.0283802934887701E-4</v>
      </c>
      <c r="N115" s="1">
        <v>8.7984839203869007E-6</v>
      </c>
      <c r="O115" s="1">
        <v>2.33617385584093E-6</v>
      </c>
      <c r="P115" s="1">
        <v>-7.7315229315498801E-6</v>
      </c>
    </row>
    <row r="116" spans="1:16" x14ac:dyDescent="0.2">
      <c r="A116">
        <v>115</v>
      </c>
      <c r="B116">
        <v>744</v>
      </c>
      <c r="C116">
        <v>240</v>
      </c>
      <c r="D116">
        <v>0.33068918055350899</v>
      </c>
      <c r="E116">
        <v>50.163524315700002</v>
      </c>
      <c r="F116">
        <v>1.61406608242688</v>
      </c>
      <c r="G116">
        <v>-844.20620688570807</v>
      </c>
      <c r="H116">
        <v>-689.8941801799217</v>
      </c>
      <c r="I116">
        <v>151.714428918875</v>
      </c>
      <c r="J116">
        <v>80.102151362167604</v>
      </c>
      <c r="K116">
        <v>31.0789780306112</v>
      </c>
      <c r="L116">
        <v>6.3565408651646167E-4</v>
      </c>
      <c r="M116">
        <v>1.1213343094678893E-4</v>
      </c>
      <c r="N116" s="1">
        <v>1.27400588955477E-5</v>
      </c>
      <c r="O116" s="1">
        <v>3.3748862482279799E-6</v>
      </c>
      <c r="P116" s="1">
        <v>-1.12420284876201E-5</v>
      </c>
    </row>
    <row r="117" spans="1:16" x14ac:dyDescent="0.2">
      <c r="A117">
        <v>116</v>
      </c>
      <c r="B117">
        <v>742</v>
      </c>
      <c r="C117">
        <v>240</v>
      </c>
      <c r="D117">
        <v>0.32923262572033701</v>
      </c>
      <c r="E117">
        <v>82.917100945930102</v>
      </c>
      <c r="F117">
        <v>1.77504368848623</v>
      </c>
      <c r="G117">
        <v>-1376.2301822468269</v>
      </c>
      <c r="H117">
        <v>-1142.3469957881321</v>
      </c>
      <c r="I117">
        <v>230.398043208199</v>
      </c>
      <c r="J117">
        <v>124.134378842418</v>
      </c>
      <c r="K117">
        <v>46.712709937095703</v>
      </c>
      <c r="L117">
        <v>5.3197961743050052E-4</v>
      </c>
      <c r="M117">
        <v>9.3032687977389995E-5</v>
      </c>
      <c r="N117" s="1">
        <v>1.60513175288318E-5</v>
      </c>
      <c r="O117" s="1">
        <v>4.1935313474157704E-6</v>
      </c>
      <c r="P117" s="1">
        <v>-1.4061193200817799E-5</v>
      </c>
    </row>
    <row r="118" spans="1:16" x14ac:dyDescent="0.2">
      <c r="A118">
        <v>117</v>
      </c>
      <c r="B118">
        <v>740</v>
      </c>
      <c r="C118">
        <v>240</v>
      </c>
      <c r="D118">
        <v>0.32777032028821201</v>
      </c>
      <c r="E118">
        <v>91.099924889676998</v>
      </c>
      <c r="F118">
        <v>1.8014557574633601</v>
      </c>
      <c r="G118">
        <v>-1508.7303396962475</v>
      </c>
      <c r="H118">
        <v>-1255.6569163563663</v>
      </c>
      <c r="I118">
        <v>249.794283940909</v>
      </c>
      <c r="J118">
        <v>135.184799984622</v>
      </c>
      <c r="K118">
        <v>50.570170548043301</v>
      </c>
      <c r="L118">
        <v>5.1583661436250508E-4</v>
      </c>
      <c r="M118">
        <v>8.9683179385057754E-5</v>
      </c>
      <c r="N118" s="1">
        <v>1.7098631430491801E-5</v>
      </c>
      <c r="O118" s="1">
        <v>4.3708105751265303E-6</v>
      </c>
      <c r="P118" s="1">
        <v>-1.47531127789401E-5</v>
      </c>
    </row>
    <row r="119" spans="1:16" x14ac:dyDescent="0.2">
      <c r="A119">
        <v>118</v>
      </c>
      <c r="B119">
        <v>738</v>
      </c>
      <c r="C119">
        <v>240</v>
      </c>
      <c r="D119">
        <v>0.326302230134007</v>
      </c>
      <c r="E119">
        <v>94.923120421061697</v>
      </c>
      <c r="F119">
        <v>1.8135642675967401</v>
      </c>
      <c r="G119">
        <v>-1570.3224189450018</v>
      </c>
      <c r="H119">
        <v>-1308.760966203602</v>
      </c>
      <c r="I119">
        <v>258.68291848650301</v>
      </c>
      <c r="J119">
        <v>140.39166345008999</v>
      </c>
      <c r="K119">
        <v>52.340643294019998</v>
      </c>
      <c r="L119">
        <v>5.0898882452416058E-4</v>
      </c>
      <c r="M119">
        <v>8.8008078957440848E-5</v>
      </c>
      <c r="N119" s="1">
        <v>1.7744840951106699E-5</v>
      </c>
      <c r="O119" s="1">
        <v>4.4349287403551704E-6</v>
      </c>
      <c r="P119" s="1">
        <v>-1.50693291248347E-5</v>
      </c>
    </row>
    <row r="120" spans="1:16" x14ac:dyDescent="0.2">
      <c r="A120">
        <v>119</v>
      </c>
      <c r="B120">
        <v>736</v>
      </c>
      <c r="C120">
        <v>240</v>
      </c>
      <c r="D120">
        <v>0.32482832086409602</v>
      </c>
      <c r="E120">
        <v>97.223001281391404</v>
      </c>
      <c r="F120">
        <v>1.8212680664760701</v>
      </c>
      <c r="G120">
        <v>-1607.1385238767684</v>
      </c>
      <c r="H120">
        <v>-1340.8300025683668</v>
      </c>
      <c r="I120">
        <v>263.89969418982503</v>
      </c>
      <c r="J120">
        <v>143.56018867349201</v>
      </c>
      <c r="K120">
        <v>53.382038081580099</v>
      </c>
      <c r="L120">
        <v>5.0499506296701111E-4</v>
      </c>
      <c r="M120">
        <v>8.6848607004626853E-5</v>
      </c>
      <c r="N120" s="1">
        <v>1.82493865469821E-5</v>
      </c>
      <c r="O120" s="1">
        <v>4.4594545191820097E-6</v>
      </c>
      <c r="P120" s="1">
        <v>-1.52538339026282E-5</v>
      </c>
    </row>
    <row r="121" spans="1:16" x14ac:dyDescent="0.2">
      <c r="A121">
        <v>120</v>
      </c>
      <c r="B121">
        <v>734</v>
      </c>
      <c r="C121">
        <v>240</v>
      </c>
      <c r="D121">
        <v>0.32334855781164801</v>
      </c>
      <c r="E121">
        <v>98.793073139683202</v>
      </c>
      <c r="F121">
        <v>1.82699065118361</v>
      </c>
      <c r="G121">
        <v>-1632.0849550928281</v>
      </c>
      <c r="H121">
        <v>-1362.8223818582978</v>
      </c>
      <c r="I121">
        <v>267.356877494949</v>
      </c>
      <c r="J121">
        <v>145.75491077029201</v>
      </c>
      <c r="K121">
        <v>54.0742083577057</v>
      </c>
      <c r="L121">
        <v>5.022788515301798E-4</v>
      </c>
      <c r="M121">
        <v>8.5921005339363127E-5</v>
      </c>
      <c r="N121" s="1">
        <v>1.8684376647166898E-5</v>
      </c>
      <c r="O121" s="1">
        <v>4.4649703869851302E-6</v>
      </c>
      <c r="P121" s="1">
        <v>-1.5374808792954101E-5</v>
      </c>
    </row>
    <row r="122" spans="1:16" x14ac:dyDescent="0.2">
      <c r="A122">
        <v>121</v>
      </c>
      <c r="B122">
        <v>732</v>
      </c>
      <c r="C122">
        <v>240</v>
      </c>
      <c r="D122">
        <v>0.32186290603392398</v>
      </c>
      <c r="E122">
        <v>99.949963865268401</v>
      </c>
      <c r="F122">
        <v>1.8316349218531101</v>
      </c>
      <c r="G122">
        <v>-1650.3116452951035</v>
      </c>
      <c r="H122">
        <v>-1379.1105418190523</v>
      </c>
      <c r="I122">
        <v>269.81748666839701</v>
      </c>
      <c r="J122">
        <v>147.40070918247201</v>
      </c>
      <c r="K122">
        <v>54.568714907524502</v>
      </c>
      <c r="L122">
        <v>5.0025305699981143E-4</v>
      </c>
      <c r="M122">
        <v>8.5119535635005435E-5</v>
      </c>
      <c r="N122" s="1">
        <v>1.9078304033564301E-5</v>
      </c>
      <c r="O122" s="1">
        <v>4.4596924643952802E-6</v>
      </c>
      <c r="P122" s="1">
        <v>-1.5459431121257901E-5</v>
      </c>
    </row>
    <row r="123" spans="1:16" x14ac:dyDescent="0.2">
      <c r="A123">
        <v>122</v>
      </c>
      <c r="B123">
        <v>760</v>
      </c>
      <c r="C123">
        <v>230</v>
      </c>
      <c r="D123">
        <v>0.35278565551952901</v>
      </c>
      <c r="E123">
        <v>5.0144515757219104</v>
      </c>
      <c r="F123">
        <v>0.49816403945886101</v>
      </c>
      <c r="G123">
        <v>-109.22034663166227</v>
      </c>
      <c r="H123">
        <v>-63.634637519936227</v>
      </c>
      <c r="I123">
        <v>44.125808148710497</v>
      </c>
      <c r="J123">
        <v>19.672094232126401</v>
      </c>
      <c r="K123">
        <v>10.065864210449501</v>
      </c>
      <c r="L123">
        <v>1.3795133722981584E-3</v>
      </c>
      <c r="M123">
        <v>2.6652964330413083E-4</v>
      </c>
      <c r="N123" s="1">
        <v>7.3562284259429002E-6</v>
      </c>
      <c r="O123" s="1">
        <v>2.7791214093933801E-6</v>
      </c>
      <c r="P123" s="1">
        <v>-8.3472688517285604E-6</v>
      </c>
    </row>
    <row r="124" spans="1:16" x14ac:dyDescent="0.2">
      <c r="A124">
        <v>123</v>
      </c>
      <c r="B124">
        <v>758</v>
      </c>
      <c r="C124">
        <v>230</v>
      </c>
      <c r="D124">
        <v>0.35139455947243498</v>
      </c>
      <c r="E124">
        <v>5.22137970356785</v>
      </c>
      <c r="F124">
        <v>0.51500697929127004</v>
      </c>
      <c r="G124">
        <v>-112.57458594572162</v>
      </c>
      <c r="H124">
        <v>-66.6131510673424</v>
      </c>
      <c r="I124">
        <v>44.575775787611299</v>
      </c>
      <c r="J124">
        <v>19.967027951945301</v>
      </c>
      <c r="K124">
        <v>10.1384639694655</v>
      </c>
      <c r="L124">
        <v>1.3713830248801016E-3</v>
      </c>
      <c r="M124">
        <v>2.6360195153275789E-4</v>
      </c>
      <c r="N124" s="1">
        <v>7.5569267536146803E-6</v>
      </c>
      <c r="O124" s="1">
        <v>2.76768235036874E-6</v>
      </c>
      <c r="P124" s="1">
        <v>-8.3691880960976208E-6</v>
      </c>
    </row>
    <row r="125" spans="1:16" x14ac:dyDescent="0.2">
      <c r="A125">
        <v>124</v>
      </c>
      <c r="B125">
        <v>756</v>
      </c>
      <c r="C125">
        <v>230</v>
      </c>
      <c r="D125">
        <v>0.34999805664869299</v>
      </c>
      <c r="E125">
        <v>5.6480297802574997</v>
      </c>
      <c r="F125">
        <v>0.54761451444527298</v>
      </c>
      <c r="G125">
        <v>-119.56910169131842</v>
      </c>
      <c r="H125">
        <v>-72.717795097634976</v>
      </c>
      <c r="I125">
        <v>45.527081139482199</v>
      </c>
      <c r="J125">
        <v>20.545039594548701</v>
      </c>
      <c r="K125">
        <v>10.3138788897494</v>
      </c>
      <c r="L125">
        <v>1.3524913936693577E-3</v>
      </c>
      <c r="M125">
        <v>2.5864588436351276E-4</v>
      </c>
      <c r="N125" s="1">
        <v>7.77551518206499E-6</v>
      </c>
      <c r="O125" s="1">
        <v>2.76172320540364E-6</v>
      </c>
      <c r="P125" s="1">
        <v>-8.4078119105996405E-6</v>
      </c>
    </row>
    <row r="126" spans="1:16" x14ac:dyDescent="0.2">
      <c r="A126">
        <v>125</v>
      </c>
      <c r="B126">
        <v>754</v>
      </c>
      <c r="C126">
        <v>230</v>
      </c>
      <c r="D126">
        <v>0.34859611546511998</v>
      </c>
      <c r="E126">
        <v>6.0706271105055798</v>
      </c>
      <c r="F126">
        <v>0.57886462878590805</v>
      </c>
      <c r="G126">
        <v>-126.49238589767749</v>
      </c>
      <c r="H126">
        <v>-78.767111467707082</v>
      </c>
      <c r="I126">
        <v>46.4666075044832</v>
      </c>
      <c r="J126">
        <v>21.117638716209701</v>
      </c>
      <c r="K126">
        <v>10.4871274018554</v>
      </c>
      <c r="L126">
        <v>1.3343995912775152E-3</v>
      </c>
      <c r="M126">
        <v>2.5388224146318E-4</v>
      </c>
      <c r="N126" s="1">
        <v>7.9965221090936396E-6</v>
      </c>
      <c r="O126" s="1">
        <v>2.75541926166954E-6</v>
      </c>
      <c r="P126" s="1">
        <v>-8.4456240302405195E-6</v>
      </c>
    </row>
    <row r="127" spans="1:16" x14ac:dyDescent="0.2">
      <c r="A127">
        <v>126</v>
      </c>
      <c r="B127">
        <v>752</v>
      </c>
      <c r="C127">
        <v>230</v>
      </c>
      <c r="D127">
        <v>0.34718870409208602</v>
      </c>
      <c r="E127">
        <v>6.4892342735350299</v>
      </c>
      <c r="F127">
        <v>0.608846412849537</v>
      </c>
      <c r="G127">
        <v>-133.34554372856911</v>
      </c>
      <c r="H127">
        <v>-84.761956999225703</v>
      </c>
      <c r="I127">
        <v>47.394528194188197</v>
      </c>
      <c r="J127">
        <v>21.684903078463499</v>
      </c>
      <c r="K127">
        <v>10.6582450624353</v>
      </c>
      <c r="L127">
        <v>1.3170537034746339E-3</v>
      </c>
      <c r="M127">
        <v>2.4929838489118637E-4</v>
      </c>
      <c r="N127" s="1">
        <v>8.2199042647417892E-6</v>
      </c>
      <c r="O127" s="1">
        <v>2.7487752511319698E-6</v>
      </c>
      <c r="P127" s="1">
        <v>-8.4826169248804195E-6</v>
      </c>
    </row>
    <row r="128" spans="1:16" x14ac:dyDescent="0.2">
      <c r="A128">
        <v>127</v>
      </c>
      <c r="B128">
        <v>750</v>
      </c>
      <c r="C128">
        <v>230</v>
      </c>
      <c r="D128">
        <v>0.34577579045105999</v>
      </c>
      <c r="E128">
        <v>6.9039125473725296</v>
      </c>
      <c r="F128">
        <v>0.63764131060283302</v>
      </c>
      <c r="G128">
        <v>-140.12965744721777</v>
      </c>
      <c r="H128">
        <v>-90.703170666109102</v>
      </c>
      <c r="I128">
        <v>48.311012936781097</v>
      </c>
      <c r="J128">
        <v>22.2469086860029</v>
      </c>
      <c r="K128">
        <v>10.8272667290729</v>
      </c>
      <c r="L128">
        <v>1.3004044339117412E-3</v>
      </c>
      <c r="M128">
        <v>2.4488276502436268E-4</v>
      </c>
      <c r="N128" s="1">
        <v>8.4456166877494397E-6</v>
      </c>
      <c r="O128" s="1">
        <v>2.7417958996751299E-6</v>
      </c>
      <c r="P128" s="1">
        <v>-8.5187830337661001E-6</v>
      </c>
    </row>
    <row r="129" spans="1:16" x14ac:dyDescent="0.2">
      <c r="A129">
        <v>128</v>
      </c>
      <c r="B129">
        <v>748</v>
      </c>
      <c r="C129">
        <v>230</v>
      </c>
      <c r="D129">
        <v>0.34435734221221198</v>
      </c>
      <c r="E129">
        <v>10.0526288437249</v>
      </c>
      <c r="F129">
        <v>0.813401551476436</v>
      </c>
      <c r="G129">
        <v>-192.32436063747036</v>
      </c>
      <c r="H129">
        <v>-135.05856878378006</v>
      </c>
      <c r="I129">
        <v>56.0826888900123</v>
      </c>
      <c r="J129">
        <v>26.609770245303999</v>
      </c>
      <c r="K129">
        <v>12.3587529744417</v>
      </c>
      <c r="L129">
        <v>1.1861224164773636E-3</v>
      </c>
      <c r="M129">
        <v>2.2202710096043898E-4</v>
      </c>
      <c r="N129" s="1">
        <v>8.9604892881127106E-6</v>
      </c>
      <c r="O129" s="1">
        <v>2.8346930923109001E-6</v>
      </c>
      <c r="P129" s="1">
        <v>-8.8674632965099495E-6</v>
      </c>
    </row>
    <row r="130" spans="1:16" x14ac:dyDescent="0.2">
      <c r="A130">
        <v>129</v>
      </c>
      <c r="B130">
        <v>746</v>
      </c>
      <c r="C130">
        <v>230</v>
      </c>
      <c r="D130">
        <v>0.342933326791936</v>
      </c>
      <c r="E130">
        <v>18.636332321145201</v>
      </c>
      <c r="F130">
        <v>1.1288003533334801</v>
      </c>
      <c r="G130">
        <v>-333.31609324745892</v>
      </c>
      <c r="H130">
        <v>-254.91520784454073</v>
      </c>
      <c r="I130">
        <v>76.9309976339744</v>
      </c>
      <c r="J130">
        <v>38.270444356325903</v>
      </c>
      <c r="K130">
        <v>16.509856916778801</v>
      </c>
      <c r="L130">
        <v>9.7619698897666914E-4</v>
      </c>
      <c r="M130">
        <v>1.8140702828813675E-4</v>
      </c>
      <c r="N130" s="1">
        <v>9.9760650111739894E-6</v>
      </c>
      <c r="O130" s="1">
        <v>3.08788247432366E-6</v>
      </c>
      <c r="P130" s="1">
        <v>-9.7252825914762993E-6</v>
      </c>
    </row>
    <row r="131" spans="1:16" x14ac:dyDescent="0.2">
      <c r="A131">
        <v>130</v>
      </c>
      <c r="B131">
        <v>744</v>
      </c>
      <c r="C131">
        <v>230</v>
      </c>
      <c r="D131">
        <v>0.34150371135034502</v>
      </c>
      <c r="E131">
        <v>80.150137389629904</v>
      </c>
      <c r="F131">
        <v>1.74371773649697</v>
      </c>
      <c r="G131">
        <v>-1332.4633686935745</v>
      </c>
      <c r="H131">
        <v>-1104.0447157947278</v>
      </c>
      <c r="I131">
        <v>224.572556801715</v>
      </c>
      <c r="J131">
        <v>120.65792287230001</v>
      </c>
      <c r="K131">
        <v>45.965086958768197</v>
      </c>
      <c r="L131">
        <v>5.6656702641874016E-4</v>
      </c>
      <c r="M131">
        <v>1.0383492516893198E-4</v>
      </c>
      <c r="N131" s="1">
        <v>1.5833983325371699E-5</v>
      </c>
      <c r="O131" s="1">
        <v>4.8862715839174401E-6</v>
      </c>
      <c r="P131" s="1">
        <v>-1.5492907866018999E-5</v>
      </c>
    </row>
    <row r="132" spans="1:16" x14ac:dyDescent="0.2">
      <c r="A132">
        <v>131</v>
      </c>
      <c r="B132">
        <v>742</v>
      </c>
      <c r="C132">
        <v>230</v>
      </c>
      <c r="D132">
        <v>0.34006846278875003</v>
      </c>
      <c r="E132">
        <v>89.878905868054304</v>
      </c>
      <c r="F132">
        <v>1.7774165455667701</v>
      </c>
      <c r="G132">
        <v>-1490.0896540854078</v>
      </c>
      <c r="H132">
        <v>-1238.7111745755071</v>
      </c>
      <c r="I132">
        <v>247.63248162257699</v>
      </c>
      <c r="J132">
        <v>133.74319687475699</v>
      </c>
      <c r="K132">
        <v>50.567159449612298</v>
      </c>
      <c r="L132">
        <v>5.4519327923462167E-4</v>
      </c>
      <c r="M132">
        <v>9.9312305186070074E-5</v>
      </c>
      <c r="N132" s="1">
        <v>1.70497004575704E-5</v>
      </c>
      <c r="O132" s="1">
        <v>5.1355572589004801E-6</v>
      </c>
      <c r="P132" s="1">
        <v>-1.6394805985949601E-5</v>
      </c>
    </row>
    <row r="133" spans="1:16" x14ac:dyDescent="0.2">
      <c r="A133">
        <v>132</v>
      </c>
      <c r="B133">
        <v>740</v>
      </c>
      <c r="C133">
        <v>230</v>
      </c>
      <c r="D133">
        <v>0.33862754774713</v>
      </c>
      <c r="E133">
        <v>94.215268920657294</v>
      </c>
      <c r="F133">
        <v>1.7917601079590999</v>
      </c>
      <c r="G133">
        <v>-1560.0230481146684</v>
      </c>
      <c r="H133">
        <v>-1298.9135972107838</v>
      </c>
      <c r="I133">
        <v>257.72612438367003</v>
      </c>
      <c r="J133">
        <v>139.61912477471401</v>
      </c>
      <c r="K133">
        <v>52.582524023248098</v>
      </c>
      <c r="L133">
        <v>5.3676467302841567E-4</v>
      </c>
      <c r="M133">
        <v>9.7228433583708838E-5</v>
      </c>
      <c r="N133" s="1">
        <v>1.77844978182855E-5</v>
      </c>
      <c r="O133" s="1">
        <v>5.2240193008044302E-6</v>
      </c>
      <c r="P133" s="1">
        <v>-1.6791673143052999E-5</v>
      </c>
    </row>
    <row r="134" spans="1:16" x14ac:dyDescent="0.2">
      <c r="A134">
        <v>133</v>
      </c>
      <c r="B134">
        <v>738</v>
      </c>
      <c r="C134">
        <v>230</v>
      </c>
      <c r="D134">
        <v>0.33718093260149401</v>
      </c>
      <c r="E134">
        <v>96.737135841983104</v>
      </c>
      <c r="F134">
        <v>1.8004887904415099</v>
      </c>
      <c r="G134">
        <v>-1600.4460361350825</v>
      </c>
      <c r="H134">
        <v>-1334.0546528273637</v>
      </c>
      <c r="I134">
        <v>263.45965992896998</v>
      </c>
      <c r="J134">
        <v>143.073511972657</v>
      </c>
      <c r="K134">
        <v>53.728263322462297</v>
      </c>
      <c r="L134">
        <v>5.3207945454033026E-4</v>
      </c>
      <c r="M134">
        <v>9.5851345661621262E-5</v>
      </c>
      <c r="N134" s="1">
        <v>1.8356989568804298E-5</v>
      </c>
      <c r="O134" s="1">
        <v>5.2584829891759098E-6</v>
      </c>
      <c r="P134" s="1">
        <v>-1.70186569305659E-5</v>
      </c>
    </row>
    <row r="135" spans="1:16" x14ac:dyDescent="0.2">
      <c r="A135">
        <v>134</v>
      </c>
      <c r="B135">
        <v>736</v>
      </c>
      <c r="C135">
        <v>230</v>
      </c>
      <c r="D135">
        <v>0.335728583461332</v>
      </c>
      <c r="E135">
        <v>98.426608992942107</v>
      </c>
      <c r="F135">
        <v>1.80681661818363</v>
      </c>
      <c r="G135">
        <v>-1627.3316196026972</v>
      </c>
      <c r="H135">
        <v>-1357.70009006704</v>
      </c>
      <c r="I135">
        <v>267.19262212445602</v>
      </c>
      <c r="J135">
        <v>145.41973236126199</v>
      </c>
      <c r="K135">
        <v>54.475151491516101</v>
      </c>
      <c r="L135">
        <v>5.2898735704080238E-4</v>
      </c>
      <c r="M135">
        <v>9.4776273797350449E-5</v>
      </c>
      <c r="N135" s="1">
        <v>1.88538794228412E-5</v>
      </c>
      <c r="O135" s="1">
        <v>5.2681107572329099E-6</v>
      </c>
      <c r="P135" s="1">
        <v>-1.71672150289031E-5</v>
      </c>
    </row>
    <row r="136" spans="1:16" x14ac:dyDescent="0.2">
      <c r="A136">
        <v>135</v>
      </c>
      <c r="B136">
        <v>734</v>
      </c>
      <c r="C136">
        <v>230</v>
      </c>
      <c r="D136">
        <v>0.33427046616690598</v>
      </c>
      <c r="E136">
        <v>99.656550554726607</v>
      </c>
      <c r="F136">
        <v>1.8118745259979401</v>
      </c>
      <c r="G136">
        <v>-1646.7440373025436</v>
      </c>
      <c r="H136">
        <v>-1374.9999904687368</v>
      </c>
      <c r="I136">
        <v>269.82077200521201</v>
      </c>
      <c r="J136">
        <v>147.15648820275999</v>
      </c>
      <c r="K136">
        <v>55.001905002134698</v>
      </c>
      <c r="L136">
        <v>5.2673200077566927E-4</v>
      </c>
      <c r="M136">
        <v>9.3860764282066141E-5</v>
      </c>
      <c r="N136" s="1">
        <v>1.9307745347892801E-5</v>
      </c>
      <c r="O136" s="1">
        <v>5.2639764226533497E-6</v>
      </c>
      <c r="P136" s="1">
        <v>-1.7272025076245601E-5</v>
      </c>
    </row>
    <row r="137" spans="1:16" x14ac:dyDescent="0.2">
      <c r="A137">
        <v>136</v>
      </c>
      <c r="B137">
        <v>732</v>
      </c>
      <c r="C137">
        <v>230</v>
      </c>
      <c r="D137">
        <v>0.33280654628662198</v>
      </c>
      <c r="E137">
        <v>100.60245832993699</v>
      </c>
      <c r="F137">
        <v>1.81617027909512</v>
      </c>
      <c r="G137">
        <v>-1661.5375858769189</v>
      </c>
      <c r="H137">
        <v>-1388.3782624602679</v>
      </c>
      <c r="I137">
        <v>271.765703309424</v>
      </c>
      <c r="J137">
        <v>148.51862645281</v>
      </c>
      <c r="K137">
        <v>55.3926355297816</v>
      </c>
      <c r="L137">
        <v>5.2497391721824773E-4</v>
      </c>
      <c r="M137">
        <v>9.3040852744574352E-5</v>
      </c>
      <c r="N137" s="1">
        <v>1.9733687113272799E-5</v>
      </c>
      <c r="O137" s="1">
        <v>5.2512943943696899E-6</v>
      </c>
      <c r="P137" s="1">
        <v>-1.7349385546038301E-5</v>
      </c>
    </row>
    <row r="138" spans="1:16" x14ac:dyDescent="0.2">
      <c r="A138">
        <v>137</v>
      </c>
      <c r="B138">
        <v>760</v>
      </c>
      <c r="C138">
        <v>220</v>
      </c>
      <c r="D138">
        <v>0.36343270580264397</v>
      </c>
      <c r="E138">
        <v>5.1722578500909</v>
      </c>
      <c r="F138">
        <v>0.48454301462163601</v>
      </c>
      <c r="G138">
        <v>-112.76280305809526</v>
      </c>
      <c r="H138">
        <v>-65.589908066848849</v>
      </c>
      <c r="I138">
        <v>45.662154454630198</v>
      </c>
      <c r="J138">
        <v>20.368591074366599</v>
      </c>
      <c r="K138">
        <v>10.674507100530001</v>
      </c>
      <c r="L138">
        <v>1.4269782495503751E-3</v>
      </c>
      <c r="M138">
        <v>2.8840259609752355E-4</v>
      </c>
      <c r="N138" s="1">
        <v>7.3643614288027598E-6</v>
      </c>
      <c r="O138" s="1">
        <v>3.3766292019874599E-6</v>
      </c>
      <c r="P138" s="1">
        <v>-9.5982128033763306E-6</v>
      </c>
    </row>
    <row r="139" spans="1:16" x14ac:dyDescent="0.2">
      <c r="A139">
        <v>138</v>
      </c>
      <c r="B139">
        <v>758</v>
      </c>
      <c r="C139">
        <v>220</v>
      </c>
      <c r="D139">
        <v>0.36206226058284502</v>
      </c>
      <c r="E139">
        <v>5.4165217838863899</v>
      </c>
      <c r="F139">
        <v>0.50329212477797103</v>
      </c>
      <c r="G139">
        <v>-116.73257276094449</v>
      </c>
      <c r="H139">
        <v>-69.101996661901723</v>
      </c>
      <c r="I139">
        <v>46.194582320020203</v>
      </c>
      <c r="J139">
        <v>20.7136336921908</v>
      </c>
      <c r="K139">
        <v>10.7621826712983</v>
      </c>
      <c r="L139">
        <v>1.4175843625267787E-3</v>
      </c>
      <c r="M139">
        <v>2.8500692334726348E-4</v>
      </c>
      <c r="N139" s="1">
        <v>7.5961870316804701E-6</v>
      </c>
      <c r="O139" s="1">
        <v>3.3640450201147401E-6</v>
      </c>
      <c r="P139" s="1">
        <v>-9.6291205825290798E-6</v>
      </c>
    </row>
    <row r="140" spans="1:16" x14ac:dyDescent="0.2">
      <c r="A140">
        <v>139</v>
      </c>
      <c r="B140">
        <v>756</v>
      </c>
      <c r="C140">
        <v>220</v>
      </c>
      <c r="D140">
        <v>0.36068648885002402</v>
      </c>
      <c r="E140">
        <v>5.8367804275756798</v>
      </c>
      <c r="F140">
        <v>0.53389924314502402</v>
      </c>
      <c r="G140">
        <v>-123.61739325772638</v>
      </c>
      <c r="H140">
        <v>-75.119347351333772</v>
      </c>
      <c r="I140">
        <v>47.127265768926499</v>
      </c>
      <c r="J140">
        <v>21.285087816075499</v>
      </c>
      <c r="K140">
        <v>10.9323631799759</v>
      </c>
      <c r="L140">
        <v>1.3998392947501765E-3</v>
      </c>
      <c r="M140">
        <v>2.7997212587204518E-4</v>
      </c>
      <c r="N140" s="1">
        <v>7.8429650025103196E-6</v>
      </c>
      <c r="O140" s="1">
        <v>3.3564669599048498E-6</v>
      </c>
      <c r="P140" s="1">
        <v>-9.6745653314086403E-6</v>
      </c>
    </row>
    <row r="141" spans="1:16" x14ac:dyDescent="0.2">
      <c r="A141">
        <v>140</v>
      </c>
      <c r="B141">
        <v>754</v>
      </c>
      <c r="C141">
        <v>220</v>
      </c>
      <c r="D141">
        <v>0.35930535948985198</v>
      </c>
      <c r="E141">
        <v>6.2530980968144396</v>
      </c>
      <c r="F141">
        <v>0.56332063469265703</v>
      </c>
      <c r="G141">
        <v>-130.4329309684866</v>
      </c>
      <c r="H141">
        <v>-81.082903258226153</v>
      </c>
      <c r="I141">
        <v>48.048502602633697</v>
      </c>
      <c r="J141">
        <v>21.8513096416116</v>
      </c>
      <c r="K141">
        <v>11.1004243617421</v>
      </c>
      <c r="L141">
        <v>1.3827956618518897E-3</v>
      </c>
      <c r="M141">
        <v>2.7511761526040546E-4</v>
      </c>
      <c r="N141" s="1">
        <v>8.0928440912984798E-6</v>
      </c>
      <c r="O141" s="1">
        <v>3.3484855168165501E-6</v>
      </c>
      <c r="P141" s="1">
        <v>-9.7191457046488395E-6</v>
      </c>
    </row>
    <row r="142" spans="1:16" x14ac:dyDescent="0.2">
      <c r="A142">
        <v>141</v>
      </c>
      <c r="B142">
        <v>752</v>
      </c>
      <c r="C142">
        <v>220</v>
      </c>
      <c r="D142">
        <v>0.35791884114519901</v>
      </c>
      <c r="E142">
        <v>6.6655349010688303</v>
      </c>
      <c r="F142">
        <v>0.59162948459097697</v>
      </c>
      <c r="G142">
        <v>-137.18024811684626</v>
      </c>
      <c r="H142">
        <v>-86.993487397130167</v>
      </c>
      <c r="I142">
        <v>48.958459168942497</v>
      </c>
      <c r="J142">
        <v>22.412372945974099</v>
      </c>
      <c r="K142">
        <v>11.266400804343</v>
      </c>
      <c r="L142">
        <v>1.3664086142912968E-3</v>
      </c>
      <c r="M142">
        <v>2.7043223321370369E-4</v>
      </c>
      <c r="N142" s="1">
        <v>8.3457790263766007E-6</v>
      </c>
      <c r="O142" s="1">
        <v>3.34010549393517E-6</v>
      </c>
      <c r="P142" s="1">
        <v>-9.7628503705220801E-6</v>
      </c>
    </row>
    <row r="143" spans="1:16" x14ac:dyDescent="0.2">
      <c r="A143">
        <v>142</v>
      </c>
      <c r="B143">
        <v>750</v>
      </c>
      <c r="C143">
        <v>220</v>
      </c>
      <c r="D143">
        <v>0.356526902213751</v>
      </c>
      <c r="E143">
        <v>10.2539310891743</v>
      </c>
      <c r="F143">
        <v>0.78764904537767799</v>
      </c>
      <c r="G143">
        <v>-196.677042642533</v>
      </c>
      <c r="H143">
        <v>-137.53761379588371</v>
      </c>
      <c r="I143">
        <v>57.804394158326801</v>
      </c>
      <c r="J143">
        <v>27.371891691483899</v>
      </c>
      <c r="K143">
        <v>13.018400960871499</v>
      </c>
      <c r="L143">
        <v>1.2354755355602732E-3</v>
      </c>
      <c r="M143">
        <v>2.430149346736841E-4</v>
      </c>
      <c r="N143" s="1">
        <v>8.9148461152788808E-6</v>
      </c>
      <c r="O143" s="1">
        <v>3.4655589828805E-6</v>
      </c>
      <c r="P143" s="1">
        <v>-1.0200627172153399E-5</v>
      </c>
    </row>
    <row r="144" spans="1:16" x14ac:dyDescent="0.2">
      <c r="A144">
        <v>143</v>
      </c>
      <c r="B144">
        <v>748</v>
      </c>
      <c r="C144">
        <v>220</v>
      </c>
      <c r="D144">
        <v>0.355129510845618</v>
      </c>
      <c r="E144">
        <v>13.9704754988408</v>
      </c>
      <c r="F144">
        <v>0.94199546222519503</v>
      </c>
      <c r="G144">
        <v>-258.20564955227582</v>
      </c>
      <c r="H144">
        <v>-189.84569657295305</v>
      </c>
      <c r="I144">
        <v>66.947292152684795</v>
      </c>
      <c r="J144">
        <v>32.510996783657099</v>
      </c>
      <c r="K144">
        <v>14.830724837930299</v>
      </c>
      <c r="L144">
        <v>1.1323479258990485E-3</v>
      </c>
      <c r="M144">
        <v>2.2135905083488412E-4</v>
      </c>
      <c r="N144" s="1">
        <v>9.5110010892497003E-6</v>
      </c>
      <c r="O144" s="1">
        <v>3.59339387437792E-6</v>
      </c>
      <c r="P144" s="1">
        <v>-1.0651264104664E-5</v>
      </c>
    </row>
    <row r="145" spans="1:16" x14ac:dyDescent="0.2">
      <c r="A145">
        <v>144</v>
      </c>
      <c r="B145">
        <v>746</v>
      </c>
      <c r="C145">
        <v>220</v>
      </c>
      <c r="D145">
        <v>0.35372663494088302</v>
      </c>
      <c r="E145">
        <v>77.243885631279994</v>
      </c>
      <c r="F145">
        <v>1.70872492015707</v>
      </c>
      <c r="G145">
        <v>-1286.4387600127056</v>
      </c>
      <c r="H145">
        <v>-1063.7968858691695</v>
      </c>
      <c r="I145">
        <v>218.46355657917201</v>
      </c>
      <c r="J145">
        <v>117.015442472533</v>
      </c>
      <c r="K145">
        <v>45.205570961169798</v>
      </c>
      <c r="L145">
        <v>6.0538733548268838E-4</v>
      </c>
      <c r="M145">
        <v>1.1665151029412842E-4</v>
      </c>
      <c r="N145" s="1">
        <v>1.5264611907619299E-5</v>
      </c>
      <c r="O145" s="1">
        <v>5.7334865812683703E-6</v>
      </c>
      <c r="P145" s="1">
        <v>-1.7112819510931699E-5</v>
      </c>
    </row>
    <row r="146" spans="1:16" x14ac:dyDescent="0.2">
      <c r="A146">
        <v>145</v>
      </c>
      <c r="B146">
        <v>744</v>
      </c>
      <c r="C146">
        <v>220</v>
      </c>
      <c r="D146">
        <v>0.352318242147177</v>
      </c>
      <c r="E146">
        <v>88.588489704425001</v>
      </c>
      <c r="F146">
        <v>1.7510847742581499</v>
      </c>
      <c r="G146">
        <v>-1470.3239396425179</v>
      </c>
      <c r="H146">
        <v>-1220.7828251461101</v>
      </c>
      <c r="I146">
        <v>245.33916078484901</v>
      </c>
      <c r="J146">
        <v>132.21816064138801</v>
      </c>
      <c r="K146">
        <v>50.590634449411802</v>
      </c>
      <c r="L146">
        <v>5.7756928380777275E-4</v>
      </c>
      <c r="M146">
        <v>1.1059123069323375E-4</v>
      </c>
      <c r="N146" s="1">
        <v>1.6628643617596099E-5</v>
      </c>
      <c r="O146" s="1">
        <v>6.0773566673944303E-6</v>
      </c>
      <c r="P146" s="1">
        <v>-1.82671191576213E-5</v>
      </c>
    </row>
    <row r="147" spans="1:16" x14ac:dyDescent="0.2">
      <c r="A147">
        <v>146</v>
      </c>
      <c r="B147">
        <v>742</v>
      </c>
      <c r="C147">
        <v>220</v>
      </c>
      <c r="D147">
        <v>0.35090429985716198</v>
      </c>
      <c r="E147">
        <v>93.529800811966098</v>
      </c>
      <c r="F147">
        <v>1.7681995304825799</v>
      </c>
      <c r="G147">
        <v>-1550.0936693299773</v>
      </c>
      <c r="H147">
        <v>-1289.3603570512082</v>
      </c>
      <c r="I147">
        <v>256.84783308233301</v>
      </c>
      <c r="J147">
        <v>138.88130319426099</v>
      </c>
      <c r="K147">
        <v>52.895501440631897</v>
      </c>
      <c r="L147">
        <v>5.671315055809699E-4</v>
      </c>
      <c r="M147">
        <v>1.0796785298430541E-4</v>
      </c>
      <c r="N147" s="1">
        <v>1.74526676782724E-5</v>
      </c>
      <c r="O147" s="1">
        <v>6.1999408595237398E-6</v>
      </c>
      <c r="P147" s="1">
        <v>-1.87673786612695E-5</v>
      </c>
    </row>
    <row r="148" spans="1:16" x14ac:dyDescent="0.2">
      <c r="A148">
        <v>147</v>
      </c>
      <c r="B148">
        <v>740</v>
      </c>
      <c r="C148">
        <v>220</v>
      </c>
      <c r="D148">
        <v>0.34948477520604299</v>
      </c>
      <c r="E148">
        <v>96.272216328000098</v>
      </c>
      <c r="F148">
        <v>1.77803465919805</v>
      </c>
      <c r="G148">
        <v>-1594.1001768790888</v>
      </c>
      <c r="H148">
        <v>-1327.5544091853767</v>
      </c>
      <c r="I148">
        <v>263.091958333847</v>
      </c>
      <c r="J148">
        <v>142.618714134611</v>
      </c>
      <c r="K148">
        <v>54.145297916420802</v>
      </c>
      <c r="L148">
        <v>5.6168419322639464E-4</v>
      </c>
      <c r="M148">
        <v>1.0633238524601209E-4</v>
      </c>
      <c r="N148" s="1">
        <v>1.8092193137484401E-5</v>
      </c>
      <c r="O148" s="1">
        <v>6.2473078322269802E-6</v>
      </c>
      <c r="P148" s="1">
        <v>-1.9044771411336399E-5</v>
      </c>
    </row>
    <row r="149" spans="1:16" x14ac:dyDescent="0.2">
      <c r="A149">
        <v>148</v>
      </c>
      <c r="B149">
        <v>738</v>
      </c>
      <c r="C149">
        <v>220</v>
      </c>
      <c r="D149">
        <v>0.34805963506898102</v>
      </c>
      <c r="E149">
        <v>98.077556974706894</v>
      </c>
      <c r="F149">
        <v>1.7850036973913499</v>
      </c>
      <c r="G149">
        <v>-1622.8674701638449</v>
      </c>
      <c r="H149">
        <v>-1352.8044926322455</v>
      </c>
      <c r="I149">
        <v>267.09082012700901</v>
      </c>
      <c r="J149">
        <v>145.11167752690699</v>
      </c>
      <c r="K149">
        <v>54.945296257951398</v>
      </c>
      <c r="L149">
        <v>5.5819406126841041E-4</v>
      </c>
      <c r="M149">
        <v>1.0508585736604963E-4</v>
      </c>
      <c r="N149" s="1">
        <v>1.8652670610419399E-5</v>
      </c>
      <c r="O149" s="1">
        <v>6.2624286413295699E-6</v>
      </c>
      <c r="P149" s="1">
        <v>-1.9226394003199199E-5</v>
      </c>
    </row>
    <row r="150" spans="1:16" x14ac:dyDescent="0.2">
      <c r="A150">
        <v>149</v>
      </c>
      <c r="B150">
        <v>736</v>
      </c>
      <c r="C150">
        <v>220</v>
      </c>
      <c r="D150">
        <v>0.34662884605856398</v>
      </c>
      <c r="E150">
        <v>99.377438547108099</v>
      </c>
      <c r="F150">
        <v>1.7904962702821201</v>
      </c>
      <c r="G150">
        <v>-1643.4150502930274</v>
      </c>
      <c r="H150">
        <v>-1371.0733868867858</v>
      </c>
      <c r="I150">
        <v>269.87822260125199</v>
      </c>
      <c r="J150">
        <v>146.93561052595999</v>
      </c>
      <c r="K150">
        <v>55.5027341841094</v>
      </c>
      <c r="L150">
        <v>5.5570514423629953E-4</v>
      </c>
      <c r="M150">
        <v>1.0403933409332177E-4</v>
      </c>
      <c r="N150" s="1">
        <v>1.9169812168038601E-5</v>
      </c>
      <c r="O150" s="1">
        <v>6.2600773516546499E-6</v>
      </c>
      <c r="P150" s="1">
        <v>-1.93558401806918E-5</v>
      </c>
    </row>
    <row r="151" spans="1:16" x14ac:dyDescent="0.2">
      <c r="A151">
        <v>150</v>
      </c>
      <c r="B151">
        <v>734</v>
      </c>
      <c r="C151">
        <v>220</v>
      </c>
      <c r="D151">
        <v>0.345192374522167</v>
      </c>
      <c r="E151">
        <v>100.36956070106</v>
      </c>
      <c r="F151">
        <v>1.7951175728103801</v>
      </c>
      <c r="G151">
        <v>-1658.9581509894845</v>
      </c>
      <c r="H151">
        <v>-1385.0921802678206</v>
      </c>
      <c r="I151">
        <v>271.92766303708697</v>
      </c>
      <c r="J151">
        <v>148.35418236742899</v>
      </c>
      <c r="K151">
        <v>55.912527525383602</v>
      </c>
      <c r="L151">
        <v>5.5380124693394934E-4</v>
      </c>
      <c r="M151">
        <v>1.0311052466972593E-4</v>
      </c>
      <c r="N151" s="1">
        <v>1.9659702585936301E-5</v>
      </c>
      <c r="O151" s="1">
        <v>6.24702269284524E-6</v>
      </c>
      <c r="P151" s="1">
        <v>-1.94530438014615E-5</v>
      </c>
    </row>
    <row r="152" spans="1:16" x14ac:dyDescent="0.2">
      <c r="A152">
        <v>151</v>
      </c>
      <c r="B152">
        <v>760</v>
      </c>
      <c r="C152">
        <v>210</v>
      </c>
      <c r="D152">
        <v>0.374079756085759</v>
      </c>
      <c r="E152">
        <v>5.3301950017148298</v>
      </c>
      <c r="F152">
        <v>0.47019496186147802</v>
      </c>
      <c r="G152">
        <v>-116.31771587081346</v>
      </c>
      <c r="H152">
        <v>-67.536894573072175</v>
      </c>
      <c r="I152">
        <v>47.218575775669301</v>
      </c>
      <c r="J152">
        <v>21.066766149008799</v>
      </c>
      <c r="K152">
        <v>11.3361380577385</v>
      </c>
      <c r="L152">
        <v>1.4770021716131712E-3</v>
      </c>
      <c r="M152">
        <v>3.133227247520129E-4</v>
      </c>
      <c r="N152" s="1">
        <v>7.1170712850377496E-6</v>
      </c>
      <c r="O152" s="1">
        <v>4.1298768950673203E-6</v>
      </c>
      <c r="P152" s="1">
        <v>-1.10565190150332E-5</v>
      </c>
    </row>
    <row r="153" spans="1:16" x14ac:dyDescent="0.2">
      <c r="A153">
        <v>152</v>
      </c>
      <c r="B153">
        <v>758</v>
      </c>
      <c r="C153">
        <v>210</v>
      </c>
      <c r="D153">
        <v>0.37272996169325601</v>
      </c>
      <c r="E153">
        <v>5.6256525006199896</v>
      </c>
      <c r="F153">
        <v>0.49153070835736701</v>
      </c>
      <c r="G153">
        <v>-121.13252112998028</v>
      </c>
      <c r="H153">
        <v>-71.780156058757726</v>
      </c>
      <c r="I153">
        <v>47.864446529555302</v>
      </c>
      <c r="J153">
        <v>21.479856726587599</v>
      </c>
      <c r="K153">
        <v>11.4451699659217</v>
      </c>
      <c r="L153">
        <v>1.4658368210475304E-3</v>
      </c>
      <c r="M153">
        <v>3.0929656788781184E-4</v>
      </c>
      <c r="N153" s="1">
        <v>7.3835720057626997E-6</v>
      </c>
      <c r="O153" s="1">
        <v>4.1166206109150197E-6</v>
      </c>
      <c r="P153" s="1">
        <v>-1.11002287017867E-5</v>
      </c>
    </row>
    <row r="154" spans="1:16" x14ac:dyDescent="0.2">
      <c r="A154">
        <v>153</v>
      </c>
      <c r="B154">
        <v>756</v>
      </c>
      <c r="C154">
        <v>210</v>
      </c>
      <c r="D154">
        <v>0.371374921051355</v>
      </c>
      <c r="E154">
        <v>6.0392079658485001</v>
      </c>
      <c r="F154">
        <v>0.52018951584145101</v>
      </c>
      <c r="G154">
        <v>-127.90215526214654</v>
      </c>
      <c r="H154">
        <v>-77.705805880034916</v>
      </c>
      <c r="I154">
        <v>48.777554377947403</v>
      </c>
      <c r="J154">
        <v>22.044629483589301</v>
      </c>
      <c r="K154">
        <v>11.6096303019094</v>
      </c>
      <c r="L154">
        <v>1.4493188709126376E-3</v>
      </c>
      <c r="M154">
        <v>3.0418102592681554E-4</v>
      </c>
      <c r="N154" s="1">
        <v>7.66146289164207E-6</v>
      </c>
      <c r="O154" s="1">
        <v>4.1071511521175496E-6</v>
      </c>
      <c r="P154" s="1">
        <v>-1.1154474732644501E-5</v>
      </c>
    </row>
    <row r="155" spans="1:16" x14ac:dyDescent="0.2">
      <c r="A155">
        <v>154</v>
      </c>
      <c r="B155">
        <v>754</v>
      </c>
      <c r="C155">
        <v>210</v>
      </c>
      <c r="D155">
        <v>0.37001460351457899</v>
      </c>
      <c r="E155">
        <v>7.0540728524225704</v>
      </c>
      <c r="F155">
        <v>0.58417467747768603</v>
      </c>
      <c r="G155">
        <v>-144.66264939643682</v>
      </c>
      <c r="H155">
        <v>-92.087706539829043</v>
      </c>
      <c r="I155">
        <v>51.188285723980698</v>
      </c>
      <c r="J155">
        <v>23.438779483474299</v>
      </c>
      <c r="K155">
        <v>12.0752800906746</v>
      </c>
      <c r="L155">
        <v>1.4079752164717233E-3</v>
      </c>
      <c r="M155">
        <v>2.9387617971481187E-4</v>
      </c>
      <c r="N155" s="1">
        <v>7.9957959250606892E-6</v>
      </c>
      <c r="O155" s="1">
        <v>4.1271087426235903E-6</v>
      </c>
      <c r="P155" s="1">
        <v>-1.1289592748344199E-5</v>
      </c>
    </row>
    <row r="156" spans="1:16" x14ac:dyDescent="0.2">
      <c r="A156">
        <v>155</v>
      </c>
      <c r="B156">
        <v>752</v>
      </c>
      <c r="C156">
        <v>210</v>
      </c>
      <c r="D156">
        <v>0.36864897819831499</v>
      </c>
      <c r="E156">
        <v>10.6122245765574</v>
      </c>
      <c r="F156">
        <v>0.76823658972459297</v>
      </c>
      <c r="G156">
        <v>-203.64700749970154</v>
      </c>
      <c r="H156">
        <v>-142.21413969743006</v>
      </c>
      <c r="I156">
        <v>59.928889465032398</v>
      </c>
      <c r="J156">
        <v>28.342522410868501</v>
      </c>
      <c r="K156">
        <v>13.813745294742899</v>
      </c>
      <c r="L156">
        <v>1.2821410920124256E-3</v>
      </c>
      <c r="M156">
        <v>2.6595766741274084E-4</v>
      </c>
      <c r="N156" s="1">
        <v>8.5631729500146197E-6</v>
      </c>
      <c r="O156" s="1">
        <v>4.2709260483851998E-6</v>
      </c>
      <c r="P156" s="1">
        <v>-1.17674372636962E-5</v>
      </c>
    </row>
    <row r="157" spans="1:16" x14ac:dyDescent="0.2">
      <c r="A157">
        <v>156</v>
      </c>
      <c r="B157">
        <v>750</v>
      </c>
      <c r="C157">
        <v>210</v>
      </c>
      <c r="D157">
        <v>0.36727801397644499</v>
      </c>
      <c r="E157">
        <v>14.314594803912</v>
      </c>
      <c r="F157">
        <v>0.91639648300312704</v>
      </c>
      <c r="G157">
        <v>-264.93013485110458</v>
      </c>
      <c r="H157">
        <v>-194.33081987924331</v>
      </c>
      <c r="I157">
        <v>69.005210466729395</v>
      </c>
      <c r="J157">
        <v>33.446893255328597</v>
      </c>
      <c r="K157">
        <v>15.620525688838899</v>
      </c>
      <c r="L157">
        <v>1.180811366833414E-3</v>
      </c>
      <c r="M157">
        <v>2.4342116095617028E-4</v>
      </c>
      <c r="N157" s="1">
        <v>9.1608343819546897E-6</v>
      </c>
      <c r="O157" s="1">
        <v>4.4183436879985302E-6</v>
      </c>
      <c r="P157" s="1">
        <v>-1.226178443875E-5</v>
      </c>
    </row>
    <row r="158" spans="1:16" x14ac:dyDescent="0.2">
      <c r="A158">
        <v>157</v>
      </c>
      <c r="B158">
        <v>748</v>
      </c>
      <c r="C158">
        <v>210</v>
      </c>
      <c r="D158">
        <v>0.36590167947901903</v>
      </c>
      <c r="E158">
        <v>74.534805136173404</v>
      </c>
      <c r="F158">
        <v>1.6709968473122001</v>
      </c>
      <c r="G158">
        <v>-1243.6267635816034</v>
      </c>
      <c r="H158">
        <v>-1026.2502808624995</v>
      </c>
      <c r="I158">
        <v>212.87929228418</v>
      </c>
      <c r="J158">
        <v>113.65150124454</v>
      </c>
      <c r="K158">
        <v>44.6049944714511</v>
      </c>
      <c r="L158">
        <v>6.4793724106897057E-4</v>
      </c>
      <c r="M158">
        <v>1.3173797768093921E-4</v>
      </c>
      <c r="N158" s="1">
        <v>1.42517254330745E-5</v>
      </c>
      <c r="O158" s="1">
        <v>6.7905644830150703E-6</v>
      </c>
      <c r="P158" s="1">
        <v>-1.8980499271551502E-5</v>
      </c>
    </row>
    <row r="159" spans="1:16" x14ac:dyDescent="0.2">
      <c r="A159">
        <v>158</v>
      </c>
      <c r="B159">
        <v>746</v>
      </c>
      <c r="C159">
        <v>210</v>
      </c>
      <c r="D159">
        <v>0.36451994308983099</v>
      </c>
      <c r="E159">
        <v>87.577229815362202</v>
      </c>
      <c r="F159">
        <v>1.7234099896066699</v>
      </c>
      <c r="G159">
        <v>-1455.1104950388249</v>
      </c>
      <c r="H159">
        <v>-1206.7098614291945</v>
      </c>
      <c r="I159">
        <v>243.73864030642099</v>
      </c>
      <c r="J159">
        <v>131.065784477926</v>
      </c>
      <c r="K159">
        <v>50.816248219235</v>
      </c>
      <c r="L159">
        <v>6.1238214898828955E-4</v>
      </c>
      <c r="M159">
        <v>1.236962363593597E-4</v>
      </c>
      <c r="N159" s="1">
        <v>1.5724056257176002E-5</v>
      </c>
      <c r="O159" s="1">
        <v>7.2585674022372501E-6</v>
      </c>
      <c r="P159" s="1">
        <v>-2.0436130644106399E-5</v>
      </c>
    </row>
    <row r="160" spans="1:16" x14ac:dyDescent="0.2">
      <c r="A160">
        <v>159</v>
      </c>
      <c r="B160">
        <v>744</v>
      </c>
      <c r="C160">
        <v>210</v>
      </c>
      <c r="D160">
        <v>0.36313277294401303</v>
      </c>
      <c r="E160">
        <v>92.911554248332195</v>
      </c>
      <c r="F160">
        <v>1.7427879702164499</v>
      </c>
      <c r="G160">
        <v>-1541.2640255088147</v>
      </c>
      <c r="H160">
        <v>-1280.7198954974408</v>
      </c>
      <c r="I160">
        <v>256.15680283767699</v>
      </c>
      <c r="J160">
        <v>138.23233146653101</v>
      </c>
      <c r="K160">
        <v>53.312024087928798</v>
      </c>
      <c r="L160">
        <v>6.0020579486422981E-4</v>
      </c>
      <c r="M160">
        <v>1.2052430659486229E-4</v>
      </c>
      <c r="N160" s="1">
        <v>1.6605633255785901E-5</v>
      </c>
      <c r="O160" s="1">
        <v>7.4174831054876798E-6</v>
      </c>
      <c r="P160" s="1">
        <v>-2.1035837832829002E-5</v>
      </c>
    </row>
    <row r="161" spans="1:16" x14ac:dyDescent="0.2">
      <c r="A161">
        <v>160</v>
      </c>
      <c r="B161">
        <v>742</v>
      </c>
      <c r="C161">
        <v>210</v>
      </c>
      <c r="D161">
        <v>0.361740136925575</v>
      </c>
      <c r="E161">
        <v>95.853814336984797</v>
      </c>
      <c r="F161">
        <v>1.75375089506476</v>
      </c>
      <c r="G161">
        <v>-1588.5174540890414</v>
      </c>
      <c r="H161">
        <v>-1321.6815220231551</v>
      </c>
      <c r="I161">
        <v>262.85946125013498</v>
      </c>
      <c r="J161">
        <v>142.22427069044201</v>
      </c>
      <c r="K161">
        <v>54.656459253550302</v>
      </c>
      <c r="L161">
        <v>5.9396958952458178E-4</v>
      </c>
      <c r="M161">
        <v>1.1859114115584392E-4</v>
      </c>
      <c r="N161" s="1">
        <v>1.7305775297801502E-5</v>
      </c>
      <c r="O161" s="1">
        <v>7.4809682986383401E-6</v>
      </c>
      <c r="P161" s="1">
        <v>-2.13709458144219E-5</v>
      </c>
    </row>
    <row r="162" spans="1:16" x14ac:dyDescent="0.2">
      <c r="A162">
        <v>161</v>
      </c>
      <c r="B162">
        <v>740</v>
      </c>
      <c r="C162">
        <v>210</v>
      </c>
      <c r="D162">
        <v>0.36034200266496003</v>
      </c>
      <c r="E162">
        <v>97.762517542652105</v>
      </c>
      <c r="F162">
        <v>1.76136966795912</v>
      </c>
      <c r="G162">
        <v>-1618.9631681747644</v>
      </c>
      <c r="H162">
        <v>-1348.3637588720294</v>
      </c>
      <c r="I162">
        <v>267.09304268879703</v>
      </c>
      <c r="J162">
        <v>144.84731521222099</v>
      </c>
      <c r="K162">
        <v>55.5036908611741</v>
      </c>
      <c r="L162">
        <v>5.9008296162341048E-4</v>
      </c>
      <c r="M162">
        <v>1.1714937692271812E-4</v>
      </c>
      <c r="N162" s="1">
        <v>1.7928214412094601E-5</v>
      </c>
      <c r="O162" s="1">
        <v>7.50314365938049E-6</v>
      </c>
      <c r="P162" s="1">
        <v>-2.15912815931461E-5</v>
      </c>
    </row>
    <row r="163" spans="1:16" x14ac:dyDescent="0.2">
      <c r="A163">
        <v>162</v>
      </c>
      <c r="B163">
        <v>738</v>
      </c>
      <c r="C163">
        <v>210</v>
      </c>
      <c r="D163">
        <v>0.35893833753646798</v>
      </c>
      <c r="E163">
        <v>99.124334014038496</v>
      </c>
      <c r="F163">
        <v>1.76730324769428</v>
      </c>
      <c r="G163">
        <v>-1640.5157791254289</v>
      </c>
      <c r="H163">
        <v>-1367.4911880366888</v>
      </c>
      <c r="I163">
        <v>270.01981744058202</v>
      </c>
      <c r="J163">
        <v>146.74817583391899</v>
      </c>
      <c r="K163">
        <v>56.087903501202398</v>
      </c>
      <c r="L163">
        <v>5.8737220797433975E-4</v>
      </c>
      <c r="M163">
        <v>1.1595465020297936E-4</v>
      </c>
      <c r="N163" s="1">
        <v>1.8509669134571101E-5</v>
      </c>
      <c r="O163" s="1">
        <v>7.5033460860610197E-6</v>
      </c>
      <c r="P163" s="1">
        <v>-2.1750317271117398E-5</v>
      </c>
    </row>
    <row r="164" spans="1:16" x14ac:dyDescent="0.2">
      <c r="A164">
        <v>163</v>
      </c>
      <c r="B164">
        <v>736</v>
      </c>
      <c r="C164">
        <v>210</v>
      </c>
      <c r="D164">
        <v>0.35752910865580001</v>
      </c>
      <c r="E164">
        <v>100.157248516241</v>
      </c>
      <c r="F164">
        <v>1.77225616013359</v>
      </c>
      <c r="G164">
        <v>-1656.7202915614007</v>
      </c>
      <c r="H164">
        <v>-1382.075669851625</v>
      </c>
      <c r="I164">
        <v>272.16033252094098</v>
      </c>
      <c r="J164">
        <v>148.21660379644999</v>
      </c>
      <c r="K164">
        <v>56.513979620582496</v>
      </c>
      <c r="L164">
        <v>5.8533902415301286E-4</v>
      </c>
      <c r="M164">
        <v>1.1490317512856933E-4</v>
      </c>
      <c r="N164" s="1">
        <v>1.90662843529537E-5</v>
      </c>
      <c r="O164" s="1">
        <v>7.4902367722352497E-6</v>
      </c>
      <c r="P164" s="1">
        <v>-2.1871955646519402E-5</v>
      </c>
    </row>
    <row r="165" spans="1:16" x14ac:dyDescent="0.2">
      <c r="A165">
        <v>164</v>
      </c>
      <c r="B165">
        <v>760</v>
      </c>
      <c r="C165">
        <v>200</v>
      </c>
      <c r="D165">
        <v>0.38472680636887402</v>
      </c>
      <c r="E165">
        <v>5.4887301958269799</v>
      </c>
      <c r="F165">
        <v>0.45505687206717499</v>
      </c>
      <c r="G165">
        <v>-119.89597228012656</v>
      </c>
      <c r="H165">
        <v>-69.480029990313227</v>
      </c>
      <c r="I165">
        <v>48.801319535670501</v>
      </c>
      <c r="J165">
        <v>21.765147366477699</v>
      </c>
      <c r="K165">
        <v>12.0616356608207</v>
      </c>
      <c r="L165">
        <v>1.5294024524042343E-3</v>
      </c>
      <c r="M165">
        <v>3.4182390521239175E-4</v>
      </c>
      <c r="N165" s="1">
        <v>6.5048343359600599E-6</v>
      </c>
      <c r="O165" s="1">
        <v>5.0873426834354498E-6</v>
      </c>
      <c r="P165" s="1">
        <v>-1.27569090550704E-5</v>
      </c>
    </row>
    <row r="166" spans="1:16" x14ac:dyDescent="0.2">
      <c r="A166">
        <v>165</v>
      </c>
      <c r="B166">
        <v>758</v>
      </c>
      <c r="C166">
        <v>200</v>
      </c>
      <c r="D166">
        <v>0.383397662803666</v>
      </c>
      <c r="E166">
        <v>5.8516054593192397</v>
      </c>
      <c r="F166">
        <v>0.47966130671983698</v>
      </c>
      <c r="G166">
        <v>-125.82450798578799</v>
      </c>
      <c r="H166">
        <v>-74.685942416490718</v>
      </c>
      <c r="I166">
        <v>49.596777112969797</v>
      </c>
      <c r="J166">
        <v>22.267205411709899</v>
      </c>
      <c r="K166">
        <v>12.199452774991199</v>
      </c>
      <c r="L166">
        <v>1.5159241328665746E-3</v>
      </c>
      <c r="M166">
        <v>3.3696970995878502E-4</v>
      </c>
      <c r="N166" s="1">
        <v>6.8082567745971097E-6</v>
      </c>
      <c r="O166" s="1">
        <v>5.0743287882941496E-6</v>
      </c>
      <c r="P166" s="1">
        <v>-1.2818514599508999E-5</v>
      </c>
    </row>
    <row r="167" spans="1:16" x14ac:dyDescent="0.2">
      <c r="A167">
        <v>166</v>
      </c>
      <c r="B167">
        <v>756</v>
      </c>
      <c r="C167">
        <v>200</v>
      </c>
      <c r="D167">
        <v>0.38206335325268598</v>
      </c>
      <c r="E167">
        <v>7.6124490675901502</v>
      </c>
      <c r="F167">
        <v>0.58384250177805197</v>
      </c>
      <c r="G167">
        <v>-154.98192613301347</v>
      </c>
      <c r="H167">
        <v>-99.560869755144495</v>
      </c>
      <c r="I167">
        <v>53.854411524973898</v>
      </c>
      <c r="J167">
        <v>24.685417007682499</v>
      </c>
      <c r="K167">
        <v>13.038531871878</v>
      </c>
      <c r="L167">
        <v>1.4450887193251034E-3</v>
      </c>
      <c r="M167">
        <v>3.1936637033361123E-4</v>
      </c>
      <c r="N167" s="1">
        <v>7.2177804764724297E-6</v>
      </c>
      <c r="O167" s="1">
        <v>5.14088110323083E-6</v>
      </c>
      <c r="P167" s="1">
        <v>-1.30830425574659E-5</v>
      </c>
    </row>
    <row r="168" spans="1:16" x14ac:dyDescent="0.2">
      <c r="A168">
        <v>167</v>
      </c>
      <c r="B168">
        <v>754</v>
      </c>
      <c r="C168">
        <v>200</v>
      </c>
      <c r="D168">
        <v>0.38072384753930699</v>
      </c>
      <c r="E168">
        <v>11.161501328324899</v>
      </c>
      <c r="F168">
        <v>0.75546149426228104</v>
      </c>
      <c r="G168">
        <v>-213.8014515642576</v>
      </c>
      <c r="H168">
        <v>-149.56471048058444</v>
      </c>
      <c r="I168">
        <v>62.5420596713046</v>
      </c>
      <c r="J168">
        <v>29.562704773550099</v>
      </c>
      <c r="K168">
        <v>14.7744145970329</v>
      </c>
      <c r="L168">
        <v>1.3251714351677078E-3</v>
      </c>
      <c r="M168">
        <v>2.9104325906275719E-4</v>
      </c>
      <c r="N168" s="1">
        <v>7.7740591216696203E-6</v>
      </c>
      <c r="O168" s="1">
        <v>5.3082464987277997E-6</v>
      </c>
      <c r="P168" s="1">
        <v>-1.3609466606104299E-5</v>
      </c>
    </row>
    <row r="169" spans="1:16" x14ac:dyDescent="0.2">
      <c r="A169">
        <v>168</v>
      </c>
      <c r="B169">
        <v>752</v>
      </c>
      <c r="C169">
        <v>200</v>
      </c>
      <c r="D169">
        <v>0.37937911525142798</v>
      </c>
      <c r="E169">
        <v>14.8571085081972</v>
      </c>
      <c r="F169">
        <v>0.89610320200541105</v>
      </c>
      <c r="G169">
        <v>-274.95692678991117</v>
      </c>
      <c r="H169">
        <v>-201.59106887776011</v>
      </c>
      <c r="I169">
        <v>71.5693528253869</v>
      </c>
      <c r="J169">
        <v>34.642459881321201</v>
      </c>
      <c r="K169">
        <v>16.579684655682701</v>
      </c>
      <c r="L169">
        <v>1.2268557288537016E-3</v>
      </c>
      <c r="M169">
        <v>2.6776990199898245E-4</v>
      </c>
      <c r="N169" s="1">
        <v>8.3620821144728893E-6</v>
      </c>
      <c r="O169" s="1">
        <v>5.47996705127132E-6</v>
      </c>
      <c r="P169" s="1">
        <v>-1.4154524947944601E-5</v>
      </c>
    </row>
    <row r="170" spans="1:16" x14ac:dyDescent="0.2">
      <c r="A170">
        <v>169</v>
      </c>
      <c r="B170">
        <v>750</v>
      </c>
      <c r="C170">
        <v>200</v>
      </c>
      <c r="D170">
        <v>0.37802912573913899</v>
      </c>
      <c r="E170">
        <v>72.567441702869601</v>
      </c>
      <c r="F170">
        <v>1.63297939982021</v>
      </c>
      <c r="G170">
        <v>-1212.880763512547</v>
      </c>
      <c r="H170">
        <v>-998.92887146248938</v>
      </c>
      <c r="I170">
        <v>209.11603587988799</v>
      </c>
      <c r="J170">
        <v>111.2798789022</v>
      </c>
      <c r="K170">
        <v>44.4386755343385</v>
      </c>
      <c r="L170">
        <v>6.9245280083940486E-4</v>
      </c>
      <c r="M170">
        <v>1.4914236170005565E-4</v>
      </c>
      <c r="N170" s="1">
        <v>1.26763049902324E-5</v>
      </c>
      <c r="O170" s="1">
        <v>8.1449123255104401E-6</v>
      </c>
      <c r="P170" s="1">
        <v>-2.1193987393176501E-5</v>
      </c>
    </row>
    <row r="171" spans="1:16" x14ac:dyDescent="0.2">
      <c r="A171">
        <v>170</v>
      </c>
      <c r="B171">
        <v>748</v>
      </c>
      <c r="C171">
        <v>200</v>
      </c>
      <c r="D171">
        <v>0.37667384811242399</v>
      </c>
      <c r="E171">
        <v>86.821118863667294</v>
      </c>
      <c r="F171">
        <v>1.6941354556160899</v>
      </c>
      <c r="G171">
        <v>-1444.0527588755608</v>
      </c>
      <c r="H171">
        <v>-1196.1447766643817</v>
      </c>
      <c r="I171">
        <v>242.77880993671701</v>
      </c>
      <c r="J171">
        <v>130.24638203230299</v>
      </c>
      <c r="K171">
        <v>51.248038387871297</v>
      </c>
      <c r="L171">
        <v>6.4975105690553915E-4</v>
      </c>
      <c r="M171">
        <v>1.3900572608113409E-4</v>
      </c>
      <c r="N171" s="1">
        <v>1.41508870572252E-5</v>
      </c>
      <c r="O171" s="1">
        <v>8.7505660587902199E-6</v>
      </c>
      <c r="P171" s="1">
        <v>-2.2940578616445099E-5</v>
      </c>
    </row>
    <row r="172" spans="1:16" x14ac:dyDescent="0.2">
      <c r="A172">
        <v>171</v>
      </c>
      <c r="B172">
        <v>746</v>
      </c>
      <c r="C172">
        <v>200</v>
      </c>
      <c r="D172">
        <v>0.37531325123877901</v>
      </c>
      <c r="E172">
        <v>92.337203978095999</v>
      </c>
      <c r="F172">
        <v>1.71517258591689</v>
      </c>
      <c r="G172">
        <v>-1533.153037264872</v>
      </c>
      <c r="H172">
        <v>-1272.6605579725849</v>
      </c>
      <c r="I172">
        <v>255.60343451000901</v>
      </c>
      <c r="J172">
        <v>137.634768062121</v>
      </c>
      <c r="K172">
        <v>53.835517624446297</v>
      </c>
      <c r="L172">
        <v>6.3621861746465029E-4</v>
      </c>
      <c r="M172">
        <v>1.3529691525465348E-4</v>
      </c>
      <c r="N172" s="1">
        <v>1.50528864516642E-5</v>
      </c>
      <c r="O172" s="1">
        <v>8.9470027965089292E-6</v>
      </c>
      <c r="P172" s="1">
        <v>-2.3631904476631901E-5</v>
      </c>
    </row>
    <row r="173" spans="1:16" x14ac:dyDescent="0.2">
      <c r="A173">
        <v>172</v>
      </c>
      <c r="B173">
        <v>744</v>
      </c>
      <c r="C173">
        <v>200</v>
      </c>
      <c r="D173">
        <v>0.373947303740848</v>
      </c>
      <c r="E173">
        <v>95.5138465422325</v>
      </c>
      <c r="F173">
        <v>1.72747853493519</v>
      </c>
      <c r="G173">
        <v>-1584.217640344385</v>
      </c>
      <c r="H173">
        <v>-1316.8760143799871</v>
      </c>
      <c r="I173">
        <v>262.83977686427198</v>
      </c>
      <c r="J173">
        <v>141.92484420946701</v>
      </c>
      <c r="K173">
        <v>55.290902092636202</v>
      </c>
      <c r="L173">
        <v>6.2904007012038029E-4</v>
      </c>
      <c r="M173">
        <v>1.3299127727842459E-4</v>
      </c>
      <c r="N173" s="1">
        <v>1.5805336061381999E-5</v>
      </c>
      <c r="O173" s="1">
        <v>9.0329486001623496E-6</v>
      </c>
      <c r="P173" s="1">
        <v>-2.40387696720168E-5</v>
      </c>
    </row>
    <row r="174" spans="1:16" x14ac:dyDescent="0.2">
      <c r="A174">
        <v>173</v>
      </c>
      <c r="B174">
        <v>742</v>
      </c>
      <c r="C174">
        <v>200</v>
      </c>
      <c r="D174">
        <v>0.37257597399398801</v>
      </c>
      <c r="E174">
        <v>97.501819506977697</v>
      </c>
      <c r="F174">
        <v>1.7357131785851401</v>
      </c>
      <c r="G174">
        <v>-1615.9500988341147</v>
      </c>
      <c r="H174">
        <v>-1344.6575728901194</v>
      </c>
      <c r="I174">
        <v>267.24960502520298</v>
      </c>
      <c r="J174">
        <v>144.64604439931301</v>
      </c>
      <c r="K174">
        <v>56.173923612457301</v>
      </c>
      <c r="L174">
        <v>6.2479711085874283E-4</v>
      </c>
      <c r="M174">
        <v>1.3133397447033583E-4</v>
      </c>
      <c r="N174" s="1">
        <v>1.6483217924396002E-5</v>
      </c>
      <c r="O174" s="1">
        <v>9.0637659048736293E-6</v>
      </c>
      <c r="P174" s="1">
        <v>-2.4303062446250401E-5</v>
      </c>
    </row>
    <row r="175" spans="1:16" x14ac:dyDescent="0.2">
      <c r="A175">
        <v>174</v>
      </c>
      <c r="B175">
        <v>740</v>
      </c>
      <c r="C175">
        <v>200</v>
      </c>
      <c r="D175">
        <v>0.37119923012387401</v>
      </c>
      <c r="E175">
        <v>98.911421027693194</v>
      </c>
      <c r="F175">
        <v>1.74207209771406</v>
      </c>
      <c r="G175">
        <v>-1638.2777145562577</v>
      </c>
      <c r="H175">
        <v>-1364.4480318774408</v>
      </c>
      <c r="I175">
        <v>270.28143306033598</v>
      </c>
      <c r="J175">
        <v>146.60550809701499</v>
      </c>
      <c r="K175">
        <v>56.7780295416499</v>
      </c>
      <c r="L175">
        <v>6.2190015229008396E-4</v>
      </c>
      <c r="M175">
        <v>1.2997537115922315E-4</v>
      </c>
      <c r="N175" s="1">
        <v>1.71262405512781E-5</v>
      </c>
      <c r="O175" s="1">
        <v>9.0673786434110705E-6</v>
      </c>
      <c r="P175" s="1">
        <v>-2.4496916853307099E-5</v>
      </c>
    </row>
    <row r="176" spans="1:16" x14ac:dyDescent="0.2">
      <c r="A176">
        <v>175</v>
      </c>
      <c r="B176">
        <v>738</v>
      </c>
      <c r="C176">
        <v>200</v>
      </c>
      <c r="D176">
        <v>0.36981704000395799</v>
      </c>
      <c r="E176">
        <v>99.976043293824802</v>
      </c>
      <c r="F176">
        <v>1.7473497422361099</v>
      </c>
      <c r="G176">
        <v>-1654.9959566397115</v>
      </c>
      <c r="H176">
        <v>-1379.4726636625339</v>
      </c>
      <c r="I176">
        <v>272.491000119744</v>
      </c>
      <c r="J176">
        <v>148.11241816853101</v>
      </c>
      <c r="K176">
        <v>57.215817118491501</v>
      </c>
      <c r="L176">
        <v>6.1977156970934131E-4</v>
      </c>
      <c r="M176">
        <v>1.2878819006835373E-4</v>
      </c>
      <c r="N176" s="1">
        <v>1.7749201550992502E-5</v>
      </c>
      <c r="O176" s="1">
        <v>9.0546266104465798E-6</v>
      </c>
      <c r="P176" s="1">
        <v>-2.4648191414471301E-5</v>
      </c>
    </row>
    <row r="177" spans="1:16" x14ac:dyDescent="0.2">
      <c r="A177">
        <v>176</v>
      </c>
      <c r="B177">
        <v>762</v>
      </c>
      <c r="C177">
        <v>190</v>
      </c>
      <c r="D177">
        <v>0.39667729314592298</v>
      </c>
      <c r="E177">
        <v>5.6467760379424501</v>
      </c>
      <c r="F177">
        <v>0.43767598522633899</v>
      </c>
      <c r="G177">
        <v>-123.57548137949085</v>
      </c>
      <c r="H177">
        <v>-71.358986231054956</v>
      </c>
      <c r="I177">
        <v>50.4465310152505</v>
      </c>
      <c r="J177">
        <v>22.4192598409368</v>
      </c>
      <c r="K177">
        <v>12.9017269133975</v>
      </c>
      <c r="L177">
        <v>1.579624449791744E-3</v>
      </c>
      <c r="M177">
        <v>3.7563699623021398E-4</v>
      </c>
      <c r="N177" s="1">
        <v>5.0696387961743603E-6</v>
      </c>
      <c r="O177" s="1">
        <v>6.3473277471420899E-6</v>
      </c>
      <c r="P177" s="1">
        <v>-1.4701978135458201E-5</v>
      </c>
    </row>
    <row r="178" spans="1:16" x14ac:dyDescent="0.2">
      <c r="A178">
        <v>177</v>
      </c>
      <c r="B178">
        <v>760</v>
      </c>
      <c r="C178">
        <v>190</v>
      </c>
      <c r="D178">
        <v>0.39537385665198899</v>
      </c>
      <c r="E178">
        <v>5.6949096672879698</v>
      </c>
      <c r="F178">
        <v>0.44192110281256802</v>
      </c>
      <c r="G178">
        <v>-124.28131758081756</v>
      </c>
      <c r="H178">
        <v>-72.086565869345677</v>
      </c>
      <c r="I178">
        <v>50.523143015583003</v>
      </c>
      <c r="J178">
        <v>22.520657244291701</v>
      </c>
      <c r="K178">
        <v>12.886711295394599</v>
      </c>
      <c r="L178">
        <v>1.5816630819588092E-3</v>
      </c>
      <c r="M178">
        <v>3.7403080485065083E-4</v>
      </c>
      <c r="N178" s="1">
        <v>5.3870248795119497E-6</v>
      </c>
      <c r="O178" s="1">
        <v>6.3171490567875197E-6</v>
      </c>
      <c r="P178" s="1">
        <v>-1.47433060823797E-5</v>
      </c>
    </row>
    <row r="179" spans="1:16" x14ac:dyDescent="0.2">
      <c r="A179">
        <v>178</v>
      </c>
      <c r="B179">
        <v>758</v>
      </c>
      <c r="C179">
        <v>190</v>
      </c>
      <c r="D179">
        <v>0.39406536391407598</v>
      </c>
      <c r="E179">
        <v>8.3983124605287909</v>
      </c>
      <c r="F179">
        <v>0.591384698439681</v>
      </c>
      <c r="G179">
        <v>-169.09894176895887</v>
      </c>
      <c r="H179">
        <v>-110.22209723015575</v>
      </c>
      <c r="I179">
        <v>57.101458836146001</v>
      </c>
      <c r="J179">
        <v>26.223762217771998</v>
      </c>
      <c r="K179">
        <v>14.2010986802449</v>
      </c>
      <c r="L179">
        <v>1.4761504984110376E-3</v>
      </c>
      <c r="M179">
        <v>3.469606415024641E-4</v>
      </c>
      <c r="N179" s="1">
        <v>5.8486256758987302E-6</v>
      </c>
      <c r="O179" s="1">
        <v>6.4599740177889698E-6</v>
      </c>
      <c r="P179" s="1">
        <v>-1.5191558417520301E-5</v>
      </c>
    </row>
    <row r="180" spans="1:16" x14ac:dyDescent="0.2">
      <c r="A180">
        <v>179</v>
      </c>
      <c r="B180">
        <v>756</v>
      </c>
      <c r="C180">
        <v>190</v>
      </c>
      <c r="D180">
        <v>0.39275178545401701</v>
      </c>
      <c r="E180">
        <v>11.9417075806246</v>
      </c>
      <c r="F180">
        <v>0.74932977172752901</v>
      </c>
      <c r="G180">
        <v>-227.80583663593896</v>
      </c>
      <c r="H180">
        <v>-160.14907041655471</v>
      </c>
      <c r="I180">
        <v>65.743779967197298</v>
      </c>
      <c r="J180">
        <v>31.0790856760898</v>
      </c>
      <c r="K180">
        <v>15.9365182476252</v>
      </c>
      <c r="L180">
        <v>1.3636026629401438E-3</v>
      </c>
      <c r="M180">
        <v>3.1850207564271119E-4</v>
      </c>
      <c r="N180" s="1">
        <v>6.3774160059358601E-6</v>
      </c>
      <c r="O180" s="1">
        <v>6.6565391390199996E-6</v>
      </c>
      <c r="P180" s="1">
        <v>-1.5773494455161199E-5</v>
      </c>
    </row>
    <row r="181" spans="1:16" x14ac:dyDescent="0.2">
      <c r="A181">
        <v>180</v>
      </c>
      <c r="B181">
        <v>754</v>
      </c>
      <c r="C181">
        <v>190</v>
      </c>
      <c r="D181">
        <v>0.391433091564035</v>
      </c>
      <c r="E181">
        <v>15.6409989301265</v>
      </c>
      <c r="F181">
        <v>0.88138918409146805</v>
      </c>
      <c r="G181">
        <v>-289.00027468541106</v>
      </c>
      <c r="H181">
        <v>-212.22805738182947</v>
      </c>
      <c r="I181">
        <v>74.746421539767397</v>
      </c>
      <c r="J181">
        <v>36.148034162009601</v>
      </c>
      <c r="K181">
        <v>17.745848499660401</v>
      </c>
      <c r="L181">
        <v>1.2694431088078031E-3</v>
      </c>
      <c r="M181">
        <v>2.9464716567231987E-4</v>
      </c>
      <c r="N181" s="1">
        <v>6.9391768782729798E-6</v>
      </c>
      <c r="O181" s="1">
        <v>6.8588158238800797E-6</v>
      </c>
      <c r="P181" s="1">
        <v>-1.63774771850264E-5</v>
      </c>
    </row>
    <row r="182" spans="1:16" x14ac:dyDescent="0.2">
      <c r="A182">
        <v>181</v>
      </c>
      <c r="B182">
        <v>752</v>
      </c>
      <c r="C182">
        <v>190</v>
      </c>
      <c r="D182">
        <v>0.39010925230454402</v>
      </c>
      <c r="E182">
        <v>71.952808387719898</v>
      </c>
      <c r="F182">
        <v>1.5982027157185501</v>
      </c>
      <c r="G182">
        <v>-1204.1352454742641</v>
      </c>
      <c r="H182">
        <v>-990.27844035518046</v>
      </c>
      <c r="I182">
        <v>208.61532534743901</v>
      </c>
      <c r="J182">
        <v>110.691232218108</v>
      </c>
      <c r="K182">
        <v>45.021077539196803</v>
      </c>
      <c r="L182">
        <v>7.3603513437127768E-4</v>
      </c>
      <c r="M182">
        <v>1.686678397643311E-4</v>
      </c>
      <c r="N182" s="1">
        <v>1.03551162733821E-5</v>
      </c>
      <c r="O182" s="1">
        <v>9.9268461802519099E-6</v>
      </c>
      <c r="P182" s="1">
        <v>-2.38845182718976E-5</v>
      </c>
    </row>
    <row r="183" spans="1:16" x14ac:dyDescent="0.2">
      <c r="A183">
        <v>182</v>
      </c>
      <c r="B183">
        <v>750</v>
      </c>
      <c r="C183">
        <v>190</v>
      </c>
      <c r="D183">
        <v>0.38878023750183299</v>
      </c>
      <c r="E183">
        <v>86.463236395292796</v>
      </c>
      <c r="F183">
        <v>1.6636218928159801</v>
      </c>
      <c r="G183">
        <v>-1439.4776701029068</v>
      </c>
      <c r="H183">
        <v>-1191.0649788084945</v>
      </c>
      <c r="I183">
        <v>242.797538364649</v>
      </c>
      <c r="J183">
        <v>129.93701570304501</v>
      </c>
      <c r="K183">
        <v>51.972889253661997</v>
      </c>
      <c r="L183">
        <v>6.8924940763815084E-4</v>
      </c>
      <c r="M183">
        <v>1.5687237065187859E-4</v>
      </c>
      <c r="N183" s="1">
        <v>1.1688640952350799E-5</v>
      </c>
      <c r="O183" s="1">
        <v>1.0657186709643101E-5</v>
      </c>
      <c r="P183" s="1">
        <v>-2.5839559892580301E-5</v>
      </c>
    </row>
    <row r="184" spans="1:16" x14ac:dyDescent="0.2">
      <c r="A184">
        <v>183</v>
      </c>
      <c r="B184">
        <v>748</v>
      </c>
      <c r="C184">
        <v>190</v>
      </c>
      <c r="D184">
        <v>0.38744601674582602</v>
      </c>
      <c r="E184">
        <v>92.084816162667494</v>
      </c>
      <c r="F184">
        <v>1.68607490311191</v>
      </c>
      <c r="G184">
        <v>-1530.2897626411457</v>
      </c>
      <c r="H184">
        <v>-1269.0472643765163</v>
      </c>
      <c r="I184">
        <v>255.83730888903699</v>
      </c>
      <c r="J184">
        <v>137.442986285546</v>
      </c>
      <c r="K184">
        <v>54.6149023348312</v>
      </c>
      <c r="L184">
        <v>6.745431475757164E-4</v>
      </c>
      <c r="M184">
        <v>1.5259291868961527E-4</v>
      </c>
      <c r="N184" s="1">
        <v>1.25771285123013E-5</v>
      </c>
      <c r="O184" s="1">
        <v>1.08967614854504E-5</v>
      </c>
      <c r="P184" s="1">
        <v>-2.6625018036588099E-5</v>
      </c>
    </row>
    <row r="185" spans="1:16" x14ac:dyDescent="0.2">
      <c r="A185">
        <v>184</v>
      </c>
      <c r="B185">
        <v>746</v>
      </c>
      <c r="C185">
        <v>190</v>
      </c>
      <c r="D185">
        <v>0.38610655938772698</v>
      </c>
      <c r="E185">
        <v>95.288548605484095</v>
      </c>
      <c r="F185">
        <v>1.69904734843765</v>
      </c>
      <c r="G185">
        <v>-1581.7908774306682</v>
      </c>
      <c r="H185">
        <v>-1313.6376872324288</v>
      </c>
      <c r="I185">
        <v>263.12029643854999</v>
      </c>
      <c r="J185">
        <v>141.75798624449899</v>
      </c>
      <c r="K185">
        <v>56.083515679010397</v>
      </c>
      <c r="L185">
        <v>6.6691479378877105E-4</v>
      </c>
      <c r="M185">
        <v>1.4997462251606589E-4</v>
      </c>
      <c r="N185" s="1">
        <v>1.3350538123656499E-5</v>
      </c>
      <c r="O185" s="1">
        <v>1.10020365315479E-5</v>
      </c>
      <c r="P185" s="1">
        <v>-2.70910609186688E-5</v>
      </c>
    </row>
    <row r="186" spans="1:16" x14ac:dyDescent="0.2">
      <c r="A186">
        <v>185</v>
      </c>
      <c r="B186">
        <v>744</v>
      </c>
      <c r="C186">
        <v>190</v>
      </c>
      <c r="D186">
        <v>0.38476183453767998</v>
      </c>
      <c r="E186">
        <v>97.318580127799095</v>
      </c>
      <c r="F186">
        <v>1.7078077740744</v>
      </c>
      <c r="G186">
        <v>-1614.2051309026026</v>
      </c>
      <c r="H186">
        <v>-1342.004144219922</v>
      </c>
      <c r="I186">
        <v>267.61726744268702</v>
      </c>
      <c r="J186">
        <v>144.52827977949499</v>
      </c>
      <c r="K186">
        <v>56.984504699625099</v>
      </c>
      <c r="L186">
        <v>6.6241010838272261E-4</v>
      </c>
      <c r="M186">
        <v>1.4808959667409182E-4</v>
      </c>
      <c r="N186" s="1">
        <v>1.40708130302144E-5</v>
      </c>
      <c r="O186" s="1">
        <v>1.10428369188153E-5</v>
      </c>
      <c r="P186" s="1">
        <v>-2.7403376175848601E-5</v>
      </c>
    </row>
    <row r="187" spans="1:16" x14ac:dyDescent="0.2">
      <c r="A187">
        <v>186</v>
      </c>
      <c r="B187">
        <v>742</v>
      </c>
      <c r="C187">
        <v>190</v>
      </c>
      <c r="D187">
        <v>0.38341181106240502</v>
      </c>
      <c r="E187">
        <v>98.754882633942898</v>
      </c>
      <c r="F187">
        <v>1.7145472176343499</v>
      </c>
      <c r="G187">
        <v>-1636.9649951477923</v>
      </c>
      <c r="H187">
        <v>-1362.1661164578099</v>
      </c>
      <c r="I187">
        <v>270.703675067706</v>
      </c>
      <c r="J187">
        <v>146.51896565033999</v>
      </c>
      <c r="K187">
        <v>57.5982286274971</v>
      </c>
      <c r="L187">
        <v>6.5939532645552495E-4</v>
      </c>
      <c r="M187">
        <v>1.4655550531312249E-4</v>
      </c>
      <c r="N187" s="1">
        <v>1.47670045299711E-5</v>
      </c>
      <c r="O187" s="1">
        <v>1.1050704500545601E-5</v>
      </c>
      <c r="P187" s="1">
        <v>-2.7637168760826799E-5</v>
      </c>
    </row>
    <row r="188" spans="1:16" x14ac:dyDescent="0.2">
      <c r="A188">
        <v>187</v>
      </c>
      <c r="B188">
        <v>740</v>
      </c>
      <c r="C188">
        <v>190</v>
      </c>
      <c r="D188">
        <v>0.382056457582788</v>
      </c>
      <c r="E188">
        <v>99.837993710592301</v>
      </c>
      <c r="F188">
        <v>1.72012547918618</v>
      </c>
      <c r="G188">
        <v>-1653.9820721841825</v>
      </c>
      <c r="H188">
        <v>-1377.4480993280631</v>
      </c>
      <c r="I188">
        <v>272.95065891481897</v>
      </c>
      <c r="J188">
        <v>148.04758660118799</v>
      </c>
      <c r="K188">
        <v>58.041110906529198</v>
      </c>
      <c r="L188">
        <v>6.5722843935765263E-4</v>
      </c>
      <c r="M188">
        <v>1.4522196191947017E-4</v>
      </c>
      <c r="N188" s="1">
        <v>1.5450795353802299E-5</v>
      </c>
      <c r="O188" s="1">
        <v>1.10387932855802E-5</v>
      </c>
      <c r="P188" s="1">
        <v>-2.78236939897263E-5</v>
      </c>
    </row>
    <row r="189" spans="1:16" x14ac:dyDescent="0.2">
      <c r="A189">
        <v>188</v>
      </c>
      <c r="B189">
        <v>764</v>
      </c>
      <c r="C189">
        <v>180</v>
      </c>
      <c r="D189">
        <v>0.40858169020874802</v>
      </c>
      <c r="E189">
        <v>5.8069585170489502</v>
      </c>
      <c r="F189">
        <v>0.41939386807347301</v>
      </c>
      <c r="G189">
        <v>-127.32047329354991</v>
      </c>
      <c r="H189">
        <v>-73.247271206836146</v>
      </c>
      <c r="I189">
        <v>52.139541228332703</v>
      </c>
      <c r="J189">
        <v>23.059759517964402</v>
      </c>
      <c r="K189">
        <v>13.8460739631787</v>
      </c>
      <c r="L189">
        <v>1.6298838109191599E-3</v>
      </c>
      <c r="M189">
        <v>4.1443282257927369E-4</v>
      </c>
      <c r="N189" s="1">
        <v>2.8871782719657202E-6</v>
      </c>
      <c r="O189" s="1">
        <v>7.97881810191115E-6</v>
      </c>
      <c r="P189" s="1">
        <v>-1.69406863090463E-5</v>
      </c>
    </row>
    <row r="190" spans="1:16" x14ac:dyDescent="0.2">
      <c r="A190">
        <v>189</v>
      </c>
      <c r="B190">
        <v>762</v>
      </c>
      <c r="C190">
        <v>180</v>
      </c>
      <c r="D190">
        <v>0.40730377240013699</v>
      </c>
      <c r="E190">
        <v>6.1519916275622402</v>
      </c>
      <c r="F190">
        <v>0.43992815532475599</v>
      </c>
      <c r="G190">
        <v>-132.96692244809148</v>
      </c>
      <c r="H190">
        <v>-78.114548785551918</v>
      </c>
      <c r="I190">
        <v>52.993006773664803</v>
      </c>
      <c r="J190">
        <v>23.588203060570901</v>
      </c>
      <c r="K190">
        <v>13.9840825214308</v>
      </c>
      <c r="L190">
        <v>1.6205287486242975E-3</v>
      </c>
      <c r="M190">
        <v>4.0967569599569594E-4</v>
      </c>
      <c r="N190" s="1">
        <v>3.2388391677756799E-6</v>
      </c>
      <c r="O190" s="1">
        <v>7.9731364759163001E-6</v>
      </c>
      <c r="P190" s="1">
        <v>-1.70602854596597E-5</v>
      </c>
    </row>
    <row r="191" spans="1:16" x14ac:dyDescent="0.2">
      <c r="A191">
        <v>190</v>
      </c>
      <c r="B191">
        <v>760</v>
      </c>
      <c r="C191">
        <v>180</v>
      </c>
      <c r="D191">
        <v>0.40602090693510101</v>
      </c>
      <c r="E191">
        <v>9.4569609646190091</v>
      </c>
      <c r="F191">
        <v>0.60596654426194596</v>
      </c>
      <c r="G191">
        <v>-187.76839514888272</v>
      </c>
      <c r="H191">
        <v>-124.70623338412413</v>
      </c>
      <c r="I191">
        <v>61.042063779948897</v>
      </c>
      <c r="J191">
        <v>28.104933300318802</v>
      </c>
      <c r="K191">
        <v>15.6064077368122</v>
      </c>
      <c r="L191">
        <v>1.5004737042290141E-3</v>
      </c>
      <c r="M191">
        <v>3.7695288890991714E-4</v>
      </c>
      <c r="N191" s="1">
        <v>3.6834753313776602E-6</v>
      </c>
      <c r="O191" s="1">
        <v>8.1924685709872398E-6</v>
      </c>
      <c r="P191" s="1">
        <v>-1.7666407647066602E-5</v>
      </c>
    </row>
    <row r="192" spans="1:16" x14ac:dyDescent="0.2">
      <c r="A192">
        <v>191</v>
      </c>
      <c r="B192">
        <v>758</v>
      </c>
      <c r="C192">
        <v>180</v>
      </c>
      <c r="D192">
        <v>0.40473306502448703</v>
      </c>
      <c r="E192">
        <v>13.0008343699051</v>
      </c>
      <c r="F192">
        <v>0.74955009413998197</v>
      </c>
      <c r="G192">
        <v>-246.45798316365997</v>
      </c>
      <c r="H192">
        <v>-174.63912154871957</v>
      </c>
      <c r="I192">
        <v>69.652741390915907</v>
      </c>
      <c r="J192">
        <v>32.946009986016399</v>
      </c>
      <c r="K192">
        <v>17.3448505597508</v>
      </c>
      <c r="L192">
        <v>1.39645949946203E-3</v>
      </c>
      <c r="M192">
        <v>3.4861631016863654E-4</v>
      </c>
      <c r="N192" s="1">
        <v>4.1615659752007799E-6</v>
      </c>
      <c r="O192" s="1">
        <v>8.4256649184974502E-6</v>
      </c>
      <c r="P192" s="1">
        <v>-1.8311640715134199E-5</v>
      </c>
    </row>
    <row r="193" spans="1:16" x14ac:dyDescent="0.2">
      <c r="A193">
        <v>192</v>
      </c>
      <c r="B193">
        <v>756</v>
      </c>
      <c r="C193">
        <v>180</v>
      </c>
      <c r="D193">
        <v>0.40344021765534699</v>
      </c>
      <c r="E193">
        <v>16.7203701924394</v>
      </c>
      <c r="F193">
        <v>0.87235652963263199</v>
      </c>
      <c r="G193">
        <v>-307.95690711590413</v>
      </c>
      <c r="H193">
        <v>-226.99822034362316</v>
      </c>
      <c r="I193">
        <v>78.669164360615795</v>
      </c>
      <c r="J193">
        <v>38.025591492665498</v>
      </c>
      <c r="K193">
        <v>19.1668997989626</v>
      </c>
      <c r="L193">
        <v>1.3074074725089382E-3</v>
      </c>
      <c r="M193">
        <v>3.2432314971122021E-4</v>
      </c>
      <c r="N193" s="1">
        <v>4.6729594423571201E-6</v>
      </c>
      <c r="O193" s="1">
        <v>8.6670383145142405E-6</v>
      </c>
      <c r="P193" s="1">
        <v>-1.8984384014146999E-5</v>
      </c>
    </row>
    <row r="194" spans="1:16" x14ac:dyDescent="0.2">
      <c r="A194">
        <v>193</v>
      </c>
      <c r="B194">
        <v>754</v>
      </c>
      <c r="C194">
        <v>180</v>
      </c>
      <c r="D194">
        <v>0.402142335588766</v>
      </c>
      <c r="E194">
        <v>73.045053756384306</v>
      </c>
      <c r="F194">
        <v>1.56911512765359</v>
      </c>
      <c r="G194">
        <v>-1223.1494758813119</v>
      </c>
      <c r="H194">
        <v>-1005.1985529587472</v>
      </c>
      <c r="I194">
        <v>212.19508619038101</v>
      </c>
      <c r="J194">
        <v>112.324009616053</v>
      </c>
      <c r="K194">
        <v>46.551749115830397</v>
      </c>
      <c r="L194">
        <v>7.7616644788694846E-4</v>
      </c>
      <c r="M194">
        <v>1.9016067013173359E-4</v>
      </c>
      <c r="N194" s="1">
        <v>6.9989932518529999E-6</v>
      </c>
      <c r="O194" s="1">
        <v>1.2310798245138499E-5</v>
      </c>
      <c r="P194" s="1">
        <v>-2.7177544425450601E-5</v>
      </c>
    </row>
    <row r="195" spans="1:16" x14ac:dyDescent="0.2">
      <c r="A195">
        <v>194</v>
      </c>
      <c r="B195">
        <v>752</v>
      </c>
      <c r="C195">
        <v>180</v>
      </c>
      <c r="D195">
        <v>0.40083938935765601</v>
      </c>
      <c r="E195">
        <v>86.619189626132496</v>
      </c>
      <c r="F195">
        <v>1.6321641421501001</v>
      </c>
      <c r="G195">
        <v>-1443.2658078005809</v>
      </c>
      <c r="H195">
        <v>-1193.0687281900537</v>
      </c>
      <c r="I195">
        <v>244.06449309514301</v>
      </c>
      <c r="J195">
        <v>130.27329840704101</v>
      </c>
      <c r="K195">
        <v>53.070146187641399</v>
      </c>
      <c r="L195">
        <v>7.3031458533459864E-4</v>
      </c>
      <c r="M195">
        <v>1.777149005955902E-4</v>
      </c>
      <c r="N195" s="1">
        <v>8.0625175161798801E-6</v>
      </c>
      <c r="O195" s="1">
        <v>1.3120162822606201E-5</v>
      </c>
      <c r="P195" s="1">
        <v>-2.9193787395357801E-5</v>
      </c>
    </row>
    <row r="196" spans="1:16" x14ac:dyDescent="0.2">
      <c r="A196">
        <v>195</v>
      </c>
      <c r="B196">
        <v>750</v>
      </c>
      <c r="C196">
        <v>180</v>
      </c>
      <c r="D196">
        <v>0.39953134926452799</v>
      </c>
      <c r="E196">
        <v>92.083714771827502</v>
      </c>
      <c r="F196">
        <v>1.6549758652783899</v>
      </c>
      <c r="G196">
        <v>-1531.5214894673843</v>
      </c>
      <c r="H196">
        <v>-1268.8884308030333</v>
      </c>
      <c r="I196">
        <v>256.69632456996499</v>
      </c>
      <c r="J196">
        <v>137.55005334726499</v>
      </c>
      <c r="K196">
        <v>55.640518211628198</v>
      </c>
      <c r="L196">
        <v>7.1526149360007999E-4</v>
      </c>
      <c r="M196">
        <v>1.7298320218350432E-4</v>
      </c>
      <c r="N196" s="1">
        <v>8.8884182031798297E-6</v>
      </c>
      <c r="O196" s="1">
        <v>1.33979240804236E-5</v>
      </c>
      <c r="P196" s="1">
        <v>-3.00490307691073E-5</v>
      </c>
    </row>
    <row r="197" spans="1:16" x14ac:dyDescent="0.2">
      <c r="A197">
        <v>196</v>
      </c>
      <c r="B197">
        <v>748</v>
      </c>
      <c r="C197">
        <v>180</v>
      </c>
      <c r="D197">
        <v>0.39821818537923098</v>
      </c>
      <c r="E197">
        <v>95.214040214022802</v>
      </c>
      <c r="F197">
        <v>1.66825800971405</v>
      </c>
      <c r="G197">
        <v>-1581.8256302106033</v>
      </c>
      <c r="H197">
        <v>-1312.4647756750853</v>
      </c>
      <c r="I197">
        <v>263.78761772303602</v>
      </c>
      <c r="J197">
        <v>141.75768505671601</v>
      </c>
      <c r="K197">
        <v>57.073929607772698</v>
      </c>
      <c r="L197">
        <v>7.0749739649077648E-4</v>
      </c>
      <c r="M197">
        <v>1.7007952090677728E-4</v>
      </c>
      <c r="N197" s="1">
        <v>9.65409612593033E-6</v>
      </c>
      <c r="O197" s="1">
        <v>1.35219945240526E-5</v>
      </c>
      <c r="P197" s="1">
        <v>-3.0569505045570799E-5</v>
      </c>
    </row>
    <row r="198" spans="1:16" x14ac:dyDescent="0.2">
      <c r="A198">
        <v>197</v>
      </c>
      <c r="B198">
        <v>746</v>
      </c>
      <c r="C198">
        <v>180</v>
      </c>
      <c r="D198">
        <v>0.396899867536674</v>
      </c>
      <c r="E198">
        <v>97.236617226572605</v>
      </c>
      <c r="F198">
        <v>1.67739103058851</v>
      </c>
      <c r="G198">
        <v>-1614.1167246435912</v>
      </c>
      <c r="H198">
        <v>-1340.7313275436657</v>
      </c>
      <c r="I198">
        <v>268.25425442351701</v>
      </c>
      <c r="J198">
        <v>144.51212492805999</v>
      </c>
      <c r="K198">
        <v>57.968962187938402</v>
      </c>
      <c r="L198">
        <v>7.0289146980545222E-4</v>
      </c>
      <c r="M198">
        <v>1.6796808958195077E-4</v>
      </c>
      <c r="N198" s="1">
        <v>1.03957823499794E-5</v>
      </c>
      <c r="O198" s="1">
        <v>1.35734944003334E-5</v>
      </c>
      <c r="P198" s="1">
        <v>-3.0931893744762903E-5</v>
      </c>
    </row>
    <row r="199" spans="1:16" x14ac:dyDescent="0.2">
      <c r="A199">
        <v>198</v>
      </c>
      <c r="B199">
        <v>744</v>
      </c>
      <c r="C199">
        <v>180</v>
      </c>
      <c r="D199">
        <v>0.39557636533451601</v>
      </c>
      <c r="E199">
        <v>98.671790393053399</v>
      </c>
      <c r="F199">
        <v>1.6844323058592801</v>
      </c>
      <c r="G199">
        <v>-1636.8564029658307</v>
      </c>
      <c r="H199">
        <v>-1360.8798402384089</v>
      </c>
      <c r="I199">
        <v>271.32923157392497</v>
      </c>
      <c r="J199">
        <v>146.497908161813</v>
      </c>
      <c r="K199">
        <v>58.578661813730498</v>
      </c>
      <c r="L199">
        <v>6.9986726492403059E-4</v>
      </c>
      <c r="M199">
        <v>1.6625418526733013E-4</v>
      </c>
      <c r="N199" s="1">
        <v>1.1128949084109E-5</v>
      </c>
      <c r="O199" s="1">
        <v>1.3586289138061201E-5</v>
      </c>
      <c r="P199" s="1">
        <v>-3.1210093770352798E-5</v>
      </c>
    </row>
    <row r="200" spans="1:16" x14ac:dyDescent="0.2">
      <c r="A200">
        <v>199</v>
      </c>
      <c r="B200">
        <v>742</v>
      </c>
      <c r="C200">
        <v>180</v>
      </c>
      <c r="D200">
        <v>0.39424764813081797</v>
      </c>
      <c r="E200">
        <v>99.756037950941206</v>
      </c>
      <c r="F200">
        <v>1.6902664283605999</v>
      </c>
      <c r="G200">
        <v>-1653.8902214896088</v>
      </c>
      <c r="H200">
        <v>-1376.1791005946427</v>
      </c>
      <c r="I200">
        <v>273.57249206544901</v>
      </c>
      <c r="J200">
        <v>148.026087527816</v>
      </c>
      <c r="K200">
        <v>59.017937218154898</v>
      </c>
      <c r="L200">
        <v>6.9774751016557122E-4</v>
      </c>
      <c r="M200">
        <v>1.6476823418540754E-4</v>
      </c>
      <c r="N200" s="1">
        <v>1.18604037704685E-5</v>
      </c>
      <c r="O200" s="1">
        <v>1.3575716664567E-5</v>
      </c>
      <c r="P200" s="1">
        <v>-3.14375216265424E-5</v>
      </c>
    </row>
    <row r="201" spans="1:16" x14ac:dyDescent="0.2">
      <c r="A201">
        <v>200</v>
      </c>
      <c r="B201">
        <v>740</v>
      </c>
      <c r="C201">
        <v>180</v>
      </c>
      <c r="D201">
        <v>0.39291368504170499</v>
      </c>
      <c r="E201">
        <v>100.611688067401</v>
      </c>
      <c r="F201">
        <v>1.6953343073801801</v>
      </c>
      <c r="G201">
        <v>-1667.2074250294766</v>
      </c>
      <c r="H201">
        <v>-1388.3199361328227</v>
      </c>
      <c r="I201">
        <v>275.27365772680901</v>
      </c>
      <c r="J201">
        <v>149.257642434421</v>
      </c>
      <c r="K201">
        <v>59.346223119189403</v>
      </c>
      <c r="L201">
        <v>6.9619460919909386E-4</v>
      </c>
      <c r="M201">
        <v>1.6342570621044903E-4</v>
      </c>
      <c r="N201" s="1">
        <v>1.25934559254586E-5</v>
      </c>
      <c r="O201" s="1">
        <v>1.35497056856094E-5</v>
      </c>
      <c r="P201" s="1">
        <v>-3.1631399933917E-5</v>
      </c>
    </row>
    <row r="202" spans="1:16" x14ac:dyDescent="0.2">
      <c r="A202">
        <v>201</v>
      </c>
      <c r="B202">
        <v>768</v>
      </c>
      <c r="C202">
        <v>170</v>
      </c>
      <c r="D202">
        <v>0.42168803726648402</v>
      </c>
      <c r="E202">
        <v>5.9689948384570197</v>
      </c>
      <c r="F202">
        <v>0.39882731986338499</v>
      </c>
      <c r="G202">
        <v>-131.23414251322288</v>
      </c>
      <c r="H202">
        <v>-75.091883232964619</v>
      </c>
      <c r="I202">
        <v>53.926595692881001</v>
      </c>
      <c r="J202">
        <v>23.631317860822399</v>
      </c>
      <c r="K202">
        <v>14.966363990565201</v>
      </c>
      <c r="L202">
        <v>1.6733037801734685E-3</v>
      </c>
      <c r="M202">
        <v>4.6007991625810992E-4</v>
      </c>
      <c r="N202" s="1">
        <v>-5.8431609326865195E-7</v>
      </c>
      <c r="O202" s="1">
        <v>1.01532218156412E-5</v>
      </c>
      <c r="P202" s="1">
        <v>-1.9438138978754499E-5</v>
      </c>
    </row>
    <row r="203" spans="1:16" x14ac:dyDescent="0.2">
      <c r="A203">
        <v>202</v>
      </c>
      <c r="B203">
        <v>766</v>
      </c>
      <c r="C203">
        <v>170</v>
      </c>
      <c r="D203">
        <v>0.42044026367704701</v>
      </c>
      <c r="E203">
        <v>6.2845173128401601</v>
      </c>
      <c r="F203">
        <v>0.41662167920084497</v>
      </c>
      <c r="G203">
        <v>-136.38462450476183</v>
      </c>
      <c r="H203">
        <v>-79.548463423214287</v>
      </c>
      <c r="I203">
        <v>54.698156500531802</v>
      </c>
      <c r="J203">
        <v>24.119148934512602</v>
      </c>
      <c r="K203">
        <v>15.084470219828599</v>
      </c>
      <c r="L203">
        <v>1.6665249655205946E-3</v>
      </c>
      <c r="M203">
        <v>4.5556003728218139E-4</v>
      </c>
      <c r="N203" s="1">
        <v>-2.3763690545128301E-7</v>
      </c>
      <c r="O203" s="1">
        <v>1.0144761975662999E-5</v>
      </c>
      <c r="P203" s="1">
        <v>-1.95750026249694E-5</v>
      </c>
    </row>
    <row r="204" spans="1:16" x14ac:dyDescent="0.2">
      <c r="A204">
        <v>203</v>
      </c>
      <c r="B204">
        <v>764</v>
      </c>
      <c r="C204">
        <v>170</v>
      </c>
      <c r="D204">
        <v>0.419187677770818</v>
      </c>
      <c r="E204">
        <v>7.3869916178934698</v>
      </c>
      <c r="F204">
        <v>0.47329133681429902</v>
      </c>
      <c r="G204">
        <v>-154.61600654990229</v>
      </c>
      <c r="H204">
        <v>-95.055667156740896</v>
      </c>
      <c r="I204">
        <v>57.430272391909298</v>
      </c>
      <c r="J204">
        <v>25.6848937734858</v>
      </c>
      <c r="K204">
        <v>15.607705113757</v>
      </c>
      <c r="L204">
        <v>1.6298065189824134E-3</v>
      </c>
      <c r="M204">
        <v>4.4284638333064039E-4</v>
      </c>
      <c r="N204" s="1">
        <v>1.14364372268165E-7</v>
      </c>
      <c r="O204" s="1">
        <v>1.0214995899251999E-5</v>
      </c>
      <c r="P204" s="1">
        <v>-1.9866595381092602E-5</v>
      </c>
    </row>
    <row r="205" spans="1:16" x14ac:dyDescent="0.2">
      <c r="A205">
        <v>204</v>
      </c>
      <c r="B205">
        <v>762</v>
      </c>
      <c r="C205">
        <v>170</v>
      </c>
      <c r="D205">
        <v>0.41793025165435399</v>
      </c>
      <c r="E205">
        <v>10.8426755537965</v>
      </c>
      <c r="F205">
        <v>0.62643221434235297</v>
      </c>
      <c r="G205">
        <v>-211.89262249933861</v>
      </c>
      <c r="H205">
        <v>-143.77325404069632</v>
      </c>
      <c r="I205">
        <v>65.809733815063893</v>
      </c>
      <c r="J205">
        <v>30.388336843726002</v>
      </c>
      <c r="K205">
        <v>17.308617445830802</v>
      </c>
      <c r="L205">
        <v>1.517450319090802E-3</v>
      </c>
      <c r="M205">
        <v>4.0972292442658449E-4</v>
      </c>
      <c r="N205" s="1">
        <v>4.8034247629689098E-7</v>
      </c>
      <c r="O205" s="1">
        <v>1.04905566676714E-5</v>
      </c>
      <c r="P205" s="1">
        <v>-2.05648036798673E-5</v>
      </c>
    </row>
    <row r="206" spans="1:16" x14ac:dyDescent="0.2">
      <c r="A206">
        <v>205</v>
      </c>
      <c r="B206">
        <v>760</v>
      </c>
      <c r="C206">
        <v>170</v>
      </c>
      <c r="D206">
        <v>0.41666795721821598</v>
      </c>
      <c r="E206">
        <v>14.3985736587247</v>
      </c>
      <c r="F206">
        <v>0.75558022026489302</v>
      </c>
      <c r="G206">
        <v>-270.74759799654362</v>
      </c>
      <c r="H206">
        <v>-193.86957319197941</v>
      </c>
      <c r="I206">
        <v>74.414862137758703</v>
      </c>
      <c r="J206">
        <v>35.229550432098598</v>
      </c>
      <c r="K206">
        <v>19.0563136415572</v>
      </c>
      <c r="L206">
        <v>1.4227350739095574E-3</v>
      </c>
      <c r="M206">
        <v>3.8172399515564462E-4</v>
      </c>
      <c r="N206" s="1">
        <v>8.75806147824144E-7</v>
      </c>
      <c r="O206" s="1">
        <v>1.07704271058926E-5</v>
      </c>
      <c r="P206" s="1">
        <v>-2.1282178031673199E-5</v>
      </c>
    </row>
    <row r="207" spans="1:16" x14ac:dyDescent="0.2">
      <c r="A207">
        <v>206</v>
      </c>
      <c r="B207">
        <v>758</v>
      </c>
      <c r="C207">
        <v>170</v>
      </c>
      <c r="D207">
        <v>0.41540076613490101</v>
      </c>
      <c r="E207">
        <v>18.8901119684792</v>
      </c>
      <c r="F207">
        <v>0.88849337853342403</v>
      </c>
      <c r="G207">
        <v>-344.82010734583702</v>
      </c>
      <c r="H207">
        <v>-256.94779308140602</v>
      </c>
      <c r="I207">
        <v>85.221492138721104</v>
      </c>
      <c r="J207">
        <v>41.305423361073203</v>
      </c>
      <c r="K207">
        <v>21.260835955423499</v>
      </c>
      <c r="L207">
        <v>1.3239111835361662E-3</v>
      </c>
      <c r="M207">
        <v>3.5291337357047132E-4</v>
      </c>
      <c r="N207" s="1">
        <v>1.30670351550693E-6</v>
      </c>
      <c r="O207" s="1">
        <v>1.11189433693994E-5</v>
      </c>
      <c r="P207" s="1">
        <v>-2.2147241186196401E-5</v>
      </c>
    </row>
    <row r="208" spans="1:16" x14ac:dyDescent="0.2">
      <c r="A208">
        <v>207</v>
      </c>
      <c r="B208">
        <v>756</v>
      </c>
      <c r="C208">
        <v>170</v>
      </c>
      <c r="D208">
        <v>0.41412864985667802</v>
      </c>
      <c r="E208">
        <v>75.685088641337401</v>
      </c>
      <c r="F208">
        <v>1.5448877819579001</v>
      </c>
      <c r="G208">
        <v>-1267.3390157709987</v>
      </c>
      <c r="H208">
        <v>-1041.4966987178771</v>
      </c>
      <c r="I208">
        <v>219.450693306121</v>
      </c>
      <c r="J208">
        <v>115.931584188657</v>
      </c>
      <c r="K208">
        <v>48.990670730412901</v>
      </c>
      <c r="L208">
        <v>8.1252513249410556E-4</v>
      </c>
      <c r="M208">
        <v>2.1400107024331956E-4</v>
      </c>
      <c r="N208" s="1">
        <v>2.2164089031282301E-6</v>
      </c>
      <c r="O208" s="1">
        <v>1.5509099989492001E-5</v>
      </c>
      <c r="P208" s="1">
        <v>-3.1139952656101603E-5</v>
      </c>
    </row>
    <row r="209" spans="1:16" x14ac:dyDescent="0.2">
      <c r="A209">
        <v>208</v>
      </c>
      <c r="B209">
        <v>754</v>
      </c>
      <c r="C209">
        <v>170</v>
      </c>
      <c r="D209">
        <v>0.412851579613494</v>
      </c>
      <c r="E209">
        <v>87.331148732181802</v>
      </c>
      <c r="F209">
        <v>1.59974112156634</v>
      </c>
      <c r="G209">
        <v>-1456.1042442213984</v>
      </c>
      <c r="H209">
        <v>-1202.7393289385291</v>
      </c>
      <c r="I209">
        <v>246.67340788143599</v>
      </c>
      <c r="J209">
        <v>131.28893894913301</v>
      </c>
      <c r="K209">
        <v>54.590800695723701</v>
      </c>
      <c r="L209">
        <v>7.7240522247468753E-4</v>
      </c>
      <c r="M209">
        <v>2.020794945060527E-4</v>
      </c>
      <c r="N209" s="1">
        <v>2.9508786175254999E-6</v>
      </c>
      <c r="O209" s="1">
        <v>1.6331262328907799E-5</v>
      </c>
      <c r="P209" s="1">
        <v>-3.30564010497855E-5</v>
      </c>
    </row>
    <row r="210" spans="1:16" x14ac:dyDescent="0.2">
      <c r="A210">
        <v>209</v>
      </c>
      <c r="B210">
        <v>752</v>
      </c>
      <c r="C210">
        <v>170</v>
      </c>
      <c r="D210">
        <v>0.41156952641076899</v>
      </c>
      <c r="E210">
        <v>92.370317938695294</v>
      </c>
      <c r="F210">
        <v>1.62169690644408</v>
      </c>
      <c r="G210">
        <v>-1537.4417534907584</v>
      </c>
      <c r="H210">
        <v>-1272.6866472766101</v>
      </c>
      <c r="I210">
        <v>258.26553764819897</v>
      </c>
      <c r="J210">
        <v>137.98539733095899</v>
      </c>
      <c r="K210">
        <v>56.959051701737003</v>
      </c>
      <c r="L210">
        <v>7.5803640582245292E-4</v>
      </c>
      <c r="M210">
        <v>1.9709509660554688E-4</v>
      </c>
      <c r="N210" s="1">
        <v>3.66967165463449E-6</v>
      </c>
      <c r="O210" s="1">
        <v>1.66355574207016E-5</v>
      </c>
      <c r="P210" s="1">
        <v>-3.3946469633217098E-5</v>
      </c>
    </row>
    <row r="211" spans="1:16" x14ac:dyDescent="0.2">
      <c r="A211">
        <v>210</v>
      </c>
      <c r="B211">
        <v>750</v>
      </c>
      <c r="C211">
        <v>170</v>
      </c>
      <c r="D211">
        <v>0.41028246102722199</v>
      </c>
      <c r="E211">
        <v>95.267529250910798</v>
      </c>
      <c r="F211">
        <v>1.63464679909049</v>
      </c>
      <c r="G211">
        <v>-1583.9518472977893</v>
      </c>
      <c r="H211">
        <v>-1313.0352748617202</v>
      </c>
      <c r="I211">
        <v>264.79251221564999</v>
      </c>
      <c r="J211">
        <v>141.877675520879</v>
      </c>
      <c r="K211">
        <v>58.280191968024603</v>
      </c>
      <c r="L211">
        <v>7.507031997721086E-4</v>
      </c>
      <c r="M211">
        <v>1.9400680581119499E-4</v>
      </c>
      <c r="N211" s="1">
        <v>4.39281836953288E-6</v>
      </c>
      <c r="O211" s="1">
        <v>1.67719605181062E-5</v>
      </c>
      <c r="P211" s="1">
        <v>-3.4504716743777299E-5</v>
      </c>
    </row>
    <row r="212" spans="1:16" x14ac:dyDescent="0.2">
      <c r="A212">
        <v>211</v>
      </c>
      <c r="B212">
        <v>748</v>
      </c>
      <c r="C212">
        <v>170</v>
      </c>
      <c r="D212">
        <v>0.40899035401263301</v>
      </c>
      <c r="E212">
        <v>97.277185251645705</v>
      </c>
      <c r="F212">
        <v>1.64414774354388</v>
      </c>
      <c r="G212">
        <v>-1616.0319335330594</v>
      </c>
      <c r="H212">
        <v>-1341.1314564104835</v>
      </c>
      <c r="I212">
        <v>269.21257040475001</v>
      </c>
      <c r="J212">
        <v>144.60862505892899</v>
      </c>
      <c r="K212">
        <v>59.165720132893199</v>
      </c>
      <c r="L212">
        <v>7.4606786525285515E-4</v>
      </c>
      <c r="M212">
        <v>1.9164764144800645E-4</v>
      </c>
      <c r="N212" s="1">
        <v>5.1269568240340502E-6</v>
      </c>
      <c r="O212" s="1">
        <v>1.6837359275792098E-5</v>
      </c>
      <c r="P212" s="1">
        <v>-3.4923802863424903E-5</v>
      </c>
    </row>
    <row r="213" spans="1:16" x14ac:dyDescent="0.2">
      <c r="A213">
        <v>212</v>
      </c>
      <c r="B213">
        <v>746</v>
      </c>
      <c r="C213">
        <v>170</v>
      </c>
      <c r="D213">
        <v>0.40769317568562202</v>
      </c>
      <c r="E213">
        <v>98.678292525592894</v>
      </c>
      <c r="F213">
        <v>1.65137869591511</v>
      </c>
      <c r="G213">
        <v>-1638.2159698707555</v>
      </c>
      <c r="H213">
        <v>-1360.8107354430713</v>
      </c>
      <c r="I213">
        <v>272.19860695377997</v>
      </c>
      <c r="J213">
        <v>146.546843156412</v>
      </c>
      <c r="K213">
        <v>59.755096011402699</v>
      </c>
      <c r="L213">
        <v>7.4318499189999815E-4</v>
      </c>
      <c r="M213">
        <v>1.8976030155822205E-4</v>
      </c>
      <c r="N213" s="1">
        <v>5.8709637731126799E-6</v>
      </c>
      <c r="O213" s="1">
        <v>1.6855366157312201E-5</v>
      </c>
      <c r="P213" s="1">
        <v>-3.5249579991722002E-5</v>
      </c>
    </row>
    <row r="214" spans="1:16" x14ac:dyDescent="0.2">
      <c r="A214">
        <v>213</v>
      </c>
      <c r="B214">
        <v>744</v>
      </c>
      <c r="C214">
        <v>170</v>
      </c>
      <c r="D214">
        <v>0.40639089613134799</v>
      </c>
      <c r="E214">
        <v>99.742916040160296</v>
      </c>
      <c r="F214">
        <v>1.6574020946839201</v>
      </c>
      <c r="G214">
        <v>-1654.9290227924066</v>
      </c>
      <c r="H214">
        <v>-1375.8399357481096</v>
      </c>
      <c r="I214">
        <v>274.38931394491101</v>
      </c>
      <c r="J214">
        <v>148.047995806172</v>
      </c>
      <c r="K214">
        <v>60.180276325270398</v>
      </c>
      <c r="L214">
        <v>7.4122863824820052E-4</v>
      </c>
      <c r="M214">
        <v>1.8812313303805418E-4</v>
      </c>
      <c r="N214" s="1">
        <v>6.6264434897681999E-6</v>
      </c>
      <c r="O214" s="1">
        <v>1.6846540326808599E-5</v>
      </c>
      <c r="P214" s="1">
        <v>-3.5523008437414001E-5</v>
      </c>
    </row>
    <row r="215" spans="1:16" x14ac:dyDescent="0.2">
      <c r="A215">
        <v>214</v>
      </c>
      <c r="B215">
        <v>742</v>
      </c>
      <c r="C215">
        <v>170</v>
      </c>
      <c r="D215">
        <v>0.40508348519923099</v>
      </c>
      <c r="E215">
        <v>100.586511902269</v>
      </c>
      <c r="F215">
        <v>1.66265237434765</v>
      </c>
      <c r="G215">
        <v>-1668.0485807869743</v>
      </c>
      <c r="H215">
        <v>-1387.8150484923042</v>
      </c>
      <c r="I215">
        <v>276.05728992433097</v>
      </c>
      <c r="J215">
        <v>149.263430940429</v>
      </c>
      <c r="K215">
        <v>60.497620220664103</v>
      </c>
      <c r="L215">
        <v>7.3985849717936932E-4</v>
      </c>
      <c r="M215">
        <v>1.8664450244802407E-4</v>
      </c>
      <c r="N215" s="1">
        <v>7.3936433026147998E-6</v>
      </c>
      <c r="O215" s="1">
        <v>1.68198185259971E-5</v>
      </c>
      <c r="P215" s="1">
        <v>-3.5761720456252801E-5</v>
      </c>
    </row>
    <row r="216" spans="1:16" x14ac:dyDescent="0.2">
      <c r="A216">
        <v>215</v>
      </c>
      <c r="B216">
        <v>772</v>
      </c>
      <c r="C216">
        <v>160</v>
      </c>
      <c r="D216">
        <v>0.43469406305315</v>
      </c>
      <c r="E216">
        <v>6.1352215911494001</v>
      </c>
      <c r="F216">
        <v>0.37735824299307802</v>
      </c>
      <c r="G216">
        <v>-135.26932326449241</v>
      </c>
      <c r="H216">
        <v>-76.964950460375107</v>
      </c>
      <c r="I216">
        <v>55.789009955181001</v>
      </c>
      <c r="J216">
        <v>24.165942280141302</v>
      </c>
      <c r="K216">
        <v>16.258347883133201</v>
      </c>
      <c r="L216">
        <v>1.7123299107978331E-3</v>
      </c>
      <c r="M216">
        <v>5.122988668865994E-4</v>
      </c>
      <c r="N216" s="1">
        <v>-5.1739639400642102E-6</v>
      </c>
      <c r="O216" s="1">
        <v>1.30197349329115E-5</v>
      </c>
      <c r="P216" s="1">
        <v>-2.2258352054627901E-5</v>
      </c>
    </row>
    <row r="217" spans="1:16" x14ac:dyDescent="0.2">
      <c r="A217">
        <v>216</v>
      </c>
      <c r="B217">
        <v>770</v>
      </c>
      <c r="C217">
        <v>160</v>
      </c>
      <c r="D217">
        <v>0.43347601016152998</v>
      </c>
      <c r="E217">
        <v>6.5147380995202999</v>
      </c>
      <c r="F217">
        <v>0.39710777273750802</v>
      </c>
      <c r="G217">
        <v>-141.48024911851041</v>
      </c>
      <c r="H217">
        <v>-82.317745752184621</v>
      </c>
      <c r="I217">
        <v>56.718619978896299</v>
      </c>
      <c r="J217">
        <v>24.743484709393201</v>
      </c>
      <c r="K217">
        <v>16.405466089495501</v>
      </c>
      <c r="L217">
        <v>1.7046648949714813E-3</v>
      </c>
      <c r="M217">
        <v>5.0703099660437737E-4</v>
      </c>
      <c r="N217" s="1">
        <v>-4.8581840969528302E-6</v>
      </c>
      <c r="O217" s="1">
        <v>1.30205336816871E-5</v>
      </c>
      <c r="P217" s="1">
        <v>-2.2435865273993099E-5</v>
      </c>
    </row>
    <row r="218" spans="1:16" x14ac:dyDescent="0.2">
      <c r="A218">
        <v>217</v>
      </c>
      <c r="B218">
        <v>768</v>
      </c>
      <c r="C218">
        <v>160</v>
      </c>
      <c r="D218">
        <v>0.43225327762570398</v>
      </c>
      <c r="E218">
        <v>7.2467741773575201</v>
      </c>
      <c r="F218">
        <v>0.43292123090415302</v>
      </c>
      <c r="G218">
        <v>-153.55257518286024</v>
      </c>
      <c r="H218">
        <v>-92.598548993066473</v>
      </c>
      <c r="I218">
        <v>58.548315016408701</v>
      </c>
      <c r="J218">
        <v>25.812089205487801</v>
      </c>
      <c r="K218">
        <v>16.739244139684899</v>
      </c>
      <c r="L218">
        <v>1.6844832628601575E-3</v>
      </c>
      <c r="M218">
        <v>4.9803842973230727E-4</v>
      </c>
      <c r="N218" s="1">
        <v>-4.5498420733860104E-6</v>
      </c>
      <c r="O218" s="1">
        <v>1.3067622504980699E-5</v>
      </c>
      <c r="P218" s="1">
        <v>-2.2696220636103501E-5</v>
      </c>
    </row>
    <row r="219" spans="1:16" x14ac:dyDescent="0.2">
      <c r="A219">
        <v>218</v>
      </c>
      <c r="B219">
        <v>766</v>
      </c>
      <c r="C219">
        <v>160</v>
      </c>
      <c r="D219">
        <v>0.43102583842564002</v>
      </c>
      <c r="E219">
        <v>9.1623738425861294</v>
      </c>
      <c r="F219">
        <v>0.51853944818868103</v>
      </c>
      <c r="G219">
        <v>-185.2709846741441</v>
      </c>
      <c r="H219">
        <v>-119.58780109147796</v>
      </c>
      <c r="I219">
        <v>63.212045301361798</v>
      </c>
      <c r="J219">
        <v>28.452635579653201</v>
      </c>
      <c r="K219">
        <v>17.6695791893777</v>
      </c>
      <c r="L219">
        <v>1.6246312406928635E-3</v>
      </c>
      <c r="M219">
        <v>4.7740384399213562E-4</v>
      </c>
      <c r="N219" s="1">
        <v>-4.2725382489624598E-6</v>
      </c>
      <c r="O219" s="1">
        <v>1.32394407763587E-5</v>
      </c>
      <c r="P219" s="1">
        <v>-2.3178698694217999E-5</v>
      </c>
    </row>
    <row r="220" spans="1:16" x14ac:dyDescent="0.2">
      <c r="A220">
        <v>219</v>
      </c>
      <c r="B220">
        <v>764</v>
      </c>
      <c r="C220">
        <v>160</v>
      </c>
      <c r="D220">
        <v>0.42979366533288699</v>
      </c>
      <c r="E220">
        <v>12.6228576384063</v>
      </c>
      <c r="F220">
        <v>0.65143889604871597</v>
      </c>
      <c r="G220">
        <v>-242.58881936989437</v>
      </c>
      <c r="H220">
        <v>-168.36550970996885</v>
      </c>
      <c r="I220">
        <v>71.568267774886195</v>
      </c>
      <c r="J220">
        <v>33.146303553600298</v>
      </c>
      <c r="K220">
        <v>19.376886635062601</v>
      </c>
      <c r="L220">
        <v>1.5264938836458248E-3</v>
      </c>
      <c r="M220">
        <v>4.4574033904979873E-4</v>
      </c>
      <c r="N220" s="1">
        <v>-4.0289807500932801E-6</v>
      </c>
      <c r="O220" s="1">
        <v>1.3571973333547899E-5</v>
      </c>
      <c r="P220" s="1">
        <v>-2.3952130698903401E-5</v>
      </c>
    </row>
    <row r="221" spans="1:16" x14ac:dyDescent="0.2">
      <c r="A221">
        <v>220</v>
      </c>
      <c r="B221">
        <v>762</v>
      </c>
      <c r="C221">
        <v>160</v>
      </c>
      <c r="D221">
        <v>0.428556730908567</v>
      </c>
      <c r="E221">
        <v>16.213728051737402</v>
      </c>
      <c r="F221">
        <v>0.76675663408113603</v>
      </c>
      <c r="G221">
        <v>-301.97688505637484</v>
      </c>
      <c r="H221">
        <v>-218.9405954562869</v>
      </c>
      <c r="I221">
        <v>80.220372037445799</v>
      </c>
      <c r="J221">
        <v>38.016335424914502</v>
      </c>
      <c r="K221">
        <v>21.145859495780702</v>
      </c>
      <c r="L221">
        <v>1.4413221904097317E-3</v>
      </c>
      <c r="M221">
        <v>4.1820683561026372E-4</v>
      </c>
      <c r="N221" s="1">
        <v>-3.7588623696131598E-6</v>
      </c>
      <c r="O221" s="1">
        <v>1.3912760401527701E-5</v>
      </c>
      <c r="P221" s="1">
        <v>-2.47523198157846E-5</v>
      </c>
    </row>
    <row r="222" spans="1:16" x14ac:dyDescent="0.2">
      <c r="A222">
        <v>221</v>
      </c>
      <c r="B222">
        <v>760</v>
      </c>
      <c r="C222">
        <v>160</v>
      </c>
      <c r="D222">
        <v>0.427315007501331</v>
      </c>
      <c r="E222">
        <v>44.580845160264303</v>
      </c>
      <c r="F222">
        <v>1.26971737862028</v>
      </c>
      <c r="G222">
        <v>-763.41195786956121</v>
      </c>
      <c r="H222">
        <v>-611.19608236404019</v>
      </c>
      <c r="I222">
        <v>147.33626274449401</v>
      </c>
      <c r="J222">
        <v>75.258911791086305</v>
      </c>
      <c r="K222">
        <v>35.110841129627602</v>
      </c>
      <c r="L222">
        <v>1.0448875071197008E-3</v>
      </c>
      <c r="M222">
        <v>3.0034844440202183E-4</v>
      </c>
      <c r="N222" s="1">
        <v>-4.1058063162630302E-6</v>
      </c>
      <c r="O222" s="1">
        <v>1.65895933498778E-5</v>
      </c>
      <c r="P222" s="1">
        <v>-2.9754516222692499E-5</v>
      </c>
    </row>
    <row r="223" spans="1:16" x14ac:dyDescent="0.2">
      <c r="A223">
        <v>222</v>
      </c>
      <c r="B223">
        <v>758</v>
      </c>
      <c r="C223">
        <v>160</v>
      </c>
      <c r="D223">
        <v>0.426068467245311</v>
      </c>
      <c r="E223">
        <v>79.292218356775805</v>
      </c>
      <c r="F223">
        <v>1.52191495926595</v>
      </c>
      <c r="G223">
        <v>-1327.2649074024173</v>
      </c>
      <c r="H223">
        <v>-1091.1504142143413</v>
      </c>
      <c r="I223">
        <v>228.98703577320799</v>
      </c>
      <c r="J223">
        <v>120.71327707607399</v>
      </c>
      <c r="K223">
        <v>52.100295009268898</v>
      </c>
      <c r="L223">
        <v>8.4688030602812119E-4</v>
      </c>
      <c r="M223">
        <v>2.4127642102048026E-4</v>
      </c>
      <c r="N223" s="1">
        <v>-4.4105486633117399E-6</v>
      </c>
      <c r="O223" s="1">
        <v>1.9778005285352999E-5</v>
      </c>
      <c r="P223" s="1">
        <v>-3.5763080461511202E-5</v>
      </c>
    </row>
    <row r="224" spans="1:16" x14ac:dyDescent="0.2">
      <c r="A224">
        <v>223</v>
      </c>
      <c r="B224">
        <v>756</v>
      </c>
      <c r="C224">
        <v>160</v>
      </c>
      <c r="D224">
        <v>0.424817082058009</v>
      </c>
      <c r="E224">
        <v>88.544230405363706</v>
      </c>
      <c r="F224">
        <v>1.5658403570647299</v>
      </c>
      <c r="G224">
        <v>-1477.1026705239497</v>
      </c>
      <c r="H224">
        <v>-1219.3179543097235</v>
      </c>
      <c r="I224">
        <v>250.48869831491001</v>
      </c>
      <c r="J224">
        <v>132.88609482128101</v>
      </c>
      <c r="K224">
        <v>56.547418774762797</v>
      </c>
      <c r="L224">
        <v>8.1512781883934899E-4</v>
      </c>
      <c r="M224">
        <v>2.3071826983496281E-4</v>
      </c>
      <c r="N224" s="1">
        <v>-3.9836285064793403E-6</v>
      </c>
      <c r="O224" s="1">
        <v>2.0549985069523201E-5</v>
      </c>
      <c r="P224" s="1">
        <v>-3.7464822202398097E-5</v>
      </c>
    </row>
    <row r="225" spans="1:16" x14ac:dyDescent="0.2">
      <c r="A225">
        <v>224</v>
      </c>
      <c r="B225">
        <v>754</v>
      </c>
      <c r="C225">
        <v>160</v>
      </c>
      <c r="D225">
        <v>0.42356082363822201</v>
      </c>
      <c r="E225">
        <v>92.948308646900998</v>
      </c>
      <c r="F225">
        <v>1.58588574725013</v>
      </c>
      <c r="G225">
        <v>-1548.112319644699</v>
      </c>
      <c r="H225">
        <v>-1280.4917110320262</v>
      </c>
      <c r="I225">
        <v>260.55245034741898</v>
      </c>
      <c r="J225">
        <v>138.73144931116201</v>
      </c>
      <c r="K225">
        <v>58.609713094445603</v>
      </c>
      <c r="L225">
        <v>8.0242510432150711E-4</v>
      </c>
      <c r="M225">
        <v>2.2571739772410954E-4</v>
      </c>
      <c r="N225" s="1">
        <v>-3.40465857055512E-6</v>
      </c>
      <c r="O225" s="1">
        <v>2.0864323092752699E-5</v>
      </c>
      <c r="P225" s="1">
        <v>-3.8352725986930797E-5</v>
      </c>
    </row>
    <row r="226" spans="1:16" x14ac:dyDescent="0.2">
      <c r="A226">
        <v>225</v>
      </c>
      <c r="B226">
        <v>752</v>
      </c>
      <c r="C226">
        <v>160</v>
      </c>
      <c r="D226">
        <v>0.42229966346388498</v>
      </c>
      <c r="E226">
        <v>95.5902015241561</v>
      </c>
      <c r="F226">
        <v>1.5983473988554999</v>
      </c>
      <c r="G226">
        <v>-1590.4693588996445</v>
      </c>
      <c r="H226">
        <v>-1317.313572415075</v>
      </c>
      <c r="I226">
        <v>266.46022024761402</v>
      </c>
      <c r="J226">
        <v>142.279949022642</v>
      </c>
      <c r="K226">
        <v>59.805647753800898</v>
      </c>
      <c r="L226">
        <v>7.9576078615930916E-4</v>
      </c>
      <c r="M226">
        <v>2.2247782939578762E-4</v>
      </c>
      <c r="N226" s="1">
        <v>-2.75934140558726E-6</v>
      </c>
      <c r="O226" s="1">
        <v>2.10122277846861E-5</v>
      </c>
      <c r="P226" s="1">
        <v>-3.8946033413856903E-5</v>
      </c>
    </row>
    <row r="227" spans="1:16" x14ac:dyDescent="0.2">
      <c r="A227">
        <v>226</v>
      </c>
      <c r="B227">
        <v>750</v>
      </c>
      <c r="C227">
        <v>160</v>
      </c>
      <c r="D227">
        <v>0.42103357278991599</v>
      </c>
      <c r="E227">
        <v>97.455027543715801</v>
      </c>
      <c r="F227">
        <v>1.60768823701565</v>
      </c>
      <c r="G227">
        <v>-1620.1923041421744</v>
      </c>
      <c r="H227">
        <v>-1343.4067015897965</v>
      </c>
      <c r="I227">
        <v>270.52881601740302</v>
      </c>
      <c r="J227">
        <v>144.816438772336</v>
      </c>
      <c r="K227">
        <v>60.618113201239197</v>
      </c>
      <c r="L227">
        <v>7.9158322330973474E-4</v>
      </c>
      <c r="M227">
        <v>2.19964846662352E-4</v>
      </c>
      <c r="N227" s="1">
        <v>-2.0736794743700501E-6</v>
      </c>
      <c r="O227" s="1">
        <v>2.10853099421021E-5</v>
      </c>
      <c r="P227" s="1">
        <v>-3.94084591091247E-5</v>
      </c>
    </row>
    <row r="228" spans="1:16" x14ac:dyDescent="0.2">
      <c r="A228">
        <v>227</v>
      </c>
      <c r="B228">
        <v>748</v>
      </c>
      <c r="C228">
        <v>160</v>
      </c>
      <c r="D228">
        <v>0.41976252264603803</v>
      </c>
      <c r="E228">
        <v>98.787259515655606</v>
      </c>
      <c r="F228">
        <v>1.61497086054823</v>
      </c>
      <c r="G228">
        <v>-1641.2547797995494</v>
      </c>
      <c r="H228">
        <v>-1362.1348943850776</v>
      </c>
      <c r="I228">
        <v>273.34463561321201</v>
      </c>
      <c r="J228">
        <v>146.66213966569899</v>
      </c>
      <c r="K228">
        <v>61.169685428330197</v>
      </c>
      <c r="L228">
        <v>7.8902865527437133E-4</v>
      </c>
      <c r="M228">
        <v>2.1792391598721343E-4</v>
      </c>
      <c r="N228" s="1">
        <v>-1.35660318900775E-6</v>
      </c>
      <c r="O228" s="1">
        <v>2.11081865008488E-5</v>
      </c>
      <c r="P228" s="1">
        <v>-3.9783012743925898E-5</v>
      </c>
    </row>
    <row r="229" spans="1:16" x14ac:dyDescent="0.2">
      <c r="A229">
        <v>228</v>
      </c>
      <c r="B229">
        <v>746</v>
      </c>
      <c r="C229">
        <v>160</v>
      </c>
      <c r="D229">
        <v>0.41848648383456999</v>
      </c>
      <c r="E229">
        <v>99.809674177603299</v>
      </c>
      <c r="F229">
        <v>1.6210973806405999</v>
      </c>
      <c r="G229">
        <v>-1657.2798906415696</v>
      </c>
      <c r="H229">
        <v>-1376.5813381832936</v>
      </c>
      <c r="I229">
        <v>275.43008139946699</v>
      </c>
      <c r="J229">
        <v>148.10728608275301</v>
      </c>
      <c r="K229">
        <v>61.5692032875668</v>
      </c>
      <c r="L229">
        <v>7.8738028366984766E-4</v>
      </c>
      <c r="M229">
        <v>2.1614657348615953E-4</v>
      </c>
      <c r="N229" s="1">
        <v>-6.1378611678942305E-7</v>
      </c>
      <c r="O229" s="1">
        <v>2.1101265491274801E-5</v>
      </c>
      <c r="P229" s="1">
        <v>-4.0106178865592502E-5</v>
      </c>
    </row>
    <row r="230" spans="1:16" x14ac:dyDescent="0.2">
      <c r="A230">
        <v>229</v>
      </c>
      <c r="B230">
        <v>744</v>
      </c>
      <c r="C230">
        <v>160</v>
      </c>
      <c r="D230">
        <v>0.41720542692818402</v>
      </c>
      <c r="E230">
        <v>100.62564957674201</v>
      </c>
      <c r="F230">
        <v>1.62647257880483</v>
      </c>
      <c r="G230">
        <v>-1669.9487256911423</v>
      </c>
      <c r="H230">
        <v>-1388.1751540716421</v>
      </c>
      <c r="I230">
        <v>277.02856717628998</v>
      </c>
      <c r="J230">
        <v>149.28683541784</v>
      </c>
      <c r="K230">
        <v>61.867412268754499</v>
      </c>
      <c r="L230">
        <v>7.8631480802079305E-4</v>
      </c>
      <c r="M230">
        <v>2.1453854892580803E-4</v>
      </c>
      <c r="N230" s="1">
        <v>1.51857236707046E-7</v>
      </c>
      <c r="O230" s="1">
        <v>2.1074172723822799E-5</v>
      </c>
      <c r="P230" s="1">
        <v>-4.0395029476417803E-5</v>
      </c>
    </row>
    <row r="231" spans="1:16" x14ac:dyDescent="0.2">
      <c r="A231">
        <v>230</v>
      </c>
      <c r="B231">
        <v>776</v>
      </c>
      <c r="C231">
        <v>150</v>
      </c>
      <c r="D231">
        <v>0.447600915026452</v>
      </c>
      <c r="E231">
        <v>6.3064355382094002</v>
      </c>
      <c r="F231">
        <v>0.35500396313718702</v>
      </c>
      <c r="G231">
        <v>-139.44664929908473</v>
      </c>
      <c r="H231">
        <v>-78.874090549373847</v>
      </c>
      <c r="I231">
        <v>57.738328817981497</v>
      </c>
      <c r="J231">
        <v>24.652726918167499</v>
      </c>
      <c r="K231">
        <v>17.764408832169298</v>
      </c>
      <c r="L231">
        <v>1.7449668098908988E-3</v>
      </c>
      <c r="M231">
        <v>5.7201298255247102E-4</v>
      </c>
      <c r="N231" s="1">
        <v>-1.0978603422729001E-5</v>
      </c>
      <c r="O231" s="1">
        <v>1.68382181939686E-5</v>
      </c>
      <c r="P231" s="1">
        <v>-2.5438618448454899E-5</v>
      </c>
    </row>
    <row r="232" spans="1:16" x14ac:dyDescent="0.2">
      <c r="A232">
        <v>231</v>
      </c>
      <c r="B232">
        <v>774</v>
      </c>
      <c r="C232">
        <v>150</v>
      </c>
      <c r="D232">
        <v>0.44641216635630598</v>
      </c>
      <c r="E232">
        <v>6.8548470391984697</v>
      </c>
      <c r="F232">
        <v>0.38089392386724003</v>
      </c>
      <c r="G232">
        <v>-148.46441213426567</v>
      </c>
      <c r="H232">
        <v>-86.589303123485081</v>
      </c>
      <c r="I232">
        <v>59.0925246812171</v>
      </c>
      <c r="J232">
        <v>25.4631600180285</v>
      </c>
      <c r="K232">
        <v>17.996735074166502</v>
      </c>
      <c r="L232">
        <v>1.7331895815407101E-3</v>
      </c>
      <c r="M232">
        <v>5.6481658493017558E-4</v>
      </c>
      <c r="N232" s="1">
        <v>-1.0741428407461E-5</v>
      </c>
      <c r="O232" s="1">
        <v>1.68697061614456E-5</v>
      </c>
      <c r="P232" s="1">
        <v>-2.5686305842374698E-5</v>
      </c>
    </row>
    <row r="233" spans="1:16" x14ac:dyDescent="0.2">
      <c r="A233">
        <v>232</v>
      </c>
      <c r="B233">
        <v>772</v>
      </c>
      <c r="C233">
        <v>150</v>
      </c>
      <c r="D233">
        <v>0.44521886810505501</v>
      </c>
      <c r="E233">
        <v>7.5728306597796298</v>
      </c>
      <c r="F233">
        <v>0.41338185790016102</v>
      </c>
      <c r="G233">
        <v>-160.29636995109502</v>
      </c>
      <c r="H233">
        <v>-96.675153783275775</v>
      </c>
      <c r="I233">
        <v>60.876304426835702</v>
      </c>
      <c r="J233">
        <v>26.509087093911798</v>
      </c>
      <c r="K233">
        <v>18.319213857731899</v>
      </c>
      <c r="L233">
        <v>1.7161010308517123E-3</v>
      </c>
      <c r="M233">
        <v>5.5592265103487925E-4</v>
      </c>
      <c r="N233" s="1">
        <v>-1.0509040149387801E-5</v>
      </c>
      <c r="O233" s="1">
        <v>1.6927518332031301E-5</v>
      </c>
      <c r="P233" s="1">
        <v>-2.5978096192169201E-5</v>
      </c>
    </row>
    <row r="234" spans="1:16" x14ac:dyDescent="0.2">
      <c r="A234">
        <v>233</v>
      </c>
      <c r="B234">
        <v>770</v>
      </c>
      <c r="C234">
        <v>150</v>
      </c>
      <c r="D234">
        <v>0.44402099410439499</v>
      </c>
      <c r="E234">
        <v>8.2922444927872796</v>
      </c>
      <c r="F234">
        <v>0.44482360820392702</v>
      </c>
      <c r="G234">
        <v>-172.1412584378302</v>
      </c>
      <c r="H234">
        <v>-106.78118408118517</v>
      </c>
      <c r="I234">
        <v>62.659975067221801</v>
      </c>
      <c r="J234">
        <v>27.5586740389586</v>
      </c>
      <c r="K234">
        <v>18.641646575974299</v>
      </c>
      <c r="L234">
        <v>1.6996094215859061E-3</v>
      </c>
      <c r="M234">
        <v>5.4729261998055941E-4</v>
      </c>
      <c r="N234" s="1">
        <v>-1.02619994395418E-5</v>
      </c>
      <c r="O234" s="1">
        <v>1.6984201001458799E-5</v>
      </c>
      <c r="P234" s="1">
        <v>-2.6272555201815402E-5</v>
      </c>
    </row>
    <row r="235" spans="1:16" x14ac:dyDescent="0.2">
      <c r="A235">
        <v>234</v>
      </c>
      <c r="B235">
        <v>768</v>
      </c>
      <c r="C235">
        <v>150</v>
      </c>
      <c r="D235">
        <v>0.442818517984921</v>
      </c>
      <c r="E235">
        <v>11.400095728108001</v>
      </c>
      <c r="F235">
        <v>0.56498089770405102</v>
      </c>
      <c r="G235">
        <v>-223.63101737351366</v>
      </c>
      <c r="H235">
        <v>-150.59766507288907</v>
      </c>
      <c r="I235">
        <v>70.150432817127907</v>
      </c>
      <c r="J235">
        <v>31.764737625322802</v>
      </c>
      <c r="K235">
        <v>20.177842780942399</v>
      </c>
      <c r="L235">
        <v>1.6115780065364647E-3</v>
      </c>
      <c r="M235">
        <v>5.1571003601629385E-4</v>
      </c>
      <c r="N235" s="1">
        <v>-1.01897259776936E-5</v>
      </c>
      <c r="O235" s="1">
        <v>1.73476232976045E-5</v>
      </c>
      <c r="P235" s="1">
        <v>-2.7049731283275601E-5</v>
      </c>
    </row>
    <row r="236" spans="1:16" x14ac:dyDescent="0.2">
      <c r="A236">
        <v>235</v>
      </c>
      <c r="B236">
        <v>766</v>
      </c>
      <c r="C236">
        <v>150</v>
      </c>
      <c r="D236">
        <v>0.44161141317423203</v>
      </c>
      <c r="E236">
        <v>14.886821587374801</v>
      </c>
      <c r="F236">
        <v>0.67967346326738798</v>
      </c>
      <c r="G236">
        <v>-281.33198240689853</v>
      </c>
      <c r="H236">
        <v>-199.72943240707338</v>
      </c>
      <c r="I236">
        <v>78.531899417723594</v>
      </c>
      <c r="J236">
        <v>36.4747348010143</v>
      </c>
      <c r="K236">
        <v>21.902902484686599</v>
      </c>
      <c r="L236">
        <v>1.5269257657475857E-3</v>
      </c>
      <c r="M236">
        <v>4.8554750353817266E-4</v>
      </c>
      <c r="N236" s="1">
        <v>-1.0118804497788899E-5</v>
      </c>
      <c r="O236" s="1">
        <v>1.77545113642801E-5</v>
      </c>
      <c r="P236" s="1">
        <v>-2.7907481273496799E-5</v>
      </c>
    </row>
    <row r="237" spans="1:16" x14ac:dyDescent="0.2">
      <c r="A237">
        <v>236</v>
      </c>
      <c r="B237">
        <v>764</v>
      </c>
      <c r="C237">
        <v>150</v>
      </c>
      <c r="D237">
        <v>0.44039965289495597</v>
      </c>
      <c r="E237">
        <v>18.562152746416199</v>
      </c>
      <c r="F237">
        <v>0.782595349974189</v>
      </c>
      <c r="G237">
        <v>-342.05277635735513</v>
      </c>
      <c r="H237">
        <v>-251.46649056116942</v>
      </c>
      <c r="I237">
        <v>87.345385053484193</v>
      </c>
      <c r="J237">
        <v>41.435932766565401</v>
      </c>
      <c r="K237">
        <v>23.718710757773302</v>
      </c>
      <c r="L237">
        <v>1.4508233224700075E-3</v>
      </c>
      <c r="M237">
        <v>4.5842754073875658E-4</v>
      </c>
      <c r="N237" s="1">
        <v>-1.00304265130708E-5</v>
      </c>
      <c r="O237" s="1">
        <v>1.8178346583035001E-5</v>
      </c>
      <c r="P237" s="1">
        <v>-2.88057014371252E-5</v>
      </c>
    </row>
    <row r="238" spans="1:16" x14ac:dyDescent="0.2">
      <c r="A238">
        <v>237</v>
      </c>
      <c r="B238">
        <v>762</v>
      </c>
      <c r="C238">
        <v>150</v>
      </c>
      <c r="D238">
        <v>0.439183210162781</v>
      </c>
      <c r="E238">
        <v>64.145594093378307</v>
      </c>
      <c r="F238">
        <v>1.3860888766613799</v>
      </c>
      <c r="G238">
        <v>-1082.8510706469031</v>
      </c>
      <c r="H238">
        <v>-881.32508269531502</v>
      </c>
      <c r="I238">
        <v>194.68784797243799</v>
      </c>
      <c r="J238">
        <v>100.889885303206</v>
      </c>
      <c r="K238">
        <v>46.278124854362098</v>
      </c>
      <c r="L238">
        <v>9.6668091546564939E-4</v>
      </c>
      <c r="M238">
        <v>3.0221516695318863E-4</v>
      </c>
      <c r="N238" s="1">
        <v>-1.25763584725679E-5</v>
      </c>
      <c r="O238" s="1">
        <v>2.3378175276270801E-5</v>
      </c>
      <c r="P238" s="1">
        <v>-3.7347554636022202E-5</v>
      </c>
    </row>
    <row r="239" spans="1:16" x14ac:dyDescent="0.2">
      <c r="A239">
        <v>238</v>
      </c>
      <c r="B239">
        <v>760</v>
      </c>
      <c r="C239">
        <v>150</v>
      </c>
      <c r="D239">
        <v>0.43796205778444602</v>
      </c>
      <c r="E239">
        <v>83.203821021377607</v>
      </c>
      <c r="F239">
        <v>1.4962049155623101</v>
      </c>
      <c r="G239">
        <v>-1392.1562979031835</v>
      </c>
      <c r="H239">
        <v>-1144.9999357801673</v>
      </c>
      <c r="I239">
        <v>239.23145433974301</v>
      </c>
      <c r="J239">
        <v>125.76851579065099</v>
      </c>
      <c r="K239">
        <v>55.609910217483502</v>
      </c>
      <c r="L239">
        <v>8.8133335534723003E-4</v>
      </c>
      <c r="M239">
        <v>2.7352726689273808E-4</v>
      </c>
      <c r="N239" s="1">
        <v>-1.32189667816931E-5</v>
      </c>
      <c r="O239" s="1">
        <v>2.5453023465812899E-5</v>
      </c>
      <c r="P239" s="1">
        <v>-4.09966047860128E-5</v>
      </c>
    </row>
    <row r="240" spans="1:16" x14ac:dyDescent="0.2">
      <c r="A240">
        <v>239</v>
      </c>
      <c r="B240">
        <v>758</v>
      </c>
      <c r="C240">
        <v>150</v>
      </c>
      <c r="D240">
        <v>0.43673616835572199</v>
      </c>
      <c r="E240">
        <v>90.123899660111704</v>
      </c>
      <c r="F240">
        <v>1.5294865557241499</v>
      </c>
      <c r="G240">
        <v>-1504.0763466786482</v>
      </c>
      <c r="H240">
        <v>-1240.9436010118031</v>
      </c>
      <c r="I240">
        <v>255.18938328967201</v>
      </c>
      <c r="J240">
        <v>134.86059772057001</v>
      </c>
      <c r="K240">
        <v>58.924283657688697</v>
      </c>
      <c r="L240">
        <v>8.5821450299259207E-4</v>
      </c>
      <c r="M240">
        <v>2.6465710646378561E-4</v>
      </c>
      <c r="N240" s="1">
        <v>-1.3036722816467299E-5</v>
      </c>
      <c r="O240" s="1">
        <v>2.6133007842112199E-5</v>
      </c>
      <c r="P240" s="1">
        <v>-4.2440429069065197E-5</v>
      </c>
    </row>
    <row r="241" spans="1:16" x14ac:dyDescent="0.2">
      <c r="A241">
        <v>240</v>
      </c>
      <c r="B241">
        <v>756</v>
      </c>
      <c r="C241">
        <v>150</v>
      </c>
      <c r="D241">
        <v>0.43550551425934297</v>
      </c>
      <c r="E241">
        <v>93.784903374787405</v>
      </c>
      <c r="F241">
        <v>1.5469736618921599</v>
      </c>
      <c r="G241">
        <v>-1563.0026135715955</v>
      </c>
      <c r="H241">
        <v>-1291.84881619007</v>
      </c>
      <c r="I241">
        <v>263.47925454840498</v>
      </c>
      <c r="J241">
        <v>139.719746323603</v>
      </c>
      <c r="K241">
        <v>60.624757670454201</v>
      </c>
      <c r="L241">
        <v>8.4787804361753476E-4</v>
      </c>
      <c r="M241">
        <v>2.5985524220560266E-4</v>
      </c>
      <c r="N241" s="1">
        <v>-1.2619340065116301E-5</v>
      </c>
      <c r="O241" s="1">
        <v>2.6439702832327299E-5</v>
      </c>
      <c r="P241" s="1">
        <v>-4.3296454378541398E-5</v>
      </c>
    </row>
    <row r="242" spans="1:16" x14ac:dyDescent="0.2">
      <c r="A242">
        <v>241</v>
      </c>
      <c r="B242">
        <v>754</v>
      </c>
      <c r="C242">
        <v>150</v>
      </c>
      <c r="D242">
        <v>0.43427006766295001</v>
      </c>
      <c r="E242">
        <v>96.098680963224993</v>
      </c>
      <c r="F242">
        <v>1.55856566439146</v>
      </c>
      <c r="G242">
        <v>-1600.0231646496577</v>
      </c>
      <c r="H242">
        <v>-1324.136375998173</v>
      </c>
      <c r="I242">
        <v>268.60022688920799</v>
      </c>
      <c r="J242">
        <v>142.83166429669799</v>
      </c>
      <c r="K242">
        <v>61.658410138751798</v>
      </c>
      <c r="L242">
        <v>8.423051126826899E-4</v>
      </c>
      <c r="M242">
        <v>2.565679380940403E-4</v>
      </c>
      <c r="N242" s="1">
        <v>-1.2092761007712E-5</v>
      </c>
      <c r="O242" s="1">
        <v>2.6591913361600199E-5</v>
      </c>
      <c r="P242" s="1">
        <v>-4.3911067227590499E-5</v>
      </c>
    </row>
    <row r="243" spans="1:16" x14ac:dyDescent="0.2">
      <c r="A243">
        <v>242</v>
      </c>
      <c r="B243">
        <v>752</v>
      </c>
      <c r="C243">
        <v>150</v>
      </c>
      <c r="D243">
        <v>0.43302980051699702</v>
      </c>
      <c r="E243">
        <v>97.774815137594899</v>
      </c>
      <c r="F243">
        <v>1.56752603139455</v>
      </c>
      <c r="G243">
        <v>-1626.676078332971</v>
      </c>
      <c r="H243">
        <v>-1347.6197768920972</v>
      </c>
      <c r="I243">
        <v>272.216043276356</v>
      </c>
      <c r="J243">
        <v>145.11756008174601</v>
      </c>
      <c r="K243">
        <v>62.375241737203602</v>
      </c>
      <c r="L243">
        <v>8.3886090833203836E-4</v>
      </c>
      <c r="M243">
        <v>2.5395757381722683E-4</v>
      </c>
      <c r="N243" s="1">
        <v>-1.15021752715381E-5</v>
      </c>
      <c r="O243" s="1">
        <v>2.6669594565478501E-5</v>
      </c>
      <c r="P243" s="1">
        <v>-4.4411205266466997E-5</v>
      </c>
    </row>
    <row r="244" spans="1:16" x14ac:dyDescent="0.2">
      <c r="A244">
        <v>243</v>
      </c>
      <c r="B244">
        <v>750</v>
      </c>
      <c r="C244">
        <v>150</v>
      </c>
      <c r="D244">
        <v>0.43178468455260599</v>
      </c>
      <c r="E244">
        <v>99.005850209433007</v>
      </c>
      <c r="F244">
        <v>1.5747110323503799</v>
      </c>
      <c r="G244">
        <v>-1646.091498822695</v>
      </c>
      <c r="H244">
        <v>-1364.9493043804703</v>
      </c>
      <c r="I244">
        <v>274.786883390225</v>
      </c>
      <c r="J244">
        <v>146.829141325275</v>
      </c>
      <c r="K244">
        <v>62.872392569485498</v>
      </c>
      <c r="L244">
        <v>8.3684135052397915E-4</v>
      </c>
      <c r="M244">
        <v>2.5179753962269267E-4</v>
      </c>
      <c r="N244" s="1">
        <v>-1.08619775660129E-5</v>
      </c>
      <c r="O244" s="1">
        <v>2.66961523260547E-5</v>
      </c>
      <c r="P244" s="1">
        <v>-4.4833181073651599E-5</v>
      </c>
    </row>
    <row r="245" spans="1:16" x14ac:dyDescent="0.2">
      <c r="A245">
        <v>244</v>
      </c>
      <c r="B245">
        <v>748</v>
      </c>
      <c r="C245">
        <v>150</v>
      </c>
      <c r="D245">
        <v>0.43053469127944</v>
      </c>
      <c r="E245">
        <v>99.963970817271004</v>
      </c>
      <c r="F245">
        <v>1.5808411117411501</v>
      </c>
      <c r="G245">
        <v>-1661.0695956658979</v>
      </c>
      <c r="H245">
        <v>-1378.5070983803062</v>
      </c>
      <c r="I245">
        <v>276.71598279368101</v>
      </c>
      <c r="J245">
        <v>148.18986155436099</v>
      </c>
      <c r="K245">
        <v>63.234673032490498</v>
      </c>
      <c r="L245">
        <v>8.3566438093364429E-4</v>
      </c>
      <c r="M245">
        <v>2.4990293816353637E-4</v>
      </c>
      <c r="N245" s="1">
        <v>-1.01829023651789E-5</v>
      </c>
      <c r="O245" s="1">
        <v>2.6690830968064402E-5</v>
      </c>
      <c r="P245" s="1">
        <v>-4.5207511684511903E-5</v>
      </c>
    </row>
    <row r="246" spans="1:16" x14ac:dyDescent="0.2">
      <c r="A246">
        <v>245</v>
      </c>
      <c r="B246">
        <v>782</v>
      </c>
      <c r="C246">
        <v>140</v>
      </c>
      <c r="D246">
        <v>0.46156518030611998</v>
      </c>
      <c r="E246">
        <v>6.4836177413729503</v>
      </c>
      <c r="F246">
        <v>0.33063959163802797</v>
      </c>
      <c r="G246">
        <v>-143.91121862778991</v>
      </c>
      <c r="H246">
        <v>-80.778991530251275</v>
      </c>
      <c r="I246">
        <v>59.835982961427199</v>
      </c>
      <c r="J246">
        <v>25.024413158671599</v>
      </c>
      <c r="K246">
        <v>19.609320557324398</v>
      </c>
      <c r="L246">
        <v>1.7609878585723542E-3</v>
      </c>
      <c r="M246">
        <v>6.409830932906439E-4</v>
      </c>
      <c r="N246" s="1">
        <v>-1.8240017894015102E-5</v>
      </c>
      <c r="O246" s="1">
        <v>2.2055004320645599E-5</v>
      </c>
      <c r="P246" s="1">
        <v>-2.8901696716716698E-5</v>
      </c>
    </row>
    <row r="247" spans="1:16" x14ac:dyDescent="0.2">
      <c r="A247">
        <v>246</v>
      </c>
      <c r="B247">
        <v>780</v>
      </c>
      <c r="C247">
        <v>140</v>
      </c>
      <c r="D247">
        <v>0.46040972321132001</v>
      </c>
      <c r="E247">
        <v>6.6161293701633097</v>
      </c>
      <c r="F247">
        <v>0.337356360817477</v>
      </c>
      <c r="G247">
        <v>-145.99837552484118</v>
      </c>
      <c r="H247">
        <v>-82.681577840472301</v>
      </c>
      <c r="I247">
        <v>60.124875255068503</v>
      </c>
      <c r="J247">
        <v>25.261918078824099</v>
      </c>
      <c r="K247">
        <v>19.6116929709912</v>
      </c>
      <c r="L247">
        <v>1.7647731607837898E-3</v>
      </c>
      <c r="M247">
        <v>6.3870653253012282E-4</v>
      </c>
      <c r="N247" s="1">
        <v>-1.8047483401088901E-5</v>
      </c>
      <c r="O247" s="1">
        <v>2.2015286708685098E-5</v>
      </c>
      <c r="P247" s="1">
        <v>-2.90694257971298E-5</v>
      </c>
    </row>
    <row r="248" spans="1:16" x14ac:dyDescent="0.2">
      <c r="A248">
        <v>247</v>
      </c>
      <c r="B248">
        <v>778</v>
      </c>
      <c r="C248">
        <v>140</v>
      </c>
      <c r="D248">
        <v>0.45924986919088701</v>
      </c>
      <c r="E248">
        <v>7.3189063884270302</v>
      </c>
      <c r="F248">
        <v>0.36736894962272398</v>
      </c>
      <c r="G248">
        <v>-157.57938658879917</v>
      </c>
      <c r="H248">
        <v>-92.555722740639709</v>
      </c>
      <c r="I248">
        <v>61.863104208649098</v>
      </c>
      <c r="J248">
        <v>26.281368158721602</v>
      </c>
      <c r="K248">
        <v>19.922495888515598</v>
      </c>
      <c r="L248">
        <v>1.7504115163359053E-3</v>
      </c>
      <c r="M248">
        <v>6.2979112226514624E-4</v>
      </c>
      <c r="N248" s="1">
        <v>-1.7939057106848702E-5</v>
      </c>
      <c r="O248" s="1">
        <v>2.20877298623516E-5</v>
      </c>
      <c r="P248" s="1">
        <v>-2.93889909925349E-5</v>
      </c>
    </row>
    <row r="249" spans="1:16" x14ac:dyDescent="0.2">
      <c r="A249">
        <v>248</v>
      </c>
      <c r="B249">
        <v>776</v>
      </c>
      <c r="C249">
        <v>140</v>
      </c>
      <c r="D249">
        <v>0.45808559309917701</v>
      </c>
      <c r="E249">
        <v>8.0231610654414105</v>
      </c>
      <c r="F249">
        <v>0.39653302220061998</v>
      </c>
      <c r="G249">
        <v>-169.1746002422388</v>
      </c>
      <c r="H249">
        <v>-102.45078436900066</v>
      </c>
      <c r="I249">
        <v>63.601560794176898</v>
      </c>
      <c r="J249">
        <v>27.304509486628199</v>
      </c>
      <c r="K249">
        <v>20.233273438150601</v>
      </c>
      <c r="L249">
        <v>1.7365153294201193E-3</v>
      </c>
      <c r="M249">
        <v>6.211076263501307E-4</v>
      </c>
      <c r="N249" s="1">
        <v>-1.7817494207087901E-5</v>
      </c>
      <c r="O249" s="1">
        <v>2.21591246086063E-5</v>
      </c>
      <c r="P249" s="1">
        <v>-2.97121197140447E-5</v>
      </c>
    </row>
    <row r="250" spans="1:16" x14ac:dyDescent="0.2">
      <c r="A250">
        <v>249</v>
      </c>
      <c r="B250">
        <v>774</v>
      </c>
      <c r="C250">
        <v>140</v>
      </c>
      <c r="D250">
        <v>0.45691686959843703</v>
      </c>
      <c r="E250">
        <v>8.72827744265782</v>
      </c>
      <c r="F250">
        <v>0.42486473091258098</v>
      </c>
      <c r="G250">
        <v>-180.77360561497167</v>
      </c>
      <c r="H250">
        <v>-112.35812460148694</v>
      </c>
      <c r="I250">
        <v>65.338553366577699</v>
      </c>
      <c r="J250">
        <v>28.330522470089701</v>
      </c>
      <c r="K250">
        <v>20.5436620354672</v>
      </c>
      <c r="L250">
        <v>1.7230803757563565E-3</v>
      </c>
      <c r="M250">
        <v>6.1265163176620822E-4</v>
      </c>
      <c r="N250" s="1">
        <v>-1.7682181859540699E-5</v>
      </c>
      <c r="O250" s="1">
        <v>2.2229295333425301E-5</v>
      </c>
      <c r="P250" s="1">
        <v>-3.0038640166433501E-5</v>
      </c>
    </row>
    <row r="251" spans="1:16" x14ac:dyDescent="0.2">
      <c r="A251">
        <v>250</v>
      </c>
      <c r="B251">
        <v>772</v>
      </c>
      <c r="C251">
        <v>140</v>
      </c>
      <c r="D251">
        <v>0.45574367315696301</v>
      </c>
      <c r="E251">
        <v>10.785124742341001</v>
      </c>
      <c r="F251">
        <v>0.50053059731736604</v>
      </c>
      <c r="G251">
        <v>-214.81186081051393</v>
      </c>
      <c r="H251">
        <v>-141.34491039773479</v>
      </c>
      <c r="I251">
        <v>70.296890973242</v>
      </c>
      <c r="J251">
        <v>31.1344552574269</v>
      </c>
      <c r="K251">
        <v>21.547383516901402</v>
      </c>
      <c r="L251">
        <v>1.6712042860288451E-3</v>
      </c>
      <c r="M251">
        <v>5.9059533735460244E-4</v>
      </c>
      <c r="N251" s="1">
        <v>-1.7705256594614501E-5</v>
      </c>
      <c r="O251" s="1">
        <v>2.2512007731656001E-5</v>
      </c>
      <c r="P251" s="1">
        <v>-3.0659725457069999E-5</v>
      </c>
    </row>
    <row r="252" spans="1:16" x14ac:dyDescent="0.2">
      <c r="A252">
        <v>251</v>
      </c>
      <c r="B252">
        <v>770</v>
      </c>
      <c r="C252">
        <v>140</v>
      </c>
      <c r="D252">
        <v>0.45456597804726301</v>
      </c>
      <c r="E252">
        <v>14.204544656219401</v>
      </c>
      <c r="F252">
        <v>0.61101260530393997</v>
      </c>
      <c r="G252">
        <v>-271.41766650560214</v>
      </c>
      <c r="H252">
        <v>-189.54084310789386</v>
      </c>
      <c r="I252">
        <v>78.493759484165196</v>
      </c>
      <c r="J252">
        <v>35.7318818140158</v>
      </c>
      <c r="K252">
        <v>23.2475476494525</v>
      </c>
      <c r="L252">
        <v>1.5903751033114822E-3</v>
      </c>
      <c r="M252">
        <v>5.5853067703541754E-4</v>
      </c>
      <c r="N252" s="1">
        <v>-1.7879460637354401E-5</v>
      </c>
      <c r="O252" s="1">
        <v>2.3005485052293501E-5</v>
      </c>
      <c r="P252" s="1">
        <v>-3.15799123817622E-5</v>
      </c>
    </row>
    <row r="253" spans="1:16" x14ac:dyDescent="0.2">
      <c r="A253">
        <v>252</v>
      </c>
      <c r="B253">
        <v>768</v>
      </c>
      <c r="C253">
        <v>140</v>
      </c>
      <c r="D253">
        <v>0.45338375834414102</v>
      </c>
      <c r="E253">
        <v>17.7683673860673</v>
      </c>
      <c r="F253">
        <v>0.71025677849164603</v>
      </c>
      <c r="G253">
        <v>-330.32239713196532</v>
      </c>
      <c r="H253">
        <v>-239.72825038789992</v>
      </c>
      <c r="I253">
        <v>87.017421603677704</v>
      </c>
      <c r="J253">
        <v>40.521464021975298</v>
      </c>
      <c r="K253">
        <v>25.016821977822602</v>
      </c>
      <c r="L253">
        <v>1.5177146453396635E-3</v>
      </c>
      <c r="M253">
        <v>5.2967425733929522E-4</v>
      </c>
      <c r="N253" s="1">
        <v>-1.8043814800038099E-5</v>
      </c>
      <c r="O253" s="1">
        <v>2.3514238303648E-5</v>
      </c>
      <c r="P253" s="1">
        <v>-3.2535864470196001E-5</v>
      </c>
    </row>
    <row r="254" spans="1:16" x14ac:dyDescent="0.2">
      <c r="A254">
        <v>253</v>
      </c>
      <c r="B254">
        <v>766</v>
      </c>
      <c r="C254">
        <v>140</v>
      </c>
      <c r="D254">
        <v>0.45219698792282498</v>
      </c>
      <c r="E254">
        <v>40.338220856280103</v>
      </c>
      <c r="F254">
        <v>1.1116369603773999</v>
      </c>
      <c r="G254">
        <v>-697.54660392122696</v>
      </c>
      <c r="H254">
        <v>-551.87639250288908</v>
      </c>
      <c r="I254">
        <v>140.186512958403</v>
      </c>
      <c r="J254">
        <v>69.918972052649593</v>
      </c>
      <c r="K254">
        <v>36.287225320922197</v>
      </c>
      <c r="L254">
        <v>1.1968645913800265E-3</v>
      </c>
      <c r="M254">
        <v>4.1421418300820211E-4</v>
      </c>
      <c r="N254" s="1">
        <v>-2.0257156886523202E-5</v>
      </c>
      <c r="O254" s="1">
        <v>2.6696916545721301E-5</v>
      </c>
      <c r="P254" s="1">
        <v>-3.72363973610865E-5</v>
      </c>
    </row>
    <row r="255" spans="1:16" x14ac:dyDescent="0.2">
      <c r="A255">
        <v>254</v>
      </c>
      <c r="B255">
        <v>764</v>
      </c>
      <c r="C255">
        <v>140</v>
      </c>
      <c r="D255">
        <v>0.45100564045702202</v>
      </c>
      <c r="E255">
        <v>76.160992801737194</v>
      </c>
      <c r="F255">
        <v>1.40811073514886</v>
      </c>
      <c r="G255">
        <v>-1279.5394272334017</v>
      </c>
      <c r="H255">
        <v>-1047.1412478720729</v>
      </c>
      <c r="I255">
        <v>224.07911176519201</v>
      </c>
      <c r="J255">
        <v>116.401788346884</v>
      </c>
      <c r="K255">
        <v>54.087360390506099</v>
      </c>
      <c r="L255">
        <v>9.5898808406028253E-4</v>
      </c>
      <c r="M255">
        <v>3.2896980392012283E-4</v>
      </c>
      <c r="N255" s="1">
        <v>-2.3717696202558701E-5</v>
      </c>
      <c r="O255" s="1">
        <v>3.1627494624632201E-5</v>
      </c>
      <c r="P255" s="1">
        <v>-4.4470551333708803E-5</v>
      </c>
    </row>
    <row r="256" spans="1:16" x14ac:dyDescent="0.2">
      <c r="A256">
        <v>255</v>
      </c>
      <c r="B256">
        <v>762</v>
      </c>
      <c r="C256">
        <v>140</v>
      </c>
      <c r="D256">
        <v>0.44980968941699401</v>
      </c>
      <c r="E256">
        <v>86.939630989665503</v>
      </c>
      <c r="F256">
        <v>1.4649235689931801</v>
      </c>
      <c r="G256">
        <v>-1454.2077134234348</v>
      </c>
      <c r="H256">
        <v>-1196.4022969405453</v>
      </c>
      <c r="I256">
        <v>249.056799962014</v>
      </c>
      <c r="J256">
        <v>130.44452723559601</v>
      </c>
      <c r="K256">
        <v>59.347554254600198</v>
      </c>
      <c r="L256">
        <v>9.1698049255011871E-4</v>
      </c>
      <c r="M256">
        <v>3.1248303614500182E-4</v>
      </c>
      <c r="N256" s="1">
        <v>-2.43826160238462E-5</v>
      </c>
      <c r="O256" s="1">
        <v>3.3014040519592103E-5</v>
      </c>
      <c r="P256" s="1">
        <v>-4.6799135021187797E-5</v>
      </c>
    </row>
    <row r="257" spans="1:16" x14ac:dyDescent="0.2">
      <c r="A257">
        <v>256</v>
      </c>
      <c r="B257">
        <v>760</v>
      </c>
      <c r="C257">
        <v>140</v>
      </c>
      <c r="D257">
        <v>0.44860910806756099</v>
      </c>
      <c r="E257">
        <v>91.903356966636395</v>
      </c>
      <c r="F257">
        <v>1.4894414718728799</v>
      </c>
      <c r="G257">
        <v>-1534.3165701388016</v>
      </c>
      <c r="H257">
        <v>-1265.3080569331737</v>
      </c>
      <c r="I257">
        <v>260.382675881956</v>
      </c>
      <c r="J257">
        <v>136.96658730942701</v>
      </c>
      <c r="K257">
        <v>61.703234871708702</v>
      </c>
      <c r="L257">
        <v>9.0135198169197771E-4</v>
      </c>
      <c r="M257">
        <v>3.0524223441925614E-4</v>
      </c>
      <c r="N257" s="1">
        <v>-2.43905140979681E-5</v>
      </c>
      <c r="O257" s="1">
        <v>3.3584727357459103E-5</v>
      </c>
      <c r="P257" s="1">
        <v>-4.7999844752707901E-5</v>
      </c>
    </row>
    <row r="258" spans="1:16" x14ac:dyDescent="0.2">
      <c r="A258">
        <v>257</v>
      </c>
      <c r="B258">
        <v>758</v>
      </c>
      <c r="C258">
        <v>140</v>
      </c>
      <c r="D258">
        <v>0.44740386946613198</v>
      </c>
      <c r="E258">
        <v>94.818591729096099</v>
      </c>
      <c r="F258">
        <v>1.5041857768909199</v>
      </c>
      <c r="G258">
        <v>-1581.1156464391051</v>
      </c>
      <c r="H258">
        <v>-1305.9054761974132</v>
      </c>
      <c r="I258">
        <v>266.90208778946999</v>
      </c>
      <c r="J258">
        <v>140.84278500935599</v>
      </c>
      <c r="K258">
        <v>63.036490030560799</v>
      </c>
      <c r="L258">
        <v>8.9370349478807415E-4</v>
      </c>
      <c r="M258">
        <v>3.007946174110374E-4</v>
      </c>
      <c r="N258" s="1">
        <v>-2.4153511947308901E-5</v>
      </c>
      <c r="O258" s="1">
        <v>3.3868458770627697E-5</v>
      </c>
      <c r="P258" s="1">
        <v>-4.88066938287829E-5</v>
      </c>
    </row>
    <row r="259" spans="1:16" x14ac:dyDescent="0.2">
      <c r="A259">
        <v>258</v>
      </c>
      <c r="B259">
        <v>756</v>
      </c>
      <c r="C259">
        <v>140</v>
      </c>
      <c r="D259">
        <v>0.44619394646067401</v>
      </c>
      <c r="E259">
        <v>96.769337329541401</v>
      </c>
      <c r="F259">
        <v>1.5146590571157399</v>
      </c>
      <c r="G259">
        <v>-1612.2320481079594</v>
      </c>
      <c r="H259">
        <v>-1333.1749062222436</v>
      </c>
      <c r="I259">
        <v>271.15882580667198</v>
      </c>
      <c r="J259">
        <v>143.47532319553301</v>
      </c>
      <c r="K259">
        <v>63.888527833988</v>
      </c>
      <c r="L259">
        <v>8.8954001057350439E-4</v>
      </c>
      <c r="M259">
        <v>2.9756374342686069E-4</v>
      </c>
      <c r="N259" s="1">
        <v>-2.3789388467376799E-5</v>
      </c>
      <c r="O259" s="1">
        <v>3.4016848932566802E-5</v>
      </c>
      <c r="P259" s="1">
        <v>-4.9430047552927998E-5</v>
      </c>
    </row>
    <row r="260" spans="1:16" x14ac:dyDescent="0.2">
      <c r="A260">
        <v>259</v>
      </c>
      <c r="B260">
        <v>754</v>
      </c>
      <c r="C260">
        <v>140</v>
      </c>
      <c r="D260">
        <v>0.44497931168767801</v>
      </c>
      <c r="E260">
        <v>98.229284481691295</v>
      </c>
      <c r="F260">
        <v>1.5230616937713599</v>
      </c>
      <c r="G260">
        <v>-1635.3680407487973</v>
      </c>
      <c r="H260">
        <v>-1353.6681793693281</v>
      </c>
      <c r="I260">
        <v>274.25970823701999</v>
      </c>
      <c r="J260">
        <v>145.47599503327399</v>
      </c>
      <c r="K260">
        <v>64.494619543912506</v>
      </c>
      <c r="L260">
        <v>8.8707049799305522E-4</v>
      </c>
      <c r="M260">
        <v>2.9492300304289346E-4</v>
      </c>
      <c r="N260" s="1">
        <v>-2.3348000527057199E-5</v>
      </c>
      <c r="O260" s="1">
        <v>3.40949812861276E-5</v>
      </c>
      <c r="P260" s="1">
        <v>-4.9960576540490197E-5</v>
      </c>
    </row>
    <row r="261" spans="1:16" x14ac:dyDescent="0.2">
      <c r="A261">
        <v>260</v>
      </c>
      <c r="B261">
        <v>752</v>
      </c>
      <c r="C261">
        <v>140</v>
      </c>
      <c r="D261">
        <v>0.443759937570114</v>
      </c>
      <c r="E261">
        <v>99.333693393122104</v>
      </c>
      <c r="F261">
        <v>1.5300066207869401</v>
      </c>
      <c r="G261">
        <v>-1652.7229383723768</v>
      </c>
      <c r="H261">
        <v>-1369.2467242441037</v>
      </c>
      <c r="I261">
        <v>276.52756951300501</v>
      </c>
      <c r="J261">
        <v>147.02079560161499</v>
      </c>
      <c r="K261">
        <v>64.923701664787799</v>
      </c>
      <c r="L261">
        <v>8.8578711059123362E-4</v>
      </c>
      <c r="M261">
        <v>2.926920153956188E-4</v>
      </c>
      <c r="N261" s="1">
        <v>-2.28452811309512E-5</v>
      </c>
      <c r="O261" s="1">
        <v>3.4123030769799298E-5</v>
      </c>
      <c r="P261" s="1">
        <v>-5.0425671630847101E-5</v>
      </c>
    </row>
    <row r="262" spans="1:16" x14ac:dyDescent="0.2">
      <c r="A262">
        <v>261</v>
      </c>
      <c r="B262">
        <v>750</v>
      </c>
      <c r="C262">
        <v>140</v>
      </c>
      <c r="D262">
        <v>0.44253579631530099</v>
      </c>
      <c r="E262">
        <v>100.208562687605</v>
      </c>
      <c r="F262">
        <v>1.5360364518326</v>
      </c>
      <c r="G262">
        <v>-1666.3457782660284</v>
      </c>
      <c r="H262">
        <v>-1381.6531716697227</v>
      </c>
      <c r="I262">
        <v>278.25700116037802</v>
      </c>
      <c r="J262">
        <v>148.27252315035199</v>
      </c>
      <c r="K262">
        <v>65.238401450726698</v>
      </c>
      <c r="L262">
        <v>8.8524703283743907E-4</v>
      </c>
      <c r="M262">
        <v>2.9071577500697785E-4</v>
      </c>
      <c r="N262" s="1">
        <v>-2.22942207761815E-5</v>
      </c>
      <c r="O262" s="1">
        <v>3.4118287976739102E-5</v>
      </c>
      <c r="P262" s="1">
        <v>-5.0849363175005403E-5</v>
      </c>
    </row>
    <row r="263" spans="1:16" x14ac:dyDescent="0.2">
      <c r="A263">
        <v>262</v>
      </c>
      <c r="B263">
        <v>786</v>
      </c>
      <c r="C263">
        <v>130</v>
      </c>
      <c r="D263">
        <v>0.474248689987256</v>
      </c>
      <c r="E263">
        <v>6.6677510815522396</v>
      </c>
      <c r="F263">
        <v>0.30675534267556798</v>
      </c>
      <c r="G263">
        <v>-148.45460959448192</v>
      </c>
      <c r="H263">
        <v>-82.788866584182216</v>
      </c>
      <c r="I263">
        <v>62.002132565656702</v>
      </c>
      <c r="J263">
        <v>25.380346866208999</v>
      </c>
      <c r="K263">
        <v>21.736381258742099</v>
      </c>
      <c r="L263">
        <v>1.7737366362687904E-3</v>
      </c>
      <c r="M263">
        <v>7.1886672926560285E-4</v>
      </c>
      <c r="N263" s="1">
        <v>-2.6369635318437E-5</v>
      </c>
      <c r="O263" s="1">
        <v>2.91192806937777E-5</v>
      </c>
      <c r="P263" s="1">
        <v>-3.29796876768044E-5</v>
      </c>
    </row>
    <row r="264" spans="1:16" x14ac:dyDescent="0.2">
      <c r="A264">
        <v>263</v>
      </c>
      <c r="B264">
        <v>784</v>
      </c>
      <c r="C264">
        <v>130</v>
      </c>
      <c r="D264">
        <v>0.47312160052972602</v>
      </c>
      <c r="E264">
        <v>7.2331691503973801</v>
      </c>
      <c r="F264">
        <v>0.32926090983440198</v>
      </c>
      <c r="G264">
        <v>-157.7464761888867</v>
      </c>
      <c r="H264">
        <v>-90.743474218564884</v>
      </c>
      <c r="I264">
        <v>63.384416107963098</v>
      </c>
      <c r="J264">
        <v>26.2066065283902</v>
      </c>
      <c r="K264">
        <v>21.967895168713401</v>
      </c>
      <c r="L264">
        <v>1.7659333302444211E-3</v>
      </c>
      <c r="M264">
        <v>7.1160623584917639E-4</v>
      </c>
      <c r="N264" s="1">
        <v>-2.6386789285639699E-5</v>
      </c>
      <c r="O264" s="1">
        <v>2.9179738176039899E-5</v>
      </c>
      <c r="P264" s="1">
        <v>-3.3289884087351598E-5</v>
      </c>
    </row>
    <row r="265" spans="1:16" x14ac:dyDescent="0.2">
      <c r="A265">
        <v>264</v>
      </c>
      <c r="B265">
        <v>782</v>
      </c>
      <c r="C265">
        <v>130</v>
      </c>
      <c r="D265">
        <v>0.47199023835473802</v>
      </c>
      <c r="E265">
        <v>7.9230595627133704</v>
      </c>
      <c r="F265">
        <v>0.35582325554640598</v>
      </c>
      <c r="G265">
        <v>-169.10259766309744</v>
      </c>
      <c r="H265">
        <v>-100.43818609087907</v>
      </c>
      <c r="I265">
        <v>65.079151671135904</v>
      </c>
      <c r="J265">
        <v>27.203527595642701</v>
      </c>
      <c r="K265">
        <v>22.266840177566799</v>
      </c>
      <c r="L265">
        <v>1.7548516138059151E-3</v>
      </c>
      <c r="M265">
        <v>7.030501610205453E-4</v>
      </c>
      <c r="N265" s="1">
        <v>-2.6421552123125898E-5</v>
      </c>
      <c r="O265" s="1">
        <v>2.9269241561264098E-5</v>
      </c>
      <c r="P265" s="1">
        <v>-3.3638352562564503E-5</v>
      </c>
    </row>
    <row r="266" spans="1:16" x14ac:dyDescent="0.2">
      <c r="A266">
        <v>265</v>
      </c>
      <c r="B266">
        <v>780</v>
      </c>
      <c r="C266">
        <v>130</v>
      </c>
      <c r="D266">
        <v>0.47085457911978401</v>
      </c>
      <c r="E266">
        <v>8.6137205414495099</v>
      </c>
      <c r="F266">
        <v>0.38172369445702697</v>
      </c>
      <c r="G266">
        <v>-180.46141500061063</v>
      </c>
      <c r="H266">
        <v>-110.14396444162182</v>
      </c>
      <c r="I266">
        <v>66.772375906775693</v>
      </c>
      <c r="J266">
        <v>28.203156328934899</v>
      </c>
      <c r="K266">
        <v>22.565328447063902</v>
      </c>
      <c r="L266">
        <v>1.7441246002550361E-3</v>
      </c>
      <c r="M266">
        <v>6.94690282443513E-4</v>
      </c>
      <c r="N266" s="1">
        <v>-2.64455014544166E-5</v>
      </c>
      <c r="O266" s="1">
        <v>2.9357583660407301E-5</v>
      </c>
      <c r="P266" s="1">
        <v>-3.3990971310149002E-5</v>
      </c>
    </row>
    <row r="267" spans="1:16" x14ac:dyDescent="0.2">
      <c r="A267">
        <v>266</v>
      </c>
      <c r="B267">
        <v>778</v>
      </c>
      <c r="C267">
        <v>130</v>
      </c>
      <c r="D267">
        <v>0.46971459829710499</v>
      </c>
      <c r="E267">
        <v>9.3045808461037698</v>
      </c>
      <c r="F267">
        <v>0.40697078567262102</v>
      </c>
      <c r="G267">
        <v>-191.81329356930968</v>
      </c>
      <c r="H267">
        <v>-119.85280036671293</v>
      </c>
      <c r="I267">
        <v>68.462533548104304</v>
      </c>
      <c r="J267">
        <v>29.204741524938498</v>
      </c>
      <c r="K267">
        <v>22.863019100315999</v>
      </c>
      <c r="L267">
        <v>1.7337521859581866E-3</v>
      </c>
      <c r="M267">
        <v>6.8652416589992855E-4</v>
      </c>
      <c r="N267" s="1">
        <v>-2.64579804295086E-5</v>
      </c>
      <c r="O267" s="1">
        <v>2.94445718320806E-5</v>
      </c>
      <c r="P267" s="1">
        <v>-3.4347604063955901E-5</v>
      </c>
    </row>
    <row r="268" spans="1:16" x14ac:dyDescent="0.2">
      <c r="A268">
        <v>267</v>
      </c>
      <c r="B268">
        <v>776</v>
      </c>
      <c r="C268">
        <v>130</v>
      </c>
      <c r="D268">
        <v>0.46857027117190198</v>
      </c>
      <c r="E268">
        <v>10.863058393947201</v>
      </c>
      <c r="F268">
        <v>0.460095922134515</v>
      </c>
      <c r="G268">
        <v>-217.56705990157144</v>
      </c>
      <c r="H268">
        <v>-141.80742855626599</v>
      </c>
      <c r="I268">
        <v>72.214244499911402</v>
      </c>
      <c r="J268">
        <v>31.341651438171599</v>
      </c>
      <c r="K268">
        <v>23.610420939073901</v>
      </c>
      <c r="L268">
        <v>1.7007254115826746E-3</v>
      </c>
      <c r="M268">
        <v>6.6944068395967209E-4</v>
      </c>
      <c r="N268" s="1">
        <v>-2.6613066248610799E-5</v>
      </c>
      <c r="O268" s="1">
        <v>2.96998809917008E-5</v>
      </c>
      <c r="P268" s="1">
        <v>-3.4907751018590399E-5</v>
      </c>
    </row>
    <row r="269" spans="1:16" x14ac:dyDescent="0.2">
      <c r="A269">
        <v>268</v>
      </c>
      <c r="B269">
        <v>774</v>
      </c>
      <c r="C269">
        <v>130</v>
      </c>
      <c r="D269">
        <v>0.46742157284057101</v>
      </c>
      <c r="E269">
        <v>14.237435184863701</v>
      </c>
      <c r="F269">
        <v>0.56279367471725805</v>
      </c>
      <c r="G269">
        <v>-273.43019850963816</v>
      </c>
      <c r="H269">
        <v>-189.37200084059384</v>
      </c>
      <c r="I269">
        <v>80.277163949126802</v>
      </c>
      <c r="J269">
        <v>35.853908721623597</v>
      </c>
      <c r="K269">
        <v>25.297788202784002</v>
      </c>
      <c r="L269">
        <v>1.6270110679947171E-3</v>
      </c>
      <c r="M269">
        <v>6.3649790509723509E-4</v>
      </c>
      <c r="N269" s="1">
        <v>-2.7074763536968699E-5</v>
      </c>
      <c r="O269" s="1">
        <v>3.0305604936815801E-5</v>
      </c>
      <c r="P269" s="1">
        <v>-3.5891711618173899E-5</v>
      </c>
    </row>
    <row r="270" spans="1:16" x14ac:dyDescent="0.2">
      <c r="A270">
        <v>269</v>
      </c>
      <c r="B270">
        <v>772</v>
      </c>
      <c r="C270">
        <v>130</v>
      </c>
      <c r="D270">
        <v>0.46626847820886702</v>
      </c>
      <c r="E270">
        <v>17.740202662732699</v>
      </c>
      <c r="F270">
        <v>0.65591239596309603</v>
      </c>
      <c r="G270">
        <v>-331.33131656731234</v>
      </c>
      <c r="H270">
        <v>-238.70550720829675</v>
      </c>
      <c r="I270">
        <v>88.628367237989195</v>
      </c>
      <c r="J270">
        <v>40.536195475256399</v>
      </c>
      <c r="K270">
        <v>27.046603741471099</v>
      </c>
      <c r="L270">
        <v>1.5601516127273433E-3</v>
      </c>
      <c r="M270">
        <v>6.0657722585531835E-4</v>
      </c>
      <c r="N270" s="1">
        <v>-2.7537443847211999E-5</v>
      </c>
      <c r="O270" s="1">
        <v>3.0928160770050599E-5</v>
      </c>
      <c r="P270" s="1">
        <v>-3.6911185214445898E-5</v>
      </c>
    </row>
    <row r="271" spans="1:16" x14ac:dyDescent="0.2">
      <c r="A271">
        <v>270</v>
      </c>
      <c r="B271">
        <v>770</v>
      </c>
      <c r="C271">
        <v>130</v>
      </c>
      <c r="D271">
        <v>0.46511096199012703</v>
      </c>
      <c r="E271">
        <v>21.520747208325702</v>
      </c>
      <c r="F271">
        <v>0.74382825188366397</v>
      </c>
      <c r="G271">
        <v>-393.70769543012642</v>
      </c>
      <c r="H271">
        <v>-291.88131922347327</v>
      </c>
      <c r="I271">
        <v>97.618372428842093</v>
      </c>
      <c r="J271">
        <v>45.581516304791897</v>
      </c>
      <c r="K271">
        <v>28.932414376338599</v>
      </c>
      <c r="L271">
        <v>1.4966602514743376E-3</v>
      </c>
      <c r="M271">
        <v>5.7827229034244205E-4</v>
      </c>
      <c r="N271" s="1">
        <v>-2.8022705197031701E-5</v>
      </c>
      <c r="O271" s="1">
        <v>3.1592890913889901E-5</v>
      </c>
      <c r="P271" s="1">
        <v>-3.7997480123463897E-5</v>
      </c>
    </row>
    <row r="272" spans="1:16" x14ac:dyDescent="0.2">
      <c r="A272">
        <v>271</v>
      </c>
      <c r="B272">
        <v>768</v>
      </c>
      <c r="C272">
        <v>130</v>
      </c>
      <c r="D272">
        <v>0.46394899870335798</v>
      </c>
      <c r="E272">
        <v>68.836817258613706</v>
      </c>
      <c r="F272">
        <v>1.30526006831938</v>
      </c>
      <c r="G272">
        <v>-1162.353013495265</v>
      </c>
      <c r="H272">
        <v>-945.39480606423479</v>
      </c>
      <c r="I272">
        <v>208.388361678264</v>
      </c>
      <c r="J272">
        <v>106.63952696041601</v>
      </c>
      <c r="K272">
        <v>52.738009021639598</v>
      </c>
      <c r="L272">
        <v>1.0428685031449799E-3</v>
      </c>
      <c r="M272">
        <v>3.989050794780072E-4</v>
      </c>
      <c r="N272" s="1">
        <v>-3.5196601074988102E-5</v>
      </c>
      <c r="O272" s="1">
        <v>3.9747621826281402E-5</v>
      </c>
      <c r="P272" s="1">
        <v>-4.8179476517152303E-5</v>
      </c>
    </row>
    <row r="273" spans="1:16" x14ac:dyDescent="0.2">
      <c r="A273">
        <v>272</v>
      </c>
      <c r="B273">
        <v>766</v>
      </c>
      <c r="C273">
        <v>130</v>
      </c>
      <c r="D273">
        <v>0.46278256267141699</v>
      </c>
      <c r="E273">
        <v>83.995875958838397</v>
      </c>
      <c r="F273">
        <v>1.39410246329902</v>
      </c>
      <c r="G273">
        <v>-1408.2699031404309</v>
      </c>
      <c r="H273">
        <v>-1155.1699501977168</v>
      </c>
      <c r="I273">
        <v>243.56987746326899</v>
      </c>
      <c r="J273">
        <v>126.248694554324</v>
      </c>
      <c r="K273">
        <v>60.250862594467797</v>
      </c>
      <c r="L273">
        <v>9.7518043932087425E-4</v>
      </c>
      <c r="M273">
        <v>3.7046312299389824E-4</v>
      </c>
      <c r="N273" s="1">
        <v>-3.72371158355597E-5</v>
      </c>
      <c r="O273" s="1">
        <v>4.2235966031521898E-5</v>
      </c>
      <c r="P273" s="1">
        <v>-5.1600348726131102E-5</v>
      </c>
    </row>
    <row r="274" spans="1:16" x14ac:dyDescent="0.2">
      <c r="A274">
        <v>273</v>
      </c>
      <c r="B274">
        <v>764</v>
      </c>
      <c r="C274">
        <v>130</v>
      </c>
      <c r="D274">
        <v>0.461611628019092</v>
      </c>
      <c r="E274">
        <v>90.259741546880903</v>
      </c>
      <c r="F274">
        <v>1.42646699631567</v>
      </c>
      <c r="G274">
        <v>-1509.5224231857328</v>
      </c>
      <c r="H274">
        <v>-1242.0356180401186</v>
      </c>
      <c r="I274">
        <v>257.91123170358298</v>
      </c>
      <c r="J274">
        <v>134.409376182974</v>
      </c>
      <c r="K274">
        <v>63.275029692244203</v>
      </c>
      <c r="L274">
        <v>9.5368368994927391E-4</v>
      </c>
      <c r="M274">
        <v>3.6003058638634888E-4</v>
      </c>
      <c r="N274" s="1">
        <v>-3.7869632242457701E-5</v>
      </c>
      <c r="O274" s="1">
        <v>4.3180568933603703E-5</v>
      </c>
      <c r="P274" s="1">
        <v>-5.3175091488620301E-5</v>
      </c>
    </row>
    <row r="275" spans="1:16" x14ac:dyDescent="0.2">
      <c r="A275">
        <v>274</v>
      </c>
      <c r="B275">
        <v>762</v>
      </c>
      <c r="C275">
        <v>130</v>
      </c>
      <c r="D275">
        <v>0.46043616867121101</v>
      </c>
      <c r="E275">
        <v>93.731065278959505</v>
      </c>
      <c r="F275">
        <v>1.44442497375263</v>
      </c>
      <c r="G275">
        <v>-1565.3634883188067</v>
      </c>
      <c r="H275">
        <v>-1290.3133433766739</v>
      </c>
      <c r="I275">
        <v>265.71613093123898</v>
      </c>
      <c r="J275">
        <v>138.980763384629</v>
      </c>
      <c r="K275">
        <v>64.891612220913899</v>
      </c>
      <c r="L275">
        <v>9.4397401345589925E-4</v>
      </c>
      <c r="M275">
        <v>3.5418588839850171E-4</v>
      </c>
      <c r="N275" s="1">
        <v>-3.8048300018799401E-5</v>
      </c>
      <c r="O275" s="1">
        <v>4.3642420411092501E-5</v>
      </c>
      <c r="P275" s="1">
        <v>-5.41761860090225E-5</v>
      </c>
    </row>
    <row r="276" spans="1:16" x14ac:dyDescent="0.2">
      <c r="A276">
        <v>275</v>
      </c>
      <c r="B276">
        <v>760</v>
      </c>
      <c r="C276">
        <v>130</v>
      </c>
      <c r="D276">
        <v>0.45925615835067601</v>
      </c>
      <c r="E276">
        <v>95.974668050395707</v>
      </c>
      <c r="F276">
        <v>1.4565969305367401</v>
      </c>
      <c r="G276">
        <v>-1601.2406501058713</v>
      </c>
      <c r="H276">
        <v>-1321.6263961127447</v>
      </c>
      <c r="I276">
        <v>270.64822429885697</v>
      </c>
      <c r="J276">
        <v>141.97653186500099</v>
      </c>
      <c r="K276">
        <v>65.889654192138096</v>
      </c>
      <c r="L276">
        <v>9.3900179880769606E-4</v>
      </c>
      <c r="M276">
        <v>3.5017954568869057E-4</v>
      </c>
      <c r="N276" s="1">
        <v>-3.8015837760528898E-5</v>
      </c>
      <c r="O276" s="1">
        <v>4.3892115533763701E-5</v>
      </c>
      <c r="P276" s="1">
        <v>-5.4928272029177999E-5</v>
      </c>
    </row>
    <row r="277" spans="1:16" x14ac:dyDescent="0.2">
      <c r="A277">
        <v>276</v>
      </c>
      <c r="B277">
        <v>758</v>
      </c>
      <c r="C277">
        <v>130</v>
      </c>
      <c r="D277">
        <v>0.45807157057654202</v>
      </c>
      <c r="E277">
        <v>97.5648580059502</v>
      </c>
      <c r="F277">
        <v>1.4658500420337901</v>
      </c>
      <c r="G277">
        <v>-1626.4931039376199</v>
      </c>
      <c r="H277">
        <v>-1343.9110263760665</v>
      </c>
      <c r="I277">
        <v>274.05137222419802</v>
      </c>
      <c r="J277">
        <v>144.13544769815101</v>
      </c>
      <c r="K277">
        <v>66.558553200014799</v>
      </c>
      <c r="L277">
        <v>9.3642265986321226E-4</v>
      </c>
      <c r="M277">
        <v>3.4709708067510764E-4</v>
      </c>
      <c r="N277" s="1">
        <v>-3.7860638943688201E-5</v>
      </c>
      <c r="O277" s="1">
        <v>4.40286572358361E-5</v>
      </c>
      <c r="P277" s="1">
        <v>-5.55501142612962E-5</v>
      </c>
    </row>
    <row r="278" spans="1:16" x14ac:dyDescent="0.2">
      <c r="A278">
        <v>277</v>
      </c>
      <c r="B278">
        <v>756</v>
      </c>
      <c r="C278">
        <v>130</v>
      </c>
      <c r="D278">
        <v>0.45688237866200498</v>
      </c>
      <c r="E278">
        <v>98.762759065606403</v>
      </c>
      <c r="F278">
        <v>1.4734149035039099</v>
      </c>
      <c r="G278">
        <v>-1645.3670766017331</v>
      </c>
      <c r="H278">
        <v>-1360.7756765484733</v>
      </c>
      <c r="I278">
        <v>276.53638629023698</v>
      </c>
      <c r="J278">
        <v>145.79336320242601</v>
      </c>
      <c r="K278">
        <v>67.029835812532696</v>
      </c>
      <c r="L278">
        <v>9.3523047034574651E-4</v>
      </c>
      <c r="M278">
        <v>3.4454592374286017E-4</v>
      </c>
      <c r="N278" s="1">
        <v>-3.7622457208410197E-5</v>
      </c>
      <c r="O278" s="1">
        <v>4.4096952983965402E-5</v>
      </c>
      <c r="P278" s="1">
        <v>-5.6095578776790299E-5</v>
      </c>
    </row>
    <row r="279" spans="1:16" x14ac:dyDescent="0.2">
      <c r="A279">
        <v>278</v>
      </c>
      <c r="B279">
        <v>754</v>
      </c>
      <c r="C279">
        <v>130</v>
      </c>
      <c r="D279">
        <v>0.45568855571240902</v>
      </c>
      <c r="E279">
        <v>99.762351261891297</v>
      </c>
      <c r="F279">
        <v>1.4801651340717401</v>
      </c>
      <c r="G279">
        <v>-1661.01549775946</v>
      </c>
      <c r="H279">
        <v>-1374.9083451134152</v>
      </c>
      <c r="I279">
        <v>278.55054939406102</v>
      </c>
      <c r="J279">
        <v>147.198751486714</v>
      </c>
      <c r="K279">
        <v>67.399473859688698</v>
      </c>
      <c r="L279">
        <v>9.3472008304105005E-4</v>
      </c>
      <c r="M279">
        <v>3.422539128189085E-4</v>
      </c>
      <c r="N279" s="1">
        <v>-3.7328657405741002E-5</v>
      </c>
      <c r="O279" s="1">
        <v>4.4128592193127897E-5</v>
      </c>
      <c r="P279" s="1">
        <v>-5.6603238163772097E-5</v>
      </c>
    </row>
    <row r="280" spans="1:16" x14ac:dyDescent="0.2">
      <c r="A280">
        <v>279</v>
      </c>
      <c r="B280">
        <v>752</v>
      </c>
      <c r="C280">
        <v>130</v>
      </c>
      <c r="D280">
        <v>0.45449007462322599</v>
      </c>
      <c r="E280">
        <v>100.540419350579</v>
      </c>
      <c r="F280">
        <v>1.48599655374854</v>
      </c>
      <c r="G280">
        <v>-1673.0627210035682</v>
      </c>
      <c r="H280">
        <v>-1385.9755237531228</v>
      </c>
      <c r="I280">
        <v>280.05000123177501</v>
      </c>
      <c r="J280">
        <v>148.32357295186901</v>
      </c>
      <c r="K280">
        <v>67.658581775952797</v>
      </c>
      <c r="L280">
        <v>9.3496250570356096E-4</v>
      </c>
      <c r="M280">
        <v>3.40243713779463E-4</v>
      </c>
      <c r="N280" s="1">
        <v>-3.6978226140841198E-5</v>
      </c>
      <c r="O280" s="1">
        <v>4.4122418137926101E-5</v>
      </c>
      <c r="P280" s="1">
        <v>-5.70706023825638E-5</v>
      </c>
    </row>
    <row r="281" spans="1:16" x14ac:dyDescent="0.2">
      <c r="A281">
        <v>280</v>
      </c>
      <c r="B281">
        <v>792</v>
      </c>
      <c r="C281">
        <v>120</v>
      </c>
      <c r="D281">
        <v>0.48793174670234402</v>
      </c>
      <c r="E281">
        <v>6.8603644913752504</v>
      </c>
      <c r="F281">
        <v>0.28122827198497002</v>
      </c>
      <c r="G281">
        <v>-153.36095979738442</v>
      </c>
      <c r="H281">
        <v>-84.819662797067465</v>
      </c>
      <c r="I281">
        <v>64.352647910767104</v>
      </c>
      <c r="J281">
        <v>25.600433638888099</v>
      </c>
      <c r="K281">
        <v>24.394291665461999</v>
      </c>
      <c r="L281">
        <v>1.7647498461571475E-3</v>
      </c>
      <c r="M281">
        <v>8.0830698742375686E-4</v>
      </c>
      <c r="N281" s="1">
        <v>-3.5493722184889399E-5</v>
      </c>
      <c r="O281" s="1">
        <v>3.9058519519418097E-5</v>
      </c>
      <c r="P281" s="1">
        <v>-3.7529195185975299E-5</v>
      </c>
    </row>
    <row r="282" spans="1:16" x14ac:dyDescent="0.2">
      <c r="A282">
        <v>281</v>
      </c>
      <c r="B282">
        <v>790</v>
      </c>
      <c r="C282">
        <v>120</v>
      </c>
      <c r="D282">
        <v>0.486836758688802</v>
      </c>
      <c r="E282">
        <v>7.3323014437007696</v>
      </c>
      <c r="F282">
        <v>0.29844569772519097</v>
      </c>
      <c r="G282">
        <v>-161.09137073483876</v>
      </c>
      <c r="H282">
        <v>-91.467872297594909</v>
      </c>
      <c r="I282">
        <v>65.491641152468404</v>
      </c>
      <c r="J282">
        <v>26.294320927490801</v>
      </c>
      <c r="K282">
        <v>24.568293326353501</v>
      </c>
      <c r="L282">
        <v>1.7615839292571584E-3</v>
      </c>
      <c r="M282">
        <v>8.023702066231582E-4</v>
      </c>
      <c r="N282" s="1">
        <v>-3.5656240351217999E-5</v>
      </c>
      <c r="O282" s="1">
        <v>3.9109631258774299E-5</v>
      </c>
      <c r="P282" s="1">
        <v>-3.7834725449719601E-5</v>
      </c>
    </row>
    <row r="283" spans="1:16" x14ac:dyDescent="0.2">
      <c r="A283">
        <v>282</v>
      </c>
      <c r="B283">
        <v>788</v>
      </c>
      <c r="C283">
        <v>120</v>
      </c>
      <c r="D283">
        <v>0.48573764312303003</v>
      </c>
      <c r="E283">
        <v>8.0087393017712092</v>
      </c>
      <c r="F283">
        <v>0.32221555754919001</v>
      </c>
      <c r="G283">
        <v>-172.22090972062657</v>
      </c>
      <c r="H283">
        <v>-100.9744926840651</v>
      </c>
      <c r="I283">
        <v>67.144491385890703</v>
      </c>
      <c r="J283">
        <v>27.2651262500885</v>
      </c>
      <c r="K283">
        <v>24.855222270105799</v>
      </c>
      <c r="L283">
        <v>1.7533377087438208E-3</v>
      </c>
      <c r="M283">
        <v>7.9411354946410306E-4</v>
      </c>
      <c r="N283" s="1">
        <v>-3.58694041682541E-5</v>
      </c>
      <c r="O283" s="1">
        <v>3.9221302476871203E-5</v>
      </c>
      <c r="P283" s="1">
        <v>-3.8204060791609799E-5</v>
      </c>
    </row>
    <row r="284" spans="1:16" x14ac:dyDescent="0.2">
      <c r="A284">
        <v>283</v>
      </c>
      <c r="B284">
        <v>786</v>
      </c>
      <c r="C284">
        <v>120</v>
      </c>
      <c r="D284">
        <v>0.48463437662276798</v>
      </c>
      <c r="E284">
        <v>8.6856871185214093</v>
      </c>
      <c r="F284">
        <v>0.345471808182302</v>
      </c>
      <c r="G284">
        <v>-183.34915836242794</v>
      </c>
      <c r="H284">
        <v>-110.48858254399882</v>
      </c>
      <c r="I284">
        <v>68.795313196169602</v>
      </c>
      <c r="J284">
        <v>28.238221292099901</v>
      </c>
      <c r="K284">
        <v>25.141522152621</v>
      </c>
      <c r="L284">
        <v>1.7453612432274594E-3</v>
      </c>
      <c r="M284">
        <v>7.8602245524840087E-4</v>
      </c>
      <c r="N284" s="1">
        <v>-3.6075947710862602E-5</v>
      </c>
      <c r="O284" s="1">
        <v>3.9331840399586002E-5</v>
      </c>
      <c r="P284" s="1">
        <v>-3.8578034635062202E-5</v>
      </c>
    </row>
    <row r="285" spans="1:16" x14ac:dyDescent="0.2">
      <c r="A285">
        <v>284</v>
      </c>
      <c r="B285">
        <v>784</v>
      </c>
      <c r="C285">
        <v>120</v>
      </c>
      <c r="D285">
        <v>0.48352693562881199</v>
      </c>
      <c r="E285">
        <v>9.3626067420211907</v>
      </c>
      <c r="F285">
        <v>0.36821708601709802</v>
      </c>
      <c r="G285">
        <v>-194.46705041387148</v>
      </c>
      <c r="H285">
        <v>-120.00260144084328</v>
      </c>
      <c r="I285">
        <v>70.442651727830693</v>
      </c>
      <c r="J285">
        <v>29.212905962593499</v>
      </c>
      <c r="K285">
        <v>25.426866643516998</v>
      </c>
      <c r="L285">
        <v>1.7376576037348751E-3</v>
      </c>
      <c r="M285">
        <v>7.7809633137759175E-4</v>
      </c>
      <c r="N285" s="1">
        <v>-3.6275258378223203E-5</v>
      </c>
      <c r="O285" s="1">
        <v>3.9441029740973299E-5</v>
      </c>
      <c r="P285" s="1">
        <v>-3.8956542959429002E-5</v>
      </c>
    </row>
    <row r="286" spans="1:16" x14ac:dyDescent="0.2">
      <c r="A286">
        <v>285</v>
      </c>
      <c r="B286">
        <v>782</v>
      </c>
      <c r="C286">
        <v>120</v>
      </c>
      <c r="D286">
        <v>0.48241529640335601</v>
      </c>
      <c r="E286">
        <v>10.038977389773599</v>
      </c>
      <c r="F286">
        <v>0.39045546357105698</v>
      </c>
      <c r="G286">
        <v>-205.56582419002217</v>
      </c>
      <c r="H286">
        <v>-129.50924911562254</v>
      </c>
      <c r="I286">
        <v>72.085102114109006</v>
      </c>
      <c r="J286">
        <v>30.188505013281301</v>
      </c>
      <c r="K286">
        <v>25.710941007095599</v>
      </c>
      <c r="L286">
        <v>1.7302287660646398E-3</v>
      </c>
      <c r="M286">
        <v>7.703340568335316E-4</v>
      </c>
      <c r="N286" s="1">
        <v>-3.6466710787913498E-5</v>
      </c>
      <c r="O286" s="1">
        <v>3.9548661967464698E-5</v>
      </c>
      <c r="P286" s="1">
        <v>-3.9339485068788702E-5</v>
      </c>
    </row>
    <row r="287" spans="1:16" x14ac:dyDescent="0.2">
      <c r="A287">
        <v>286</v>
      </c>
      <c r="B287">
        <v>780</v>
      </c>
      <c r="C287">
        <v>120</v>
      </c>
      <c r="D287">
        <v>0.48129943502824801</v>
      </c>
      <c r="E287">
        <v>11.745000368574001</v>
      </c>
      <c r="F287">
        <v>0.442609845479284</v>
      </c>
      <c r="G287">
        <v>-233.75913471065277</v>
      </c>
      <c r="H287">
        <v>-153.54628066867085</v>
      </c>
      <c r="I287">
        <v>76.168561142825894</v>
      </c>
      <c r="J287">
        <v>32.502831535366099</v>
      </c>
      <c r="K287">
        <v>26.535786513867102</v>
      </c>
      <c r="L287">
        <v>1.6987574048410688E-3</v>
      </c>
      <c r="M287">
        <v>7.5190576757248927E-4</v>
      </c>
      <c r="N287" s="1">
        <v>-3.688479740203E-5</v>
      </c>
      <c r="O287" s="1">
        <v>3.9906081764490002E-5</v>
      </c>
      <c r="P287" s="1">
        <v>-3.99787551861649E-5</v>
      </c>
    </row>
    <row r="288" spans="1:16" x14ac:dyDescent="0.2">
      <c r="A288">
        <v>287</v>
      </c>
      <c r="B288">
        <v>778</v>
      </c>
      <c r="C288">
        <v>120</v>
      </c>
      <c r="D288">
        <v>0.48017932740332298</v>
      </c>
      <c r="E288">
        <v>15.0937579751194</v>
      </c>
      <c r="F288">
        <v>0.53483431016856497</v>
      </c>
      <c r="G288">
        <v>-289.18395225728221</v>
      </c>
      <c r="H288">
        <v>-200.74374463600469</v>
      </c>
      <c r="I288">
        <v>84.140569900293102</v>
      </c>
      <c r="J288">
        <v>36.952760792656299</v>
      </c>
      <c r="K288">
        <v>28.221371905557501</v>
      </c>
      <c r="L288">
        <v>1.6346054539866585E-3</v>
      </c>
      <c r="M288">
        <v>7.1916937152237848E-4</v>
      </c>
      <c r="N288" s="1">
        <v>-3.7667194268569998E-5</v>
      </c>
      <c r="O288" s="1">
        <v>4.0658548920570899E-5</v>
      </c>
      <c r="P288" s="1">
        <v>-4.1026476299362001E-5</v>
      </c>
    </row>
    <row r="289" spans="1:16" x14ac:dyDescent="0.2">
      <c r="A289">
        <v>288</v>
      </c>
      <c r="B289">
        <v>776</v>
      </c>
      <c r="C289">
        <v>120</v>
      </c>
      <c r="D289">
        <v>0.47905494924462999</v>
      </c>
      <c r="E289">
        <v>18.5783085079999</v>
      </c>
      <c r="F289">
        <v>0.619841755480942</v>
      </c>
      <c r="G289">
        <v>-346.76800556346063</v>
      </c>
      <c r="H289">
        <v>-249.81255311541241</v>
      </c>
      <c r="I289">
        <v>92.417379797575606</v>
      </c>
      <c r="J289">
        <v>41.580757746811599</v>
      </c>
      <c r="K289">
        <v>29.9726637383195</v>
      </c>
      <c r="L289">
        <v>1.5754242664936522E-3</v>
      </c>
      <c r="M289">
        <v>6.8894615820885689E-4</v>
      </c>
      <c r="N289" s="1">
        <v>-3.8466797117795999E-5</v>
      </c>
      <c r="O289" s="1">
        <v>4.1434323547098303E-5</v>
      </c>
      <c r="P289" s="1">
        <v>-4.2113776153189003E-5</v>
      </c>
    </row>
    <row r="290" spans="1:16" x14ac:dyDescent="0.2">
      <c r="A290">
        <v>289</v>
      </c>
      <c r="B290">
        <v>774</v>
      </c>
      <c r="C290">
        <v>120</v>
      </c>
      <c r="D290">
        <v>0.47792627608270499</v>
      </c>
      <c r="E290">
        <v>22.356502780822201</v>
      </c>
      <c r="F290">
        <v>0.70148154105566896</v>
      </c>
      <c r="G290">
        <v>-409.08702930777542</v>
      </c>
      <c r="H290">
        <v>-302.94333247308106</v>
      </c>
      <c r="I290">
        <v>101.36850864837299</v>
      </c>
      <c r="J290">
        <v>46.589536094819302</v>
      </c>
      <c r="K290">
        <v>31.870407804569801</v>
      </c>
      <c r="L290">
        <v>1.5181539655781638E-3</v>
      </c>
      <c r="M290">
        <v>6.5985630321414163E-4</v>
      </c>
      <c r="N290" s="1">
        <v>-3.9314358226802297E-5</v>
      </c>
      <c r="O290" s="1">
        <v>4.22668832991211E-5</v>
      </c>
      <c r="P290" s="1">
        <v>-4.3275840264000003E-5</v>
      </c>
    </row>
    <row r="291" spans="1:16" x14ac:dyDescent="0.2">
      <c r="A291">
        <v>290</v>
      </c>
      <c r="B291">
        <v>772</v>
      </c>
      <c r="C291">
        <v>120</v>
      </c>
      <c r="D291">
        <v>0.47679328326077502</v>
      </c>
      <c r="E291">
        <v>65.334938711657102</v>
      </c>
      <c r="F291">
        <v>1.2158059527703799</v>
      </c>
      <c r="G291">
        <v>-1107.338297322731</v>
      </c>
      <c r="H291">
        <v>-896.47322856809217</v>
      </c>
      <c r="I291">
        <v>201.76086537593699</v>
      </c>
      <c r="J291">
        <v>101.740148434584</v>
      </c>
      <c r="K291">
        <v>53.737965801846997</v>
      </c>
      <c r="L291">
        <v>1.1070492613002711E-3</v>
      </c>
      <c r="M291">
        <v>4.7667411093415066E-4</v>
      </c>
      <c r="N291" s="1">
        <v>-4.8075327797434402E-5</v>
      </c>
      <c r="O291" s="1">
        <v>5.1526712458746202E-5</v>
      </c>
      <c r="P291" s="1">
        <v>-5.3147820478776003E-5</v>
      </c>
    </row>
    <row r="292" spans="1:16" x14ac:dyDescent="0.2">
      <c r="A292">
        <v>291</v>
      </c>
      <c r="B292">
        <v>770</v>
      </c>
      <c r="C292">
        <v>120</v>
      </c>
      <c r="D292">
        <v>0.47565594593299199</v>
      </c>
      <c r="E292">
        <v>82.429339128086397</v>
      </c>
      <c r="F292">
        <v>1.3227649377851201</v>
      </c>
      <c r="G292">
        <v>-1384.7514539112885</v>
      </c>
      <c r="H292">
        <v>-1132.9584630159527</v>
      </c>
      <c r="I292">
        <v>241.38299221490701</v>
      </c>
      <c r="J292">
        <v>123.712693590089</v>
      </c>
      <c r="K292">
        <v>62.315938965020202</v>
      </c>
      <c r="L292">
        <v>1.0257591206210097E-3</v>
      </c>
      <c r="M292">
        <v>4.3864803258838206E-4</v>
      </c>
      <c r="N292" s="1">
        <v>-5.1466204373510599E-5</v>
      </c>
      <c r="O292" s="1">
        <v>5.5067608709908799E-5</v>
      </c>
      <c r="P292" s="1">
        <v>-5.7225619147284699E-5</v>
      </c>
    </row>
    <row r="293" spans="1:16" x14ac:dyDescent="0.2">
      <c r="A293">
        <v>292</v>
      </c>
      <c r="B293">
        <v>768</v>
      </c>
      <c r="C293">
        <v>120</v>
      </c>
      <c r="D293">
        <v>0.474514239062578</v>
      </c>
      <c r="E293">
        <v>89.341539666573695</v>
      </c>
      <c r="F293">
        <v>1.3599473271798801</v>
      </c>
      <c r="G293">
        <v>-1496.5513652779957</v>
      </c>
      <c r="H293">
        <v>-1228.7701514950281</v>
      </c>
      <c r="I293">
        <v>257.20313387762701</v>
      </c>
      <c r="J293">
        <v>132.65412532873501</v>
      </c>
      <c r="K293">
        <v>65.694852940988994</v>
      </c>
      <c r="L293">
        <v>1.001090133900545E-3</v>
      </c>
      <c r="M293">
        <v>4.2544947907690022E-4</v>
      </c>
      <c r="N293" s="1">
        <v>-5.2774203353628702E-5</v>
      </c>
      <c r="O293" s="1">
        <v>5.6402285006931697E-5</v>
      </c>
      <c r="P293" s="1">
        <v>-5.9055983210227599E-5</v>
      </c>
    </row>
    <row r="294" spans="1:16" x14ac:dyDescent="0.2">
      <c r="A294">
        <v>293</v>
      </c>
      <c r="B294">
        <v>766</v>
      </c>
      <c r="C294">
        <v>120</v>
      </c>
      <c r="D294">
        <v>0.47336813742000999</v>
      </c>
      <c r="E294">
        <v>93.099477059053697</v>
      </c>
      <c r="F294">
        <v>1.3799580471383499</v>
      </c>
      <c r="G294">
        <v>-1557.0537328437674</v>
      </c>
      <c r="H294">
        <v>-1281.00079210022</v>
      </c>
      <c r="I294">
        <v>265.65832824576898</v>
      </c>
      <c r="J294">
        <v>137.56425920588001</v>
      </c>
      <c r="K294">
        <v>67.465440164732598</v>
      </c>
      <c r="L294">
        <v>9.9037017527987218E-4</v>
      </c>
      <c r="M294">
        <v>4.1835447231475899E-4</v>
      </c>
      <c r="N294" s="1">
        <v>-5.3429509815880802E-5</v>
      </c>
      <c r="O294" s="1">
        <v>5.7057131133490703E-5</v>
      </c>
      <c r="P294" s="1">
        <v>-6.0197923943768797E-5</v>
      </c>
    </row>
    <row r="295" spans="1:16" x14ac:dyDescent="0.2">
      <c r="A295">
        <v>294</v>
      </c>
      <c r="B295">
        <v>764</v>
      </c>
      <c r="C295">
        <v>120</v>
      </c>
      <c r="D295">
        <v>0.47221761558116099</v>
      </c>
      <c r="E295">
        <v>95.497119771563703</v>
      </c>
      <c r="F295">
        <v>1.3932476103985001</v>
      </c>
      <c r="G295">
        <v>-1595.435024138804</v>
      </c>
      <c r="H295">
        <v>-1314.4369387721122</v>
      </c>
      <c r="I295">
        <v>270.938676666096</v>
      </c>
      <c r="J295">
        <v>140.73839239873399</v>
      </c>
      <c r="K295">
        <v>68.542819710452605</v>
      </c>
      <c r="L295">
        <v>9.8512078401787246E-4</v>
      </c>
      <c r="M295">
        <v>4.136444117518349E-4</v>
      </c>
      <c r="N295" s="1">
        <v>-5.3794273473782702E-5</v>
      </c>
      <c r="O295" s="1">
        <v>5.7419323072284901E-5</v>
      </c>
      <c r="P295" s="1">
        <v>-6.1047194801149902E-5</v>
      </c>
    </row>
    <row r="296" spans="1:16" x14ac:dyDescent="0.2">
      <c r="A296">
        <v>295</v>
      </c>
      <c r="B296">
        <v>762</v>
      </c>
      <c r="C296">
        <v>120</v>
      </c>
      <c r="D296">
        <v>0.47106264792542502</v>
      </c>
      <c r="E296">
        <v>97.181274230113004</v>
      </c>
      <c r="F296">
        <v>1.4032046074209401</v>
      </c>
      <c r="G296">
        <v>-1622.2140913101705</v>
      </c>
      <c r="H296">
        <v>-1338.0156100133458</v>
      </c>
      <c r="I296">
        <v>274.55391090267602</v>
      </c>
      <c r="J296">
        <v>143.00372847670499</v>
      </c>
      <c r="K296">
        <v>69.256667000780098</v>
      </c>
      <c r="L296">
        <v>9.825931828558968E-4</v>
      </c>
      <c r="M296">
        <v>4.1011361236345279E-4</v>
      </c>
      <c r="N296" s="1">
        <v>-5.3998129446213799E-5</v>
      </c>
      <c r="O296" s="1">
        <v>5.7627970011709101E-5</v>
      </c>
      <c r="P296" s="1">
        <v>-6.1746027680862703E-5</v>
      </c>
    </row>
    <row r="297" spans="1:16" x14ac:dyDescent="0.2">
      <c r="A297">
        <v>296</v>
      </c>
      <c r="B297">
        <v>760</v>
      </c>
      <c r="C297">
        <v>120</v>
      </c>
      <c r="D297">
        <v>0.46990320863379098</v>
      </c>
      <c r="E297">
        <v>98.441669946843305</v>
      </c>
      <c r="F297">
        <v>1.4112574160389599</v>
      </c>
      <c r="G297">
        <v>-1642.1026051540914</v>
      </c>
      <c r="H297">
        <v>-1355.7400842235554</v>
      </c>
      <c r="I297">
        <v>277.18002968437099</v>
      </c>
      <c r="J297">
        <v>144.730734187439</v>
      </c>
      <c r="K297">
        <v>69.754581147317097</v>
      </c>
      <c r="L297">
        <v>9.816289388822634E-4</v>
      </c>
      <c r="M297">
        <v>4.0725379013007183E-4</v>
      </c>
      <c r="N297" s="1">
        <v>-5.4098592413378101E-5</v>
      </c>
      <c r="O297" s="1">
        <v>5.7745228415265303E-5</v>
      </c>
      <c r="P297" s="1">
        <v>-6.2358002108408502E-5</v>
      </c>
    </row>
    <row r="298" spans="1:16" x14ac:dyDescent="0.2">
      <c r="A298">
        <v>297</v>
      </c>
      <c r="B298">
        <v>758</v>
      </c>
      <c r="C298">
        <v>120</v>
      </c>
      <c r="D298">
        <v>0.46873927168695301</v>
      </c>
      <c r="E298">
        <v>99.428034679154607</v>
      </c>
      <c r="F298">
        <v>1.4181150666516</v>
      </c>
      <c r="G298">
        <v>-1657.5354494016126</v>
      </c>
      <c r="H298">
        <v>-1369.6791837672492</v>
      </c>
      <c r="I298">
        <v>279.16628381088998</v>
      </c>
      <c r="J298">
        <v>146.11086777517701</v>
      </c>
      <c r="K298">
        <v>70.112811729671606</v>
      </c>
      <c r="L298">
        <v>9.8165311405440468E-4</v>
      </c>
      <c r="M298">
        <v>4.0481255996303975E-4</v>
      </c>
      <c r="N298" s="1">
        <v>-5.4124961155874697E-5</v>
      </c>
      <c r="O298" s="1">
        <v>5.7803150780778402E-5</v>
      </c>
      <c r="P298" s="1">
        <v>-6.2915935180569095E-5</v>
      </c>
    </row>
    <row r="299" spans="1:16" x14ac:dyDescent="0.2">
      <c r="A299">
        <v>298</v>
      </c>
      <c r="B299">
        <v>756</v>
      </c>
      <c r="C299">
        <v>120</v>
      </c>
      <c r="D299">
        <v>0.46757081086333502</v>
      </c>
      <c r="E299">
        <v>100.276362356756</v>
      </c>
      <c r="F299">
        <v>1.42440099652855</v>
      </c>
      <c r="G299">
        <v>-1670.7223441566302</v>
      </c>
      <c r="H299">
        <v>-1381.7183736506393</v>
      </c>
      <c r="I299">
        <v>280.82401635164899</v>
      </c>
      <c r="J299">
        <v>147.31717845056201</v>
      </c>
      <c r="K299">
        <v>70.398969532556094</v>
      </c>
      <c r="L299">
        <v>9.8216719775929325E-4</v>
      </c>
      <c r="M299">
        <v>4.0257448188018219E-4</v>
      </c>
      <c r="N299" s="1">
        <v>-5.4101958419127599E-5</v>
      </c>
      <c r="O299" s="1">
        <v>5.7828919798558E-5</v>
      </c>
      <c r="P299" s="1">
        <v>-6.3448343280297505E-5</v>
      </c>
    </row>
    <row r="300" spans="1:16" x14ac:dyDescent="0.2">
      <c r="A300">
        <v>299</v>
      </c>
      <c r="B300">
        <v>798</v>
      </c>
      <c r="C300">
        <v>110</v>
      </c>
      <c r="D300">
        <v>0.501461513326802</v>
      </c>
      <c r="E300">
        <v>7.0623047768490999</v>
      </c>
      <c r="F300">
        <v>0.25539656593439097</v>
      </c>
      <c r="G300">
        <v>-158.53794942532556</v>
      </c>
      <c r="H300">
        <v>-86.929986184645657</v>
      </c>
      <c r="I300">
        <v>66.855253442700203</v>
      </c>
      <c r="J300">
        <v>25.737044308860199</v>
      </c>
      <c r="K300">
        <v>27.652309070840499</v>
      </c>
      <c r="L300">
        <v>1.7410255801400755E-3</v>
      </c>
      <c r="M300">
        <v>9.1049477783971828E-4</v>
      </c>
      <c r="N300" s="1">
        <v>-4.5130547067601997E-5</v>
      </c>
      <c r="O300" s="1">
        <v>5.3219043691995998E-5</v>
      </c>
      <c r="P300" s="1">
        <v>-4.2910481048730398E-5</v>
      </c>
    </row>
    <row r="301" spans="1:16" x14ac:dyDescent="0.2">
      <c r="A301">
        <v>300</v>
      </c>
      <c r="B301">
        <v>796</v>
      </c>
      <c r="C301">
        <v>110</v>
      </c>
      <c r="D301">
        <v>0.50039797970350297</v>
      </c>
      <c r="E301">
        <v>7.6360808409685896</v>
      </c>
      <c r="F301">
        <v>0.273921670133842</v>
      </c>
      <c r="G301">
        <v>-167.96026638338444</v>
      </c>
      <c r="H301">
        <v>-95.001060491521571</v>
      </c>
      <c r="I301">
        <v>68.244178388303098</v>
      </c>
      <c r="J301">
        <v>26.5599220527229</v>
      </c>
      <c r="K301">
        <v>27.8768774928886</v>
      </c>
      <c r="L301">
        <v>1.7373015092236406E-3</v>
      </c>
      <c r="M301">
        <v>9.0364030145367977E-4</v>
      </c>
      <c r="N301" s="1">
        <v>-4.5504958321405897E-5</v>
      </c>
      <c r="O301" s="1">
        <v>5.33246975855203E-5</v>
      </c>
      <c r="P301" s="1">
        <v>-4.3263125617175898E-5</v>
      </c>
    </row>
    <row r="302" spans="1:16" x14ac:dyDescent="0.2">
      <c r="A302">
        <v>301</v>
      </c>
      <c r="B302">
        <v>794</v>
      </c>
      <c r="C302">
        <v>110</v>
      </c>
      <c r="D302">
        <v>0.49933045963547601</v>
      </c>
      <c r="E302">
        <v>8.2999536068909396</v>
      </c>
      <c r="F302">
        <v>0.29483177320501702</v>
      </c>
      <c r="G302">
        <v>-178.87524797483721</v>
      </c>
      <c r="H302">
        <v>-104.33150584708739</v>
      </c>
      <c r="I302">
        <v>69.856925546975901</v>
      </c>
      <c r="J302">
        <v>27.504522513898099</v>
      </c>
      <c r="K302">
        <v>28.151489633104699</v>
      </c>
      <c r="L302">
        <v>1.7317309789551803E-3</v>
      </c>
      <c r="M302">
        <v>8.9583514025854186E-4</v>
      </c>
      <c r="N302" s="1">
        <v>-4.59071598525253E-5</v>
      </c>
      <c r="O302" s="1">
        <v>5.3463277899129801E-5</v>
      </c>
      <c r="P302" s="1">
        <v>-4.3647958225263497E-5</v>
      </c>
    </row>
    <row r="303" spans="1:16" x14ac:dyDescent="0.2">
      <c r="A303">
        <v>302</v>
      </c>
      <c r="B303">
        <v>792</v>
      </c>
      <c r="C303">
        <v>110</v>
      </c>
      <c r="D303">
        <v>0.49825893066704502</v>
      </c>
      <c r="E303">
        <v>8.9639087146679799</v>
      </c>
      <c r="F303">
        <v>0.31535084474762298</v>
      </c>
      <c r="G303">
        <v>-189.78211057930929</v>
      </c>
      <c r="H303">
        <v>-113.66347749611616</v>
      </c>
      <c r="I303">
        <v>71.466673793086201</v>
      </c>
      <c r="J303">
        <v>28.450739152364601</v>
      </c>
      <c r="K303">
        <v>28.425193285408302</v>
      </c>
      <c r="L303">
        <v>1.7263671477117431E-3</v>
      </c>
      <c r="M303">
        <v>8.8816802078783255E-4</v>
      </c>
      <c r="N303" s="1">
        <v>-4.6307660828569202E-5</v>
      </c>
      <c r="O303" s="1">
        <v>5.3600667150768402E-5</v>
      </c>
      <c r="P303" s="1">
        <v>-4.4037586205037899E-5</v>
      </c>
    </row>
    <row r="304" spans="1:16" x14ac:dyDescent="0.2">
      <c r="A304">
        <v>303</v>
      </c>
      <c r="B304">
        <v>790</v>
      </c>
      <c r="C304">
        <v>110</v>
      </c>
      <c r="D304">
        <v>0.49718337017354403</v>
      </c>
      <c r="E304">
        <v>9.6274437824080099</v>
      </c>
      <c r="F304">
        <v>0.33547813973934898</v>
      </c>
      <c r="G304">
        <v>-200.6724041880853</v>
      </c>
      <c r="H304">
        <v>-122.98993978878956</v>
      </c>
      <c r="I304">
        <v>73.072075837933895</v>
      </c>
      <c r="J304">
        <v>29.397925778447799</v>
      </c>
      <c r="K304">
        <v>28.697678453469599</v>
      </c>
      <c r="L304">
        <v>1.7212145122151854E-3</v>
      </c>
      <c r="M304">
        <v>8.806395957434793E-4</v>
      </c>
      <c r="N304" s="1">
        <v>-4.6705964871982097E-5</v>
      </c>
      <c r="O304" s="1">
        <v>5.3736624552916303E-5</v>
      </c>
      <c r="P304" s="1">
        <v>-4.4431928138724597E-5</v>
      </c>
    </row>
    <row r="305" spans="1:16" x14ac:dyDescent="0.2">
      <c r="A305">
        <v>304</v>
      </c>
      <c r="B305">
        <v>788</v>
      </c>
      <c r="C305">
        <v>110</v>
      </c>
      <c r="D305">
        <v>0.49610375535975398</v>
      </c>
      <c r="E305">
        <v>10.2900743048754</v>
      </c>
      <c r="F305">
        <v>0.355214182381627</v>
      </c>
      <c r="G305">
        <v>-211.5379910558452</v>
      </c>
      <c r="H305">
        <v>-132.30410467047429</v>
      </c>
      <c r="I305">
        <v>74.671835177778405</v>
      </c>
      <c r="J305">
        <v>30.345461505845002</v>
      </c>
      <c r="K305">
        <v>28.968647129692101</v>
      </c>
      <c r="L305">
        <v>1.7162766789799925E-3</v>
      </c>
      <c r="M305">
        <v>8.7325000422416106E-4</v>
      </c>
      <c r="N305" s="1">
        <v>-4.7101563228177098E-5</v>
      </c>
      <c r="O305" s="1">
        <v>5.38709179616255E-5</v>
      </c>
      <c r="P305" s="1">
        <v>-4.48309079620135E-5</v>
      </c>
    </row>
    <row r="306" spans="1:16" x14ac:dyDescent="0.2">
      <c r="A306">
        <v>305</v>
      </c>
      <c r="B306">
        <v>786</v>
      </c>
      <c r="C306">
        <v>110</v>
      </c>
      <c r="D306">
        <v>0.49502006325827702</v>
      </c>
      <c r="E306">
        <v>10.951338577819699</v>
      </c>
      <c r="F306">
        <v>0.37456075894284901</v>
      </c>
      <c r="G306">
        <v>-222.37112657020165</v>
      </c>
      <c r="H306">
        <v>-141.59950002013383</v>
      </c>
      <c r="I306">
        <v>76.2647184047661</v>
      </c>
      <c r="J306">
        <v>31.292757521262601</v>
      </c>
      <c r="K306">
        <v>29.237816072160001</v>
      </c>
      <c r="L306">
        <v>1.7115563391900592E-3</v>
      </c>
      <c r="M306">
        <v>8.6599887150145584E-4</v>
      </c>
      <c r="N306" s="1">
        <v>-4.7493936127561903E-5</v>
      </c>
      <c r="O306" s="1">
        <v>5.40033256631375E-5</v>
      </c>
      <c r="P306" s="1">
        <v>-4.5234456577006997E-5</v>
      </c>
    </row>
    <row r="307" spans="1:16" x14ac:dyDescent="0.2">
      <c r="A307">
        <v>306</v>
      </c>
      <c r="B307">
        <v>784</v>
      </c>
      <c r="C307">
        <v>110</v>
      </c>
      <c r="D307">
        <v>0.49393227072789903</v>
      </c>
      <c r="E307">
        <v>13.5724513729328</v>
      </c>
      <c r="F307">
        <v>0.44423406585842301</v>
      </c>
      <c r="G307">
        <v>-265.74714416623272</v>
      </c>
      <c r="H307">
        <v>-178.54296915951426</v>
      </c>
      <c r="I307">
        <v>82.4938653647271</v>
      </c>
      <c r="J307">
        <v>34.769737161957401</v>
      </c>
      <c r="K307">
        <v>30.552477659960299</v>
      </c>
      <c r="L307">
        <v>1.6672126346474947E-3</v>
      </c>
      <c r="M307">
        <v>8.3871398303428856E-4</v>
      </c>
      <c r="N307" s="1">
        <v>-4.8420489479802699E-5</v>
      </c>
      <c r="O307" s="1">
        <v>5.4736843774328699E-5</v>
      </c>
      <c r="P307" s="1">
        <v>-4.6151080896869999E-5</v>
      </c>
    </row>
    <row r="308" spans="1:16" x14ac:dyDescent="0.2">
      <c r="A308">
        <v>307</v>
      </c>
      <c r="B308">
        <v>782</v>
      </c>
      <c r="C308">
        <v>110</v>
      </c>
      <c r="D308">
        <v>0.49284035445197399</v>
      </c>
      <c r="E308">
        <v>16.925332083434</v>
      </c>
      <c r="F308">
        <v>0.52476653009864505</v>
      </c>
      <c r="G308">
        <v>-321.20445016551525</v>
      </c>
      <c r="H308">
        <v>-225.7797907358219</v>
      </c>
      <c r="I308">
        <v>90.441127789070407</v>
      </c>
      <c r="J308">
        <v>39.192544398561701</v>
      </c>
      <c r="K308">
        <v>32.253070866109702</v>
      </c>
      <c r="L308">
        <v>1.6136673732197251E-3</v>
      </c>
      <c r="M308">
        <v>8.0704442392936625E-4</v>
      </c>
      <c r="N308" s="1">
        <v>-4.9545523905155201E-5</v>
      </c>
      <c r="O308" s="1">
        <v>5.5686741317599302E-5</v>
      </c>
      <c r="P308" s="1">
        <v>-4.72645228351942E-5</v>
      </c>
    </row>
    <row r="309" spans="1:16" x14ac:dyDescent="0.2">
      <c r="A309">
        <v>308</v>
      </c>
      <c r="B309">
        <v>780</v>
      </c>
      <c r="C309">
        <v>110</v>
      </c>
      <c r="D309">
        <v>0.49174429093671501</v>
      </c>
      <c r="E309">
        <v>20.454993011464101</v>
      </c>
      <c r="F309">
        <v>0.60088776034526103</v>
      </c>
      <c r="G309">
        <v>-379.49064917252741</v>
      </c>
      <c r="H309">
        <v>-275.45633043454552</v>
      </c>
      <c r="I309">
        <v>98.788112449532306</v>
      </c>
      <c r="J309">
        <v>43.844031503181498</v>
      </c>
      <c r="K309">
        <v>34.041287510517698</v>
      </c>
      <c r="L309">
        <v>1.5628832570070534E-3</v>
      </c>
      <c r="M309">
        <v>7.7705527402047853E-4</v>
      </c>
      <c r="N309" s="1">
        <v>-5.0713908378161699E-5</v>
      </c>
      <c r="O309" s="1">
        <v>5.6677816759316003E-5</v>
      </c>
      <c r="P309" s="1">
        <v>-4.8429113536993799E-5</v>
      </c>
    </row>
    <row r="310" spans="1:16" x14ac:dyDescent="0.2">
      <c r="A310">
        <v>309</v>
      </c>
      <c r="B310">
        <v>778</v>
      </c>
      <c r="C310">
        <v>110</v>
      </c>
      <c r="D310">
        <v>0.49064405650953802</v>
      </c>
      <c r="E310">
        <v>24.8376264569883</v>
      </c>
      <c r="F310">
        <v>0.68483677864839099</v>
      </c>
      <c r="G310">
        <v>-451.64877832544374</v>
      </c>
      <c r="H310">
        <v>-336.96026484358134</v>
      </c>
      <c r="I310">
        <v>109.111923465939</v>
      </c>
      <c r="J310">
        <v>49.585599594075603</v>
      </c>
      <c r="K310">
        <v>36.267950599861699</v>
      </c>
      <c r="L310">
        <v>1.5050284534528964E-3</v>
      </c>
      <c r="M310">
        <v>7.4381616607737126E-4</v>
      </c>
      <c r="N310" s="1">
        <v>-5.2090379813374102E-5</v>
      </c>
      <c r="O310" s="1">
        <v>5.7891924557964E-5</v>
      </c>
      <c r="P310" s="1">
        <v>-4.9802401863853699E-5</v>
      </c>
    </row>
    <row r="311" spans="1:16" x14ac:dyDescent="0.2">
      <c r="A311">
        <v>310</v>
      </c>
      <c r="B311">
        <v>776</v>
      </c>
      <c r="C311">
        <v>110</v>
      </c>
      <c r="D311">
        <v>0.48953962731735601</v>
      </c>
      <c r="E311">
        <v>68.610406664498797</v>
      </c>
      <c r="F311">
        <v>1.16652980771244</v>
      </c>
      <c r="G311">
        <v>-1162.5852007173553</v>
      </c>
      <c r="H311">
        <v>-941.18599897685647</v>
      </c>
      <c r="I311">
        <v>211.03237682682999</v>
      </c>
      <c r="J311">
        <v>105.375912728768</v>
      </c>
      <c r="K311">
        <v>58.815819545188504</v>
      </c>
      <c r="L311">
        <v>1.1276009097863512E-3</v>
      </c>
      <c r="M311">
        <v>5.522877234121397E-4</v>
      </c>
      <c r="N311" s="1">
        <v>-6.3179857332418599E-5</v>
      </c>
      <c r="O311" s="1">
        <v>6.9773754532996695E-5</v>
      </c>
      <c r="P311" s="1">
        <v>-6.0435185553121099E-5</v>
      </c>
    </row>
    <row r="312" spans="1:16" x14ac:dyDescent="0.2">
      <c r="A312">
        <v>311</v>
      </c>
      <c r="B312">
        <v>774</v>
      </c>
      <c r="C312">
        <v>110</v>
      </c>
      <c r="D312">
        <v>0.48843097932483898</v>
      </c>
      <c r="E312">
        <v>83.193770677597598</v>
      </c>
      <c r="F312">
        <v>1.25672463567468</v>
      </c>
      <c r="G312">
        <v>-1399.172863619239</v>
      </c>
      <c r="H312">
        <v>-1142.9423709507826</v>
      </c>
      <c r="I312">
        <v>244.69867313843699</v>
      </c>
      <c r="J312">
        <v>124.011672277217</v>
      </c>
      <c r="K312">
        <v>66.198885830653197</v>
      </c>
      <c r="L312">
        <v>1.0616796184565896E-3</v>
      </c>
      <c r="M312">
        <v>5.1662444191573082E-4</v>
      </c>
      <c r="N312" s="1">
        <v>-6.6982287565652094E-5</v>
      </c>
      <c r="O312" s="1">
        <v>7.3570764077396204E-5</v>
      </c>
      <c r="P312" s="1">
        <v>-6.4165402897532197E-5</v>
      </c>
    </row>
    <row r="313" spans="1:16" x14ac:dyDescent="0.2">
      <c r="A313">
        <v>312</v>
      </c>
      <c r="B313">
        <v>772</v>
      </c>
      <c r="C313">
        <v>110</v>
      </c>
      <c r="D313">
        <v>0.48731808831268297</v>
      </c>
      <c r="E313">
        <v>89.5738125684327</v>
      </c>
      <c r="F313">
        <v>1.2918609445472</v>
      </c>
      <c r="G313">
        <v>-1502.3230196852983</v>
      </c>
      <c r="H313">
        <v>-1231.3839412814382</v>
      </c>
      <c r="I313">
        <v>259.24023773096201</v>
      </c>
      <c r="J313">
        <v>132.21691168729799</v>
      </c>
      <c r="K313">
        <v>69.337038902300705</v>
      </c>
      <c r="L313">
        <v>1.039633509049514E-3</v>
      </c>
      <c r="M313">
        <v>5.0285911323364623E-4</v>
      </c>
      <c r="N313" s="1">
        <v>-6.87547772453725E-5</v>
      </c>
      <c r="O313" s="1">
        <v>7.5127178439974399E-5</v>
      </c>
      <c r="P313" s="1">
        <v>-6.5981398031505302E-5</v>
      </c>
    </row>
    <row r="314" spans="1:16" x14ac:dyDescent="0.2">
      <c r="A314">
        <v>313</v>
      </c>
      <c r="B314">
        <v>770</v>
      </c>
      <c r="C314">
        <v>110</v>
      </c>
      <c r="D314">
        <v>0.486200929875856</v>
      </c>
      <c r="E314">
        <v>93.159545876573404</v>
      </c>
      <c r="F314">
        <v>1.31152946947237</v>
      </c>
      <c r="G314">
        <v>-1560.0260863747042</v>
      </c>
      <c r="H314">
        <v>-1281.2246415469449</v>
      </c>
      <c r="I314">
        <v>267.27448146222002</v>
      </c>
      <c r="J314">
        <v>136.87388141678099</v>
      </c>
      <c r="K314">
        <v>71.031225790184905</v>
      </c>
      <c r="L314">
        <v>1.02993713684947E-3</v>
      </c>
      <c r="M314">
        <v>4.9524067086468204E-4</v>
      </c>
      <c r="N314" s="1">
        <v>-6.9833117320255501E-5</v>
      </c>
      <c r="O314" s="1">
        <v>7.5924485758403797E-5</v>
      </c>
      <c r="P314" s="1">
        <v>-6.7153099980925407E-5</v>
      </c>
    </row>
    <row r="315" spans="1:16" x14ac:dyDescent="0.2">
      <c r="A315">
        <v>314</v>
      </c>
      <c r="B315">
        <v>768</v>
      </c>
      <c r="C315">
        <v>110</v>
      </c>
      <c r="D315">
        <v>0.48507947942179502</v>
      </c>
      <c r="E315">
        <v>95.486327930040105</v>
      </c>
      <c r="F315">
        <v>1.32481524048522</v>
      </c>
      <c r="G315">
        <v>-1597.254697144117</v>
      </c>
      <c r="H315">
        <v>-1313.6741678095984</v>
      </c>
      <c r="I315">
        <v>272.37814718413</v>
      </c>
      <c r="J315">
        <v>139.93452920148499</v>
      </c>
      <c r="K315">
        <v>72.075203403507999</v>
      </c>
      <c r="L315">
        <v>1.025354758106022E-3</v>
      </c>
      <c r="M315">
        <v>4.901556306093572E-4</v>
      </c>
      <c r="N315" s="1">
        <v>-7.0593809931298901E-5</v>
      </c>
      <c r="O315" s="1">
        <v>7.6380644525560605E-5</v>
      </c>
      <c r="P315" s="1">
        <v>-6.8039116992563603E-5</v>
      </c>
    </row>
    <row r="316" spans="1:16" x14ac:dyDescent="0.2">
      <c r="A316">
        <v>315</v>
      </c>
      <c r="B316">
        <v>766</v>
      </c>
      <c r="C316">
        <v>110</v>
      </c>
      <c r="D316">
        <v>0.483953712168602</v>
      </c>
      <c r="E316">
        <v>97.136978513728394</v>
      </c>
      <c r="F316">
        <v>1.33484887322371</v>
      </c>
      <c r="G316">
        <v>-1623.4878433212689</v>
      </c>
      <c r="H316">
        <v>-1336.784005834679</v>
      </c>
      <c r="I316">
        <v>275.90804992106899</v>
      </c>
      <c r="J316">
        <v>142.13950858805899</v>
      </c>
      <c r="K316">
        <v>72.770019484781699</v>
      </c>
      <c r="L316">
        <v>1.0233934081379948E-3</v>
      </c>
      <c r="M316">
        <v>4.863589236844681E-4</v>
      </c>
      <c r="N316" s="1">
        <v>-7.1178860281103206E-5</v>
      </c>
      <c r="O316" s="1">
        <v>7.6653757803771095E-5</v>
      </c>
      <c r="P316" s="1">
        <v>-6.8775182307454795E-5</v>
      </c>
    </row>
    <row r="317" spans="1:16" x14ac:dyDescent="0.2">
      <c r="A317">
        <v>316</v>
      </c>
      <c r="B317">
        <v>764</v>
      </c>
      <c r="C317">
        <v>110</v>
      </c>
      <c r="D317">
        <v>0.48282360314323097</v>
      </c>
      <c r="E317">
        <v>98.380207985559096</v>
      </c>
      <c r="F317">
        <v>1.3429939342195201</v>
      </c>
      <c r="G317">
        <v>-1643.0956921011664</v>
      </c>
      <c r="H317">
        <v>-1354.2663526663175</v>
      </c>
      <c r="I317">
        <v>278.48949286114299</v>
      </c>
      <c r="J317">
        <v>143.83023804802201</v>
      </c>
      <c r="K317">
        <v>73.254394885061402</v>
      </c>
      <c r="L317">
        <v>1.0229676317090491E-3</v>
      </c>
      <c r="M317">
        <v>4.8330821584769074E-4</v>
      </c>
      <c r="N317" s="1">
        <v>-7.1653205789613906E-5</v>
      </c>
      <c r="O317" s="1">
        <v>7.6816537857427194E-5</v>
      </c>
      <c r="P317" s="1">
        <v>-6.9423777813044403E-5</v>
      </c>
    </row>
    <row r="318" spans="1:16" x14ac:dyDescent="0.2">
      <c r="A318">
        <v>317</v>
      </c>
      <c r="B318">
        <v>762</v>
      </c>
      <c r="C318">
        <v>110</v>
      </c>
      <c r="D318">
        <v>0.48168912717963802</v>
      </c>
      <c r="E318">
        <v>99.3574218630297</v>
      </c>
      <c r="F318">
        <v>1.3499411225654401</v>
      </c>
      <c r="G318">
        <v>-1658.3779474667501</v>
      </c>
      <c r="H318">
        <v>-1368.0746974760386</v>
      </c>
      <c r="I318">
        <v>280.45143993114999</v>
      </c>
      <c r="J318">
        <v>145.186390804018</v>
      </c>
      <c r="K318">
        <v>73.601300236124303</v>
      </c>
      <c r="L318">
        <v>1.0235278469726678E-3</v>
      </c>
      <c r="M318">
        <v>4.8072872969167599E-4</v>
      </c>
      <c r="N318" s="1">
        <v>-7.2050616927838299E-5</v>
      </c>
      <c r="O318" s="1">
        <v>7.6907169920635194E-5</v>
      </c>
      <c r="P318" s="1">
        <v>-7.0017771870939998E-5</v>
      </c>
    </row>
    <row r="319" spans="1:16" x14ac:dyDescent="0.2">
      <c r="A319">
        <v>318</v>
      </c>
      <c r="B319">
        <v>760</v>
      </c>
      <c r="C319">
        <v>110</v>
      </c>
      <c r="D319">
        <v>0.480550258916906</v>
      </c>
      <c r="E319">
        <v>100.150420956834</v>
      </c>
      <c r="F319">
        <v>1.3560790960943001</v>
      </c>
      <c r="G319">
        <v>-1670.6649369737274</v>
      </c>
      <c r="H319">
        <v>-1379.3390858928933</v>
      </c>
      <c r="I319">
        <v>281.98415068557699</v>
      </c>
      <c r="J319">
        <v>146.31193474471499</v>
      </c>
      <c r="K319">
        <v>73.852934718396199</v>
      </c>
      <c r="L319">
        <v>1.0247649494065766E-3</v>
      </c>
      <c r="M319">
        <v>4.7846577656090919E-4</v>
      </c>
      <c r="N319" s="1">
        <v>-7.2390290072110798E-5</v>
      </c>
      <c r="O319" s="1">
        <v>7.6947701470870099E-5</v>
      </c>
      <c r="P319" s="1">
        <v>-7.0576197033655298E-5</v>
      </c>
    </row>
    <row r="320" spans="1:16" x14ac:dyDescent="0.2">
      <c r="A320">
        <v>319</v>
      </c>
      <c r="B320">
        <v>806</v>
      </c>
      <c r="C320">
        <v>100</v>
      </c>
      <c r="D320">
        <v>0.51586943427697896</v>
      </c>
      <c r="E320">
        <v>7.2758319893845096</v>
      </c>
      <c r="F320">
        <v>0.22867453013667</v>
      </c>
      <c r="G320">
        <v>-164.18608202789625</v>
      </c>
      <c r="H320">
        <v>-89.094366292160032</v>
      </c>
      <c r="I320">
        <v>69.587990004714598</v>
      </c>
      <c r="J320">
        <v>25.738173959761401</v>
      </c>
      <c r="K320">
        <v>31.8174130937801</v>
      </c>
      <c r="L320">
        <v>1.6928269517603844E-3</v>
      </c>
      <c r="M320">
        <v>1.0276883640724123E-3</v>
      </c>
      <c r="N320" s="1">
        <v>-5.4617897138962399E-5</v>
      </c>
      <c r="O320" s="1">
        <v>7.4090093549334502E-5</v>
      </c>
      <c r="P320" s="1">
        <v>-4.9327773412348397E-5</v>
      </c>
    </row>
    <row r="321" spans="1:16" x14ac:dyDescent="0.2">
      <c r="A321">
        <v>320</v>
      </c>
      <c r="B321">
        <v>804</v>
      </c>
      <c r="C321">
        <v>100</v>
      </c>
      <c r="D321">
        <v>0.514840551455232</v>
      </c>
      <c r="E321">
        <v>7.5160271513133701</v>
      </c>
      <c r="F321">
        <v>0.23603056761293401</v>
      </c>
      <c r="G321">
        <v>-168.04455179254143</v>
      </c>
      <c r="H321">
        <v>-92.503756660742454</v>
      </c>
      <c r="I321">
        <v>70.134117479800807</v>
      </c>
      <c r="J321">
        <v>26.109055760928499</v>
      </c>
      <c r="K321">
        <v>31.8434481911634</v>
      </c>
      <c r="L321">
        <v>1.6973434241575516E-3</v>
      </c>
      <c r="M321">
        <v>1.0251836502981717E-3</v>
      </c>
      <c r="N321" s="1">
        <v>-5.50531887989462E-5</v>
      </c>
      <c r="O321" s="1">
        <v>7.4064525480024498E-5</v>
      </c>
      <c r="P321" s="1">
        <v>-4.9580486447488901E-5</v>
      </c>
    </row>
    <row r="322" spans="1:16" x14ac:dyDescent="0.2">
      <c r="A322">
        <v>321</v>
      </c>
      <c r="B322">
        <v>802</v>
      </c>
      <c r="C322">
        <v>100</v>
      </c>
      <c r="D322">
        <v>0.51380784076640695</v>
      </c>
      <c r="E322">
        <v>8.1680367489084098</v>
      </c>
      <c r="F322">
        <v>0.25440718799645901</v>
      </c>
      <c r="G322">
        <v>-178.76292914174982</v>
      </c>
      <c r="H322">
        <v>-101.66693160893769</v>
      </c>
      <c r="I322">
        <v>71.711095211000298</v>
      </c>
      <c r="J322">
        <v>27.025730926371001</v>
      </c>
      <c r="K322">
        <v>32.1061555423587</v>
      </c>
      <c r="L322">
        <v>1.6939881806092266E-3</v>
      </c>
      <c r="M322">
        <v>1.0178405285054027E-3</v>
      </c>
      <c r="N322" s="1">
        <v>-5.5639317008642901E-5</v>
      </c>
      <c r="O322" s="1">
        <v>7.4236036917125402E-5</v>
      </c>
      <c r="P322" s="1">
        <v>-4.9969712738511001E-5</v>
      </c>
    </row>
    <row r="323" spans="1:16" x14ac:dyDescent="0.2">
      <c r="A323">
        <v>322</v>
      </c>
      <c r="B323">
        <v>800</v>
      </c>
      <c r="C323">
        <v>100</v>
      </c>
      <c r="D323">
        <v>0.51277128080883805</v>
      </c>
      <c r="E323">
        <v>8.82001750380023</v>
      </c>
      <c r="F323">
        <v>0.27249300716863201</v>
      </c>
      <c r="G323">
        <v>-189.47165261972444</v>
      </c>
      <c r="H323">
        <v>-110.83011308780141</v>
      </c>
      <c r="I323">
        <v>73.284948969078201</v>
      </c>
      <c r="J323">
        <v>27.943713120576099</v>
      </c>
      <c r="K323">
        <v>32.367867327846497</v>
      </c>
      <c r="L323">
        <v>1.6907900823266201E-3</v>
      </c>
      <c r="M323">
        <v>1.0106108216062144E-3</v>
      </c>
      <c r="N323" s="1">
        <v>-5.6229092903748503E-5</v>
      </c>
      <c r="O323" s="1">
        <v>7.4406414982503702E-5</v>
      </c>
      <c r="P323" s="1">
        <v>-5.0363603881089501E-5</v>
      </c>
    </row>
    <row r="324" spans="1:16" x14ac:dyDescent="0.2">
      <c r="A324">
        <v>323</v>
      </c>
      <c r="B324">
        <v>798</v>
      </c>
      <c r="C324">
        <v>100</v>
      </c>
      <c r="D324">
        <v>0.51173085002101004</v>
      </c>
      <c r="E324">
        <v>9.4714916073782707</v>
      </c>
      <c r="F324">
        <v>0.29028471617631302</v>
      </c>
      <c r="G324">
        <v>-200.16269094754992</v>
      </c>
      <c r="H324">
        <v>-119.98661448392959</v>
      </c>
      <c r="I324">
        <v>74.854405893134995</v>
      </c>
      <c r="J324">
        <v>28.862392452514801</v>
      </c>
      <c r="K324">
        <v>32.628282095380698</v>
      </c>
      <c r="L324">
        <v>1.6877545188408094E-3</v>
      </c>
      <c r="M324">
        <v>1.0034963532364707E-3</v>
      </c>
      <c r="N324" s="1">
        <v>-5.6822187721306902E-5</v>
      </c>
      <c r="O324" s="1">
        <v>7.4575380162199799E-5</v>
      </c>
      <c r="P324" s="1">
        <v>-5.07620839721302E-5</v>
      </c>
    </row>
    <row r="325" spans="1:16" x14ac:dyDescent="0.2">
      <c r="A325">
        <v>324</v>
      </c>
      <c r="B325">
        <v>796</v>
      </c>
      <c r="C325">
        <v>100</v>
      </c>
      <c r="D325">
        <v>0.51068652668007097</v>
      </c>
      <c r="E325">
        <v>10.121996618503101</v>
      </c>
      <c r="F325">
        <v>0.30778006660554502</v>
      </c>
      <c r="G325">
        <v>-210.8282831500255</v>
      </c>
      <c r="H325">
        <v>-129.12996224450453</v>
      </c>
      <c r="I325">
        <v>76.418237139200897</v>
      </c>
      <c r="J325">
        <v>29.781180689188901</v>
      </c>
      <c r="K325">
        <v>32.887109065044299</v>
      </c>
      <c r="L325">
        <v>1.6848862149661155E-3</v>
      </c>
      <c r="M325">
        <v>9.9649847637316158E-4</v>
      </c>
      <c r="N325" s="1">
        <v>-5.7418263559365899E-5</v>
      </c>
      <c r="O325" s="1">
        <v>7.4742662764310295E-5</v>
      </c>
      <c r="P325" s="1">
        <v>-5.1165082971585103E-5</v>
      </c>
    </row>
    <row r="326" spans="1:16" x14ac:dyDescent="0.2">
      <c r="A326">
        <v>325</v>
      </c>
      <c r="B326">
        <v>794</v>
      </c>
      <c r="C326">
        <v>100</v>
      </c>
      <c r="D326">
        <v>0.50963828890034402</v>
      </c>
      <c r="E326">
        <v>10.771089938104501</v>
      </c>
      <c r="F326">
        <v>0.32497788310109099</v>
      </c>
      <c r="G326">
        <v>-221.46101217182678</v>
      </c>
      <c r="H326">
        <v>-138.25395799399001</v>
      </c>
      <c r="I326">
        <v>77.975269068690807</v>
      </c>
      <c r="J326">
        <v>30.699517331460399</v>
      </c>
      <c r="K326">
        <v>33.144070714356701</v>
      </c>
      <c r="L326">
        <v>1.6821891984993131E-3</v>
      </c>
      <c r="M326">
        <v>9.8961806445413219E-4</v>
      </c>
      <c r="N326" s="1">
        <v>-5.8016974771037401E-5</v>
      </c>
      <c r="O326" s="1">
        <v>7.4908005029408105E-5</v>
      </c>
      <c r="P326" s="1">
        <v>-5.1572538297114599E-5</v>
      </c>
    </row>
    <row r="327" spans="1:16" x14ac:dyDescent="0.2">
      <c r="A327">
        <v>326</v>
      </c>
      <c r="B327">
        <v>792</v>
      </c>
      <c r="C327">
        <v>100</v>
      </c>
      <c r="D327">
        <v>0.50858611463174297</v>
      </c>
      <c r="E327">
        <v>11.418352786441201</v>
      </c>
      <c r="F327">
        <v>0.34187805775734698</v>
      </c>
      <c r="G327">
        <v>-232.05386995975829</v>
      </c>
      <c r="H327">
        <v>-147.35273370120635</v>
      </c>
      <c r="I327">
        <v>79.524393075509096</v>
      </c>
      <c r="J327">
        <v>31.616875030628201</v>
      </c>
      <c r="K327">
        <v>33.398905040421099</v>
      </c>
      <c r="L327">
        <v>1.6796667804343196E-3</v>
      </c>
      <c r="M327">
        <v>9.8285551060344509E-4</v>
      </c>
      <c r="N327" s="1">
        <v>-5.8617969198198502E-5</v>
      </c>
      <c r="O327" s="1">
        <v>7.5071162935874699E-5</v>
      </c>
      <c r="P327" s="1">
        <v>-5.1984396262861299E-5</v>
      </c>
    </row>
    <row r="328" spans="1:16" x14ac:dyDescent="0.2">
      <c r="A328">
        <v>327</v>
      </c>
      <c r="B328">
        <v>790</v>
      </c>
      <c r="C328">
        <v>100</v>
      </c>
      <c r="D328">
        <v>0.507529981658283</v>
      </c>
      <c r="E328">
        <v>13.253016212741199</v>
      </c>
      <c r="F328">
        <v>0.386403851628707</v>
      </c>
      <c r="G328">
        <v>-262.3676428426981</v>
      </c>
      <c r="H328">
        <v>-173.20083791619157</v>
      </c>
      <c r="I328">
        <v>83.874448019892199</v>
      </c>
      <c r="J328">
        <v>34.056347427502502</v>
      </c>
      <c r="K328">
        <v>34.298354317326798</v>
      </c>
      <c r="L328">
        <v>1.6561072717527082E-3</v>
      </c>
      <c r="M328">
        <v>9.6378282985447382E-4</v>
      </c>
      <c r="N328" s="1">
        <v>-5.95920527399231E-5</v>
      </c>
      <c r="O328" s="1">
        <v>7.5700661335363503E-5</v>
      </c>
      <c r="P328" s="1">
        <v>-5.2727098247101201E-5</v>
      </c>
    </row>
    <row r="329" spans="1:16" x14ac:dyDescent="0.2">
      <c r="A329">
        <v>328</v>
      </c>
      <c r="B329">
        <v>788</v>
      </c>
      <c r="C329">
        <v>100</v>
      </c>
      <c r="D329">
        <v>0.50646986759647905</v>
      </c>
      <c r="E329">
        <v>16.539459742150299</v>
      </c>
      <c r="F329">
        <v>0.45964646016718003</v>
      </c>
      <c r="G329">
        <v>-316.74497281879718</v>
      </c>
      <c r="H329">
        <v>-219.5041724021099</v>
      </c>
      <c r="I329">
        <v>91.641323755304001</v>
      </c>
      <c r="J329">
        <v>38.356640774451101</v>
      </c>
      <c r="K329">
        <v>35.983002536633698</v>
      </c>
      <c r="L329">
        <v>1.6102544076458164E-3</v>
      </c>
      <c r="M329">
        <v>9.3186409310902388E-4</v>
      </c>
      <c r="N329" s="1">
        <v>-6.1026084376465601E-5</v>
      </c>
      <c r="O329" s="1">
        <v>7.68937913666119E-5</v>
      </c>
      <c r="P329" s="1">
        <v>-5.3874712841817197E-5</v>
      </c>
    </row>
    <row r="330" spans="1:16" x14ac:dyDescent="0.2">
      <c r="A330">
        <v>329</v>
      </c>
      <c r="B330">
        <v>786</v>
      </c>
      <c r="C330">
        <v>100</v>
      </c>
      <c r="D330">
        <v>0.50540574989378495</v>
      </c>
      <c r="E330">
        <v>19.967450699049301</v>
      </c>
      <c r="F330">
        <v>0.52910824335931095</v>
      </c>
      <c r="G330">
        <v>-373.37698419742588</v>
      </c>
      <c r="H330">
        <v>-267.75780939574128</v>
      </c>
      <c r="I330">
        <v>99.724914821549902</v>
      </c>
      <c r="J330">
        <v>42.838802701920201</v>
      </c>
      <c r="K330">
        <v>37.737931604081403</v>
      </c>
      <c r="L330">
        <v>1.5666740784575867E-3</v>
      </c>
      <c r="M330">
        <v>9.0154469330519689E-4</v>
      </c>
      <c r="N330" s="1">
        <v>-6.2510762312480294E-5</v>
      </c>
      <c r="O330" s="1">
        <v>7.8128340987568905E-5</v>
      </c>
      <c r="P330" s="1">
        <v>-5.5066503170219599E-5</v>
      </c>
    </row>
    <row r="331" spans="1:16" x14ac:dyDescent="0.2">
      <c r="A331">
        <v>330</v>
      </c>
      <c r="B331">
        <v>784</v>
      </c>
      <c r="C331">
        <v>100</v>
      </c>
      <c r="D331">
        <v>0.50433760582698905</v>
      </c>
      <c r="E331">
        <v>23.6961446674424</v>
      </c>
      <c r="F331">
        <v>0.59767863107434505</v>
      </c>
      <c r="G331">
        <v>-434.86174328145142</v>
      </c>
      <c r="H331">
        <v>-320.16976302477161</v>
      </c>
      <c r="I331">
        <v>108.49598753635</v>
      </c>
      <c r="J331">
        <v>47.704471180586701</v>
      </c>
      <c r="K331">
        <v>39.646966505809203</v>
      </c>
      <c r="L331">
        <v>1.5231564337605343E-3</v>
      </c>
      <c r="M331">
        <v>8.7152678389554664E-4</v>
      </c>
      <c r="N331" s="1">
        <v>-6.4091106689232705E-5</v>
      </c>
      <c r="O331" s="1">
        <v>7.9458950736508195E-5</v>
      </c>
      <c r="P331" s="1">
        <v>-5.6342105299778097E-5</v>
      </c>
    </row>
    <row r="332" spans="1:16" x14ac:dyDescent="0.2">
      <c r="A332">
        <v>331</v>
      </c>
      <c r="B332">
        <v>782</v>
      </c>
      <c r="C332">
        <v>100</v>
      </c>
      <c r="D332">
        <v>0.50326541250059598</v>
      </c>
      <c r="E332">
        <v>51.932016186884901</v>
      </c>
      <c r="F332">
        <v>0.95412462130387898</v>
      </c>
      <c r="G332">
        <v>-893.85495140059641</v>
      </c>
      <c r="H332">
        <v>-710.05344396538965</v>
      </c>
      <c r="I332">
        <v>174.199531438874</v>
      </c>
      <c r="J332">
        <v>83.510530022330698</v>
      </c>
      <c r="K332">
        <v>54.428965595622202</v>
      </c>
      <c r="L332">
        <v>1.2555846967094368E-3</v>
      </c>
      <c r="M332">
        <v>7.1298676868814307E-4</v>
      </c>
      <c r="N332" s="1">
        <v>-7.2667313228793001E-5</v>
      </c>
      <c r="O332" s="1">
        <v>8.9337192783049604E-5</v>
      </c>
      <c r="P332" s="1">
        <v>-6.37322097021274E-5</v>
      </c>
    </row>
    <row r="333" spans="1:16" x14ac:dyDescent="0.2">
      <c r="A333">
        <v>332</v>
      </c>
      <c r="B333">
        <v>780</v>
      </c>
      <c r="C333">
        <v>100</v>
      </c>
      <c r="D333">
        <v>0.50218914684517901</v>
      </c>
      <c r="E333">
        <v>76.274754370117606</v>
      </c>
      <c r="F333">
        <v>1.13732606676947</v>
      </c>
      <c r="G333">
        <v>-1289.2714179752097</v>
      </c>
      <c r="H333">
        <v>-1046.4978863931969</v>
      </c>
      <c r="I333">
        <v>230.52665543680601</v>
      </c>
      <c r="J333">
        <v>114.353841333018</v>
      </c>
      <c r="K333">
        <v>67.064983911581805</v>
      </c>
      <c r="L333">
        <v>1.1202762914129638E-3</v>
      </c>
      <c r="M333">
        <v>6.3174259629743853E-4</v>
      </c>
      <c r="N333" s="1">
        <v>-8.0085637897476096E-5</v>
      </c>
      <c r="O333" s="1">
        <v>9.7653121254958001E-5</v>
      </c>
      <c r="P333" s="1">
        <v>-7.0093367561247695E-5</v>
      </c>
    </row>
    <row r="334" spans="1:16" x14ac:dyDescent="0.2">
      <c r="A334">
        <v>333</v>
      </c>
      <c r="B334">
        <v>778</v>
      </c>
      <c r="C334">
        <v>100</v>
      </c>
      <c r="D334">
        <v>0.501108785615755</v>
      </c>
      <c r="E334">
        <v>86.0388813769585</v>
      </c>
      <c r="F334">
        <v>1.1946625388369301</v>
      </c>
      <c r="G334">
        <v>-1447.4785749182224</v>
      </c>
      <c r="H334">
        <v>-1181.6497052530319</v>
      </c>
      <c r="I334">
        <v>252.898900244315</v>
      </c>
      <c r="J334">
        <v>126.769332367052</v>
      </c>
      <c r="K334">
        <v>72.019401780792194</v>
      </c>
      <c r="L334">
        <v>1.0821899363131228E-3</v>
      </c>
      <c r="M334">
        <v>6.0662140148492268E-4</v>
      </c>
      <c r="N334" s="1">
        <v>-8.3360952121906993E-5</v>
      </c>
      <c r="O334">
        <v>1.00840351505418E-4</v>
      </c>
      <c r="P334" s="1">
        <v>-7.2831230103919406E-5</v>
      </c>
    </row>
    <row r="335" spans="1:16" x14ac:dyDescent="0.2">
      <c r="A335">
        <v>334</v>
      </c>
      <c r="B335">
        <v>776</v>
      </c>
      <c r="C335">
        <v>100</v>
      </c>
      <c r="D335">
        <v>0.50002430539008103</v>
      </c>
      <c r="E335">
        <v>90.973920247711206</v>
      </c>
      <c r="F335">
        <v>1.2221657904565799</v>
      </c>
      <c r="G335">
        <v>-1527.1307251072647</v>
      </c>
      <c r="H335">
        <v>-1250.1106619014809</v>
      </c>
      <c r="I335">
        <v>264.04801016043598</v>
      </c>
      <c r="J335">
        <v>133.08922610594701</v>
      </c>
      <c r="K335">
        <v>74.436644322800802</v>
      </c>
      <c r="L335">
        <v>1.0671932731404052E-3</v>
      </c>
      <c r="M335">
        <v>5.9478979921350373E-4</v>
      </c>
      <c r="N335" s="1">
        <v>-8.5272834673004005E-5</v>
      </c>
      <c r="O335">
        <v>1.02344819101951E-4</v>
      </c>
      <c r="P335" s="1">
        <v>-7.43823570230195E-5</v>
      </c>
    </row>
    <row r="336" spans="1:16" x14ac:dyDescent="0.2">
      <c r="A336">
        <v>335</v>
      </c>
      <c r="B336">
        <v>774</v>
      </c>
      <c r="C336">
        <v>100</v>
      </c>
      <c r="D336">
        <v>0.49893568256697302</v>
      </c>
      <c r="E336">
        <v>93.967971008654999</v>
      </c>
      <c r="F336">
        <v>1.2391080167561399</v>
      </c>
      <c r="G336">
        <v>-1575.2121079714523</v>
      </c>
      <c r="H336">
        <v>-1291.7652403204129</v>
      </c>
      <c r="I336">
        <v>270.68980859377399</v>
      </c>
      <c r="J336">
        <v>136.96218490715501</v>
      </c>
      <c r="K336">
        <v>75.835173155164895</v>
      </c>
      <c r="L336">
        <v>1.0603983973031072E-3</v>
      </c>
      <c r="M336">
        <v>5.8766030718094392E-4</v>
      </c>
      <c r="N336" s="1">
        <v>-8.6638038088578996E-5</v>
      </c>
      <c r="O336">
        <v>1.03176029865512E-4</v>
      </c>
      <c r="P336" s="1">
        <v>-7.5462693877220103E-5</v>
      </c>
    </row>
    <row r="337" spans="1:16" x14ac:dyDescent="0.2">
      <c r="A337">
        <v>336</v>
      </c>
      <c r="B337">
        <v>772</v>
      </c>
      <c r="C337">
        <v>100</v>
      </c>
      <c r="D337">
        <v>0.49784289336458698</v>
      </c>
      <c r="E337">
        <v>95.999603665895094</v>
      </c>
      <c r="F337">
        <v>1.2511551905635201</v>
      </c>
      <c r="G337">
        <v>-1607.6404601171355</v>
      </c>
      <c r="H337">
        <v>-1320.1284130416757</v>
      </c>
      <c r="I337">
        <v>275.09740439058601</v>
      </c>
      <c r="J337">
        <v>139.623716209327</v>
      </c>
      <c r="K337">
        <v>76.728773848315598</v>
      </c>
      <c r="L337">
        <v>1.0574278143475305E-3</v>
      </c>
      <c r="M337">
        <v>5.827087050967358E-4</v>
      </c>
      <c r="N337" s="1">
        <v>-8.7731775790294599E-5</v>
      </c>
      <c r="O337">
        <v>1.03674339499463E-4</v>
      </c>
      <c r="P337" s="1">
        <v>-7.6313836925698706E-5</v>
      </c>
    </row>
    <row r="338" spans="1:16" x14ac:dyDescent="0.2">
      <c r="A338">
        <v>337</v>
      </c>
      <c r="B338">
        <v>770</v>
      </c>
      <c r="C338">
        <v>100</v>
      </c>
      <c r="D338">
        <v>0.49674591381872402</v>
      </c>
      <c r="E338">
        <v>97.482845690207498</v>
      </c>
      <c r="F338">
        <v>1.26053260774793</v>
      </c>
      <c r="G338">
        <v>-1631.1500982108307</v>
      </c>
      <c r="H338">
        <v>-1340.9184574801343</v>
      </c>
      <c r="I338">
        <v>278.23196542003501</v>
      </c>
      <c r="J338">
        <v>141.59638883107601</v>
      </c>
      <c r="K338">
        <v>77.334648140812902</v>
      </c>
      <c r="L338">
        <v>1.0565627673852862E-3</v>
      </c>
      <c r="M338">
        <v>5.7894368511489402E-4</v>
      </c>
      <c r="N338" s="1">
        <v>-8.8669864458359294E-5</v>
      </c>
      <c r="O338">
        <v>1.0398330268641501E-4</v>
      </c>
      <c r="P338" s="1">
        <v>-7.7037776325603494E-5</v>
      </c>
    </row>
    <row r="339" spans="1:16" x14ac:dyDescent="0.2">
      <c r="A339">
        <v>338</v>
      </c>
      <c r="B339">
        <v>768</v>
      </c>
      <c r="C339">
        <v>100</v>
      </c>
      <c r="D339">
        <v>0.49564471978101199</v>
      </c>
      <c r="E339">
        <v>98.622316697571705</v>
      </c>
      <c r="F339">
        <v>1.26828979579879</v>
      </c>
      <c r="G339">
        <v>-1649.0691303893213</v>
      </c>
      <c r="H339">
        <v>-1356.9614653658616</v>
      </c>
      <c r="I339">
        <v>280.568334168364</v>
      </c>
      <c r="J339">
        <v>143.13843566494501</v>
      </c>
      <c r="K339">
        <v>77.760080562232403</v>
      </c>
      <c r="L339">
        <v>1.0569930936374277E-3</v>
      </c>
      <c r="M339">
        <v>5.7589769605666892E-4</v>
      </c>
      <c r="N339" s="1">
        <v>-8.9509165075406903E-5</v>
      </c>
      <c r="O339">
        <v>1.04173704390066E-4</v>
      </c>
      <c r="P339" s="1">
        <v>-7.7684874973547104E-5</v>
      </c>
    </row>
    <row r="340" spans="1:16" x14ac:dyDescent="0.2">
      <c r="A340">
        <v>339</v>
      </c>
      <c r="B340">
        <v>766</v>
      </c>
      <c r="C340">
        <v>100</v>
      </c>
      <c r="D340">
        <v>0.49453928691719501</v>
      </c>
      <c r="E340">
        <v>99.530945109092102</v>
      </c>
      <c r="F340">
        <v>1.2749874338530001</v>
      </c>
      <c r="G340">
        <v>-1663.234284673825</v>
      </c>
      <c r="H340">
        <v>-1369.817129997145</v>
      </c>
      <c r="I340">
        <v>282.36850149710301</v>
      </c>
      <c r="J340">
        <v>144.39238724874701</v>
      </c>
      <c r="K340">
        <v>78.064255745886399</v>
      </c>
      <c r="L340">
        <v>1.0582863447255548E-3</v>
      </c>
      <c r="M340">
        <v>5.7332092085143318E-4</v>
      </c>
      <c r="N340" s="1">
        <v>-9.0280776100525707E-5</v>
      </c>
      <c r="O340">
        <v>1.04284537497137E-4</v>
      </c>
      <c r="P340" s="1">
        <v>-7.8282945061341298E-5</v>
      </c>
    </row>
    <row r="341" spans="1:16" x14ac:dyDescent="0.2">
      <c r="A341">
        <v>340</v>
      </c>
      <c r="B341">
        <v>764</v>
      </c>
      <c r="C341">
        <v>100</v>
      </c>
      <c r="D341">
        <v>0.49342959070530001</v>
      </c>
      <c r="E341">
        <v>100.276348052823</v>
      </c>
      <c r="F341">
        <v>1.28095322970903</v>
      </c>
      <c r="G341">
        <v>-1674.745308895117</v>
      </c>
      <c r="H341">
        <v>-1380.4193199238864</v>
      </c>
      <c r="I341">
        <v>283.78930432293203</v>
      </c>
      <c r="J341">
        <v>145.443614849851</v>
      </c>
      <c r="K341">
        <v>78.282599026352401</v>
      </c>
      <c r="L341">
        <v>1.0601900349017992E-3</v>
      </c>
      <c r="M341">
        <v>5.7106729530606213E-4</v>
      </c>
      <c r="N341" s="1">
        <v>-9.10030808756036E-5</v>
      </c>
      <c r="O341">
        <v>1.04339110839842E-4</v>
      </c>
      <c r="P341" s="1">
        <v>-7.88486788492108E-5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F5910-39B4-45B4-97AE-62E6446A5397}">
  <sheetPr codeName="Sheet6"/>
  <dimension ref="A1:AN8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732</v>
      </c>
      <c r="C2">
        <v>300</v>
      </c>
      <c r="D2">
        <v>0.256201064517732</v>
      </c>
      <c r="E2">
        <v>4.26371046517608E-2</v>
      </c>
      <c r="F2">
        <v>4.65893637149507</v>
      </c>
      <c r="G2">
        <v>-0.40364662939847301</v>
      </c>
      <c r="H2">
        <v>-0.32869240809054345</v>
      </c>
      <c r="I2">
        <v>7.4570184855921498E-2</v>
      </c>
      <c r="J2">
        <v>3.9087226301736298E-2</v>
      </c>
      <c r="K2">
        <v>9.1516821119577499E-3</v>
      </c>
      <c r="L2">
        <v>3.1700820389248347E-5</v>
      </c>
      <c r="M2">
        <v>5.5203377881704893E-7</v>
      </c>
      <c r="N2" s="1">
        <v>4.6086012181467999E-11</v>
      </c>
      <c r="O2" s="1">
        <v>1.9982346055892601E-14</v>
      </c>
      <c r="P2" s="1">
        <v>6.8884250920330505E-14</v>
      </c>
      <c r="R2">
        <v>47.210404037874802</v>
      </c>
      <c r="S2">
        <v>2.5622858997612998</v>
      </c>
      <c r="T2">
        <v>9.5581549978516502</v>
      </c>
      <c r="V2">
        <v>37.834724532188297</v>
      </c>
      <c r="W2">
        <v>0.56502185122813797</v>
      </c>
      <c r="X2">
        <v>2.26940868109567</v>
      </c>
      <c r="AJ2">
        <v>8.3311085445153393E-2</v>
      </c>
      <c r="AK2">
        <v>8.8559041264134497E-2</v>
      </c>
      <c r="AL2">
        <v>0.77916261372426698</v>
      </c>
      <c r="AM2">
        <v>1.1785079550924501E-2</v>
      </c>
      <c r="AN2">
        <v>3.7182180015519699E-2</v>
      </c>
    </row>
    <row r="3" spans="1:40" x14ac:dyDescent="0.2">
      <c r="A3">
        <v>16</v>
      </c>
      <c r="B3">
        <v>730</v>
      </c>
      <c r="C3">
        <v>300</v>
      </c>
      <c r="D3">
        <v>0.25457857748093798</v>
      </c>
      <c r="E3">
        <v>5.4852681568802297E-2</v>
      </c>
      <c r="F3">
        <v>4.6592407431635197</v>
      </c>
      <c r="G3">
        <v>-0.51988942652381509</v>
      </c>
      <c r="H3">
        <v>-0.42367247574354383</v>
      </c>
      <c r="I3">
        <v>9.5914819100105894E-2</v>
      </c>
      <c r="J3">
        <v>5.0277219778979601E-2</v>
      </c>
      <c r="K3">
        <v>1.1772879873032299E-2</v>
      </c>
      <c r="L3">
        <v>3.1659094323552749E-5</v>
      </c>
      <c r="M3">
        <v>5.517826568268413E-7</v>
      </c>
      <c r="N3" s="1">
        <v>6.2490198000063906E-11</v>
      </c>
      <c r="O3" s="1">
        <v>2.5695707800131301E-14</v>
      </c>
      <c r="P3" s="1">
        <v>8.3834744958910601E-14</v>
      </c>
      <c r="R3">
        <v>47.163756627789802</v>
      </c>
      <c r="S3">
        <v>2.7019451871050002</v>
      </c>
      <c r="T3">
        <v>9.4974529541092192</v>
      </c>
      <c r="V3">
        <v>37.680272229388102</v>
      </c>
      <c r="W3">
        <v>0.70171585096991596</v>
      </c>
      <c r="X3">
        <v>2.2548571506378798</v>
      </c>
      <c r="AJ3">
        <v>8.2727223377142695E-2</v>
      </c>
      <c r="AK3">
        <v>8.7943819101926404E-2</v>
      </c>
      <c r="AL3">
        <v>0.77551623614818699</v>
      </c>
      <c r="AM3">
        <v>1.4627425501327699E-2</v>
      </c>
      <c r="AN3">
        <v>3.9185295871415803E-2</v>
      </c>
    </row>
    <row r="4" spans="1:40" x14ac:dyDescent="0.2">
      <c r="A4">
        <v>17</v>
      </c>
      <c r="B4">
        <v>728</v>
      </c>
      <c r="C4">
        <v>300</v>
      </c>
      <c r="D4">
        <v>0.25294960795086002</v>
      </c>
      <c r="E4">
        <v>6.2710718935832702E-2</v>
      </c>
      <c r="F4">
        <v>4.6594660462144599</v>
      </c>
      <c r="G4">
        <v>-0.59489358093843037</v>
      </c>
      <c r="H4">
        <v>-0.48515512585440634</v>
      </c>
      <c r="I4">
        <v>0.10961240082307699</v>
      </c>
      <c r="J4">
        <v>5.7469527379976799E-2</v>
      </c>
      <c r="K4">
        <v>1.34587779616467E-2</v>
      </c>
      <c r="L4">
        <v>3.1622133227898579E-5</v>
      </c>
      <c r="M4">
        <v>5.5156932717175758E-7</v>
      </c>
      <c r="N4" s="1">
        <v>7.42499400461891E-11</v>
      </c>
      <c r="O4" s="1">
        <v>2.9365412504926999E-14</v>
      </c>
      <c r="P4" s="1">
        <v>9.1539872592588202E-14</v>
      </c>
      <c r="R4">
        <v>47.123153355542897</v>
      </c>
      <c r="S4">
        <v>2.8250006630262701</v>
      </c>
      <c r="T4">
        <v>9.4403821586052192</v>
      </c>
      <c r="V4">
        <v>37.567151544220401</v>
      </c>
      <c r="W4">
        <v>0.80537404110524602</v>
      </c>
      <c r="X4">
        <v>2.2389382374998701</v>
      </c>
      <c r="AJ4">
        <v>8.2101745249059999E-2</v>
      </c>
      <c r="AK4">
        <v>8.7371261725576493E-2</v>
      </c>
      <c r="AL4">
        <v>0.77279800248735198</v>
      </c>
      <c r="AM4">
        <v>1.6779734952360899E-2</v>
      </c>
      <c r="AN4">
        <v>4.0949255585649803E-2</v>
      </c>
    </row>
    <row r="5" spans="1:40" x14ac:dyDescent="0.2">
      <c r="A5">
        <v>18</v>
      </c>
      <c r="B5">
        <v>726</v>
      </c>
      <c r="C5">
        <v>300</v>
      </c>
      <c r="D5">
        <v>0.251314116999449</v>
      </c>
      <c r="E5">
        <v>6.8694340019200203E-2</v>
      </c>
      <c r="F5">
        <v>4.65964445862841</v>
      </c>
      <c r="G5">
        <v>-0.65212915690347506</v>
      </c>
      <c r="H5">
        <v>-0.53222057678439827</v>
      </c>
      <c r="I5">
        <v>0.120010589119828</v>
      </c>
      <c r="J5">
        <v>6.2942087854537407E-2</v>
      </c>
      <c r="K5">
        <v>1.4742399474705899E-2</v>
      </c>
      <c r="L5">
        <v>3.1589026050841773E-5</v>
      </c>
      <c r="M5">
        <v>5.513820996540872E-7</v>
      </c>
      <c r="N5" s="1">
        <v>8.3810744474493504E-11</v>
      </c>
      <c r="O5" s="1">
        <v>3.21564155922431E-14</v>
      </c>
      <c r="P5" s="1">
        <v>9.6366308868289801E-14</v>
      </c>
      <c r="R5">
        <v>47.086771082442802</v>
      </c>
      <c r="S5">
        <v>2.9376629087139299</v>
      </c>
      <c r="T5">
        <v>9.3848237123514604</v>
      </c>
      <c r="V5">
        <v>37.479328226421501</v>
      </c>
      <c r="W5">
        <v>0.88917397368927298</v>
      </c>
      <c r="X5">
        <v>2.2222400963809101</v>
      </c>
      <c r="AJ5">
        <v>8.1453106855004204E-2</v>
      </c>
      <c r="AK5">
        <v>8.6818354497082098E-2</v>
      </c>
      <c r="AL5">
        <v>0.77064776159606196</v>
      </c>
      <c r="AM5">
        <v>1.85174257015609E-2</v>
      </c>
      <c r="AN5">
        <v>4.25633513502904E-2</v>
      </c>
    </row>
    <row r="6" spans="1:40" x14ac:dyDescent="0.2">
      <c r="A6">
        <v>19</v>
      </c>
      <c r="B6">
        <v>724</v>
      </c>
      <c r="C6">
        <v>300</v>
      </c>
      <c r="D6">
        <v>0.249672065386352</v>
      </c>
      <c r="E6">
        <v>7.3657756244322498E-2</v>
      </c>
      <c r="F6">
        <v>4.6597918066419997</v>
      </c>
      <c r="G6">
        <v>-0.69968001211961051</v>
      </c>
      <c r="H6">
        <v>-0.57143983591696601</v>
      </c>
      <c r="I6">
        <v>0.12860670531278601</v>
      </c>
      <c r="J6">
        <v>6.74785497334634E-2</v>
      </c>
      <c r="K6">
        <v>1.5807091668630199E-2</v>
      </c>
      <c r="L6">
        <v>3.1558930017095452E-5</v>
      </c>
      <c r="M6">
        <v>5.5121402681755299E-7</v>
      </c>
      <c r="N6" s="1">
        <v>9.2084307724093298E-11</v>
      </c>
      <c r="O6" s="1">
        <v>3.4469417622948899E-14</v>
      </c>
      <c r="P6" s="1">
        <v>9.9719692961971706E-14</v>
      </c>
      <c r="R6">
        <v>47.053517422325498</v>
      </c>
      <c r="S6">
        <v>3.0431127290261002</v>
      </c>
      <c r="T6">
        <v>9.3299563006472201</v>
      </c>
      <c r="V6">
        <v>37.408843375305104</v>
      </c>
      <c r="W6">
        <v>0.95954884985963596</v>
      </c>
      <c r="X6">
        <v>2.2050213228362598</v>
      </c>
      <c r="AJ6">
        <v>8.0789222952669396E-2</v>
      </c>
      <c r="AK6">
        <v>8.6275801676377301E-2</v>
      </c>
      <c r="AL6">
        <v>0.76888673184173395</v>
      </c>
      <c r="AM6">
        <v>1.9974914102001601E-2</v>
      </c>
      <c r="AN6">
        <v>4.4073329427216999E-2</v>
      </c>
    </row>
    <row r="7" spans="1:40" x14ac:dyDescent="0.2">
      <c r="A7">
        <v>33</v>
      </c>
      <c r="B7">
        <v>734</v>
      </c>
      <c r="C7">
        <v>290</v>
      </c>
      <c r="D7">
        <v>0.268739016035347</v>
      </c>
      <c r="E7">
        <v>3.2719079964829798E-2</v>
      </c>
      <c r="F7">
        <v>4.6574265138400701</v>
      </c>
      <c r="G7">
        <v>-0.30994692279154218</v>
      </c>
      <c r="H7">
        <v>-0.25225350398867052</v>
      </c>
      <c r="I7">
        <v>5.7283839351508402E-2</v>
      </c>
      <c r="J7">
        <v>3.00089935563044E-2</v>
      </c>
      <c r="K7">
        <v>7.0251414311318398E-3</v>
      </c>
      <c r="L7">
        <v>3.1703145865657617E-5</v>
      </c>
      <c r="M7">
        <v>5.5222573639808024E-7</v>
      </c>
      <c r="N7" s="1">
        <v>3.4376702015581101E-11</v>
      </c>
      <c r="O7" s="1">
        <v>1.5333365645413601E-14</v>
      </c>
      <c r="P7" s="1">
        <v>5.5064078612737401E-14</v>
      </c>
      <c r="R7">
        <v>47.227858712875097</v>
      </c>
      <c r="S7">
        <v>2.5073526351253101</v>
      </c>
      <c r="T7">
        <v>9.6176083813626896</v>
      </c>
      <c r="V7">
        <v>37.794845640998403</v>
      </c>
      <c r="W7">
        <v>0.53428750442617901</v>
      </c>
      <c r="X7">
        <v>2.3180471252122201</v>
      </c>
      <c r="AJ7">
        <v>8.5090080205016197E-2</v>
      </c>
      <c r="AK7">
        <v>8.9103039216632401E-2</v>
      </c>
      <c r="AL7">
        <v>0.77828148098462702</v>
      </c>
      <c r="AM7">
        <v>1.11431732594535E-2</v>
      </c>
      <c r="AN7">
        <v>3.63822263342704E-2</v>
      </c>
    </row>
    <row r="8" spans="1:40" x14ac:dyDescent="0.2">
      <c r="A8">
        <v>34</v>
      </c>
      <c r="B8">
        <v>732</v>
      </c>
      <c r="C8">
        <v>290</v>
      </c>
      <c r="D8">
        <v>0.267144704770434</v>
      </c>
      <c r="E8">
        <v>4.7942074280458997E-2</v>
      </c>
      <c r="F8">
        <v>4.6577837283920296</v>
      </c>
      <c r="G8">
        <v>-0.45472167637337885</v>
      </c>
      <c r="H8">
        <v>-0.37036433938284491</v>
      </c>
      <c r="I8">
        <v>8.3925122609097097E-2</v>
      </c>
      <c r="J8">
        <v>4.3963451255314E-2</v>
      </c>
      <c r="K8">
        <v>1.0292894019149601E-2</v>
      </c>
      <c r="L8">
        <v>3.1659533465801294E-5</v>
      </c>
      <c r="M8">
        <v>5.5196217957748588E-7</v>
      </c>
      <c r="N8" s="1">
        <v>5.3394807684747302E-11</v>
      </c>
      <c r="O8" s="1">
        <v>2.2456670463866901E-14</v>
      </c>
      <c r="P8" s="1">
        <v>7.62071213842837E-14</v>
      </c>
      <c r="R8">
        <v>47.179351015935303</v>
      </c>
      <c r="S8">
        <v>2.65211914113917</v>
      </c>
      <c r="T8">
        <v>9.55625877979484</v>
      </c>
      <c r="V8">
        <v>37.621915663963897</v>
      </c>
      <c r="W8">
        <v>0.68592043889101895</v>
      </c>
      <c r="X8">
        <v>2.3044349602756098</v>
      </c>
      <c r="AJ8">
        <v>8.4536813018107199E-2</v>
      </c>
      <c r="AK8">
        <v>8.8478565751458002E-2</v>
      </c>
      <c r="AL8">
        <v>0.77422959804484603</v>
      </c>
      <c r="AM8">
        <v>1.42965864149633E-2</v>
      </c>
      <c r="AN8">
        <v>3.8458436770625201E-2</v>
      </c>
    </row>
    <row r="9" spans="1:40" x14ac:dyDescent="0.2">
      <c r="A9">
        <v>35</v>
      </c>
      <c r="B9">
        <v>730</v>
      </c>
      <c r="C9">
        <v>290</v>
      </c>
      <c r="D9">
        <v>0.265544036285703</v>
      </c>
      <c r="E9">
        <v>5.6994969385694101E-2</v>
      </c>
      <c r="F9">
        <v>4.6580424535846401</v>
      </c>
      <c r="G9">
        <v>-0.54109349156112885</v>
      </c>
      <c r="H9">
        <v>-0.44104118343373161</v>
      </c>
      <c r="I9">
        <v>9.9738133008420798E-2</v>
      </c>
      <c r="J9">
        <v>5.22552846323606E-2</v>
      </c>
      <c r="K9">
        <v>1.2235820079706E-2</v>
      </c>
      <c r="L9">
        <v>3.1621079173829969E-5</v>
      </c>
      <c r="M9">
        <v>5.5174115360511985E-7</v>
      </c>
      <c r="N9" s="1">
        <v>6.6183435555220206E-11</v>
      </c>
      <c r="O9" s="1">
        <v>2.66862819333333E-14</v>
      </c>
      <c r="P9" s="1">
        <v>8.6493298994246905E-14</v>
      </c>
      <c r="R9">
        <v>47.137566755769399</v>
      </c>
      <c r="S9">
        <v>2.7777724430515098</v>
      </c>
      <c r="T9">
        <v>9.4993994628959193</v>
      </c>
      <c r="V9">
        <v>37.498091396183199</v>
      </c>
      <c r="W9">
        <v>0.79806923446130495</v>
      </c>
      <c r="X9">
        <v>2.2891007076384802</v>
      </c>
      <c r="AJ9">
        <v>8.3930437229680396E-2</v>
      </c>
      <c r="AK9">
        <v>8.7906197199851904E-2</v>
      </c>
      <c r="AL9">
        <v>0.77127845100883996</v>
      </c>
      <c r="AM9">
        <v>1.6625409403611999E-2</v>
      </c>
      <c r="AN9">
        <v>4.0259505158015303E-2</v>
      </c>
    </row>
    <row r="10" spans="1:40" x14ac:dyDescent="0.2">
      <c r="A10">
        <v>36</v>
      </c>
      <c r="B10">
        <v>728</v>
      </c>
      <c r="C10">
        <v>290</v>
      </c>
      <c r="D10">
        <v>0.26393697248164799</v>
      </c>
      <c r="E10">
        <v>6.3626983778712301E-2</v>
      </c>
      <c r="F10">
        <v>4.6582453338892797</v>
      </c>
      <c r="G10">
        <v>-0.60451376519928401</v>
      </c>
      <c r="H10">
        <v>-0.49309477037880839</v>
      </c>
      <c r="I10">
        <v>0.111291010158792</v>
      </c>
      <c r="J10">
        <v>5.8325157383929002E-2</v>
      </c>
      <c r="K10">
        <v>1.36590023105521E-2</v>
      </c>
      <c r="L10">
        <v>3.158685668489222E-5</v>
      </c>
      <c r="M10">
        <v>5.5154881969237234E-7</v>
      </c>
      <c r="N10" s="1">
        <v>7.6282978421573395E-11</v>
      </c>
      <c r="O10" s="1">
        <v>2.9780949265973201E-14</v>
      </c>
      <c r="P10" s="1">
        <v>9.2814347189817596E-14</v>
      </c>
      <c r="R10">
        <v>47.100382477887798</v>
      </c>
      <c r="S10">
        <v>2.8919338575149598</v>
      </c>
      <c r="T10">
        <v>9.4442771731709794</v>
      </c>
      <c r="V10">
        <v>37.403013245075996</v>
      </c>
      <c r="W10">
        <v>0.88755717692899105</v>
      </c>
      <c r="X10">
        <v>2.2728360694211802</v>
      </c>
      <c r="AJ10">
        <v>8.3296044379460699E-2</v>
      </c>
      <c r="AK10">
        <v>8.7356202346225695E-2</v>
      </c>
      <c r="AL10">
        <v>0.768971606816368</v>
      </c>
      <c r="AM10">
        <v>1.8481184330105399E-2</v>
      </c>
      <c r="AN10">
        <v>4.1894962127839101E-2</v>
      </c>
    </row>
    <row r="11" spans="1:40" x14ac:dyDescent="0.2">
      <c r="A11">
        <v>37</v>
      </c>
      <c r="B11">
        <v>726</v>
      </c>
      <c r="C11">
        <v>290</v>
      </c>
      <c r="D11">
        <v>0.26232347495371</v>
      </c>
      <c r="E11">
        <v>6.9003356998541002E-2</v>
      </c>
      <c r="F11">
        <v>4.6584121787677599</v>
      </c>
      <c r="G11">
        <v>-0.65601349974539869</v>
      </c>
      <c r="H11">
        <v>-0.53548874937877533</v>
      </c>
      <c r="I11">
        <v>0.120627283557647</v>
      </c>
      <c r="J11">
        <v>6.32424869124633E-2</v>
      </c>
      <c r="K11">
        <v>1.48126345094679E-2</v>
      </c>
      <c r="L11">
        <v>3.1555918104359158E-5</v>
      </c>
      <c r="M11">
        <v>5.5137722404586863E-7</v>
      </c>
      <c r="N11" s="1">
        <v>8.4879069858683496E-11</v>
      </c>
      <c r="O11" s="1">
        <v>3.2287233246013398E-14</v>
      </c>
      <c r="P11" s="1">
        <v>9.7194974134559502E-14</v>
      </c>
      <c r="R11">
        <v>47.066563746398899</v>
      </c>
      <c r="S11">
        <v>2.9982915922322699</v>
      </c>
      <c r="T11">
        <v>9.3899042598221403</v>
      </c>
      <c r="V11">
        <v>37.327152782995299</v>
      </c>
      <c r="W11">
        <v>0.96211818922253101</v>
      </c>
      <c r="X11">
        <v>2.25596942932874</v>
      </c>
      <c r="AJ11">
        <v>8.2643804530827106E-2</v>
      </c>
      <c r="AK11">
        <v>8.6817447307877202E-2</v>
      </c>
      <c r="AL11">
        <v>0.76709544588509304</v>
      </c>
      <c r="AM11">
        <v>2.00254696636839E-2</v>
      </c>
      <c r="AN11">
        <v>4.3417832612518102E-2</v>
      </c>
    </row>
    <row r="12" spans="1:40" x14ac:dyDescent="0.2">
      <c r="A12">
        <v>38</v>
      </c>
      <c r="B12">
        <v>724</v>
      </c>
      <c r="C12">
        <v>290</v>
      </c>
      <c r="D12">
        <v>0.26070350498922301</v>
      </c>
      <c r="E12">
        <v>7.3620481925273401E-2</v>
      </c>
      <c r="F12">
        <v>4.6585537858650996</v>
      </c>
      <c r="G12">
        <v>-0.70029679960800983</v>
      </c>
      <c r="H12">
        <v>-0.57204496214327094</v>
      </c>
      <c r="I12">
        <v>0.128618399904466</v>
      </c>
      <c r="J12">
        <v>6.7462820558752495E-2</v>
      </c>
      <c r="K12">
        <v>1.5803291173464799E-2</v>
      </c>
      <c r="L12">
        <v>3.1527550274248454E-5</v>
      </c>
      <c r="M12">
        <v>5.5122134368926632E-7</v>
      </c>
      <c r="N12" s="1">
        <v>9.2514541311571294E-11</v>
      </c>
      <c r="O12" s="1">
        <v>3.4437933104180003E-14</v>
      </c>
      <c r="P12" s="1">
        <v>1.00446934371498E-13</v>
      </c>
      <c r="R12">
        <v>47.035321227748703</v>
      </c>
      <c r="S12">
        <v>3.0989612288591801</v>
      </c>
      <c r="T12">
        <v>9.3358490909711893</v>
      </c>
      <c r="V12">
        <v>37.265199155291803</v>
      </c>
      <c r="W12">
        <v>1.02600191226412</v>
      </c>
      <c r="X12">
        <v>2.2386673848648999</v>
      </c>
      <c r="AJ12">
        <v>8.1978766558758603E-2</v>
      </c>
      <c r="AK12">
        <v>8.6284817904040106E-2</v>
      </c>
      <c r="AL12">
        <v>0.76553086001958504</v>
      </c>
      <c r="AM12">
        <v>2.1347015798683401E-2</v>
      </c>
      <c r="AN12">
        <v>4.4858539718931702E-2</v>
      </c>
    </row>
    <row r="13" spans="1:40" x14ac:dyDescent="0.2">
      <c r="A13">
        <v>51</v>
      </c>
      <c r="B13">
        <v>736</v>
      </c>
      <c r="C13">
        <v>280</v>
      </c>
      <c r="D13">
        <v>0.281227270475152</v>
      </c>
      <c r="E13">
        <v>2.0731892060898802E-2</v>
      </c>
      <c r="F13">
        <v>4.6558777688944897</v>
      </c>
      <c r="G13">
        <v>-0.19650819418604362</v>
      </c>
      <c r="H13">
        <v>-0.1598422457179042</v>
      </c>
      <c r="I13">
        <v>3.6333496970856E-2</v>
      </c>
      <c r="J13">
        <v>1.9023650061843901E-2</v>
      </c>
      <c r="K13">
        <v>4.4528428558427199E-3</v>
      </c>
      <c r="L13">
        <v>3.1705992598183032E-5</v>
      </c>
      <c r="M13">
        <v>5.5242148529128161E-7</v>
      </c>
      <c r="N13" s="1">
        <v>2.1111822726048901E-11</v>
      </c>
      <c r="O13" s="1">
        <v>9.7153449673295501E-15</v>
      </c>
      <c r="P13" s="1">
        <v>3.6342777230195599E-14</v>
      </c>
      <c r="R13">
        <v>47.2459885596408</v>
      </c>
      <c r="S13">
        <v>2.4506255592022601</v>
      </c>
      <c r="T13">
        <v>9.6772766781684307</v>
      </c>
      <c r="V13">
        <v>37.7634326118527</v>
      </c>
      <c r="W13">
        <v>0.496250443702344</v>
      </c>
      <c r="X13">
        <v>2.3664261474333199</v>
      </c>
      <c r="AJ13">
        <v>8.6860281145954496E-2</v>
      </c>
      <c r="AK13">
        <v>8.96499784788473E-2</v>
      </c>
      <c r="AL13">
        <v>0.77758377071278695</v>
      </c>
      <c r="AM13">
        <v>1.03491904036635E-2</v>
      </c>
      <c r="AN13">
        <v>3.55567792587465E-2</v>
      </c>
    </row>
    <row r="14" spans="1:40" x14ac:dyDescent="0.2">
      <c r="A14">
        <v>52</v>
      </c>
      <c r="B14">
        <v>734</v>
      </c>
      <c r="C14">
        <v>280</v>
      </c>
      <c r="D14">
        <v>0.27966092439060802</v>
      </c>
      <c r="E14">
        <v>4.0367793134690501E-2</v>
      </c>
      <c r="F14">
        <v>4.6562989491006403</v>
      </c>
      <c r="G14">
        <v>-0.38315332883377223</v>
      </c>
      <c r="H14">
        <v>-0.31190370982303828</v>
      </c>
      <c r="I14">
        <v>7.0743800834765294E-2</v>
      </c>
      <c r="J14">
        <v>3.7035173302243901E-2</v>
      </c>
      <c r="K14">
        <v>8.6695020177962392E-3</v>
      </c>
      <c r="L14">
        <v>3.1660432075227944E-5</v>
      </c>
      <c r="M14">
        <v>5.5214369582384889E-7</v>
      </c>
      <c r="N14" s="1">
        <v>4.3878092424961001E-11</v>
      </c>
      <c r="O14" s="1">
        <v>1.8907466144747898E-14</v>
      </c>
      <c r="P14" s="1">
        <v>6.6701166567208801E-14</v>
      </c>
      <c r="R14">
        <v>47.195390820860702</v>
      </c>
      <c r="S14">
        <v>2.6016103406787798</v>
      </c>
      <c r="T14">
        <v>9.6148159066541705</v>
      </c>
      <c r="V14">
        <v>37.568021784418598</v>
      </c>
      <c r="W14">
        <v>0.66619326395629597</v>
      </c>
      <c r="X14">
        <v>2.35396788343136</v>
      </c>
      <c r="AJ14">
        <v>8.6344698231883704E-2</v>
      </c>
      <c r="AK14">
        <v>8.9011244357213706E-2</v>
      </c>
      <c r="AL14">
        <v>0.77303813419728495</v>
      </c>
      <c r="AM14">
        <v>1.38839350578936E-2</v>
      </c>
      <c r="AN14">
        <v>3.7721988155723703E-2</v>
      </c>
    </row>
    <row r="15" spans="1:40" x14ac:dyDescent="0.2">
      <c r="A15">
        <v>53</v>
      </c>
      <c r="B15">
        <v>732</v>
      </c>
      <c r="C15">
        <v>280</v>
      </c>
      <c r="D15">
        <v>0.27808834502313201</v>
      </c>
      <c r="E15">
        <v>5.0948261262120403E-2</v>
      </c>
      <c r="F15">
        <v>4.65659547730914</v>
      </c>
      <c r="G15">
        <v>-0.48406088529555957</v>
      </c>
      <c r="H15">
        <v>-0.39434172717582283</v>
      </c>
      <c r="I15">
        <v>8.9259471839761906E-2</v>
      </c>
      <c r="J15">
        <v>4.6732994976605997E-2</v>
      </c>
      <c r="K15">
        <v>1.09410966682382E-2</v>
      </c>
      <c r="L15">
        <v>3.1620358154423076E-5</v>
      </c>
      <c r="M15">
        <v>5.519141000033106E-7</v>
      </c>
      <c r="N15" s="1">
        <v>5.7956762381110398E-11</v>
      </c>
      <c r="O15" s="1">
        <v>2.3852913375024301E-14</v>
      </c>
      <c r="P15" s="1">
        <v>8.0316003771206096E-14</v>
      </c>
      <c r="R15">
        <v>47.152308950919902</v>
      </c>
      <c r="S15">
        <v>2.73024601181916</v>
      </c>
      <c r="T15">
        <v>9.5580866322736302</v>
      </c>
      <c r="V15">
        <v>37.431992562287597</v>
      </c>
      <c r="W15">
        <v>0.78806341341105401</v>
      </c>
      <c r="X15">
        <v>2.3393024292885598</v>
      </c>
      <c r="AJ15">
        <v>8.5760210417204899E-2</v>
      </c>
      <c r="AK15">
        <v>8.8438055469195503E-2</v>
      </c>
      <c r="AL15">
        <v>0.76982118854131898</v>
      </c>
      <c r="AM15">
        <v>1.6414884271383001E-2</v>
      </c>
      <c r="AN15">
        <v>3.9565661300897399E-2</v>
      </c>
    </row>
    <row r="16" spans="1:40" x14ac:dyDescent="0.2">
      <c r="A16">
        <v>54</v>
      </c>
      <c r="B16">
        <v>730</v>
      </c>
      <c r="C16">
        <v>280</v>
      </c>
      <c r="D16">
        <v>0.27650949509046802</v>
      </c>
      <c r="E16">
        <v>5.8358697881683803E-2</v>
      </c>
      <c r="F16">
        <v>4.6568250397656099</v>
      </c>
      <c r="G16">
        <v>-0.55490782328051758</v>
      </c>
      <c r="H16">
        <v>-0.45238867374539954</v>
      </c>
      <c r="I16">
        <v>0.10219722826607899</v>
      </c>
      <c r="J16">
        <v>5.35201116909668E-2</v>
      </c>
      <c r="K16">
        <v>1.25318639595317E-2</v>
      </c>
      <c r="L16">
        <v>3.1584930455991654E-5</v>
      </c>
      <c r="M16">
        <v>5.5171617665793916E-7</v>
      </c>
      <c r="N16" s="1">
        <v>6.8695326679870197E-11</v>
      </c>
      <c r="O16" s="1">
        <v>2.7312169625035599E-14</v>
      </c>
      <c r="P16" s="1">
        <v>8.84346667165147E-14</v>
      </c>
      <c r="R16">
        <v>47.114255875485902</v>
      </c>
      <c r="S16">
        <v>2.8460826810979798</v>
      </c>
      <c r="T16">
        <v>9.50339515413018</v>
      </c>
      <c r="V16">
        <v>37.328907942573302</v>
      </c>
      <c r="W16">
        <v>0.88384082194446001</v>
      </c>
      <c r="X16">
        <v>2.3235175247679898</v>
      </c>
      <c r="AJ16">
        <v>8.51416041090471E-2</v>
      </c>
      <c r="AK16">
        <v>8.7890800475811201E-2</v>
      </c>
      <c r="AL16">
        <v>0.76734136285093402</v>
      </c>
      <c r="AM16">
        <v>1.8401241534979199E-2</v>
      </c>
      <c r="AN16">
        <v>4.1224991029228303E-2</v>
      </c>
    </row>
    <row r="17" spans="1:40" x14ac:dyDescent="0.2">
      <c r="A17">
        <v>55</v>
      </c>
      <c r="B17">
        <v>728</v>
      </c>
      <c r="C17">
        <v>280</v>
      </c>
      <c r="D17">
        <v>0.27492433701243602</v>
      </c>
      <c r="E17">
        <v>6.4213119406549099E-2</v>
      </c>
      <c r="F17">
        <v>4.6570126552775699</v>
      </c>
      <c r="G17">
        <v>-0.61098001636194632</v>
      </c>
      <c r="H17">
        <v>-0.49846156276994963</v>
      </c>
      <c r="I17">
        <v>0.11238920600509</v>
      </c>
      <c r="J17">
        <v>5.8878422852827898E-2</v>
      </c>
      <c r="K17">
        <v>1.3788478614886201E-2</v>
      </c>
      <c r="L17">
        <v>3.1553089158784354E-5</v>
      </c>
      <c r="M17">
        <v>5.5154076867370397E-7</v>
      </c>
      <c r="N17" s="1">
        <v>7.7663333114305295E-11</v>
      </c>
      <c r="O17" s="1">
        <v>3.00422274948386E-14</v>
      </c>
      <c r="P17" s="1">
        <v>9.3999441057632597E-14</v>
      </c>
      <c r="R17">
        <v>47.0798308554252</v>
      </c>
      <c r="S17">
        <v>2.9534404145966699</v>
      </c>
      <c r="T17">
        <v>9.4495313728379298</v>
      </c>
      <c r="V17">
        <v>37.247232279744502</v>
      </c>
      <c r="W17">
        <v>0.96293134397222901</v>
      </c>
      <c r="X17">
        <v>2.3070337334233901</v>
      </c>
      <c r="AJ17">
        <v>8.4502042268531904E-2</v>
      </c>
      <c r="AK17">
        <v>8.7355909151812697E-2</v>
      </c>
      <c r="AL17">
        <v>0.76534053589523299</v>
      </c>
      <c r="AM17">
        <v>2.0039449066852E-2</v>
      </c>
      <c r="AN17">
        <v>4.2762063617569603E-2</v>
      </c>
    </row>
    <row r="18" spans="1:40" x14ac:dyDescent="0.2">
      <c r="A18">
        <v>56</v>
      </c>
      <c r="B18">
        <v>726</v>
      </c>
      <c r="C18">
        <v>280</v>
      </c>
      <c r="D18">
        <v>0.273332832907971</v>
      </c>
      <c r="E18">
        <v>6.91577410163913E-2</v>
      </c>
      <c r="F18">
        <v>4.6571714485518401</v>
      </c>
      <c r="G18">
        <v>-0.65840359166012019</v>
      </c>
      <c r="H18">
        <v>-0.53753598079164233</v>
      </c>
      <c r="I18">
        <v>0.12097043573885501</v>
      </c>
      <c r="J18">
        <v>6.3401229667534295E-2</v>
      </c>
      <c r="K18">
        <v>1.4849730524285501E-2</v>
      </c>
      <c r="L18">
        <v>3.1524032272475387E-5</v>
      </c>
      <c r="M18">
        <v>5.5138223185274348E-7</v>
      </c>
      <c r="N18" s="1">
        <v>8.5534432829719398E-11</v>
      </c>
      <c r="O18" s="1">
        <v>3.2346134329548099E-14</v>
      </c>
      <c r="P18" s="1">
        <v>9.8127374799639699E-14</v>
      </c>
      <c r="R18">
        <v>47.0481572594502</v>
      </c>
      <c r="S18">
        <v>3.0547093537880201</v>
      </c>
      <c r="T18">
        <v>9.3959946480386396</v>
      </c>
      <c r="V18">
        <v>37.180777703315698</v>
      </c>
      <c r="W18">
        <v>1.0303043701082899</v>
      </c>
      <c r="X18">
        <v>2.2900566652989398</v>
      </c>
      <c r="AJ18">
        <v>8.3847832328394697E-2</v>
      </c>
      <c r="AK18">
        <v>8.6827466253591196E-2</v>
      </c>
      <c r="AL18">
        <v>0.76368019667759102</v>
      </c>
      <c r="AM18">
        <v>2.1433265633010401E-2</v>
      </c>
      <c r="AN18">
        <v>4.4211239107411801E-2</v>
      </c>
    </row>
    <row r="19" spans="1:40" x14ac:dyDescent="0.2">
      <c r="A19">
        <v>69</v>
      </c>
      <c r="B19">
        <v>736</v>
      </c>
      <c r="C19">
        <v>270</v>
      </c>
      <c r="D19">
        <v>0.29212753307238798</v>
      </c>
      <c r="E19">
        <v>3.1963962733279103E-2</v>
      </c>
      <c r="F19">
        <v>4.6547843956886101</v>
      </c>
      <c r="G19">
        <v>-0.30359965544956902</v>
      </c>
      <c r="H19">
        <v>-0.24700968775837975</v>
      </c>
      <c r="I19">
        <v>5.6076864382093097E-2</v>
      </c>
      <c r="J19">
        <v>2.9339153126629599E-2</v>
      </c>
      <c r="K19">
        <v>6.8669051058272397E-3</v>
      </c>
      <c r="L19">
        <v>3.166168026725007E-5</v>
      </c>
      <c r="M19">
        <v>5.5232615305591941E-7</v>
      </c>
      <c r="N19" s="1">
        <v>3.3848755027608003E-11</v>
      </c>
      <c r="O19" s="1">
        <v>1.4970331660027501E-14</v>
      </c>
      <c r="P19" s="1">
        <v>5.48694188565921E-14</v>
      </c>
      <c r="R19">
        <v>47.211664565227302</v>
      </c>
      <c r="S19">
        <v>2.5508235736906602</v>
      </c>
      <c r="T19">
        <v>9.6730795999168802</v>
      </c>
      <c r="V19">
        <v>37.5184406758015</v>
      </c>
      <c r="W19">
        <v>0.642589713699387</v>
      </c>
      <c r="X19">
        <v>2.4034018716641898</v>
      </c>
      <c r="AJ19">
        <v>8.8148782803648407E-2</v>
      </c>
      <c r="AK19">
        <v>8.95413097449613E-2</v>
      </c>
      <c r="AL19">
        <v>0.77193752529509596</v>
      </c>
      <c r="AM19">
        <v>1.3390626224258699E-2</v>
      </c>
      <c r="AN19">
        <v>3.6981755932035301E-2</v>
      </c>
    </row>
    <row r="20" spans="1:40" x14ac:dyDescent="0.2">
      <c r="A20">
        <v>70</v>
      </c>
      <c r="B20">
        <v>734</v>
      </c>
      <c r="C20">
        <v>270</v>
      </c>
      <c r="D20">
        <v>0.29058283274586499</v>
      </c>
      <c r="E20">
        <v>4.4522300486939198E-2</v>
      </c>
      <c r="F20">
        <v>4.6551239786484704</v>
      </c>
      <c r="G20">
        <v>-0.4233321896728765</v>
      </c>
      <c r="H20">
        <v>-0.34468353546470615</v>
      </c>
      <c r="I20">
        <v>7.8090308502378303E-2</v>
      </c>
      <c r="J20">
        <v>4.0857850141607602E-2</v>
      </c>
      <c r="K20">
        <v>9.5641492452506905E-3</v>
      </c>
      <c r="L20">
        <v>3.1619873210293268E-5</v>
      </c>
      <c r="M20">
        <v>5.5208712390414357E-7</v>
      </c>
      <c r="N20" s="1">
        <v>4.9559212675476702E-11</v>
      </c>
      <c r="O20" s="1">
        <v>2.0842617004410501E-14</v>
      </c>
      <c r="P20" s="1">
        <v>7.2847437420476899E-14</v>
      </c>
      <c r="R20">
        <v>47.167176845289298</v>
      </c>
      <c r="S20">
        <v>2.6828487465846198</v>
      </c>
      <c r="T20">
        <v>9.6163735759625197</v>
      </c>
      <c r="V20">
        <v>37.368505691159797</v>
      </c>
      <c r="W20">
        <v>0.775591928264735</v>
      </c>
      <c r="X20">
        <v>2.3895032127388598</v>
      </c>
      <c r="AJ20">
        <v>8.7589441643108307E-2</v>
      </c>
      <c r="AK20">
        <v>8.8966032187567504E-2</v>
      </c>
      <c r="AL20">
        <v>0.76841762739532604</v>
      </c>
      <c r="AM20">
        <v>1.6153052826821401E-2</v>
      </c>
      <c r="AN20">
        <v>3.8873845947176001E-2</v>
      </c>
    </row>
    <row r="21" spans="1:40" x14ac:dyDescent="0.2">
      <c r="A21">
        <v>71</v>
      </c>
      <c r="B21">
        <v>732</v>
      </c>
      <c r="C21">
        <v>270</v>
      </c>
      <c r="D21">
        <v>0.28903198527583002</v>
      </c>
      <c r="E21">
        <v>5.2870498409800903E-2</v>
      </c>
      <c r="F21">
        <v>4.6553827298818797</v>
      </c>
      <c r="G21">
        <v>-0.50312854926888606</v>
      </c>
      <c r="H21">
        <v>-0.40995595670629165</v>
      </c>
      <c r="I21">
        <v>9.2695212219663106E-2</v>
      </c>
      <c r="J21">
        <v>4.8509243046636202E-2</v>
      </c>
      <c r="K21">
        <v>1.1356853233663601E-2</v>
      </c>
      <c r="L21">
        <v>3.158315597435052E-5</v>
      </c>
      <c r="M21">
        <v>5.5188316385393412E-7</v>
      </c>
      <c r="N21" s="1">
        <v>6.1053900266865204E-11</v>
      </c>
      <c r="O21" s="1">
        <v>2.4741105653196898E-14</v>
      </c>
      <c r="P21" s="1">
        <v>8.3146029899160806E-14</v>
      </c>
      <c r="R21">
        <v>47.1281962916052</v>
      </c>
      <c r="S21">
        <v>2.80052689802165</v>
      </c>
      <c r="T21">
        <v>9.5621053063049501</v>
      </c>
      <c r="V21">
        <v>37.256627827986797</v>
      </c>
      <c r="W21">
        <v>0.87829578136939201</v>
      </c>
      <c r="X21">
        <v>2.3742478947118699</v>
      </c>
      <c r="AJ21">
        <v>8.6988290999216997E-2</v>
      </c>
      <c r="AK21">
        <v>8.8421324398887793E-2</v>
      </c>
      <c r="AL21">
        <v>0.76574774928007205</v>
      </c>
      <c r="AM21">
        <v>1.8283221783544301E-2</v>
      </c>
      <c r="AN21">
        <v>4.0559413538277703E-2</v>
      </c>
    </row>
    <row r="22" spans="1:40" x14ac:dyDescent="0.2">
      <c r="A22">
        <v>72</v>
      </c>
      <c r="B22">
        <v>730</v>
      </c>
      <c r="C22">
        <v>270</v>
      </c>
      <c r="D22">
        <v>0.28747495389523398</v>
      </c>
      <c r="E22">
        <v>5.9278426834551701E-2</v>
      </c>
      <c r="F22">
        <v>4.6555925206802202</v>
      </c>
      <c r="G22">
        <v>-0.56449662546259316</v>
      </c>
      <c r="H22">
        <v>-0.4602924482895987</v>
      </c>
      <c r="I22">
        <v>0.10387696473408201</v>
      </c>
      <c r="J22">
        <v>5.4378265924838701E-2</v>
      </c>
      <c r="K22">
        <v>1.27327352149561E-2</v>
      </c>
      <c r="L22">
        <v>3.1550356754160625E-5</v>
      </c>
      <c r="M22">
        <v>5.5170369181311456E-7</v>
      </c>
      <c r="N22" s="1">
        <v>7.0447690679254802E-11</v>
      </c>
      <c r="O22" s="1">
        <v>2.77302772884578E-14</v>
      </c>
      <c r="P22" s="1">
        <v>9.0083267880636306E-14</v>
      </c>
      <c r="R22">
        <v>47.093130698173297</v>
      </c>
      <c r="S22">
        <v>2.90896285559164</v>
      </c>
      <c r="T22">
        <v>9.5087666084780391</v>
      </c>
      <c r="V22">
        <v>37.168700455603798</v>
      </c>
      <c r="W22">
        <v>0.96226094521871697</v>
      </c>
      <c r="X22">
        <v>2.3581784369344501</v>
      </c>
      <c r="AJ22">
        <v>8.6362471811114894E-2</v>
      </c>
      <c r="AK22">
        <v>8.7890380410549598E-2</v>
      </c>
      <c r="AL22">
        <v>0.76361284544154795</v>
      </c>
      <c r="AM22">
        <v>2.0022506964294601E-2</v>
      </c>
      <c r="AN22">
        <v>4.2111795372492003E-2</v>
      </c>
    </row>
    <row r="23" spans="1:40" x14ac:dyDescent="0.2">
      <c r="A23">
        <v>73</v>
      </c>
      <c r="B23">
        <v>728</v>
      </c>
      <c r="C23">
        <v>270</v>
      </c>
      <c r="D23">
        <v>0.28591170154322698</v>
      </c>
      <c r="E23">
        <v>6.4592793556372805E-2</v>
      </c>
      <c r="F23">
        <v>4.6557693569156902</v>
      </c>
      <c r="G23">
        <v>-0.61546678041796599</v>
      </c>
      <c r="H23">
        <v>-0.50221311396275237</v>
      </c>
      <c r="I23">
        <v>0.113123574344717</v>
      </c>
      <c r="J23">
        <v>5.9242641609113501E-2</v>
      </c>
      <c r="K23">
        <v>1.3873709929472001E-2</v>
      </c>
      <c r="L23">
        <v>3.1520574920849978E-5</v>
      </c>
      <c r="M23">
        <v>5.515423506293004E-7</v>
      </c>
      <c r="N23" s="1">
        <v>7.8583716429575495E-11</v>
      </c>
      <c r="O23" s="1">
        <v>3.0207172390553399E-14</v>
      </c>
      <c r="P23" s="1">
        <v>9.5196575857107905E-14</v>
      </c>
      <c r="R23">
        <v>47.061005249590202</v>
      </c>
      <c r="S23">
        <v>3.0108694218296002</v>
      </c>
      <c r="T23">
        <v>9.4557700164024592</v>
      </c>
      <c r="V23">
        <v>37.0974746902411</v>
      </c>
      <c r="W23">
        <v>1.03333141795215</v>
      </c>
      <c r="X23">
        <v>2.3415492039843699</v>
      </c>
      <c r="AJ23">
        <v>8.57198718252737E-2</v>
      </c>
      <c r="AK23">
        <v>8.73662875819953E-2</v>
      </c>
      <c r="AL23">
        <v>0.76185096223204596</v>
      </c>
      <c r="AM23">
        <v>2.1492901706088901E-2</v>
      </c>
      <c r="AN23">
        <v>4.3569976654595798E-2</v>
      </c>
    </row>
    <row r="24" spans="1:40" x14ac:dyDescent="0.2">
      <c r="A24">
        <v>85</v>
      </c>
      <c r="B24">
        <v>738</v>
      </c>
      <c r="C24">
        <v>260</v>
      </c>
      <c r="D24">
        <v>0.30454482519902998</v>
      </c>
      <c r="E24">
        <v>2.2523902106930699E-2</v>
      </c>
      <c r="F24">
        <v>4.6532381685562099</v>
      </c>
      <c r="G24">
        <v>-0.21408360561087922</v>
      </c>
      <c r="H24">
        <v>-0.17408503330964514</v>
      </c>
      <c r="I24">
        <v>3.9557506108128401E-2</v>
      </c>
      <c r="J24">
        <v>2.0684336187618502E-2</v>
      </c>
      <c r="K24">
        <v>4.8404791010126401E-3</v>
      </c>
      <c r="L24">
        <v>3.1663121166727569E-5</v>
      </c>
      <c r="M24">
        <v>5.5250822723560231E-7</v>
      </c>
      <c r="N24" s="1">
        <v>2.31969856242861E-11</v>
      </c>
      <c r="O24" s="1">
        <v>1.0548436417197299E-14</v>
      </c>
      <c r="P24" s="1">
        <v>4.01427407140909E-14</v>
      </c>
      <c r="R24">
        <v>47.2279149070757</v>
      </c>
      <c r="S24">
        <v>2.5002515051616401</v>
      </c>
      <c r="T24">
        <v>9.7310100652744893</v>
      </c>
      <c r="V24">
        <v>37.4728454774908</v>
      </c>
      <c r="W24">
        <v>0.61528991391565202</v>
      </c>
      <c r="X24">
        <v>2.4526881310816302</v>
      </c>
      <c r="AJ24">
        <v>8.9947110534816299E-2</v>
      </c>
      <c r="AK24">
        <v>9.0068216947663302E-2</v>
      </c>
      <c r="AL24">
        <v>0.77091945875356604</v>
      </c>
      <c r="AM24">
        <v>1.2820408894996201E-2</v>
      </c>
      <c r="AN24">
        <v>3.6244804868957203E-2</v>
      </c>
    </row>
    <row r="25" spans="1:40" x14ac:dyDescent="0.2">
      <c r="A25">
        <v>86</v>
      </c>
      <c r="B25">
        <v>736</v>
      </c>
      <c r="C25">
        <v>260</v>
      </c>
      <c r="D25">
        <v>0.30302779566962401</v>
      </c>
      <c r="E25">
        <v>3.76700152918652E-2</v>
      </c>
      <c r="F25">
        <v>4.6536269858940802</v>
      </c>
      <c r="G25">
        <v>-0.35845355981007282</v>
      </c>
      <c r="H25">
        <v>-0.29170202858807154</v>
      </c>
      <c r="I25">
        <v>6.6146292644305799E-2</v>
      </c>
      <c r="J25">
        <v>3.4586043056951801E-2</v>
      </c>
      <c r="K25">
        <v>8.0947646655069906E-3</v>
      </c>
      <c r="L25">
        <v>3.161949683861014E-5</v>
      </c>
      <c r="M25">
        <v>5.5225898337015304E-7</v>
      </c>
      <c r="N25" s="1">
        <v>4.0986978934143401E-11</v>
      </c>
      <c r="O25" s="1">
        <v>1.76333018969752E-14</v>
      </c>
      <c r="P25" s="1">
        <v>6.3916669578807801E-14</v>
      </c>
      <c r="R25">
        <v>47.181934227110801</v>
      </c>
      <c r="S25">
        <v>2.6360766148093902</v>
      </c>
      <c r="T25">
        <v>9.6741905255924401</v>
      </c>
      <c r="V25">
        <v>37.307125668364797</v>
      </c>
      <c r="W25">
        <v>0.76100427503844703</v>
      </c>
      <c r="X25">
        <v>2.4396686890840198</v>
      </c>
      <c r="AJ25">
        <v>8.94166744468229E-2</v>
      </c>
      <c r="AK25">
        <v>8.9489288219851804E-2</v>
      </c>
      <c r="AL25">
        <v>0.76705569688395703</v>
      </c>
      <c r="AM25">
        <v>1.58471785593375E-2</v>
      </c>
      <c r="AN25">
        <v>3.8191161890030099E-2</v>
      </c>
    </row>
    <row r="26" spans="1:40" x14ac:dyDescent="0.2">
      <c r="A26">
        <v>87</v>
      </c>
      <c r="B26">
        <v>734</v>
      </c>
      <c r="C26">
        <v>260</v>
      </c>
      <c r="D26">
        <v>0.30150474110112602</v>
      </c>
      <c r="E26">
        <v>4.7147945111396299E-2</v>
      </c>
      <c r="F26">
        <v>4.65391766687</v>
      </c>
      <c r="G26">
        <v>-0.44903538503488793</v>
      </c>
      <c r="H26">
        <v>-0.36568492910419614</v>
      </c>
      <c r="I26">
        <v>8.2758731004013E-2</v>
      </c>
      <c r="J26">
        <v>4.3278955882854797E-2</v>
      </c>
      <c r="K26">
        <v>1.0130807737968799E-2</v>
      </c>
      <c r="L26">
        <v>3.1581419088626285E-5</v>
      </c>
      <c r="M26">
        <v>5.5204861794778914E-7</v>
      </c>
      <c r="N26" s="1">
        <v>5.3371496622737499E-11</v>
      </c>
      <c r="O26" s="1">
        <v>2.20609315999538E-14</v>
      </c>
      <c r="P26" s="1">
        <v>7.6870667670642505E-14</v>
      </c>
      <c r="R26">
        <v>47.141982608767002</v>
      </c>
      <c r="S26">
        <v>2.7557377667023002</v>
      </c>
      <c r="T26">
        <v>9.6203360721656601</v>
      </c>
      <c r="V26">
        <v>37.185667234061</v>
      </c>
      <c r="W26">
        <v>0.871280889135292</v>
      </c>
      <c r="X26">
        <v>2.4249954291686899</v>
      </c>
      <c r="AJ26">
        <v>8.8834747341005105E-2</v>
      </c>
      <c r="AK26">
        <v>8.8946926760615205E-2</v>
      </c>
      <c r="AL26">
        <v>0.76417878052543997</v>
      </c>
      <c r="AM26">
        <v>1.8134572790337498E-2</v>
      </c>
      <c r="AN26">
        <v>3.9904972582601499E-2</v>
      </c>
    </row>
    <row r="27" spans="1:40" x14ac:dyDescent="0.2">
      <c r="A27">
        <v>88</v>
      </c>
      <c r="B27">
        <v>732</v>
      </c>
      <c r="C27">
        <v>260</v>
      </c>
      <c r="D27">
        <v>0.29997562552852802</v>
      </c>
      <c r="E27">
        <v>5.41947911664259E-2</v>
      </c>
      <c r="F27">
        <v>4.6541511142397001</v>
      </c>
      <c r="G27">
        <v>-0.51651905562616807</v>
      </c>
      <c r="H27">
        <v>-0.42094718157544603</v>
      </c>
      <c r="I27">
        <v>9.50822007170294E-2</v>
      </c>
      <c r="J27">
        <v>4.97376790911504E-2</v>
      </c>
      <c r="K27">
        <v>1.1644398696168901E-2</v>
      </c>
      <c r="L27">
        <v>3.1547616946378243E-5</v>
      </c>
      <c r="M27">
        <v>5.518648964477253E-7</v>
      </c>
      <c r="N27" s="1">
        <v>6.3247759465246605E-11</v>
      </c>
      <c r="O27" s="1">
        <v>2.53492058146943E-14</v>
      </c>
      <c r="P27" s="1">
        <v>8.5402109654099304E-14</v>
      </c>
      <c r="R27">
        <v>47.106253631228498</v>
      </c>
      <c r="S27">
        <v>2.8653065692477702</v>
      </c>
      <c r="T27">
        <v>9.5675399142629605</v>
      </c>
      <c r="V27">
        <v>37.091080309092497</v>
      </c>
      <c r="W27">
        <v>0.96044788566453398</v>
      </c>
      <c r="X27">
        <v>2.4093716905036899</v>
      </c>
      <c r="AJ27">
        <v>8.8223739709036603E-2</v>
      </c>
      <c r="AK27">
        <v>8.8420038354123806E-2</v>
      </c>
      <c r="AL27">
        <v>0.76190108331512296</v>
      </c>
      <c r="AM27">
        <v>1.9981710311167401E-2</v>
      </c>
      <c r="AN27">
        <v>4.1473428310547997E-2</v>
      </c>
    </row>
    <row r="28" spans="1:40" x14ac:dyDescent="0.2">
      <c r="A28">
        <v>89</v>
      </c>
      <c r="B28">
        <v>730</v>
      </c>
      <c r="C28">
        <v>260</v>
      </c>
      <c r="D28">
        <v>0.29844041269999899</v>
      </c>
      <c r="E28">
        <v>5.99249136260167E-2</v>
      </c>
      <c r="F28">
        <v>4.6543468828015699</v>
      </c>
      <c r="G28">
        <v>-0.57147887592400815</v>
      </c>
      <c r="H28">
        <v>-0.46607159827100242</v>
      </c>
      <c r="I28">
        <v>0.10507628734786</v>
      </c>
      <c r="J28">
        <v>5.4986243119177797E-2</v>
      </c>
      <c r="K28">
        <v>1.2875042435587901E-2</v>
      </c>
      <c r="L28">
        <v>3.1517082706442887E-5</v>
      </c>
      <c r="M28">
        <v>5.5170065719549753E-7</v>
      </c>
      <c r="N28" s="1">
        <v>7.1677834682766505E-11</v>
      </c>
      <c r="O28" s="1">
        <v>2.80206238837613E-14</v>
      </c>
      <c r="P28" s="1">
        <v>9.1625512491303894E-14</v>
      </c>
      <c r="R28">
        <v>47.073664463092399</v>
      </c>
      <c r="S28">
        <v>2.96786967923404</v>
      </c>
      <c r="T28">
        <v>9.5151066462719402</v>
      </c>
      <c r="V28">
        <v>37.0148442322444</v>
      </c>
      <c r="W28">
        <v>1.0354027405292101</v>
      </c>
      <c r="X28">
        <v>2.3931122386279302</v>
      </c>
      <c r="AJ28">
        <v>8.7593506359652296E-2</v>
      </c>
      <c r="AK28">
        <v>8.7900482753684797E-2</v>
      </c>
      <c r="AL28">
        <v>0.76003259541170098</v>
      </c>
      <c r="AM28">
        <v>2.1532544205026E-2</v>
      </c>
      <c r="AN28">
        <v>4.2940871269935003E-2</v>
      </c>
    </row>
    <row r="29" spans="1:40" x14ac:dyDescent="0.2">
      <c r="A29">
        <v>90</v>
      </c>
      <c r="B29">
        <v>728</v>
      </c>
      <c r="C29">
        <v>260</v>
      </c>
      <c r="D29">
        <v>0.29689906607401501</v>
      </c>
      <c r="E29">
        <v>6.4839302667607596E-2</v>
      </c>
      <c r="F29">
        <v>4.6545158964535496</v>
      </c>
      <c r="G29">
        <v>-0.61867261077066327</v>
      </c>
      <c r="H29">
        <v>-0.50491921106806958</v>
      </c>
      <c r="I29">
        <v>0.113622733559</v>
      </c>
      <c r="J29">
        <v>5.9485001539293203E-2</v>
      </c>
      <c r="K29">
        <v>1.39304073957532E-2</v>
      </c>
      <c r="L29">
        <v>3.1489094171746792E-5</v>
      </c>
      <c r="M29">
        <v>5.5155130688474181E-7</v>
      </c>
      <c r="N29" s="1">
        <v>7.9169029140068495E-11</v>
      </c>
      <c r="O29" s="1">
        <v>3.0310064256829401E-14</v>
      </c>
      <c r="P29" s="1">
        <v>9.6452015881056498E-14</v>
      </c>
      <c r="R29">
        <v>47.043506672436997</v>
      </c>
      <c r="S29">
        <v>3.0652519782081402</v>
      </c>
      <c r="T29">
        <v>9.4627376306411008</v>
      </c>
      <c r="V29">
        <v>36.952073415447003</v>
      </c>
      <c r="W29">
        <v>1.1000461005732101</v>
      </c>
      <c r="X29">
        <v>2.3763842026934801</v>
      </c>
      <c r="AJ29">
        <v>8.69491914612706E-2</v>
      </c>
      <c r="AK29">
        <v>8.7384508177745804E-2</v>
      </c>
      <c r="AL29">
        <v>0.75846431366545097</v>
      </c>
      <c r="AM29">
        <v>2.2868462698719401E-2</v>
      </c>
      <c r="AN29">
        <v>4.4333523996812202E-2</v>
      </c>
    </row>
    <row r="30" spans="1:40" x14ac:dyDescent="0.2">
      <c r="A30">
        <v>102</v>
      </c>
      <c r="B30">
        <v>738</v>
      </c>
      <c r="C30">
        <v>250</v>
      </c>
      <c r="D30">
        <v>0.31542352766652099</v>
      </c>
      <c r="E30">
        <v>3.0353851784729501E-2</v>
      </c>
      <c r="F30">
        <v>4.6521038676549997</v>
      </c>
      <c r="G30">
        <v>-0.28905956560355955</v>
      </c>
      <c r="H30">
        <v>-0.23510521381894714</v>
      </c>
      <c r="I30">
        <v>5.3359394535541102E-2</v>
      </c>
      <c r="J30">
        <v>2.7882384192492199E-2</v>
      </c>
      <c r="K30">
        <v>6.5247579693507697E-3</v>
      </c>
      <c r="L30">
        <v>3.161905995435658E-5</v>
      </c>
      <c r="M30">
        <v>5.5242816777995005E-7</v>
      </c>
      <c r="N30" s="1">
        <v>3.2251107888944998E-11</v>
      </c>
      <c r="O30" s="1">
        <v>1.42073700800358E-14</v>
      </c>
      <c r="P30" s="1">
        <v>5.3358019353776199E-14</v>
      </c>
      <c r="R30">
        <v>47.196300885090899</v>
      </c>
      <c r="S30">
        <v>2.5905198878779498</v>
      </c>
      <c r="T30">
        <v>9.73146615750324</v>
      </c>
      <c r="V30">
        <v>37.247116643696302</v>
      </c>
      <c r="W30">
        <v>0.74482303521902204</v>
      </c>
      <c r="X30">
        <v>2.48977339061243</v>
      </c>
      <c r="AJ30">
        <v>9.1240714345358603E-2</v>
      </c>
      <c r="AK30">
        <v>9.0006917536343906E-2</v>
      </c>
      <c r="AL30">
        <v>0.765718188315056</v>
      </c>
      <c r="AM30">
        <v>1.55081198624416E-2</v>
      </c>
      <c r="AN30">
        <v>3.7526059940799501E-2</v>
      </c>
    </row>
    <row r="31" spans="1:40" x14ac:dyDescent="0.2">
      <c r="A31">
        <v>103</v>
      </c>
      <c r="B31">
        <v>736</v>
      </c>
      <c r="C31">
        <v>250</v>
      </c>
      <c r="D31">
        <v>0.31392805826685999</v>
      </c>
      <c r="E31">
        <v>4.1185817578000203E-2</v>
      </c>
      <c r="F31">
        <v>4.6524293245112496</v>
      </c>
      <c r="G31">
        <v>-0.39257454638580502</v>
      </c>
      <c r="H31">
        <v>-0.31953469318104039</v>
      </c>
      <c r="I31">
        <v>7.2377598181404698E-2</v>
      </c>
      <c r="J31">
        <v>3.78240671678459E-2</v>
      </c>
      <c r="K31">
        <v>8.8525401903503092E-3</v>
      </c>
      <c r="L31">
        <v>3.1579574883254611E-5</v>
      </c>
      <c r="M31">
        <v>5.5221116942550864E-7</v>
      </c>
      <c r="N31" s="1">
        <v>4.5671971154401103E-11</v>
      </c>
      <c r="O31" s="1">
        <v>1.9269160267286499E-14</v>
      </c>
      <c r="P31" s="1">
        <v>6.9543690461032304E-14</v>
      </c>
      <c r="R31">
        <v>47.155359450535997</v>
      </c>
      <c r="S31">
        <v>2.7122577482810901</v>
      </c>
      <c r="T31">
        <v>9.6780164994166906</v>
      </c>
      <c r="V31">
        <v>37.115351622288003</v>
      </c>
      <c r="W31">
        <v>0.86327972815867204</v>
      </c>
      <c r="X31">
        <v>2.47573495131941</v>
      </c>
      <c r="AJ31">
        <v>9.0679805046769396E-2</v>
      </c>
      <c r="AK31">
        <v>8.9466725913994793E-2</v>
      </c>
      <c r="AL31">
        <v>0.76261871288931704</v>
      </c>
      <c r="AM31">
        <v>1.7965328646296599E-2</v>
      </c>
      <c r="AN31">
        <v>3.92694275036213E-2</v>
      </c>
    </row>
    <row r="32" spans="1:40" x14ac:dyDescent="0.2">
      <c r="A32">
        <v>104</v>
      </c>
      <c r="B32">
        <v>734</v>
      </c>
      <c r="C32">
        <v>250</v>
      </c>
      <c r="D32">
        <v>0.31242664945638698</v>
      </c>
      <c r="E32">
        <v>4.89646141266128E-2</v>
      </c>
      <c r="F32">
        <v>4.6526878942673102</v>
      </c>
      <c r="G32">
        <v>-0.46706808966505398</v>
      </c>
      <c r="H32">
        <v>-0.3804445426934881</v>
      </c>
      <c r="I32">
        <v>8.6008585584635797E-2</v>
      </c>
      <c r="J32">
        <v>4.4958621204928703E-2</v>
      </c>
      <c r="K32">
        <v>1.05239412656377E-2</v>
      </c>
      <c r="L32">
        <v>3.1544742111960088E-5</v>
      </c>
      <c r="M32">
        <v>5.5202311820351118E-7</v>
      </c>
      <c r="N32" s="1">
        <v>5.60868189256242E-11</v>
      </c>
      <c r="O32" s="1">
        <v>2.2900076929879199E-14</v>
      </c>
      <c r="P32" s="1">
        <v>7.9922732043334404E-14</v>
      </c>
      <c r="R32">
        <v>47.1189617462665</v>
      </c>
      <c r="S32">
        <v>2.8229767701377999</v>
      </c>
      <c r="T32">
        <v>9.6257825062239508</v>
      </c>
      <c r="V32">
        <v>37.013765156406002</v>
      </c>
      <c r="W32">
        <v>0.95792713874269098</v>
      </c>
      <c r="X32">
        <v>2.4605866822229601</v>
      </c>
      <c r="AJ32">
        <v>9.0084634084050194E-2</v>
      </c>
      <c r="AK32">
        <v>8.8944039725436699E-2</v>
      </c>
      <c r="AL32">
        <v>0.76019106948845405</v>
      </c>
      <c r="AM32">
        <v>1.9926073167941E-2</v>
      </c>
      <c r="AN32">
        <v>4.0854183534117197E-2</v>
      </c>
    </row>
    <row r="33" spans="1:40" x14ac:dyDescent="0.2">
      <c r="A33">
        <v>105</v>
      </c>
      <c r="B33">
        <v>732</v>
      </c>
      <c r="C33">
        <v>250</v>
      </c>
      <c r="D33">
        <v>0.31091926578122597</v>
      </c>
      <c r="E33">
        <v>5.5158541781080497E-2</v>
      </c>
      <c r="F33">
        <v>4.6529034532003202</v>
      </c>
      <c r="G33">
        <v>-0.52648124772472782</v>
      </c>
      <c r="H33">
        <v>-0.42914646064306117</v>
      </c>
      <c r="I33">
        <v>9.68360812631614E-2</v>
      </c>
      <c r="J33">
        <v>5.06359445905155E-2</v>
      </c>
      <c r="K33">
        <v>1.1854649969825101E-2</v>
      </c>
      <c r="L33">
        <v>3.1513441472397818E-5</v>
      </c>
      <c r="M33">
        <v>5.5185596778331214E-7</v>
      </c>
      <c r="N33" s="1">
        <v>6.4837692290353802E-11</v>
      </c>
      <c r="O33" s="1">
        <v>2.57884954717827E-14</v>
      </c>
      <c r="P33" s="1">
        <v>8.7394174119941605E-14</v>
      </c>
      <c r="R33">
        <v>47.085910009877999</v>
      </c>
      <c r="S33">
        <v>2.92618714965871</v>
      </c>
      <c r="T33">
        <v>9.5739371714026795</v>
      </c>
      <c r="V33">
        <v>36.932336757667898</v>
      </c>
      <c r="W33">
        <v>1.03691189375069</v>
      </c>
      <c r="X33">
        <v>2.4447170176419202</v>
      </c>
      <c r="AJ33">
        <v>8.9467466728976999E-2</v>
      </c>
      <c r="AK33">
        <v>8.84292362835606E-2</v>
      </c>
      <c r="AL33">
        <v>0.75821222098796104</v>
      </c>
      <c r="AM33">
        <v>2.15603394661057E-2</v>
      </c>
      <c r="AN33">
        <v>4.2330736533394697E-2</v>
      </c>
    </row>
    <row r="34" spans="1:40" x14ac:dyDescent="0.2">
      <c r="A34">
        <v>106</v>
      </c>
      <c r="B34">
        <v>730</v>
      </c>
      <c r="C34">
        <v>250</v>
      </c>
      <c r="D34">
        <v>0.30940587150476501</v>
      </c>
      <c r="E34">
        <v>6.0396631253366397E-2</v>
      </c>
      <c r="F34">
        <v>4.6530889306510304</v>
      </c>
      <c r="G34">
        <v>-0.57679101734525151</v>
      </c>
      <c r="H34">
        <v>-0.47048933992251013</v>
      </c>
      <c r="I34">
        <v>0.105967878605135</v>
      </c>
      <c r="J34">
        <v>5.5434321855884303E-2</v>
      </c>
      <c r="K34">
        <v>1.2979900481918299E-2</v>
      </c>
      <c r="L34">
        <v>3.1484871957174113E-5</v>
      </c>
      <c r="M34">
        <v>5.5170464995248312E-7</v>
      </c>
      <c r="N34" s="1">
        <v>7.2534496899433603E-11</v>
      </c>
      <c r="O34" s="1">
        <v>2.8229298963540199E-14</v>
      </c>
      <c r="P34" s="1">
        <v>9.3153548445146097E-14</v>
      </c>
      <c r="R34">
        <v>47.055431867573702</v>
      </c>
      <c r="S34">
        <v>3.0239084485579601</v>
      </c>
      <c r="T34">
        <v>9.5221419098180995</v>
      </c>
      <c r="V34">
        <v>36.865490141624399</v>
      </c>
      <c r="W34">
        <v>1.1047012819289801</v>
      </c>
      <c r="X34">
        <v>2.4283263504967301</v>
      </c>
      <c r="AJ34">
        <v>8.8834530063265499E-2</v>
      </c>
      <c r="AK34">
        <v>8.7918073402343894E-2</v>
      </c>
      <c r="AL34">
        <v>0.75655798191488499</v>
      </c>
      <c r="AM34">
        <v>2.2961317737427201E-2</v>
      </c>
      <c r="AN34">
        <v>4.3728096882077197E-2</v>
      </c>
    </row>
    <row r="35" spans="1:40" x14ac:dyDescent="0.2">
      <c r="A35">
        <v>117</v>
      </c>
      <c r="B35">
        <v>740</v>
      </c>
      <c r="C35">
        <v>240</v>
      </c>
      <c r="D35">
        <v>0.32777032028821201</v>
      </c>
      <c r="E35">
        <v>2.25613071672684E-2</v>
      </c>
      <c r="F35">
        <v>4.6505545822456602</v>
      </c>
      <c r="G35">
        <v>-0.21502095849779124</v>
      </c>
      <c r="H35">
        <v>-0.17479356614184666</v>
      </c>
      <c r="I35">
        <v>3.9705268080683601E-2</v>
      </c>
      <c r="J35">
        <v>2.0734593374685899E-2</v>
      </c>
      <c r="K35">
        <v>4.8513154223369997E-3</v>
      </c>
      <c r="L35">
        <v>3.161833970215268E-5</v>
      </c>
      <c r="M35">
        <v>5.525928191028224E-7</v>
      </c>
      <c r="N35" s="1">
        <v>2.3390427491157201E-11</v>
      </c>
      <c r="O35" s="1">
        <v>1.05590021360658E-14</v>
      </c>
      <c r="P35" s="1">
        <v>4.10444206413435E-14</v>
      </c>
      <c r="R35">
        <v>47.2099406587133</v>
      </c>
      <c r="S35">
        <v>2.5468933232126298</v>
      </c>
      <c r="T35">
        <v>9.7881245545546705</v>
      </c>
      <c r="V35">
        <v>37.1874149430991</v>
      </c>
      <c r="W35">
        <v>0.72782135347797206</v>
      </c>
      <c r="X35">
        <v>2.5398051669422101</v>
      </c>
      <c r="AJ35">
        <v>9.3060768162004898E-2</v>
      </c>
      <c r="AK35">
        <v>9.0517900897392894E-2</v>
      </c>
      <c r="AL35">
        <v>0.76438062243396099</v>
      </c>
      <c r="AM35">
        <v>1.51519391487381E-2</v>
      </c>
      <c r="AN35">
        <v>3.6888769357902501E-2</v>
      </c>
    </row>
    <row r="36" spans="1:40" x14ac:dyDescent="0.2">
      <c r="A36">
        <v>118</v>
      </c>
      <c r="B36">
        <v>738</v>
      </c>
      <c r="C36">
        <v>240</v>
      </c>
      <c r="D36">
        <v>0.326302230134007</v>
      </c>
      <c r="E36">
        <v>3.4995349148704898E-2</v>
      </c>
      <c r="F36">
        <v>4.6509175221965897</v>
      </c>
      <c r="G36">
        <v>-0.33384808234245977</v>
      </c>
      <c r="H36">
        <v>-0.27159111370879485</v>
      </c>
      <c r="I36">
        <v>6.15704580266676E-2</v>
      </c>
      <c r="J36">
        <v>3.2154470443395297E-2</v>
      </c>
      <c r="K36">
        <v>7.5243968489419402E-3</v>
      </c>
      <c r="L36">
        <v>3.1577438873877486E-5</v>
      </c>
      <c r="M36">
        <v>5.5236918792051224E-7</v>
      </c>
      <c r="N36" s="1">
        <v>3.7996202382984E-11</v>
      </c>
      <c r="O36" s="1">
        <v>1.63710344146591E-14</v>
      </c>
      <c r="P36" s="1">
        <v>6.1129229444019594E-14</v>
      </c>
      <c r="R36">
        <v>47.1680283562171</v>
      </c>
      <c r="S36">
        <v>2.6707198247705</v>
      </c>
      <c r="T36">
        <v>9.7350760618113199</v>
      </c>
      <c r="V36">
        <v>37.044780539347599</v>
      </c>
      <c r="W36">
        <v>0.85494504920952896</v>
      </c>
      <c r="X36">
        <v>2.5264501686437999</v>
      </c>
      <c r="AJ36">
        <v>9.2522555864708006E-2</v>
      </c>
      <c r="AK36">
        <v>8.9979793063634905E-2</v>
      </c>
      <c r="AL36">
        <v>0.76104679150132104</v>
      </c>
      <c r="AM36">
        <v>1.7789030512852601E-2</v>
      </c>
      <c r="AN36">
        <v>3.8661829057482999E-2</v>
      </c>
    </row>
    <row r="37" spans="1:40" x14ac:dyDescent="0.2">
      <c r="A37">
        <v>119</v>
      </c>
      <c r="B37">
        <v>736</v>
      </c>
      <c r="C37">
        <v>240</v>
      </c>
      <c r="D37">
        <v>0.32482832086409602</v>
      </c>
      <c r="E37">
        <v>4.36011095688092E-2</v>
      </c>
      <c r="F37">
        <v>4.6512025185916404</v>
      </c>
      <c r="G37">
        <v>-0.41626711303674557</v>
      </c>
      <c r="H37">
        <v>-0.33888673121457663</v>
      </c>
      <c r="I37">
        <v>7.6678771066906695E-2</v>
      </c>
      <c r="J37">
        <v>4.0052962770444601E-2</v>
      </c>
      <c r="K37">
        <v>9.3741584879454692E-3</v>
      </c>
      <c r="L37">
        <v>3.1541574278449978E-5</v>
      </c>
      <c r="M37">
        <v>5.521768825803553E-7</v>
      </c>
      <c r="N37" s="1">
        <v>4.8999112968647603E-11</v>
      </c>
      <c r="O37" s="1">
        <v>2.0389033298088501E-14</v>
      </c>
      <c r="P37" s="1">
        <v>7.3631864425408695E-14</v>
      </c>
      <c r="R37">
        <v>47.130981623219299</v>
      </c>
      <c r="S37">
        <v>2.7825509622590401</v>
      </c>
      <c r="T37">
        <v>9.6834273536768407</v>
      </c>
      <c r="V37">
        <v>36.935979459334497</v>
      </c>
      <c r="W37">
        <v>0.95525759923549802</v>
      </c>
      <c r="X37">
        <v>2.5118030022746902</v>
      </c>
      <c r="AJ37">
        <v>9.1944123827851498E-2</v>
      </c>
      <c r="AK37">
        <v>8.9461517051820205E-2</v>
      </c>
      <c r="AL37">
        <v>0.75846487279757402</v>
      </c>
      <c r="AM37">
        <v>1.9867174132662702E-2</v>
      </c>
      <c r="AN37">
        <v>4.0262312190090903E-2</v>
      </c>
    </row>
    <row r="38" spans="1:40" x14ac:dyDescent="0.2">
      <c r="A38">
        <v>120</v>
      </c>
      <c r="B38">
        <v>734</v>
      </c>
      <c r="C38">
        <v>240</v>
      </c>
      <c r="D38">
        <v>0.32334855781164801</v>
      </c>
      <c r="E38">
        <v>5.0305688414537003E-2</v>
      </c>
      <c r="F38">
        <v>4.6514386014224902</v>
      </c>
      <c r="G38">
        <v>-0.48058719039336806</v>
      </c>
      <c r="H38">
        <v>-0.39153119624663874</v>
      </c>
      <c r="I38">
        <v>8.8423764232467103E-2</v>
      </c>
      <c r="J38">
        <v>4.62025965121056E-2</v>
      </c>
      <c r="K38">
        <v>1.0815081682289099E-2</v>
      </c>
      <c r="L38">
        <v>3.1509513120684966E-5</v>
      </c>
      <c r="M38">
        <v>5.5200692177163821E-7</v>
      </c>
      <c r="N38" s="1">
        <v>5.8091753181388101E-11</v>
      </c>
      <c r="O38" s="1">
        <v>2.3516349635998201E-14</v>
      </c>
      <c r="P38" s="1">
        <v>8.2496981121175203E-14</v>
      </c>
      <c r="R38">
        <v>47.097486541386203</v>
      </c>
      <c r="S38">
        <v>2.8863600066795501</v>
      </c>
      <c r="T38">
        <v>9.6321959689159105</v>
      </c>
      <c r="V38">
        <v>36.849269292856697</v>
      </c>
      <c r="W38">
        <v>1.0383485263503001</v>
      </c>
      <c r="X38">
        <v>2.49633966381126</v>
      </c>
      <c r="AJ38">
        <v>9.1340616058583193E-2</v>
      </c>
      <c r="AK38">
        <v>8.8951714923087399E-2</v>
      </c>
      <c r="AL38">
        <v>0.756373993580719</v>
      </c>
      <c r="AM38">
        <v>2.1586419058129899E-2</v>
      </c>
      <c r="AN38">
        <v>4.1747256379480298E-2</v>
      </c>
    </row>
    <row r="39" spans="1:40" x14ac:dyDescent="0.2">
      <c r="A39">
        <v>121</v>
      </c>
      <c r="B39">
        <v>732</v>
      </c>
      <c r="C39">
        <v>240</v>
      </c>
      <c r="D39">
        <v>0.32186290603392398</v>
      </c>
      <c r="E39">
        <v>5.5894376386869601E-2</v>
      </c>
      <c r="F39">
        <v>4.6516409905154203</v>
      </c>
      <c r="G39">
        <v>-0.53427467381252891</v>
      </c>
      <c r="H39">
        <v>-0.43557961200720618</v>
      </c>
      <c r="I39">
        <v>9.8189386465027798E-2</v>
      </c>
      <c r="J39">
        <v>5.1325661441233301E-2</v>
      </c>
      <c r="K39">
        <v>1.20160555169319E-2</v>
      </c>
      <c r="L39">
        <v>3.1480372334758149E-5</v>
      </c>
      <c r="M39">
        <v>5.5185374270122573E-7</v>
      </c>
      <c r="N39" s="1">
        <v>6.60043954823068E-11</v>
      </c>
      <c r="O39" s="1">
        <v>2.61210807763563E-14</v>
      </c>
      <c r="P39" s="1">
        <v>8.9278012885070801E-14</v>
      </c>
      <c r="R39">
        <v>47.066706151519703</v>
      </c>
      <c r="S39">
        <v>2.9843715522819698</v>
      </c>
      <c r="T39">
        <v>9.5809988236360297</v>
      </c>
      <c r="V39">
        <v>36.778311202738898</v>
      </c>
      <c r="W39">
        <v>1.10931362173046</v>
      </c>
      <c r="X39">
        <v>2.48029864809283</v>
      </c>
      <c r="AJ39">
        <v>9.0719506191601601E-2</v>
      </c>
      <c r="AK39">
        <v>8.8445602390513897E-2</v>
      </c>
      <c r="AL39">
        <v>0.75463324302157497</v>
      </c>
      <c r="AM39">
        <v>2.30530419518763E-2</v>
      </c>
      <c r="AN39">
        <v>4.3148606444432497E-2</v>
      </c>
    </row>
    <row r="40" spans="1:40" x14ac:dyDescent="0.2">
      <c r="A40">
        <v>131</v>
      </c>
      <c r="B40">
        <v>742</v>
      </c>
      <c r="C40">
        <v>230</v>
      </c>
      <c r="D40">
        <v>0.34006846278875003</v>
      </c>
      <c r="E40">
        <v>1.4331202733059101E-2</v>
      </c>
      <c r="F40">
        <v>4.6489800124245404</v>
      </c>
      <c r="G40">
        <v>-0.13669523426522703</v>
      </c>
      <c r="H40">
        <v>-0.11106303109117507</v>
      </c>
      <c r="I40">
        <v>2.5249670663499899E-2</v>
      </c>
      <c r="J40">
        <v>1.3177513103073499E-2</v>
      </c>
      <c r="K40">
        <v>3.0826552694910598E-3</v>
      </c>
      <c r="L40">
        <v>3.1617047465704238E-5</v>
      </c>
      <c r="M40">
        <v>5.5275065042835033E-7</v>
      </c>
      <c r="N40" s="1">
        <v>1.44911415981138E-11</v>
      </c>
      <c r="O40" s="1">
        <v>6.7064714503420604E-15</v>
      </c>
      <c r="P40" s="1">
        <v>2.69488919879989E-14</v>
      </c>
      <c r="R40">
        <v>47.222449625430997</v>
      </c>
      <c r="S40">
        <v>2.5060686548241198</v>
      </c>
      <c r="T40">
        <v>9.8440809228739106</v>
      </c>
      <c r="V40">
        <v>37.126511829708598</v>
      </c>
      <c r="W40">
        <v>0.711117962332522</v>
      </c>
      <c r="X40">
        <v>2.5897710048297302</v>
      </c>
      <c r="AJ40">
        <v>9.4876630344522206E-2</v>
      </c>
      <c r="AK40">
        <v>9.10210453833942E-2</v>
      </c>
      <c r="AL40">
        <v>0.76300868906659303</v>
      </c>
      <c r="AM40">
        <v>1.4801874922298799E-2</v>
      </c>
      <c r="AN40">
        <v>3.6291760283191102E-2</v>
      </c>
    </row>
    <row r="41" spans="1:40" x14ac:dyDescent="0.2">
      <c r="A41">
        <v>132</v>
      </c>
      <c r="B41">
        <v>740</v>
      </c>
      <c r="C41">
        <v>230</v>
      </c>
      <c r="D41">
        <v>0.33862754774713</v>
      </c>
      <c r="E41">
        <v>2.8614572421473999E-2</v>
      </c>
      <c r="F41">
        <v>4.6493825898460202</v>
      </c>
      <c r="G41">
        <v>-0.27321287292608398</v>
      </c>
      <c r="H41">
        <v>-0.2221469491535161</v>
      </c>
      <c r="I41">
        <v>5.04031227089453E-2</v>
      </c>
      <c r="J41">
        <v>2.6304682277864099E-2</v>
      </c>
      <c r="K41">
        <v>6.1544886591967203E-3</v>
      </c>
      <c r="L41">
        <v>3.1574778050310485E-5</v>
      </c>
      <c r="M41">
        <v>5.5252072587426168E-7</v>
      </c>
      <c r="N41" s="1">
        <v>3.0409685436589198E-11</v>
      </c>
      <c r="O41" s="1">
        <v>1.33843742365208E-14</v>
      </c>
      <c r="P41" s="1">
        <v>5.1645516853366698E-14</v>
      </c>
      <c r="R41">
        <v>47.179638799973397</v>
      </c>
      <c r="S41">
        <v>2.6318674329037899</v>
      </c>
      <c r="T41">
        <v>9.7914446174441299</v>
      </c>
      <c r="V41">
        <v>36.9727636609976</v>
      </c>
      <c r="W41">
        <v>0.84714901525895803</v>
      </c>
      <c r="X41">
        <v>2.5771364734219602</v>
      </c>
      <c r="AJ41">
        <v>9.4362437531124999E-2</v>
      </c>
      <c r="AK41">
        <v>9.0485139770210901E-2</v>
      </c>
      <c r="AL41">
        <v>0.75943585340437703</v>
      </c>
      <c r="AM41">
        <v>1.7623766797064601E-2</v>
      </c>
      <c r="AN41">
        <v>3.8092802497222002E-2</v>
      </c>
    </row>
    <row r="42" spans="1:40" x14ac:dyDescent="0.2">
      <c r="A42">
        <v>133</v>
      </c>
      <c r="B42">
        <v>738</v>
      </c>
      <c r="C42">
        <v>230</v>
      </c>
      <c r="D42">
        <v>0.33718093260149401</v>
      </c>
      <c r="E42">
        <v>3.8133503874886503E-2</v>
      </c>
      <c r="F42">
        <v>4.6496949386528996</v>
      </c>
      <c r="G42">
        <v>-0.36439201344503663</v>
      </c>
      <c r="H42">
        <v>-0.29649973344808372</v>
      </c>
      <c r="I42">
        <v>6.7143628538745906E-2</v>
      </c>
      <c r="J42">
        <v>3.5047288315217501E-2</v>
      </c>
      <c r="K42">
        <v>8.2012915638578401E-3</v>
      </c>
      <c r="L42">
        <v>3.1537918344316438E-5</v>
      </c>
      <c r="M42">
        <v>5.5232446052448046E-7</v>
      </c>
      <c r="N42" s="1">
        <v>4.2033719287298597E-11</v>
      </c>
      <c r="O42" s="1">
        <v>1.78297323802226E-14</v>
      </c>
      <c r="P42" s="1">
        <v>6.6548995463165205E-14</v>
      </c>
      <c r="R42">
        <v>47.141996777779902</v>
      </c>
      <c r="S42">
        <v>2.7446941848485</v>
      </c>
      <c r="T42">
        <v>9.7404099290043291</v>
      </c>
      <c r="V42">
        <v>36.856736164162101</v>
      </c>
      <c r="W42">
        <v>0.95315472511682198</v>
      </c>
      <c r="X42">
        <v>2.5630082190882701</v>
      </c>
      <c r="AJ42">
        <v>9.3801404206606098E-2</v>
      </c>
      <c r="AK42">
        <v>8.9971576837960907E-2</v>
      </c>
      <c r="AL42">
        <v>0.75669987663330696</v>
      </c>
      <c r="AM42">
        <v>1.98198306686348E-2</v>
      </c>
      <c r="AN42">
        <v>3.9707311653490902E-2</v>
      </c>
    </row>
    <row r="43" spans="1:40" x14ac:dyDescent="0.2">
      <c r="A43">
        <v>134</v>
      </c>
      <c r="B43">
        <v>736</v>
      </c>
      <c r="C43">
        <v>230</v>
      </c>
      <c r="D43">
        <v>0.335728583461332</v>
      </c>
      <c r="E43">
        <v>4.53889987180707E-2</v>
      </c>
      <c r="F43">
        <v>4.64995202498522</v>
      </c>
      <c r="G43">
        <v>-0.43401140361683116</v>
      </c>
      <c r="H43">
        <v>-0.3534016097902552</v>
      </c>
      <c r="I43">
        <v>7.9878901874424896E-2</v>
      </c>
      <c r="J43">
        <v>4.1706821123819002E-2</v>
      </c>
      <c r="K43">
        <v>9.7611757012084303E-3</v>
      </c>
      <c r="L43">
        <v>3.1505130251178547E-5</v>
      </c>
      <c r="M43">
        <v>5.5215194398464598E-7</v>
      </c>
      <c r="N43" s="1">
        <v>5.1478393497139603E-11</v>
      </c>
      <c r="O43" s="1">
        <v>2.12147398242816E-14</v>
      </c>
      <c r="P43" s="1">
        <v>7.6950345169247795E-14</v>
      </c>
      <c r="R43">
        <v>47.108101562575698</v>
      </c>
      <c r="S43">
        <v>2.8490005635065301</v>
      </c>
      <c r="T43">
        <v>9.6898199317348599</v>
      </c>
      <c r="V43">
        <v>36.764793450575603</v>
      </c>
      <c r="W43">
        <v>1.0403223551718901</v>
      </c>
      <c r="X43">
        <v>2.54796213643526</v>
      </c>
      <c r="AJ43">
        <v>9.3211975146944001E-2</v>
      </c>
      <c r="AK43">
        <v>8.9467067723310603E-2</v>
      </c>
      <c r="AL43">
        <v>0.75449839384067297</v>
      </c>
      <c r="AM43">
        <v>2.16233941872708E-2</v>
      </c>
      <c r="AN43">
        <v>4.1199169101800798E-2</v>
      </c>
    </row>
    <row r="44" spans="1:40" x14ac:dyDescent="0.2">
      <c r="A44">
        <v>135</v>
      </c>
      <c r="B44">
        <v>734</v>
      </c>
      <c r="C44">
        <v>230</v>
      </c>
      <c r="D44">
        <v>0.33427046616690598</v>
      </c>
      <c r="E44">
        <v>5.1350649733281802E-2</v>
      </c>
      <c r="F44">
        <v>4.6501715992794201</v>
      </c>
      <c r="G44">
        <v>-0.4912959961420264</v>
      </c>
      <c r="H44">
        <v>-0.40033121110484021</v>
      </c>
      <c r="I44">
        <v>9.0319004157460206E-2</v>
      </c>
      <c r="J44">
        <v>4.71755300731828E-2</v>
      </c>
      <c r="K44">
        <v>1.10427429691495E-2</v>
      </c>
      <c r="L44">
        <v>3.1475448893256861E-5</v>
      </c>
      <c r="M44">
        <v>5.5199712426053359E-7</v>
      </c>
      <c r="N44" s="1">
        <v>5.9609928664112603E-11</v>
      </c>
      <c r="O44" s="1">
        <v>2.3993825720495701E-14</v>
      </c>
      <c r="P44" s="1">
        <v>8.4839013875324998E-14</v>
      </c>
      <c r="R44">
        <v>47.0770548967688</v>
      </c>
      <c r="S44">
        <v>2.9472157714555798</v>
      </c>
      <c r="T44">
        <v>9.6392448363367205</v>
      </c>
      <c r="V44">
        <v>36.6897883289612</v>
      </c>
      <c r="W44">
        <v>1.11441740366616</v>
      </c>
      <c r="X44">
        <v>2.5322787628114498</v>
      </c>
      <c r="AJ44">
        <v>9.2603006565928001E-2</v>
      </c>
      <c r="AK44">
        <v>8.8966261721286299E-2</v>
      </c>
      <c r="AL44">
        <v>0.752672812744279</v>
      </c>
      <c r="AM44">
        <v>2.31546730994074E-2</v>
      </c>
      <c r="AN44">
        <v>4.2603245869098597E-2</v>
      </c>
    </row>
    <row r="45" spans="1:40" x14ac:dyDescent="0.2">
      <c r="A45">
        <v>136</v>
      </c>
      <c r="B45">
        <v>732</v>
      </c>
      <c r="C45">
        <v>230</v>
      </c>
      <c r="D45">
        <v>0.33280654628662198</v>
      </c>
      <c r="E45">
        <v>5.6484238660359003E-2</v>
      </c>
      <c r="F45">
        <v>4.6503639767692002</v>
      </c>
      <c r="G45">
        <v>-0.54068014740350734</v>
      </c>
      <c r="H45">
        <v>-0.44088279005887582</v>
      </c>
      <c r="I45">
        <v>9.9286034268150497E-2</v>
      </c>
      <c r="J45">
        <v>5.1882016570660099E-2</v>
      </c>
      <c r="K45">
        <v>1.2146197360577499E-2</v>
      </c>
      <c r="L45">
        <v>3.1448193911850933E-5</v>
      </c>
      <c r="M45">
        <v>5.5185600999476083E-7</v>
      </c>
      <c r="N45" s="1">
        <v>6.6866830925138795E-11</v>
      </c>
      <c r="O45" s="1">
        <v>2.63852771108792E-14</v>
      </c>
      <c r="P45" s="1">
        <v>9.1141562812725399E-14</v>
      </c>
      <c r="R45">
        <v>47.048248813834597</v>
      </c>
      <c r="S45">
        <v>3.0408382793038098</v>
      </c>
      <c r="T45">
        <v>9.5885071104346409</v>
      </c>
      <c r="V45">
        <v>36.627453224232397</v>
      </c>
      <c r="W45">
        <v>1.17883763901912</v>
      </c>
      <c r="X45">
        <v>2.5161149331752299</v>
      </c>
      <c r="AJ45">
        <v>9.1979379672085401E-2</v>
      </c>
      <c r="AK45">
        <v>8.8466684622299799E-2</v>
      </c>
      <c r="AL45">
        <v>0.75112838092727596</v>
      </c>
      <c r="AM45">
        <v>2.4484497120838E-2</v>
      </c>
      <c r="AN45">
        <v>4.3941057657500303E-2</v>
      </c>
    </row>
    <row r="46" spans="1:40" x14ac:dyDescent="0.2">
      <c r="A46">
        <v>146</v>
      </c>
      <c r="B46">
        <v>742</v>
      </c>
      <c r="C46">
        <v>220</v>
      </c>
      <c r="D46">
        <v>0.35090429985716198</v>
      </c>
      <c r="E46">
        <v>2.2121558025809101E-2</v>
      </c>
      <c r="F46">
        <v>4.6478255474962804</v>
      </c>
      <c r="G46">
        <v>-0.21140770809406376</v>
      </c>
      <c r="H46">
        <v>-0.17180455200527592</v>
      </c>
      <c r="I46">
        <v>3.9012122433913998E-2</v>
      </c>
      <c r="J46">
        <v>2.0346082487257E-2</v>
      </c>
      <c r="K46">
        <v>4.7595499873539001E-3</v>
      </c>
      <c r="L46">
        <v>3.1571303065554396E-5</v>
      </c>
      <c r="M46">
        <v>5.5266346773313788E-7</v>
      </c>
      <c r="N46" s="1">
        <v>2.30110379715698E-11</v>
      </c>
      <c r="O46" s="1">
        <v>1.03457758893718E-14</v>
      </c>
      <c r="P46" s="1">
        <v>4.11997547663092E-14</v>
      </c>
      <c r="R46">
        <v>47.189780106415803</v>
      </c>
      <c r="S46">
        <v>2.5965722877790101</v>
      </c>
      <c r="T46">
        <v>9.8470528973210207</v>
      </c>
      <c r="V46">
        <v>36.897757524306002</v>
      </c>
      <c r="W46">
        <v>0.84103328150811496</v>
      </c>
      <c r="X46">
        <v>2.62780390266993</v>
      </c>
      <c r="AJ46">
        <v>9.6199325218197906E-2</v>
      </c>
      <c r="AK46">
        <v>9.0981710952074801E-2</v>
      </c>
      <c r="AL46">
        <v>0.75775095682889204</v>
      </c>
      <c r="AM46">
        <v>1.74932075223291E-2</v>
      </c>
      <c r="AN46">
        <v>3.7574799478505401E-2</v>
      </c>
    </row>
    <row r="47" spans="1:40" x14ac:dyDescent="0.2">
      <c r="A47">
        <v>147</v>
      </c>
      <c r="B47">
        <v>740</v>
      </c>
      <c r="C47">
        <v>220</v>
      </c>
      <c r="D47">
        <v>0.34948477520604299</v>
      </c>
      <c r="E47">
        <v>3.2613288639480598E-2</v>
      </c>
      <c r="F47">
        <v>4.6481654973886402</v>
      </c>
      <c r="G47">
        <v>-0.31193137781463959</v>
      </c>
      <c r="H47">
        <v>-0.25368193858943794</v>
      </c>
      <c r="I47">
        <v>5.7493401002024998E-2</v>
      </c>
      <c r="J47">
        <v>2.99886829987214E-2</v>
      </c>
      <c r="K47">
        <v>7.0163785385444696E-3</v>
      </c>
      <c r="L47">
        <v>3.1533535992681639E-5</v>
      </c>
      <c r="M47">
        <v>5.5246382625695038E-7</v>
      </c>
      <c r="N47" s="1">
        <v>3.5258561887922901E-11</v>
      </c>
      <c r="O47" s="1">
        <v>1.5246273218808401E-14</v>
      </c>
      <c r="P47" s="1">
        <v>5.8743197594553606E-14</v>
      </c>
      <c r="R47">
        <v>47.151640352321003</v>
      </c>
      <c r="S47">
        <v>2.7101734128437101</v>
      </c>
      <c r="T47">
        <v>9.7966693461137293</v>
      </c>
      <c r="V47">
        <v>36.774794724774203</v>
      </c>
      <c r="W47">
        <v>0.95252269331766204</v>
      </c>
      <c r="X47">
        <v>2.6141994706296301</v>
      </c>
      <c r="AJ47">
        <v>9.5655942418547205E-2</v>
      </c>
      <c r="AK47">
        <v>9.0473301554549204E-2</v>
      </c>
      <c r="AL47">
        <v>0.75486786567326303</v>
      </c>
      <c r="AM47">
        <v>1.9802761519822801E-2</v>
      </c>
      <c r="AN47">
        <v>3.9200128833817002E-2</v>
      </c>
    </row>
    <row r="48" spans="1:40" x14ac:dyDescent="0.2">
      <c r="A48">
        <v>148</v>
      </c>
      <c r="B48">
        <v>738</v>
      </c>
      <c r="C48">
        <v>220</v>
      </c>
      <c r="D48">
        <v>0.34805963506898102</v>
      </c>
      <c r="E48">
        <v>4.04453420073295E-2</v>
      </c>
      <c r="F48">
        <v>4.6484436438252503</v>
      </c>
      <c r="G48">
        <v>-0.38710463218748536</v>
      </c>
      <c r="H48">
        <v>-0.31504378235621944</v>
      </c>
      <c r="I48">
        <v>7.1266231351694506E-2</v>
      </c>
      <c r="J48">
        <v>3.7182335971352898E-2</v>
      </c>
      <c r="K48">
        <v>8.7008351840631593E-3</v>
      </c>
      <c r="L48">
        <v>3.1500091263290538E-5</v>
      </c>
      <c r="M48">
        <v>5.5228920742193539E-7</v>
      </c>
      <c r="N48" s="1">
        <v>4.5048268737529703E-11</v>
      </c>
      <c r="O48" s="1">
        <v>1.8900889992496501E-14</v>
      </c>
      <c r="P48" s="1">
        <v>7.0802384262173503E-14</v>
      </c>
      <c r="R48">
        <v>47.117418654873497</v>
      </c>
      <c r="S48">
        <v>2.8148081813022299</v>
      </c>
      <c r="T48">
        <v>9.7467494659774001</v>
      </c>
      <c r="V48">
        <v>36.677863547992501</v>
      </c>
      <c r="W48">
        <v>1.0435869865422001</v>
      </c>
      <c r="X48">
        <v>2.59957316331209</v>
      </c>
      <c r="AJ48">
        <v>9.5080745987149398E-2</v>
      </c>
      <c r="AK48">
        <v>8.9974428102240794E-2</v>
      </c>
      <c r="AL48">
        <v>0.75256153096525702</v>
      </c>
      <c r="AM48">
        <v>2.1686845429688201E-2</v>
      </c>
      <c r="AN48">
        <v>4.0696449515664403E-2</v>
      </c>
    </row>
    <row r="49" spans="1:40" x14ac:dyDescent="0.2">
      <c r="A49">
        <v>149</v>
      </c>
      <c r="B49">
        <v>736</v>
      </c>
      <c r="C49">
        <v>220</v>
      </c>
      <c r="D49">
        <v>0.34662884605856398</v>
      </c>
      <c r="E49">
        <v>4.6793512313559001E-2</v>
      </c>
      <c r="F49">
        <v>4.64868039487712</v>
      </c>
      <c r="G49">
        <v>-0.44812266021428726</v>
      </c>
      <c r="H49">
        <v>-0.36496254972005276</v>
      </c>
      <c r="I49">
        <v>8.2406094727477994E-2</v>
      </c>
      <c r="J49">
        <v>4.3009595819909402E-2</v>
      </c>
      <c r="K49">
        <v>1.00659775116236E-2</v>
      </c>
      <c r="L49">
        <v>3.146992741334174E-5</v>
      </c>
      <c r="M49">
        <v>5.5213311271216139E-7</v>
      </c>
      <c r="N49" s="1">
        <v>5.33910068484441E-11</v>
      </c>
      <c r="O49" s="1">
        <v>2.1860615300526799E-14</v>
      </c>
      <c r="P49" s="1">
        <v>7.9872394290686196E-14</v>
      </c>
      <c r="R49">
        <v>47.086164148739101</v>
      </c>
      <c r="S49">
        <v>2.91309310866197</v>
      </c>
      <c r="T49">
        <v>9.6968190010193904</v>
      </c>
      <c r="V49">
        <v>36.599011692182899</v>
      </c>
      <c r="W49">
        <v>1.1206626586325199</v>
      </c>
      <c r="X49">
        <v>2.5842493907639899</v>
      </c>
      <c r="AJ49">
        <v>9.4484043135637005E-2</v>
      </c>
      <c r="AK49">
        <v>8.94791999241034E-2</v>
      </c>
      <c r="AL49">
        <v>0.75065581478621402</v>
      </c>
      <c r="AM49">
        <v>2.3279633644228501E-2</v>
      </c>
      <c r="AN49">
        <v>4.2101308509816603E-2</v>
      </c>
    </row>
    <row r="50" spans="1:40" x14ac:dyDescent="0.2">
      <c r="A50">
        <v>150</v>
      </c>
      <c r="B50">
        <v>734</v>
      </c>
      <c r="C50">
        <v>220</v>
      </c>
      <c r="D50">
        <v>0.345192374522167</v>
      </c>
      <c r="E50">
        <v>5.2207312168209299E-2</v>
      </c>
      <c r="F50">
        <v>4.6488873963671002</v>
      </c>
      <c r="G50">
        <v>-0.50022071103485799</v>
      </c>
      <c r="H50">
        <v>-0.40768008632372343</v>
      </c>
      <c r="I50">
        <v>9.1883656566682695E-2</v>
      </c>
      <c r="J50">
        <v>4.7976375538923997E-2</v>
      </c>
      <c r="K50">
        <v>1.12300659742817E-2</v>
      </c>
      <c r="L50">
        <v>3.1442312980065003E-5</v>
      </c>
      <c r="M50">
        <v>5.5199129455811873E-7</v>
      </c>
      <c r="N50" s="1">
        <v>6.0784102586407101E-11</v>
      </c>
      <c r="O50" s="1">
        <v>2.4382944184181899E-14</v>
      </c>
      <c r="P50" s="1">
        <v>8.7086807165639597E-14</v>
      </c>
      <c r="R50">
        <v>47.057236617157599</v>
      </c>
      <c r="S50">
        <v>3.00661968890922</v>
      </c>
      <c r="T50">
        <v>9.6466898745038403</v>
      </c>
      <c r="V50">
        <v>36.533569681384002</v>
      </c>
      <c r="W50">
        <v>1.18747742645262</v>
      </c>
      <c r="X50">
        <v>2.5684067115926599</v>
      </c>
      <c r="AJ50">
        <v>9.3871430716605905E-2</v>
      </c>
      <c r="AK50">
        <v>8.8984981440191901E-2</v>
      </c>
      <c r="AL50">
        <v>0.74904722336364304</v>
      </c>
      <c r="AM50">
        <v>2.4658814708173001E-2</v>
      </c>
      <c r="AN50">
        <v>4.3437549771385101E-2</v>
      </c>
    </row>
    <row r="51" spans="1:40" x14ac:dyDescent="0.2">
      <c r="A51">
        <v>159</v>
      </c>
      <c r="B51">
        <v>744</v>
      </c>
      <c r="C51">
        <v>210</v>
      </c>
      <c r="D51">
        <v>0.36313277294401303</v>
      </c>
      <c r="E51">
        <v>1.5648419784181699E-2</v>
      </c>
      <c r="F51">
        <v>4.6462482587915002</v>
      </c>
      <c r="G51">
        <v>-0.14968843814085014</v>
      </c>
      <c r="H51">
        <v>-0.12158481746360868</v>
      </c>
      <c r="I51">
        <v>2.7629770119688701E-2</v>
      </c>
      <c r="J51">
        <v>1.4399903156178E-2</v>
      </c>
      <c r="K51">
        <v>3.3679689316153398E-3</v>
      </c>
      <c r="L51">
        <v>3.1566663680277282E-5</v>
      </c>
      <c r="M51">
        <v>5.5279469657774768E-7</v>
      </c>
      <c r="N51" s="1">
        <v>1.5939208457886901E-11</v>
      </c>
      <c r="O51" s="1">
        <v>7.3171607307846001E-15</v>
      </c>
      <c r="P51" s="1">
        <v>3.0029376840516803E-14</v>
      </c>
      <c r="R51">
        <v>47.197975882683401</v>
      </c>
      <c r="S51">
        <v>2.5658454429884801</v>
      </c>
      <c r="T51">
        <v>9.9018343296347506</v>
      </c>
      <c r="V51">
        <v>36.817818552046703</v>
      </c>
      <c r="W51">
        <v>0.83804631420601705</v>
      </c>
      <c r="X51">
        <v>2.6784794784405599</v>
      </c>
      <c r="AJ51">
        <v>9.8033602757825605E-2</v>
      </c>
      <c r="AK51">
        <v>9.14683936430747E-2</v>
      </c>
      <c r="AL51">
        <v>0.75594838155358901</v>
      </c>
      <c r="AM51">
        <v>1.7427370091615199E-2</v>
      </c>
      <c r="AN51">
        <v>3.7122251953894798E-2</v>
      </c>
    </row>
    <row r="52" spans="1:40" x14ac:dyDescent="0.2">
      <c r="A52">
        <v>160</v>
      </c>
      <c r="B52">
        <v>742</v>
      </c>
      <c r="C52">
        <v>210</v>
      </c>
      <c r="D52">
        <v>0.361740136925575</v>
      </c>
      <c r="E52">
        <v>2.71206049519403E-2</v>
      </c>
      <c r="F52">
        <v>4.6466150093904099</v>
      </c>
      <c r="G52">
        <v>-0.25964831387934428</v>
      </c>
      <c r="H52">
        <v>-0.21105393109125697</v>
      </c>
      <c r="I52">
        <v>4.7869164939257601E-2</v>
      </c>
      <c r="J52">
        <v>2.4950661361285601E-2</v>
      </c>
      <c r="K52">
        <v>5.8366369705972797E-3</v>
      </c>
      <c r="L52">
        <v>3.1528141637735381E-5</v>
      </c>
      <c r="M52">
        <v>5.5259262379359135E-7</v>
      </c>
      <c r="N52" s="1">
        <v>2.8763594677741701E-11</v>
      </c>
      <c r="O52" s="1">
        <v>1.26761809404579E-14</v>
      </c>
      <c r="P52" s="1">
        <v>5.0352507367872401E-14</v>
      </c>
      <c r="R52">
        <v>47.159488915294297</v>
      </c>
      <c r="S52">
        <v>2.6798688789655101</v>
      </c>
      <c r="T52">
        <v>9.8521500767556702</v>
      </c>
      <c r="V52">
        <v>36.688627704282801</v>
      </c>
      <c r="W52">
        <v>0.95447976286457403</v>
      </c>
      <c r="X52">
        <v>2.6653846618370398</v>
      </c>
      <c r="AJ52">
        <v>9.7507509597245107E-2</v>
      </c>
      <c r="AK52">
        <v>9.0965758537466301E-2</v>
      </c>
      <c r="AL52">
        <v>0.75293430784503901</v>
      </c>
      <c r="AM52">
        <v>1.9839105580995799E-2</v>
      </c>
      <c r="AN52">
        <v>3.8753318439253302E-2</v>
      </c>
    </row>
    <row r="53" spans="1:40" x14ac:dyDescent="0.2">
      <c r="A53">
        <v>161</v>
      </c>
      <c r="B53">
        <v>740</v>
      </c>
      <c r="C53">
        <v>210</v>
      </c>
      <c r="D53">
        <v>0.36034200266496003</v>
      </c>
      <c r="E53">
        <v>3.55294766285775E-2</v>
      </c>
      <c r="F53">
        <v>4.6469136459473699</v>
      </c>
      <c r="G53">
        <v>-0.34038924153174055</v>
      </c>
      <c r="H53">
        <v>-0.27688271647623725</v>
      </c>
      <c r="I53">
        <v>6.2682253422990802E-2</v>
      </c>
      <c r="J53">
        <v>3.2679359250496497E-2</v>
      </c>
      <c r="K53">
        <v>7.6458224394944799E-3</v>
      </c>
      <c r="L53">
        <v>3.1494156809830319E-5</v>
      </c>
      <c r="M53">
        <v>5.5241660022572811E-7</v>
      </c>
      <c r="N53" s="1">
        <v>3.8866199289076903E-11</v>
      </c>
      <c r="O53" s="1">
        <v>1.66004073144733E-14</v>
      </c>
      <c r="P53" s="1">
        <v>6.4144113035706006E-14</v>
      </c>
      <c r="R53">
        <v>47.125051112272097</v>
      </c>
      <c r="S53">
        <v>2.7845809065429998</v>
      </c>
      <c r="T53">
        <v>9.8029297103969206</v>
      </c>
      <c r="V53">
        <v>36.587209365239502</v>
      </c>
      <c r="W53">
        <v>1.0490600094356901</v>
      </c>
      <c r="X53">
        <v>2.65116889611267</v>
      </c>
      <c r="AJ53">
        <v>9.6946325230265501E-2</v>
      </c>
      <c r="AK53">
        <v>9.0472918634341704E-2</v>
      </c>
      <c r="AL53">
        <v>0.75053455096212796</v>
      </c>
      <c r="AM53">
        <v>2.1795733112321199E-2</v>
      </c>
      <c r="AN53">
        <v>4.0250472060942698E-2</v>
      </c>
    </row>
    <row r="54" spans="1:40" x14ac:dyDescent="0.2">
      <c r="A54">
        <v>162</v>
      </c>
      <c r="B54">
        <v>738</v>
      </c>
      <c r="C54">
        <v>210</v>
      </c>
      <c r="D54">
        <v>0.35893833753646798</v>
      </c>
      <c r="E54">
        <v>4.22633882881479E-2</v>
      </c>
      <c r="F54">
        <v>4.64716715567317</v>
      </c>
      <c r="G54">
        <v>-0.40514107645655439</v>
      </c>
      <c r="H54">
        <v>-0.329788172686303</v>
      </c>
      <c r="I54">
        <v>7.45219836525257E-2</v>
      </c>
      <c r="J54">
        <v>3.8864928194421902E-2</v>
      </c>
      <c r="K54">
        <v>9.0944411664972101E-3</v>
      </c>
      <c r="L54">
        <v>3.1463602698758482E-5</v>
      </c>
      <c r="M54">
        <v>5.5225977256937255E-7</v>
      </c>
      <c r="N54" s="1">
        <v>4.7397570187699403E-11</v>
      </c>
      <c r="O54" s="1">
        <v>1.97403240553127E-14</v>
      </c>
      <c r="P54" s="1">
        <v>7.4443546561857901E-14</v>
      </c>
      <c r="R54">
        <v>47.093674247229004</v>
      </c>
      <c r="S54">
        <v>2.88274493631577</v>
      </c>
      <c r="T54">
        <v>9.7536637145871197</v>
      </c>
      <c r="V54">
        <v>36.504886175686103</v>
      </c>
      <c r="W54">
        <v>1.1288323241478999</v>
      </c>
      <c r="X54">
        <v>2.6361986020339598</v>
      </c>
      <c r="AJ54">
        <v>9.6361755988897402E-2</v>
      </c>
      <c r="AK54">
        <v>8.9983548259548907E-2</v>
      </c>
      <c r="AL54">
        <v>0.74855726067309702</v>
      </c>
      <c r="AM54">
        <v>2.3444080866190001E-2</v>
      </c>
      <c r="AN54">
        <v>4.1653354212265903E-2</v>
      </c>
    </row>
    <row r="55" spans="1:40" x14ac:dyDescent="0.2">
      <c r="A55">
        <v>163</v>
      </c>
      <c r="B55">
        <v>736</v>
      </c>
      <c r="C55">
        <v>210</v>
      </c>
      <c r="D55">
        <v>0.35752910865580001</v>
      </c>
      <c r="E55">
        <v>4.7956691221870101E-2</v>
      </c>
      <c r="F55">
        <v>4.6473884614228496</v>
      </c>
      <c r="G55">
        <v>-0.45995208408260368</v>
      </c>
      <c r="H55">
        <v>-0.37466893956757497</v>
      </c>
      <c r="I55">
        <v>8.4509879121070802E-2</v>
      </c>
      <c r="J55">
        <v>4.4091703155462902E-2</v>
      </c>
      <c r="K55">
        <v>1.0319062333598699E-2</v>
      </c>
      <c r="L55">
        <v>3.143570367597609E-5</v>
      </c>
      <c r="M55">
        <v>5.5211768657863898E-7</v>
      </c>
      <c r="N55" s="1">
        <v>5.4910432289361399E-11</v>
      </c>
      <c r="O55" s="1">
        <v>2.2393135841276399E-14</v>
      </c>
      <c r="P55" s="1">
        <v>8.2604156374769596E-14</v>
      </c>
      <c r="R55">
        <v>47.064693888214897</v>
      </c>
      <c r="S55">
        <v>2.9760246120200899</v>
      </c>
      <c r="T55">
        <v>9.7041578710120806</v>
      </c>
      <c r="V55">
        <v>36.4366297987088</v>
      </c>
      <c r="W55">
        <v>1.1978207647358801</v>
      </c>
      <c r="X55">
        <v>2.62067306530823</v>
      </c>
      <c r="AJ55">
        <v>9.5760086469282996E-2</v>
      </c>
      <c r="AK55">
        <v>8.9494901406987099E-2</v>
      </c>
      <c r="AL55">
        <v>0.74689118362760998</v>
      </c>
      <c r="AM55">
        <v>2.4867991805058099E-2</v>
      </c>
      <c r="AN55">
        <v>4.2985836691061298E-2</v>
      </c>
    </row>
    <row r="56" spans="1:40" x14ac:dyDescent="0.2">
      <c r="A56">
        <v>172</v>
      </c>
      <c r="B56">
        <v>744</v>
      </c>
      <c r="C56">
        <v>200</v>
      </c>
      <c r="D56">
        <v>0.373947303740848</v>
      </c>
      <c r="E56">
        <v>2.1768758838821799E-2</v>
      </c>
      <c r="F56">
        <v>4.6450447859792003</v>
      </c>
      <c r="G56">
        <v>-0.20862488235082954</v>
      </c>
      <c r="H56">
        <v>-0.16949401898009236</v>
      </c>
      <c r="I56">
        <v>3.8471084275413799E-2</v>
      </c>
      <c r="J56">
        <v>2.0037398922994502E-2</v>
      </c>
      <c r="K56">
        <v>4.6864475676379903E-3</v>
      </c>
      <c r="L56">
        <v>3.1521402319269552E-5</v>
      </c>
      <c r="M56">
        <v>5.5270815102164767E-7</v>
      </c>
      <c r="N56" s="1">
        <v>2.2661468944813102E-11</v>
      </c>
      <c r="O56" s="1">
        <v>1.01725099331878E-14</v>
      </c>
      <c r="P56" s="1">
        <v>4.1601629483106898E-14</v>
      </c>
      <c r="R56">
        <v>47.165058510864199</v>
      </c>
      <c r="S56">
        <v>2.6547793206972199</v>
      </c>
      <c r="T56">
        <v>9.9068044153105497</v>
      </c>
      <c r="V56">
        <v>36.596408165288501</v>
      </c>
      <c r="W56">
        <v>0.96036699879681098</v>
      </c>
      <c r="X56">
        <v>2.7165825890425701</v>
      </c>
      <c r="AJ56">
        <v>9.9356176703551402E-2</v>
      </c>
      <c r="AK56">
        <v>9.1448019351554305E-2</v>
      </c>
      <c r="AL56">
        <v>0.75085809877151999</v>
      </c>
      <c r="AM56">
        <v>1.9956592061740001E-2</v>
      </c>
      <c r="AN56">
        <v>3.8381113111633801E-2</v>
      </c>
    </row>
    <row r="57" spans="1:40" x14ac:dyDescent="0.2">
      <c r="A57">
        <v>173</v>
      </c>
      <c r="B57">
        <v>742</v>
      </c>
      <c r="C57">
        <v>200</v>
      </c>
      <c r="D57">
        <v>0.37257597399398801</v>
      </c>
      <c r="E57">
        <v>3.0716877791672099E-2</v>
      </c>
      <c r="F57">
        <v>4.6453624987998703</v>
      </c>
      <c r="G57">
        <v>-0.29458705902807919</v>
      </c>
      <c r="H57">
        <v>-0.23950461468655576</v>
      </c>
      <c r="I57">
        <v>5.4260399292245798E-2</v>
      </c>
      <c r="J57">
        <v>2.82672584479009E-2</v>
      </c>
      <c r="K57">
        <v>6.6123747715291902E-3</v>
      </c>
      <c r="L57">
        <v>3.1487048898087584E-5</v>
      </c>
      <c r="M57">
        <v>5.525317022781865E-7</v>
      </c>
      <c r="N57" s="1">
        <v>3.3011761916741997E-11</v>
      </c>
      <c r="O57" s="1">
        <v>1.4348599373341499E-14</v>
      </c>
      <c r="P57" s="1">
        <v>5.7120253481957106E-14</v>
      </c>
      <c r="R57">
        <v>47.130556693274002</v>
      </c>
      <c r="S57">
        <v>2.7592242170280299</v>
      </c>
      <c r="T57">
        <v>9.8583118796179292</v>
      </c>
      <c r="V57">
        <v>36.491320489622197</v>
      </c>
      <c r="W57">
        <v>1.0578338315584199</v>
      </c>
      <c r="X57">
        <v>2.70275288889929</v>
      </c>
      <c r="AJ57">
        <v>9.8808294199383903E-2</v>
      </c>
      <c r="AK57">
        <v>9.0961658742334098E-2</v>
      </c>
      <c r="AL57">
        <v>0.74838330256432395</v>
      </c>
      <c r="AM57">
        <v>2.1972613056045E-2</v>
      </c>
      <c r="AN57">
        <v>3.9874131437912498E-2</v>
      </c>
    </row>
    <row r="58" spans="1:40" x14ac:dyDescent="0.2">
      <c r="A58">
        <v>174</v>
      </c>
      <c r="B58">
        <v>740</v>
      </c>
      <c r="C58">
        <v>200</v>
      </c>
      <c r="D58">
        <v>0.37119923012387401</v>
      </c>
      <c r="E58">
        <v>3.7815084514959699E-2</v>
      </c>
      <c r="F58">
        <v>4.6456318023579097</v>
      </c>
      <c r="G58">
        <v>-0.36287626935250977</v>
      </c>
      <c r="H58">
        <v>-0.29523468376905593</v>
      </c>
      <c r="I58">
        <v>6.6763643669203704E-2</v>
      </c>
      <c r="J58">
        <v>3.4791887733914201E-2</v>
      </c>
      <c r="K58">
        <v>8.1399228616797596E-3</v>
      </c>
      <c r="L58">
        <v>3.1456237243470547E-5</v>
      </c>
      <c r="M58">
        <v>5.5237488732702148E-7</v>
      </c>
      <c r="N58" s="1">
        <v>4.1690178482449202E-11</v>
      </c>
      <c r="O58" s="1">
        <v>1.7658560206695E-14</v>
      </c>
      <c r="P58" s="1">
        <v>6.8654832997059995E-14</v>
      </c>
      <c r="R58">
        <v>47.0991739040658</v>
      </c>
      <c r="S58">
        <v>2.8570126684096002</v>
      </c>
      <c r="T58">
        <v>9.8097253411493295</v>
      </c>
      <c r="V58">
        <v>36.406114417185499</v>
      </c>
      <c r="W58">
        <v>1.1398539598805499</v>
      </c>
      <c r="X58">
        <v>2.6881197093091198</v>
      </c>
      <c r="AJ58">
        <v>9.8235399172964505E-2</v>
      </c>
      <c r="AK58">
        <v>9.0478421102884302E-2</v>
      </c>
      <c r="AL58">
        <v>0.74634768004645202</v>
      </c>
      <c r="AM58">
        <v>2.3667141921940901E-2</v>
      </c>
      <c r="AN58">
        <v>4.1271357755757299E-2</v>
      </c>
    </row>
    <row r="59" spans="1:40" x14ac:dyDescent="0.2">
      <c r="A59">
        <v>175</v>
      </c>
      <c r="B59">
        <v>738</v>
      </c>
      <c r="C59">
        <v>200</v>
      </c>
      <c r="D59">
        <v>0.36981704000395799</v>
      </c>
      <c r="E59">
        <v>4.37745843281519E-2</v>
      </c>
      <c r="F59">
        <v>4.6458667137980099</v>
      </c>
      <c r="G59">
        <v>-0.42027935860684223</v>
      </c>
      <c r="H59">
        <v>-0.34217868464824247</v>
      </c>
      <c r="I59">
        <v>7.7239454045986894E-2</v>
      </c>
      <c r="J59">
        <v>4.0266781636477997E-2</v>
      </c>
      <c r="K59">
        <v>9.4222643534183602E-3</v>
      </c>
      <c r="L59">
        <v>3.1428159248407217E-5</v>
      </c>
      <c r="M59">
        <v>5.52233123427802E-7</v>
      </c>
      <c r="N59" s="1">
        <v>4.9294236746535402E-11</v>
      </c>
      <c r="O59" s="1">
        <v>2.04355456046824E-14</v>
      </c>
      <c r="P59" s="1">
        <v>7.7770944612326494E-14</v>
      </c>
      <c r="R59">
        <v>47.070233202253398</v>
      </c>
      <c r="S59">
        <v>2.9498476033763299</v>
      </c>
      <c r="T59">
        <v>9.7608516536766796</v>
      </c>
      <c r="V59">
        <v>36.335489818356301</v>
      </c>
      <c r="W59">
        <v>1.2106778832265701</v>
      </c>
      <c r="X59">
        <v>2.67289983911065</v>
      </c>
      <c r="AJ59">
        <v>9.7644363085338401E-2</v>
      </c>
      <c r="AK59">
        <v>8.9995534527704299E-2</v>
      </c>
      <c r="AL59">
        <v>0.74463416694008699</v>
      </c>
      <c r="AM59">
        <v>2.5128715795415899E-2</v>
      </c>
      <c r="AN59">
        <v>4.2597219651453203E-2</v>
      </c>
    </row>
    <row r="60" spans="1:40" x14ac:dyDescent="0.2">
      <c r="A60">
        <v>184</v>
      </c>
      <c r="B60">
        <v>746</v>
      </c>
      <c r="C60">
        <v>190</v>
      </c>
      <c r="D60">
        <v>0.38610655938772698</v>
      </c>
      <c r="E60">
        <v>1.6703696772455499E-2</v>
      </c>
      <c r="F60">
        <v>4.6434565526150902</v>
      </c>
      <c r="G60">
        <v>-0.16025882077754455</v>
      </c>
      <c r="H60">
        <v>-0.13013494539257875</v>
      </c>
      <c r="I60">
        <v>2.9557842697312198E-2</v>
      </c>
      <c r="J60">
        <v>1.53833411700729E-2</v>
      </c>
      <c r="K60">
        <v>3.59725488613615E-3</v>
      </c>
      <c r="L60">
        <v>3.1512943892409111E-5</v>
      </c>
      <c r="M60">
        <v>5.5280737120891187E-7</v>
      </c>
      <c r="N60" s="1">
        <v>1.7083424812553099E-11</v>
      </c>
      <c r="O60" s="1">
        <v>7.8035790861746698E-15</v>
      </c>
      <c r="P60" s="1">
        <v>3.2810221781490703E-14</v>
      </c>
      <c r="R60">
        <v>47.167804143956403</v>
      </c>
      <c r="S60">
        <v>2.6360180795392001</v>
      </c>
      <c r="T60">
        <v>9.9605956262196198</v>
      </c>
      <c r="V60">
        <v>36.496033171362903</v>
      </c>
      <c r="W60">
        <v>0.97172791795453495</v>
      </c>
      <c r="X60">
        <v>2.76782106096719</v>
      </c>
      <c r="AJ60">
        <v>0.101202243155669</v>
      </c>
      <c r="AK60">
        <v>9.1919191281968807E-2</v>
      </c>
      <c r="AL60">
        <v>0.74859210106901797</v>
      </c>
      <c r="AM60">
        <v>2.0187103193917401E-2</v>
      </c>
      <c r="AN60">
        <v>3.8099361299425497E-2</v>
      </c>
    </row>
    <row r="61" spans="1:40" x14ac:dyDescent="0.2">
      <c r="A61">
        <v>185</v>
      </c>
      <c r="B61">
        <v>744</v>
      </c>
      <c r="C61">
        <v>190</v>
      </c>
      <c r="D61">
        <v>0.38476183453767998</v>
      </c>
      <c r="E61">
        <v>2.6104297601744601E-2</v>
      </c>
      <c r="F61">
        <v>4.6437908954970997</v>
      </c>
      <c r="G61">
        <v>-0.25062580830801512</v>
      </c>
      <c r="H61">
        <v>-0.2036617124630262</v>
      </c>
      <c r="I61">
        <v>4.6172241896464503E-2</v>
      </c>
      <c r="J61">
        <v>2.40351232561751E-2</v>
      </c>
      <c r="K61">
        <v>5.6213335589801999E-3</v>
      </c>
      <c r="L61">
        <v>3.1478454284496806E-5</v>
      </c>
      <c r="M61">
        <v>5.5263177783089949E-7</v>
      </c>
      <c r="N61" s="1">
        <v>2.75775074882022E-11</v>
      </c>
      <c r="O61" s="1">
        <v>1.2190724663763801E-14</v>
      </c>
      <c r="P61" s="1">
        <v>4.99362805303506E-14</v>
      </c>
      <c r="R61">
        <v>47.133434295875297</v>
      </c>
      <c r="S61">
        <v>2.7397551149021502</v>
      </c>
      <c r="T61">
        <v>9.9128544336659203</v>
      </c>
      <c r="V61">
        <v>36.388451232825602</v>
      </c>
      <c r="W61">
        <v>1.07117007760883</v>
      </c>
      <c r="X61">
        <v>2.7543348451221199</v>
      </c>
      <c r="AJ61">
        <v>0.10066636681136799</v>
      </c>
      <c r="AK61">
        <v>9.1439773853883299E-2</v>
      </c>
      <c r="AL61">
        <v>0.74606845580383496</v>
      </c>
      <c r="AM61">
        <v>2.2243508199189702E-2</v>
      </c>
      <c r="AN61">
        <v>3.9581895331723398E-2</v>
      </c>
    </row>
    <row r="62" spans="1:40" x14ac:dyDescent="0.2">
      <c r="A62">
        <v>186</v>
      </c>
      <c r="B62">
        <v>742</v>
      </c>
      <c r="C62">
        <v>190</v>
      </c>
      <c r="D62">
        <v>0.38341181106240502</v>
      </c>
      <c r="E62">
        <v>3.3518666024088997E-2</v>
      </c>
      <c r="F62">
        <v>4.6440743556667998</v>
      </c>
      <c r="G62">
        <v>-0.32200100323612346</v>
      </c>
      <c r="H62">
        <v>-0.26184789018024762</v>
      </c>
      <c r="I62">
        <v>5.9255393839211697E-2</v>
      </c>
      <c r="J62">
        <v>3.0854971379938499E-2</v>
      </c>
      <c r="K62">
        <v>7.2175127823241696E-3</v>
      </c>
      <c r="L62">
        <v>3.1447562915521141E-5</v>
      </c>
      <c r="M62">
        <v>5.5247594133168167E-7</v>
      </c>
      <c r="N62" s="1">
        <v>3.6339264565516601E-11</v>
      </c>
      <c r="O62" s="1">
        <v>1.5648067354049899E-14</v>
      </c>
      <c r="P62" s="1">
        <v>6.2651412728830901E-14</v>
      </c>
      <c r="R62">
        <v>47.102195278773998</v>
      </c>
      <c r="S62">
        <v>2.8368462163755699</v>
      </c>
      <c r="T62">
        <v>9.8649543633364303</v>
      </c>
      <c r="V62">
        <v>36.301192393479397</v>
      </c>
      <c r="W62">
        <v>1.1548014604164201</v>
      </c>
      <c r="X62">
        <v>2.7400102876180501</v>
      </c>
      <c r="AJ62">
        <v>0.10010429680124799</v>
      </c>
      <c r="AK62">
        <v>9.0962913593334305E-2</v>
      </c>
      <c r="AL62">
        <v>0.74399302647697996</v>
      </c>
      <c r="AM62">
        <v>2.3970938842956101E-2</v>
      </c>
      <c r="AN62">
        <v>4.0968824285479703E-2</v>
      </c>
    </row>
    <row r="63" spans="1:40" x14ac:dyDescent="0.2">
      <c r="A63">
        <v>187</v>
      </c>
      <c r="B63">
        <v>740</v>
      </c>
      <c r="C63">
        <v>190</v>
      </c>
      <c r="D63">
        <v>0.382056457582788</v>
      </c>
      <c r="E63">
        <v>3.9714843028765302E-2</v>
      </c>
      <c r="F63">
        <v>4.6443217045409702</v>
      </c>
      <c r="G63">
        <v>-0.38172043868051331</v>
      </c>
      <c r="H63">
        <v>-0.31062973361311974</v>
      </c>
      <c r="I63">
        <v>7.01679959210319E-2</v>
      </c>
      <c r="J63">
        <v>3.6551175694657601E-2</v>
      </c>
      <c r="K63">
        <v>8.5512687439231894E-3</v>
      </c>
      <c r="L63">
        <v>3.1419445963568759E-5</v>
      </c>
      <c r="M63">
        <v>5.5233525721427549E-7</v>
      </c>
      <c r="N63" s="1">
        <v>4.3991843837948603E-11</v>
      </c>
      <c r="O63" s="1">
        <v>1.8535310464444999E-14</v>
      </c>
      <c r="P63" s="1">
        <v>7.2696661965207501E-14</v>
      </c>
      <c r="R63">
        <v>47.073412717349001</v>
      </c>
      <c r="S63">
        <v>2.9289890022601299</v>
      </c>
      <c r="T63">
        <v>9.8167132921516398</v>
      </c>
      <c r="V63">
        <v>36.228820712179399</v>
      </c>
      <c r="W63">
        <v>1.2269884701465199</v>
      </c>
      <c r="X63">
        <v>2.7250758059131899</v>
      </c>
      <c r="AJ63">
        <v>9.9523302988185097E-2</v>
      </c>
      <c r="AK63">
        <v>9.0485930446941795E-2</v>
      </c>
      <c r="AL63">
        <v>0.74224595412765804</v>
      </c>
      <c r="AM63">
        <v>2.54603206233882E-2</v>
      </c>
      <c r="AN63">
        <v>4.2284491813826597E-2</v>
      </c>
    </row>
    <row r="64" spans="1:40" x14ac:dyDescent="0.2">
      <c r="A64">
        <v>196</v>
      </c>
      <c r="B64">
        <v>748</v>
      </c>
      <c r="C64">
        <v>180</v>
      </c>
      <c r="D64">
        <v>0.39821818537923098</v>
      </c>
      <c r="E64">
        <v>1.20948843893807E-2</v>
      </c>
      <c r="F64">
        <v>4.6418522012189696</v>
      </c>
      <c r="G64">
        <v>-0.11617830713544454</v>
      </c>
      <c r="H64">
        <v>-9.4294137350274157E-2</v>
      </c>
      <c r="I64">
        <v>2.14309061207172E-2</v>
      </c>
      <c r="J64">
        <v>1.11448954384725E-2</v>
      </c>
      <c r="K64">
        <v>2.6056160052240701E-3</v>
      </c>
      <c r="L64">
        <v>3.1502365805857987E-5</v>
      </c>
      <c r="M64">
        <v>5.5288695945114971E-7</v>
      </c>
      <c r="N64" s="1">
        <v>1.21683890180408E-11</v>
      </c>
      <c r="O64" s="1">
        <v>5.6486741599710997E-15</v>
      </c>
      <c r="P64" s="1">
        <v>2.4381734395826001E-14</v>
      </c>
      <c r="R64">
        <v>47.167123485934503</v>
      </c>
      <c r="S64">
        <v>2.6247984288408799</v>
      </c>
      <c r="T64">
        <v>10.013501005068401</v>
      </c>
      <c r="V64">
        <v>36.385197271607503</v>
      </c>
      <c r="W64">
        <v>0.99024775907901097</v>
      </c>
      <c r="X64">
        <v>2.8191320494694501</v>
      </c>
      <c r="AJ64">
        <v>0.103046065418173</v>
      </c>
      <c r="AK64">
        <v>9.2378455533506099E-2</v>
      </c>
      <c r="AL64">
        <v>0.746084774462204</v>
      </c>
      <c r="AM64">
        <v>2.05653950702121E-2</v>
      </c>
      <c r="AN64">
        <v>3.7925309515903602E-2</v>
      </c>
    </row>
    <row r="65" spans="1:40" x14ac:dyDescent="0.2">
      <c r="A65">
        <v>197</v>
      </c>
      <c r="B65">
        <v>746</v>
      </c>
      <c r="C65">
        <v>180</v>
      </c>
      <c r="D65">
        <v>0.396899867536674</v>
      </c>
      <c r="E65">
        <v>2.1806345306257201E-2</v>
      </c>
      <c r="F65">
        <v>4.6421995995640204</v>
      </c>
      <c r="G65">
        <v>-0.20960766967935249</v>
      </c>
      <c r="H65">
        <v>-0.17024636267539781</v>
      </c>
      <c r="I65">
        <v>3.8621701421728501E-2</v>
      </c>
      <c r="J65">
        <v>2.0088678672036502E-2</v>
      </c>
      <c r="K65">
        <v>4.6974165669880202E-3</v>
      </c>
      <c r="L65">
        <v>3.1468033902509507E-5</v>
      </c>
      <c r="M65">
        <v>5.5271378997224153E-7</v>
      </c>
      <c r="N65" s="1">
        <v>2.2663745248221201E-11</v>
      </c>
      <c r="O65" s="1">
        <v>1.0180374339075099E-14</v>
      </c>
      <c r="P65" s="1">
        <v>4.2857057567700102E-14</v>
      </c>
      <c r="R65">
        <v>47.133123255038399</v>
      </c>
      <c r="S65">
        <v>2.7273003514401402</v>
      </c>
      <c r="T65">
        <v>9.9665233711612995</v>
      </c>
      <c r="V65">
        <v>36.276655304339997</v>
      </c>
      <c r="W65">
        <v>1.09047021811899</v>
      </c>
      <c r="X65">
        <v>2.8059274999010002</v>
      </c>
      <c r="AJ65">
        <v>0.102520273925659</v>
      </c>
      <c r="AK65">
        <v>9.1906400696581403E-2</v>
      </c>
      <c r="AL65">
        <v>0.74354627001821505</v>
      </c>
      <c r="AM65">
        <v>2.26372837795305E-2</v>
      </c>
      <c r="AN65">
        <v>3.9389771580012799E-2</v>
      </c>
    </row>
    <row r="66" spans="1:40" x14ac:dyDescent="0.2">
      <c r="A66">
        <v>198</v>
      </c>
      <c r="B66">
        <v>744</v>
      </c>
      <c r="C66">
        <v>180</v>
      </c>
      <c r="D66">
        <v>0.39557636533451601</v>
      </c>
      <c r="E66">
        <v>2.9458240213252499E-2</v>
      </c>
      <c r="F66">
        <v>4.6424948246238298</v>
      </c>
      <c r="G66">
        <v>-0.2833250571366791</v>
      </c>
      <c r="H66">
        <v>-0.2302838086820424</v>
      </c>
      <c r="I66">
        <v>5.2146928628655199E-2</v>
      </c>
      <c r="J66">
        <v>2.7131738292998701E-2</v>
      </c>
      <c r="K66">
        <v>6.3453469149832497E-3</v>
      </c>
      <c r="L66">
        <v>3.1437286981008623E-5</v>
      </c>
      <c r="M66">
        <v>5.5256011527452249E-7</v>
      </c>
      <c r="N66" s="1">
        <v>3.1422411030842601E-11</v>
      </c>
      <c r="O66" s="1">
        <v>1.37481430375419E-14</v>
      </c>
      <c r="P66" s="1">
        <v>5.6623015934872397E-14</v>
      </c>
      <c r="R66">
        <v>47.102210595193498</v>
      </c>
      <c r="S66">
        <v>2.82330939552903</v>
      </c>
      <c r="T66">
        <v>9.919304447739</v>
      </c>
      <c r="V66">
        <v>36.188423963319202</v>
      </c>
      <c r="W66">
        <v>1.17488170193191</v>
      </c>
      <c r="X66">
        <v>2.7918698962872202</v>
      </c>
      <c r="AJ66">
        <v>0.10196775414369599</v>
      </c>
      <c r="AK66">
        <v>9.1436091688664206E-2</v>
      </c>
      <c r="AL66">
        <v>0.74145499656918501</v>
      </c>
      <c r="AM66">
        <v>2.4380298115881199E-2</v>
      </c>
      <c r="AN66">
        <v>4.0760859482572097E-2</v>
      </c>
    </row>
    <row r="67" spans="1:40" x14ac:dyDescent="0.2">
      <c r="A67">
        <v>199</v>
      </c>
      <c r="B67">
        <v>742</v>
      </c>
      <c r="C67">
        <v>180</v>
      </c>
      <c r="D67">
        <v>0.39424764813081797</v>
      </c>
      <c r="E67">
        <v>3.5842713953960097E-2</v>
      </c>
      <c r="F67">
        <v>4.6427529041282902</v>
      </c>
      <c r="G67">
        <v>-0.34490436447921297</v>
      </c>
      <c r="H67">
        <v>-0.28053199930718986</v>
      </c>
      <c r="I67">
        <v>6.3411678246587305E-2</v>
      </c>
      <c r="J67">
        <v>3.30050390106029E-2</v>
      </c>
      <c r="K67">
        <v>7.7201424874645298E-3</v>
      </c>
      <c r="L67">
        <v>3.1409306899311124E-5</v>
      </c>
      <c r="M67">
        <v>5.5242143819039484E-7</v>
      </c>
      <c r="N67" s="1">
        <v>3.9066028666783502E-11</v>
      </c>
      <c r="O67" s="1">
        <v>1.67228852945039E-14</v>
      </c>
      <c r="P67" s="1">
        <v>6.7525738887428799E-14</v>
      </c>
      <c r="R67">
        <v>47.073731053249901</v>
      </c>
      <c r="S67">
        <v>2.91446475372884</v>
      </c>
      <c r="T67">
        <v>9.8716847884060304</v>
      </c>
      <c r="V67">
        <v>36.115111215568099</v>
      </c>
      <c r="W67">
        <v>1.24781735368375</v>
      </c>
      <c r="X67">
        <v>2.77719083536322</v>
      </c>
      <c r="AJ67">
        <v>0.101395900007343</v>
      </c>
      <c r="AK67">
        <v>9.0965080220071506E-2</v>
      </c>
      <c r="AL67">
        <v>0.739692262917517</v>
      </c>
      <c r="AM67">
        <v>2.5884685094590101E-2</v>
      </c>
      <c r="AN67">
        <v>4.2062071760476397E-2</v>
      </c>
    </row>
    <row r="68" spans="1:40" x14ac:dyDescent="0.2">
      <c r="A68">
        <v>200</v>
      </c>
      <c r="B68">
        <v>740</v>
      </c>
      <c r="C68">
        <v>180</v>
      </c>
      <c r="D68">
        <v>0.39291368504170499</v>
      </c>
      <c r="E68">
        <v>4.1377050688459503E-2</v>
      </c>
      <c r="F68">
        <v>4.64298313563968</v>
      </c>
      <c r="G68">
        <v>-0.3983370897343253</v>
      </c>
      <c r="H68">
        <v>-0.3242185303572872</v>
      </c>
      <c r="I68">
        <v>7.3156550734874398E-2</v>
      </c>
      <c r="J68">
        <v>3.8093616059037501E-2</v>
      </c>
      <c r="K68">
        <v>8.9117383112697502E-3</v>
      </c>
      <c r="L68">
        <v>3.1383511823939596E-5</v>
      </c>
      <c r="M68">
        <v>5.5229464495727602E-7</v>
      </c>
      <c r="N68" s="1">
        <v>4.5936723604810198E-11</v>
      </c>
      <c r="O68" s="1">
        <v>1.9299981559576799E-14</v>
      </c>
      <c r="P68" s="1">
        <v>7.6519089588416504E-14</v>
      </c>
      <c r="R68">
        <v>47.047215838746801</v>
      </c>
      <c r="S68">
        <v>3.0018465966840902</v>
      </c>
      <c r="T68">
        <v>9.8236183124330108</v>
      </c>
      <c r="V68">
        <v>36.053291988536202</v>
      </c>
      <c r="W68">
        <v>1.31199780365802</v>
      </c>
      <c r="X68">
        <v>2.7620294599417701</v>
      </c>
      <c r="AJ68">
        <v>0.100809102677902</v>
      </c>
      <c r="AK68">
        <v>9.0492310892594602E-2</v>
      </c>
      <c r="AL68">
        <v>0.738182621737978</v>
      </c>
      <c r="AM68">
        <v>2.7207068134799801E-2</v>
      </c>
      <c r="AN68">
        <v>4.3308896556724798E-2</v>
      </c>
    </row>
    <row r="69" spans="1:40" x14ac:dyDescent="0.2">
      <c r="A69">
        <v>211</v>
      </c>
      <c r="B69">
        <v>748</v>
      </c>
      <c r="C69">
        <v>170</v>
      </c>
      <c r="D69">
        <v>0.40899035401263301</v>
      </c>
      <c r="E69">
        <v>1.7946802696159201E-2</v>
      </c>
      <c r="F69">
        <v>4.6405891564741104</v>
      </c>
      <c r="G69">
        <v>-0.17272743387932099</v>
      </c>
      <c r="H69">
        <v>-0.1402243123027368</v>
      </c>
      <c r="I69">
        <v>3.1829918794089099E-2</v>
      </c>
      <c r="J69">
        <v>1.6542340070736399E-2</v>
      </c>
      <c r="K69">
        <v>3.8673543576081301E-3</v>
      </c>
      <c r="L69">
        <v>3.1455439627591082E-5</v>
      </c>
      <c r="M69">
        <v>5.5277443935754007E-7</v>
      </c>
      <c r="N69" s="1">
        <v>1.83694469346097E-11</v>
      </c>
      <c r="O69" s="1">
        <v>8.3753846898123308E-15</v>
      </c>
      <c r="P69" s="1">
        <v>3.6192650448147599E-14</v>
      </c>
      <c r="R69">
        <v>47.129005509219098</v>
      </c>
      <c r="S69">
        <v>2.7230891904933698</v>
      </c>
      <c r="T69">
        <v>10.0192903031288</v>
      </c>
      <c r="V69">
        <v>36.153855909111101</v>
      </c>
      <c r="W69">
        <v>1.1172179753718401</v>
      </c>
      <c r="X69">
        <v>2.8575411126757402</v>
      </c>
      <c r="AJ69">
        <v>0.104369565901826</v>
      </c>
      <c r="AK69">
        <v>9.2360676695872002E-2</v>
      </c>
      <c r="AL69">
        <v>0.74077012811184095</v>
      </c>
      <c r="AM69">
        <v>2.3184433998662001E-2</v>
      </c>
      <c r="AN69">
        <v>3.9315195291798499E-2</v>
      </c>
    </row>
    <row r="70" spans="1:40" x14ac:dyDescent="0.2">
      <c r="A70">
        <v>212</v>
      </c>
      <c r="B70">
        <v>746</v>
      </c>
      <c r="C70">
        <v>170</v>
      </c>
      <c r="D70">
        <v>0.40769317568562202</v>
      </c>
      <c r="E70">
        <v>2.5727788180546302E-2</v>
      </c>
      <c r="F70">
        <v>4.64089299940649</v>
      </c>
      <c r="G70">
        <v>-0.24775629332417204</v>
      </c>
      <c r="H70">
        <v>-0.20127680828766847</v>
      </c>
      <c r="I70">
        <v>4.5606127691216802E-2</v>
      </c>
      <c r="J70">
        <v>2.37090155561849E-2</v>
      </c>
      <c r="K70">
        <v>5.5437150099854702E-3</v>
      </c>
      <c r="L70">
        <v>3.1425103611705416E-5</v>
      </c>
      <c r="M70">
        <v>5.5262429795508307E-7</v>
      </c>
      <c r="N70" s="1">
        <v>2.7019237026977701E-11</v>
      </c>
      <c r="O70" s="1">
        <v>1.20026707975664E-14</v>
      </c>
      <c r="P70" s="1">
        <v>5.0798984911693599E-14</v>
      </c>
      <c r="R70">
        <v>47.098630618752601</v>
      </c>
      <c r="S70">
        <v>2.8175822983407</v>
      </c>
      <c r="T70">
        <v>9.9727294022953803</v>
      </c>
      <c r="V70">
        <v>36.0659595404261</v>
      </c>
      <c r="W70">
        <v>1.2014020803901599</v>
      </c>
      <c r="X70">
        <v>2.8436960597949699</v>
      </c>
      <c r="AJ70">
        <v>0.10382490833073001</v>
      </c>
      <c r="AK70">
        <v>9.1896965639546899E-2</v>
      </c>
      <c r="AL70">
        <v>0.738691870814007</v>
      </c>
      <c r="AM70">
        <v>2.49220609279731E-2</v>
      </c>
      <c r="AN70">
        <v>4.0664194287741998E-2</v>
      </c>
    </row>
    <row r="71" spans="1:40" x14ac:dyDescent="0.2">
      <c r="A71">
        <v>213</v>
      </c>
      <c r="B71">
        <v>744</v>
      </c>
      <c r="C71">
        <v>170</v>
      </c>
      <c r="D71">
        <v>0.40639089613134799</v>
      </c>
      <c r="E71">
        <v>3.2232815400322003E-2</v>
      </c>
      <c r="F71">
        <v>4.6411595398711496</v>
      </c>
      <c r="G71">
        <v>-0.31055272449896271</v>
      </c>
      <c r="H71">
        <v>-0.25246959258642926</v>
      </c>
      <c r="I71">
        <v>5.7103801713152803E-2</v>
      </c>
      <c r="J71">
        <v>2.9697288368855001E-2</v>
      </c>
      <c r="K71">
        <v>6.9449918976965197E-3</v>
      </c>
      <c r="L71">
        <v>3.1397469918128265E-5</v>
      </c>
      <c r="M71">
        <v>5.5248870867174341E-7</v>
      </c>
      <c r="N71" s="1">
        <v>3.4582977395988198E-11</v>
      </c>
      <c r="O71" s="1">
        <v>1.5033082482035501E-14</v>
      </c>
      <c r="P71" s="1">
        <v>6.24365786809638E-14</v>
      </c>
      <c r="R71">
        <v>47.070623249780901</v>
      </c>
      <c r="S71">
        <v>2.9074149160082299</v>
      </c>
      <c r="T71">
        <v>9.9257045313818608</v>
      </c>
      <c r="V71">
        <v>35.9926877874748</v>
      </c>
      <c r="W71">
        <v>1.2743367993711501</v>
      </c>
      <c r="X71">
        <v>2.8292327159828599</v>
      </c>
      <c r="AJ71">
        <v>0.103260977048285</v>
      </c>
      <c r="AK71">
        <v>9.1431881714531399E-2</v>
      </c>
      <c r="AL71">
        <v>0.736935174486957</v>
      </c>
      <c r="AM71">
        <v>2.6425850685932201E-2</v>
      </c>
      <c r="AN71">
        <v>4.1946116064293597E-2</v>
      </c>
    </row>
    <row r="72" spans="1:40" x14ac:dyDescent="0.2">
      <c r="A72">
        <v>214</v>
      </c>
      <c r="B72">
        <v>742</v>
      </c>
      <c r="C72">
        <v>170</v>
      </c>
      <c r="D72">
        <v>0.40508348519923099</v>
      </c>
      <c r="E72">
        <v>3.7875620233259903E-2</v>
      </c>
      <c r="F72">
        <v>4.6413979516176402</v>
      </c>
      <c r="G72">
        <v>-0.36507848685087002</v>
      </c>
      <c r="H72">
        <v>-0.29700434876507781</v>
      </c>
      <c r="I72">
        <v>6.7058206260939002E-2</v>
      </c>
      <c r="J72">
        <v>3.48891668513596E-2</v>
      </c>
      <c r="K72">
        <v>8.1603906038824597E-3</v>
      </c>
      <c r="L72">
        <v>3.1371975801103814E-5</v>
      </c>
      <c r="M72">
        <v>5.5236470035677373E-7</v>
      </c>
      <c r="N72" s="1">
        <v>4.1388899783274101E-11</v>
      </c>
      <c r="O72" s="1">
        <v>1.76602891250238E-14</v>
      </c>
      <c r="P72" s="1">
        <v>7.2078062818948302E-14</v>
      </c>
      <c r="R72">
        <v>47.044536800367197</v>
      </c>
      <c r="S72">
        <v>2.9936041614997699</v>
      </c>
      <c r="T72">
        <v>9.8781872190551496</v>
      </c>
      <c r="V72">
        <v>35.930739054173202</v>
      </c>
      <c r="W72">
        <v>1.3386451625847899</v>
      </c>
      <c r="X72">
        <v>2.81428760231978</v>
      </c>
      <c r="AJ72">
        <v>0.102682090684039</v>
      </c>
      <c r="AK72">
        <v>9.0964562368561805E-2</v>
      </c>
      <c r="AL72">
        <v>0.73542742943656902</v>
      </c>
      <c r="AM72">
        <v>2.7750377267652001E-2</v>
      </c>
      <c r="AN72">
        <v>4.31755402431774E-2</v>
      </c>
    </row>
    <row r="73" spans="1:40" x14ac:dyDescent="0.2">
      <c r="A73">
        <v>226</v>
      </c>
      <c r="B73">
        <v>750</v>
      </c>
      <c r="C73">
        <v>160</v>
      </c>
      <c r="D73">
        <v>0.42103357278991599</v>
      </c>
      <c r="E73">
        <v>1.4644916328071101E-2</v>
      </c>
      <c r="F73">
        <v>4.63895946023377</v>
      </c>
      <c r="G73">
        <v>-0.1411421910443417</v>
      </c>
      <c r="H73">
        <v>-0.11452888739200054</v>
      </c>
      <c r="I73">
        <v>2.6011145630983799E-2</v>
      </c>
      <c r="J73">
        <v>1.35066137420542E-2</v>
      </c>
      <c r="K73">
        <v>3.1569399244832101E-3</v>
      </c>
      <c r="L73">
        <v>3.1440338470087783E-5</v>
      </c>
      <c r="M73">
        <v>5.5281022281182681E-7</v>
      </c>
      <c r="N73" s="1">
        <v>1.4780174647216701E-11</v>
      </c>
      <c r="O73" s="1">
        <v>6.8313967504818003E-15</v>
      </c>
      <c r="P73" s="1">
        <v>3.0269943479741302E-14</v>
      </c>
      <c r="R73">
        <v>47.1204100282227</v>
      </c>
      <c r="S73">
        <v>2.7284438803824802</v>
      </c>
      <c r="T73">
        <v>10.0711262119398</v>
      </c>
      <c r="V73">
        <v>36.017948551727599</v>
      </c>
      <c r="W73">
        <v>1.1528958987700799</v>
      </c>
      <c r="X73">
        <v>2.90917542895721</v>
      </c>
      <c r="AJ73">
        <v>0.106213327504123</v>
      </c>
      <c r="AK73">
        <v>9.2801692941204397E-2</v>
      </c>
      <c r="AL73">
        <v>0.73769276798642702</v>
      </c>
      <c r="AM73">
        <v>2.3915330770483099E-2</v>
      </c>
      <c r="AN73">
        <v>3.9376880797760798E-2</v>
      </c>
    </row>
    <row r="74" spans="1:40" x14ac:dyDescent="0.2">
      <c r="A74">
        <v>227</v>
      </c>
      <c r="B74">
        <v>748</v>
      </c>
      <c r="C74">
        <v>160</v>
      </c>
      <c r="D74">
        <v>0.41976252264603803</v>
      </c>
      <c r="E74">
        <v>2.2423765835826798E-2</v>
      </c>
      <c r="F74">
        <v>4.6392681303272996</v>
      </c>
      <c r="G74">
        <v>-0.21623067397179541</v>
      </c>
      <c r="H74">
        <v>-0.17558266114332813</v>
      </c>
      <c r="I74">
        <v>3.9806113527363497E-2</v>
      </c>
      <c r="J74">
        <v>2.06761178426637E-2</v>
      </c>
      <c r="K74">
        <v>4.8334705401571303E-3</v>
      </c>
      <c r="L74">
        <v>3.1410711335413911E-5</v>
      </c>
      <c r="M74">
        <v>5.5266511304558085E-7</v>
      </c>
      <c r="N74" s="1">
        <v>2.3204078884788999E-11</v>
      </c>
      <c r="O74" s="1">
        <v>1.04566369979382E-14</v>
      </c>
      <c r="P74" s="1">
        <v>4.5434868399504699E-14</v>
      </c>
      <c r="R74">
        <v>47.090804806656699</v>
      </c>
      <c r="S74">
        <v>2.8209622445069802</v>
      </c>
      <c r="T74">
        <v>10.0251765357099</v>
      </c>
      <c r="V74">
        <v>35.931860033131201</v>
      </c>
      <c r="W74">
        <v>1.23571816191576</v>
      </c>
      <c r="X74">
        <v>2.8954782180793202</v>
      </c>
      <c r="AJ74">
        <v>0.105674508089554</v>
      </c>
      <c r="AK74">
        <v>9.2344432769901702E-2</v>
      </c>
      <c r="AL74">
        <v>0.73565989431453105</v>
      </c>
      <c r="AM74">
        <v>2.5623978195737099E-2</v>
      </c>
      <c r="AN74">
        <v>4.0697186630275398E-2</v>
      </c>
    </row>
    <row r="75" spans="1:40" x14ac:dyDescent="0.2">
      <c r="A75">
        <v>228</v>
      </c>
      <c r="B75">
        <v>746</v>
      </c>
      <c r="C75">
        <v>160</v>
      </c>
      <c r="D75">
        <v>0.41848648383456999</v>
      </c>
      <c r="E75">
        <v>2.8964981925466399E-2</v>
      </c>
      <c r="F75">
        <v>4.6395403409146798</v>
      </c>
      <c r="G75">
        <v>-0.27944064100078814</v>
      </c>
      <c r="H75">
        <v>-0.22706898869901979</v>
      </c>
      <c r="I75">
        <v>5.1387580142048098E-2</v>
      </c>
      <c r="J75">
        <v>2.6701811285150302E-2</v>
      </c>
      <c r="K75">
        <v>6.2430714676695804E-3</v>
      </c>
      <c r="L75">
        <v>3.1383660415999361E-5</v>
      </c>
      <c r="M75">
        <v>5.5253380739853655E-7</v>
      </c>
      <c r="N75" s="1">
        <v>3.0607625743627697E-11</v>
      </c>
      <c r="O75" s="1">
        <v>1.35031100138985E-14</v>
      </c>
      <c r="P75" s="1">
        <v>5.7635403801963098E-14</v>
      </c>
      <c r="R75">
        <v>47.063457772323197</v>
      </c>
      <c r="S75">
        <v>2.9091118277354102</v>
      </c>
      <c r="T75">
        <v>9.9787006010889296</v>
      </c>
      <c r="V75">
        <v>35.8597538778303</v>
      </c>
      <c r="W75">
        <v>1.30779361431184</v>
      </c>
      <c r="X75">
        <v>2.8811823067101998</v>
      </c>
      <c r="AJ75">
        <v>0.105117004640171</v>
      </c>
      <c r="AK75">
        <v>9.1885077613568802E-2</v>
      </c>
      <c r="AL75">
        <v>0.73393397229996904</v>
      </c>
      <c r="AM75">
        <v>2.7109321244370699E-2</v>
      </c>
      <c r="AN75">
        <v>4.19546242019199E-2</v>
      </c>
    </row>
    <row r="76" spans="1:40" x14ac:dyDescent="0.2">
      <c r="A76">
        <v>229</v>
      </c>
      <c r="B76">
        <v>744</v>
      </c>
      <c r="C76">
        <v>160</v>
      </c>
      <c r="D76">
        <v>0.41720542692818402</v>
      </c>
      <c r="E76">
        <v>3.4658635481049499E-2</v>
      </c>
      <c r="F76">
        <v>4.63978479611957</v>
      </c>
      <c r="G76">
        <v>-0.33451154547644174</v>
      </c>
      <c r="H76">
        <v>-0.27200791149825043</v>
      </c>
      <c r="I76">
        <v>6.1449770415564403E-2</v>
      </c>
      <c r="J76">
        <v>3.1944099399901497E-2</v>
      </c>
      <c r="K76">
        <v>7.4698799629749702E-3</v>
      </c>
      <c r="L76">
        <v>3.1358658905215695E-5</v>
      </c>
      <c r="M76">
        <v>5.5241356056192161E-7</v>
      </c>
      <c r="N76" s="1">
        <v>3.7290660508319102E-11</v>
      </c>
      <c r="O76" s="1">
        <v>1.6153353332948301E-14</v>
      </c>
      <c r="P76" s="1">
        <v>6.7813566158430904E-14</v>
      </c>
      <c r="R76">
        <v>47.037955539462601</v>
      </c>
      <c r="S76">
        <v>2.99381750411457</v>
      </c>
      <c r="T76">
        <v>9.9316901964986304</v>
      </c>
      <c r="V76">
        <v>35.798564375880098</v>
      </c>
      <c r="W76">
        <v>1.3715564478298501</v>
      </c>
      <c r="X76">
        <v>2.8664159362141399</v>
      </c>
      <c r="AJ76">
        <v>0.104544878548922</v>
      </c>
      <c r="AK76">
        <v>9.1423000987361502E-2</v>
      </c>
      <c r="AL76">
        <v>0.73244768677996597</v>
      </c>
      <c r="AM76">
        <v>2.84219867445295E-2</v>
      </c>
      <c r="AN76">
        <v>4.3162446939220202E-2</v>
      </c>
    </row>
    <row r="77" spans="1:40" x14ac:dyDescent="0.2">
      <c r="A77">
        <v>242</v>
      </c>
      <c r="B77">
        <v>752</v>
      </c>
      <c r="C77">
        <v>150</v>
      </c>
      <c r="D77">
        <v>0.43302980051699702</v>
      </c>
      <c r="E77">
        <v>1.1999312694845599E-2</v>
      </c>
      <c r="F77">
        <v>4.6373091970625202</v>
      </c>
      <c r="G77">
        <v>-0.11581750607174456</v>
      </c>
      <c r="H77">
        <v>-9.3936441987716515E-2</v>
      </c>
      <c r="I77">
        <v>2.1344256044508601E-2</v>
      </c>
      <c r="J77">
        <v>1.10732651079098E-2</v>
      </c>
      <c r="K77">
        <v>2.5875593334269299E-3</v>
      </c>
      <c r="L77">
        <v>3.1422442250236695E-5</v>
      </c>
      <c r="M77">
        <v>5.5281749783966214E-7</v>
      </c>
      <c r="N77" s="1">
        <v>1.1955656085760699E-11</v>
      </c>
      <c r="O77" s="1">
        <v>5.5943064203404998E-15</v>
      </c>
      <c r="P77" s="1">
        <v>2.5394554234821602E-14</v>
      </c>
      <c r="R77">
        <v>47.106617727637101</v>
      </c>
      <c r="S77">
        <v>2.7447743533742299</v>
      </c>
      <c r="T77">
        <v>10.121988269311499</v>
      </c>
      <c r="V77">
        <v>35.866921807938802</v>
      </c>
      <c r="W77">
        <v>1.1988882619944901</v>
      </c>
      <c r="X77">
        <v>2.9608095797437</v>
      </c>
      <c r="AJ77">
        <v>0.10804981912783899</v>
      </c>
      <c r="AK77">
        <v>9.3228383276325696E-2</v>
      </c>
      <c r="AL77">
        <v>0.73426887867851298</v>
      </c>
      <c r="AM77">
        <v>2.48581880325792E-2</v>
      </c>
      <c r="AN77">
        <v>3.9594730884741899E-2</v>
      </c>
    </row>
    <row r="78" spans="1:40" x14ac:dyDescent="0.2">
      <c r="A78">
        <v>243</v>
      </c>
      <c r="B78">
        <v>750</v>
      </c>
      <c r="C78">
        <v>150</v>
      </c>
      <c r="D78">
        <v>0.43178468455260599</v>
      </c>
      <c r="E78">
        <v>1.9635322815445801E-2</v>
      </c>
      <c r="F78">
        <v>4.6376184905570899</v>
      </c>
      <c r="G78">
        <v>-0.18961911799413184</v>
      </c>
      <c r="H78">
        <v>-0.15390298924441495</v>
      </c>
      <c r="I78">
        <v>3.4908008356269199E-2</v>
      </c>
      <c r="J78">
        <v>1.8115851522887201E-2</v>
      </c>
      <c r="K78">
        <v>4.2339236949797202E-3</v>
      </c>
      <c r="L78">
        <v>3.1393835577816684E-5</v>
      </c>
      <c r="M78">
        <v>5.5267895304098073E-7</v>
      </c>
      <c r="N78" s="1">
        <v>2.0037552567163E-11</v>
      </c>
      <c r="O78" s="1">
        <v>9.1515315745818204E-15</v>
      </c>
      <c r="P78" s="1">
        <v>4.0791371354645201E-14</v>
      </c>
      <c r="R78">
        <v>47.0780220919439</v>
      </c>
      <c r="S78">
        <v>2.8348672555937302</v>
      </c>
      <c r="T78">
        <v>10.0765745235498</v>
      </c>
      <c r="V78">
        <v>35.784180202725103</v>
      </c>
      <c r="W78">
        <v>1.2791662576859</v>
      </c>
      <c r="X78">
        <v>2.94718966850147</v>
      </c>
      <c r="AJ78">
        <v>0.107514621820921</v>
      </c>
      <c r="AK78">
        <v>9.2777170434102593E-2</v>
      </c>
      <c r="AL78">
        <v>0.73231506126664703</v>
      </c>
      <c r="AM78">
        <v>2.65132907337325E-2</v>
      </c>
      <c r="AN78">
        <v>4.08798557445956E-2</v>
      </c>
    </row>
    <row r="79" spans="1:40" x14ac:dyDescent="0.2">
      <c r="A79">
        <v>244</v>
      </c>
      <c r="B79">
        <v>748</v>
      </c>
      <c r="C79">
        <v>150</v>
      </c>
      <c r="D79">
        <v>0.43053469127944</v>
      </c>
      <c r="E79">
        <v>2.61181741801472E-2</v>
      </c>
      <c r="F79">
        <v>4.6378931784139503</v>
      </c>
      <c r="G79">
        <v>-0.2523390808272985</v>
      </c>
      <c r="H79">
        <v>-0.20495214348785817</v>
      </c>
      <c r="I79">
        <v>4.6405461821907003E-2</v>
      </c>
      <c r="J79">
        <v>2.4091881834950001E-2</v>
      </c>
      <c r="K79">
        <v>5.63147385578186E-3</v>
      </c>
      <c r="L79">
        <v>3.1367618613176017E-5</v>
      </c>
      <c r="M79">
        <v>5.5255317988280643E-7</v>
      </c>
      <c r="N79" s="1">
        <v>2.7197817460776401E-11</v>
      </c>
      <c r="O79" s="1">
        <v>1.21697011645672E-14</v>
      </c>
      <c r="P79" s="1">
        <v>5.3344594005141198E-14</v>
      </c>
      <c r="R79">
        <v>47.051533943981802</v>
      </c>
      <c r="S79">
        <v>2.92097052461272</v>
      </c>
      <c r="T79">
        <v>10.0305793949396</v>
      </c>
      <c r="V79">
        <v>35.714446820181401</v>
      </c>
      <c r="W79">
        <v>1.34946246963518</v>
      </c>
      <c r="X79">
        <v>2.9330068466491599</v>
      </c>
      <c r="AJ79">
        <v>0.106961853375139</v>
      </c>
      <c r="AK79">
        <v>9.23231510707654E-2</v>
      </c>
      <c r="AL79">
        <v>0.73064634977754495</v>
      </c>
      <c r="AM79">
        <v>2.7961073890008702E-2</v>
      </c>
      <c r="AN79">
        <v>4.2107571886540102E-2</v>
      </c>
    </row>
    <row r="80" spans="1:40" x14ac:dyDescent="0.2">
      <c r="A80">
        <v>259</v>
      </c>
      <c r="B80">
        <v>754</v>
      </c>
      <c r="C80">
        <v>140</v>
      </c>
      <c r="D80">
        <v>0.44497931168767801</v>
      </c>
      <c r="E80">
        <v>1.0074274530435299E-2</v>
      </c>
      <c r="F80">
        <v>4.6356352219078101</v>
      </c>
      <c r="G80">
        <v>-9.7395284285988523E-2</v>
      </c>
      <c r="H80">
        <v>-7.895975236741283E-2</v>
      </c>
      <c r="I80">
        <v>1.79482372765182E-2</v>
      </c>
      <c r="J80">
        <v>9.3026191973474594E-3</v>
      </c>
      <c r="K80">
        <v>2.17322417493609E-3</v>
      </c>
      <c r="L80">
        <v>3.140153834583012E-5</v>
      </c>
      <c r="M80">
        <v>5.5279252913771975E-7</v>
      </c>
      <c r="N80" s="1">
        <v>9.9207415319633103E-12</v>
      </c>
      <c r="O80" s="1">
        <v>4.6938267504166099E-15</v>
      </c>
      <c r="P80" s="1">
        <v>2.18137466216511E-14</v>
      </c>
      <c r="R80">
        <v>47.086863834792403</v>
      </c>
      <c r="S80">
        <v>2.7735864313390199</v>
      </c>
      <c r="T80">
        <v>10.171797301319</v>
      </c>
      <c r="V80">
        <v>35.698970196820497</v>
      </c>
      <c r="W80">
        <v>1.25639125192078</v>
      </c>
      <c r="X80">
        <v>3.0123909838081602</v>
      </c>
      <c r="AJ80">
        <v>0.109876077660578</v>
      </c>
      <c r="AK80">
        <v>9.36393223394862E-2</v>
      </c>
      <c r="AL80">
        <v>0.73045748774603203</v>
      </c>
      <c r="AM80">
        <v>2.6037177637203202E-2</v>
      </c>
      <c r="AN80">
        <v>3.9989934616699301E-2</v>
      </c>
    </row>
    <row r="81" spans="1:40" x14ac:dyDescent="0.2">
      <c r="A81">
        <v>260</v>
      </c>
      <c r="B81">
        <v>752</v>
      </c>
      <c r="C81">
        <v>140</v>
      </c>
      <c r="D81">
        <v>0.443759937570114</v>
      </c>
      <c r="E81">
        <v>1.7434300605618E-2</v>
      </c>
      <c r="F81">
        <v>4.6359408408782397</v>
      </c>
      <c r="G81">
        <v>-0.16863173617414978</v>
      </c>
      <c r="H81">
        <v>-0.13680781950140264</v>
      </c>
      <c r="I81">
        <v>3.1043180678678301E-2</v>
      </c>
      <c r="J81">
        <v>1.60952891087403E-2</v>
      </c>
      <c r="K81">
        <v>3.7606822873769001E-3</v>
      </c>
      <c r="L81">
        <v>3.1374253680613315E-5</v>
      </c>
      <c r="M81">
        <v>5.5266200449264955E-7</v>
      </c>
      <c r="N81" s="1">
        <v>1.75589451270486E-11</v>
      </c>
      <c r="O81" s="1">
        <v>8.1206468285072792E-15</v>
      </c>
      <c r="P81" s="1">
        <v>3.7109946607619099E-14</v>
      </c>
      <c r="R81">
        <v>47.059510165947302</v>
      </c>
      <c r="S81">
        <v>2.8608485338618799</v>
      </c>
      <c r="T81">
        <v>10.1268138207143</v>
      </c>
      <c r="V81">
        <v>35.621057378200199</v>
      </c>
      <c r="W81">
        <v>1.33299219396479</v>
      </c>
      <c r="X81">
        <v>2.9987779073112999</v>
      </c>
      <c r="AJ81">
        <v>0.10934228553969599</v>
      </c>
      <c r="AK81">
        <v>9.3193458016905401E-2</v>
      </c>
      <c r="AL81">
        <v>0.72861498739058705</v>
      </c>
      <c r="AM81">
        <v>2.7615228731687699E-2</v>
      </c>
      <c r="AN81">
        <v>4.1234040321122697E-2</v>
      </c>
    </row>
    <row r="82" spans="1:40" x14ac:dyDescent="0.2">
      <c r="A82">
        <v>261</v>
      </c>
      <c r="B82">
        <v>750</v>
      </c>
      <c r="C82">
        <v>140</v>
      </c>
      <c r="D82">
        <v>0.44253579631530099</v>
      </c>
      <c r="E82">
        <v>2.3763441269863801E-2</v>
      </c>
      <c r="F82">
        <v>4.63621459977439</v>
      </c>
      <c r="G82">
        <v>-0.22994782716310336</v>
      </c>
      <c r="H82">
        <v>-0.18668218523435962</v>
      </c>
      <c r="I82">
        <v>4.2286704714600699E-2</v>
      </c>
      <c r="J82">
        <v>2.19336889992344E-2</v>
      </c>
      <c r="K82">
        <v>5.1256128806074202E-3</v>
      </c>
      <c r="L82">
        <v>3.1349119885558296E-5</v>
      </c>
      <c r="M82">
        <v>5.525429838635293E-7</v>
      </c>
      <c r="N82" s="1">
        <v>2.4398318215636999E-11</v>
      </c>
      <c r="O82" s="1">
        <v>1.10657991097319E-14</v>
      </c>
      <c r="P82" s="1">
        <v>4.9787115611968803E-14</v>
      </c>
      <c r="R82">
        <v>47.0340782748614</v>
      </c>
      <c r="S82">
        <v>2.9445661536637799</v>
      </c>
      <c r="T82">
        <v>10.081207854112501</v>
      </c>
      <c r="V82">
        <v>35.554904882182399</v>
      </c>
      <c r="W82">
        <v>1.40059135438912</v>
      </c>
      <c r="X82">
        <v>2.9846514807906601</v>
      </c>
      <c r="AJ82">
        <v>0.10879248022208</v>
      </c>
      <c r="AK82">
        <v>9.2744161173529002E-2</v>
      </c>
      <c r="AL82">
        <v>0.72702981565926394</v>
      </c>
      <c r="AM82">
        <v>2.9006403699497401E-2</v>
      </c>
      <c r="AN82">
        <v>4.2427139245628402E-2</v>
      </c>
    </row>
    <row r="83" spans="1:40" x14ac:dyDescent="0.2">
      <c r="A83">
        <v>278</v>
      </c>
      <c r="B83">
        <v>754</v>
      </c>
      <c r="C83">
        <v>130</v>
      </c>
      <c r="D83">
        <v>0.45568855571240902</v>
      </c>
      <c r="E83">
        <v>1.5867945498790201E-2</v>
      </c>
      <c r="F83">
        <v>4.6342298282436003</v>
      </c>
      <c r="G83">
        <v>-0.15374759771749549</v>
      </c>
      <c r="H83">
        <v>-0.12467906496068905</v>
      </c>
      <c r="I83">
        <v>2.83001827939506E-2</v>
      </c>
      <c r="J83">
        <v>1.46590243518782E-2</v>
      </c>
      <c r="K83">
        <v>3.4240739209959099E-3</v>
      </c>
      <c r="L83">
        <v>3.1351818045587702E-5</v>
      </c>
      <c r="M83">
        <v>5.5261024065523112E-7</v>
      </c>
      <c r="N83" s="1">
        <v>1.57816601338716E-11</v>
      </c>
      <c r="O83" s="1">
        <v>7.3856492060939802E-15</v>
      </c>
      <c r="P83" s="1">
        <v>3.4592054854192898E-14</v>
      </c>
      <c r="R83">
        <v>47.034429909399798</v>
      </c>
      <c r="S83">
        <v>2.9006205985195099</v>
      </c>
      <c r="T83">
        <v>10.175718056895899</v>
      </c>
      <c r="V83">
        <v>35.440785152890797</v>
      </c>
      <c r="W83">
        <v>1.3982922429500599</v>
      </c>
      <c r="X83">
        <v>3.0501540393438602</v>
      </c>
      <c r="AJ83">
        <v>0.111153109955572</v>
      </c>
      <c r="AK83">
        <v>9.3590909403004102E-2</v>
      </c>
      <c r="AL83">
        <v>0.72452041755646401</v>
      </c>
      <c r="AM83">
        <v>2.8951761182650599E-2</v>
      </c>
      <c r="AN83">
        <v>4.1783801902308002E-2</v>
      </c>
    </row>
    <row r="84" spans="1:40" x14ac:dyDescent="0.2">
      <c r="A84">
        <v>279</v>
      </c>
      <c r="B84">
        <v>752</v>
      </c>
      <c r="C84">
        <v>130</v>
      </c>
      <c r="D84">
        <v>0.45449007462322599</v>
      </c>
      <c r="E84">
        <v>2.19576348227924E-2</v>
      </c>
      <c r="F84">
        <v>4.6344992658585697</v>
      </c>
      <c r="G84">
        <v>-0.21283536420654464</v>
      </c>
      <c r="H84">
        <v>-0.1727148862083567</v>
      </c>
      <c r="I84">
        <v>3.9136202505182502E-2</v>
      </c>
      <c r="J84">
        <v>2.02805433817261E-2</v>
      </c>
      <c r="K84">
        <v>4.7378656383764801E-3</v>
      </c>
      <c r="L84">
        <v>3.1327995201599359E-5</v>
      </c>
      <c r="M84">
        <v>5.5249907149608033E-7</v>
      </c>
      <c r="N84" s="1">
        <v>2.2236132655175302E-11</v>
      </c>
      <c r="O84" s="1">
        <v>1.02175924186418E-14</v>
      </c>
      <c r="P84" s="1">
        <v>4.7170727842884199E-14</v>
      </c>
      <c r="R84">
        <v>47.010237001442398</v>
      </c>
      <c r="S84">
        <v>2.9816654937893201</v>
      </c>
      <c r="T84">
        <v>10.1303876235564</v>
      </c>
      <c r="V84">
        <v>35.379331114371404</v>
      </c>
      <c r="W84">
        <v>1.46234950114921</v>
      </c>
      <c r="X84">
        <v>3.0360292656910701</v>
      </c>
      <c r="AJ84">
        <v>0.110604554595614</v>
      </c>
      <c r="AK84">
        <v>9.3145499758972003E-2</v>
      </c>
      <c r="AL84">
        <v>0.72304299655361404</v>
      </c>
      <c r="AM84">
        <v>3.0268815943670101E-2</v>
      </c>
      <c r="AN84">
        <v>4.2938133148128797E-2</v>
      </c>
    </row>
    <row r="85" spans="1:40" x14ac:dyDescent="0.2">
      <c r="A85">
        <v>298</v>
      </c>
      <c r="B85">
        <v>756</v>
      </c>
      <c r="C85">
        <v>120</v>
      </c>
      <c r="D85">
        <v>0.46757081086333502</v>
      </c>
      <c r="E85">
        <v>1.49568438324281E-2</v>
      </c>
      <c r="F85">
        <v>4.6324773431328996</v>
      </c>
      <c r="G85">
        <v>-0.14519435350284926</v>
      </c>
      <c r="H85">
        <v>-0.11769456469022821</v>
      </c>
      <c r="I85">
        <v>2.6720875297693202E-2</v>
      </c>
      <c r="J85">
        <v>1.38272364522493E-2</v>
      </c>
      <c r="K85">
        <v>3.22869227943443E-3</v>
      </c>
      <c r="L85">
        <v>3.1326472173840105E-5</v>
      </c>
      <c r="M85">
        <v>5.5251935220437741E-7</v>
      </c>
      <c r="N85" s="1">
        <v>1.4693280677277701E-11</v>
      </c>
      <c r="O85" s="1">
        <v>6.9555952216655099E-15</v>
      </c>
      <c r="P85" s="1">
        <v>3.3389172133458E-14</v>
      </c>
      <c r="R85">
        <v>47.001860485795703</v>
      </c>
      <c r="S85">
        <v>2.9561190445355598</v>
      </c>
      <c r="T85">
        <v>10.223005619460199</v>
      </c>
      <c r="V85">
        <v>35.241850743122697</v>
      </c>
      <c r="W85">
        <v>1.47598228505329</v>
      </c>
      <c r="X85">
        <v>3.1011818220323901</v>
      </c>
      <c r="AJ85">
        <v>0.112940861144817</v>
      </c>
      <c r="AK85">
        <v>9.3966104085750596E-2</v>
      </c>
      <c r="AL85">
        <v>0.71999589632706396</v>
      </c>
      <c r="AM85">
        <v>3.0540926222959501E-2</v>
      </c>
      <c r="AN85">
        <v>4.2556212219407502E-2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9F57F-F927-40A7-9F8F-2D5060BE6820}">
  <sheetPr codeName="Sheet7"/>
  <dimension ref="A1:AN16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14</v>
      </c>
      <c r="B2">
        <v>734</v>
      </c>
      <c r="C2">
        <v>300</v>
      </c>
      <c r="D2">
        <v>0.25781710768008598</v>
      </c>
      <c r="E2">
        <v>0.44881656729830099</v>
      </c>
      <c r="F2">
        <v>4.9378406036692901</v>
      </c>
      <c r="G2">
        <v>-3.0013819575126561</v>
      </c>
      <c r="H2">
        <v>-2.2073750315041734</v>
      </c>
      <c r="I2">
        <v>0.78837007993693298</v>
      </c>
      <c r="J2">
        <v>0.39766519077993401</v>
      </c>
      <c r="K2">
        <v>9.0893287840192197E-2</v>
      </c>
      <c r="L2">
        <v>3.5072136101986647E-5</v>
      </c>
      <c r="M2">
        <v>4.0820332712233889E-7</v>
      </c>
      <c r="N2" s="1">
        <v>1.7455173112452801E-9</v>
      </c>
      <c r="O2" s="1">
        <v>2.1579568042222801E-13</v>
      </c>
      <c r="P2">
        <v>0</v>
      </c>
      <c r="R2">
        <v>9.3117978111559303</v>
      </c>
      <c r="S2">
        <v>1.88827596261285</v>
      </c>
      <c r="T2">
        <v>49.247736443664699</v>
      </c>
      <c r="V2">
        <v>38.680903872500203</v>
      </c>
      <c r="X2">
        <v>0.87128591006613598</v>
      </c>
      <c r="AJ2">
        <v>0</v>
      </c>
      <c r="AK2">
        <v>-6.9862567925257297E-3</v>
      </c>
      <c r="AL2">
        <v>0.69542768065987504</v>
      </c>
      <c r="AM2">
        <v>4.8748093325647002E-2</v>
      </c>
      <c r="AN2">
        <v>0.26281048280700298</v>
      </c>
    </row>
    <row r="3" spans="1:40" x14ac:dyDescent="0.2">
      <c r="A3">
        <v>15</v>
      </c>
      <c r="B3">
        <v>732</v>
      </c>
      <c r="C3">
        <v>300</v>
      </c>
      <c r="D3">
        <v>0.256201064517732</v>
      </c>
      <c r="E3">
        <v>0.52166139307023496</v>
      </c>
      <c r="F3">
        <v>4.9405859343841199</v>
      </c>
      <c r="G3">
        <v>-3.4801301256533077</v>
      </c>
      <c r="H3">
        <v>-2.5605308811248562</v>
      </c>
      <c r="I3">
        <v>0.91488757352479799</v>
      </c>
      <c r="J3">
        <v>0.46225869976865003</v>
      </c>
      <c r="K3">
        <v>0.105586948592417</v>
      </c>
      <c r="L3">
        <v>3.5573845803673891E-5</v>
      </c>
      <c r="M3">
        <v>4.1421753272300806E-7</v>
      </c>
      <c r="N3" s="1">
        <v>2.0600538599057398E-9</v>
      </c>
      <c r="O3" s="1">
        <v>2.5492197065985302E-13</v>
      </c>
      <c r="P3">
        <v>0</v>
      </c>
      <c r="R3">
        <v>8.7739967527252301</v>
      </c>
      <c r="S3">
        <v>2.0755122072229799</v>
      </c>
      <c r="T3">
        <v>50.0530996024277</v>
      </c>
      <c r="V3">
        <v>38.2492716827213</v>
      </c>
      <c r="X3">
        <v>0.84811975490263503</v>
      </c>
      <c r="AJ3">
        <v>0</v>
      </c>
      <c r="AK3">
        <v>-1.5486123732790301E-3</v>
      </c>
      <c r="AL3">
        <v>0.70656354948428002</v>
      </c>
      <c r="AM3">
        <v>4.7436067136400903E-2</v>
      </c>
      <c r="AN3">
        <v>0.24754899575259701</v>
      </c>
    </row>
    <row r="4" spans="1:40" x14ac:dyDescent="0.2">
      <c r="A4">
        <v>16</v>
      </c>
      <c r="B4">
        <v>730</v>
      </c>
      <c r="C4">
        <v>300</v>
      </c>
      <c r="D4">
        <v>0.25457857748093798</v>
      </c>
      <c r="E4">
        <v>0.54781129149454799</v>
      </c>
      <c r="F4">
        <v>4.9404234279632302</v>
      </c>
      <c r="G4">
        <v>-3.6551480346200571</v>
      </c>
      <c r="H4">
        <v>-2.6922256874673129</v>
      </c>
      <c r="I4">
        <v>0.959898666353729</v>
      </c>
      <c r="J4">
        <v>0.485499999712321</v>
      </c>
      <c r="K4">
        <v>0.110883469702999</v>
      </c>
      <c r="L4">
        <v>3.56136851043067E-5</v>
      </c>
      <c r="M4">
        <v>4.1506801593794634E-7</v>
      </c>
      <c r="N4" s="1">
        <v>2.16847734542545E-9</v>
      </c>
      <c r="O4" s="1">
        <v>2.6840114349777802E-13</v>
      </c>
      <c r="P4">
        <v>0</v>
      </c>
      <c r="R4">
        <v>8.62940661102596</v>
      </c>
      <c r="S4">
        <v>2.19827880247388</v>
      </c>
      <c r="T4">
        <v>50.184059409299103</v>
      </c>
      <c r="V4">
        <v>38.147129384638802</v>
      </c>
      <c r="X4">
        <v>0.84112579256222897</v>
      </c>
      <c r="AJ4">
        <v>0</v>
      </c>
      <c r="AK4">
        <v>1.5560576895588801E-3</v>
      </c>
      <c r="AL4">
        <v>0.70806989689310096</v>
      </c>
      <c r="AM4">
        <v>4.7022155851403603E-2</v>
      </c>
      <c r="AN4">
        <v>0.24335188956593601</v>
      </c>
    </row>
    <row r="5" spans="1:40" x14ac:dyDescent="0.2">
      <c r="A5">
        <v>17</v>
      </c>
      <c r="B5">
        <v>728</v>
      </c>
      <c r="C5">
        <v>300</v>
      </c>
      <c r="D5">
        <v>0.25294960795086002</v>
      </c>
      <c r="E5">
        <v>0.55901574204450399</v>
      </c>
      <c r="F5">
        <v>4.9403640686536399</v>
      </c>
      <c r="G5">
        <v>-3.7300714706533964</v>
      </c>
      <c r="H5">
        <v>-2.7503135835578445</v>
      </c>
      <c r="I5">
        <v>0.97863245976681901</v>
      </c>
      <c r="J5">
        <v>0.495483415132764</v>
      </c>
      <c r="K5">
        <v>0.113152742242506</v>
      </c>
      <c r="L5">
        <v>3.5645794551234975E-5</v>
      </c>
      <c r="M5">
        <v>4.1583129290479738E-7</v>
      </c>
      <c r="N5" s="1">
        <v>2.21757289629238E-9</v>
      </c>
      <c r="O5" s="1">
        <v>2.7454052066562399E-13</v>
      </c>
      <c r="P5">
        <v>0</v>
      </c>
      <c r="R5">
        <v>8.4995050845382494</v>
      </c>
      <c r="S5">
        <v>2.3070226958920999</v>
      </c>
      <c r="T5">
        <v>50.303108311357697</v>
      </c>
      <c r="V5">
        <v>38.056319307365499</v>
      </c>
      <c r="X5">
        <v>0.83404460084635401</v>
      </c>
      <c r="AJ5">
        <v>0</v>
      </c>
      <c r="AK5">
        <v>4.3531519080809399E-3</v>
      </c>
      <c r="AL5">
        <v>0.70945199189443497</v>
      </c>
      <c r="AM5">
        <v>4.6606738209750198E-2</v>
      </c>
      <c r="AN5">
        <v>0.239588117987732</v>
      </c>
    </row>
    <row r="6" spans="1:40" x14ac:dyDescent="0.2">
      <c r="A6">
        <v>18</v>
      </c>
      <c r="B6">
        <v>726</v>
      </c>
      <c r="C6">
        <v>300</v>
      </c>
      <c r="D6">
        <v>0.251314116999449</v>
      </c>
      <c r="E6">
        <v>0.56411837012713695</v>
      </c>
      <c r="F6">
        <v>4.9403647307208498</v>
      </c>
      <c r="G6">
        <v>-3.7640400052360854</v>
      </c>
      <c r="H6">
        <v>-2.7782409578205192</v>
      </c>
      <c r="I6">
        <v>0.98663768945159902</v>
      </c>
      <c r="J6">
        <v>0.50004953124404194</v>
      </c>
      <c r="K6">
        <v>0.11418557148609999</v>
      </c>
      <c r="L6">
        <v>3.5672761004833944E-5</v>
      </c>
      <c r="M6">
        <v>4.1653704978690143E-7</v>
      </c>
      <c r="N6" s="1">
        <v>2.2422589264982199E-9</v>
      </c>
      <c r="O6" s="1">
        <v>2.77659212081306E-13</v>
      </c>
      <c r="P6">
        <v>0</v>
      </c>
      <c r="R6">
        <v>8.37884031448713</v>
      </c>
      <c r="S6">
        <v>2.4072129911131599</v>
      </c>
      <c r="T6">
        <v>50.414359160108802</v>
      </c>
      <c r="V6">
        <v>37.972673725859799</v>
      </c>
      <c r="X6">
        <v>0.82691380843094597</v>
      </c>
      <c r="AJ6">
        <v>0</v>
      </c>
      <c r="AK6">
        <v>6.9620786357543598E-3</v>
      </c>
      <c r="AL6">
        <v>0.71075038266064505</v>
      </c>
      <c r="AM6">
        <v>4.6190678211096903E-2</v>
      </c>
      <c r="AN6">
        <v>0.236096860492502</v>
      </c>
    </row>
    <row r="7" spans="1:40" x14ac:dyDescent="0.2">
      <c r="A7">
        <v>19</v>
      </c>
      <c r="B7">
        <v>724</v>
      </c>
      <c r="C7">
        <v>300</v>
      </c>
      <c r="D7">
        <v>0.249672065386352</v>
      </c>
      <c r="E7">
        <v>0.56607667804580697</v>
      </c>
      <c r="F7">
        <v>4.9404036008988896</v>
      </c>
      <c r="G7">
        <v>-3.7768691111635033</v>
      </c>
      <c r="H7">
        <v>-2.7905707767575003</v>
      </c>
      <c r="I7">
        <v>0.98911731876448095</v>
      </c>
      <c r="J7">
        <v>0.50182189009159195</v>
      </c>
      <c r="K7">
        <v>0.11458105931726099</v>
      </c>
      <c r="L7">
        <v>3.5695889305734592E-5</v>
      </c>
      <c r="M7">
        <v>4.1720020312817705E-7</v>
      </c>
      <c r="N7" s="1">
        <v>2.2542506700016101E-9</v>
      </c>
      <c r="O7" s="1">
        <v>2.7920633364630198E-13</v>
      </c>
      <c r="P7">
        <v>0</v>
      </c>
      <c r="R7">
        <v>8.2646456299171192</v>
      </c>
      <c r="S7">
        <v>2.5016297644841798</v>
      </c>
      <c r="T7">
        <v>50.519891568476801</v>
      </c>
      <c r="V7">
        <v>37.894084372926997</v>
      </c>
      <c r="X7">
        <v>0.81974866419477299</v>
      </c>
      <c r="AJ7">
        <v>0</v>
      </c>
      <c r="AK7">
        <v>9.4437471710149302E-3</v>
      </c>
      <c r="AL7">
        <v>0.71198555165148203</v>
      </c>
      <c r="AM7">
        <v>4.5774196764727701E-2</v>
      </c>
      <c r="AN7">
        <v>0.232796504412774</v>
      </c>
    </row>
    <row r="8" spans="1:40" x14ac:dyDescent="0.2">
      <c r="A8">
        <v>32</v>
      </c>
      <c r="B8">
        <v>736</v>
      </c>
      <c r="C8">
        <v>290</v>
      </c>
      <c r="D8">
        <v>0.27032700787792002</v>
      </c>
      <c r="E8">
        <v>0.371674977263593</v>
      </c>
      <c r="F8">
        <v>4.9428410830759297</v>
      </c>
      <c r="G8">
        <v>-2.4743734004181115</v>
      </c>
      <c r="H8">
        <v>-1.8157725792874422</v>
      </c>
      <c r="I8">
        <v>0.65262926337082605</v>
      </c>
      <c r="J8">
        <v>0.32928265754303798</v>
      </c>
      <c r="K8">
        <v>7.5194603875935198E-2</v>
      </c>
      <c r="L8">
        <v>3.5951441690982978E-5</v>
      </c>
      <c r="M8">
        <v>4.1798041346798184E-7</v>
      </c>
      <c r="N8" s="1">
        <v>1.4793016140345099E-9</v>
      </c>
      <c r="O8" s="1">
        <v>1.8303264067057999E-13</v>
      </c>
      <c r="P8">
        <v>0</v>
      </c>
      <c r="R8">
        <v>8.6821257314920395</v>
      </c>
      <c r="S8">
        <v>1.9024095932287799</v>
      </c>
      <c r="T8">
        <v>50.440296235012497</v>
      </c>
      <c r="V8">
        <v>38.115260816294203</v>
      </c>
      <c r="X8">
        <v>0.85990762397231602</v>
      </c>
      <c r="AJ8">
        <v>0</v>
      </c>
      <c r="AK8">
        <v>-6.0407992301250496E-3</v>
      </c>
      <c r="AL8">
        <v>0.71270881436452704</v>
      </c>
      <c r="AM8">
        <v>4.8141270160422002E-2</v>
      </c>
      <c r="AN8">
        <v>0.245190714705176</v>
      </c>
    </row>
    <row r="9" spans="1:40" x14ac:dyDescent="0.2">
      <c r="A9">
        <v>33</v>
      </c>
      <c r="B9">
        <v>734</v>
      </c>
      <c r="C9">
        <v>290</v>
      </c>
      <c r="D9">
        <v>0.268739016035347</v>
      </c>
      <c r="E9">
        <v>0.52179034246279898</v>
      </c>
      <c r="F9">
        <v>4.9393748573904297</v>
      </c>
      <c r="G9">
        <v>-3.4848579346764952</v>
      </c>
      <c r="H9">
        <v>-2.5621454466403044</v>
      </c>
      <c r="I9">
        <v>0.91616193023501002</v>
      </c>
      <c r="J9">
        <v>0.46244193522761601</v>
      </c>
      <c r="K9">
        <v>0.105638943697922</v>
      </c>
      <c r="L9">
        <v>3.5577568307773686E-5</v>
      </c>
      <c r="M9">
        <v>4.1421526993984134E-7</v>
      </c>
      <c r="N9" s="1">
        <v>2.0583681965236399E-9</v>
      </c>
      <c r="O9" s="1">
        <v>2.5456926406176998E-13</v>
      </c>
      <c r="P9">
        <v>0</v>
      </c>
      <c r="R9">
        <v>8.84988133351127</v>
      </c>
      <c r="S9">
        <v>2.02998737616897</v>
      </c>
      <c r="T9">
        <v>49.971494364013203</v>
      </c>
      <c r="V9">
        <v>38.2795170792985</v>
      </c>
      <c r="X9">
        <v>0.86911984700792499</v>
      </c>
      <c r="AJ9">
        <v>0</v>
      </c>
      <c r="AK9">
        <v>-3.7297382398597599E-3</v>
      </c>
      <c r="AL9">
        <v>0.70542390880052996</v>
      </c>
      <c r="AM9">
        <v>4.8611469443810298E-2</v>
      </c>
      <c r="AN9">
        <v>0.24969435999551901</v>
      </c>
    </row>
    <row r="10" spans="1:40" x14ac:dyDescent="0.2">
      <c r="A10">
        <v>34</v>
      </c>
      <c r="B10">
        <v>732</v>
      </c>
      <c r="C10">
        <v>290</v>
      </c>
      <c r="D10">
        <v>0.267144704770434</v>
      </c>
      <c r="E10">
        <v>0.55428644565878904</v>
      </c>
      <c r="F10">
        <v>4.9391902161549499</v>
      </c>
      <c r="G10">
        <v>-3.7025525440434182</v>
      </c>
      <c r="H10">
        <v>-2.7251767608074693</v>
      </c>
      <c r="I10">
        <v>0.97236808758488702</v>
      </c>
      <c r="J10">
        <v>0.49131706631178002</v>
      </c>
      <c r="K10">
        <v>0.112222129823193</v>
      </c>
      <c r="L10">
        <v>3.5621593825968124E-5</v>
      </c>
      <c r="M10">
        <v>4.1511296088272523E-7</v>
      </c>
      <c r="N10" s="1">
        <v>2.1920393449910901E-9</v>
      </c>
      <c r="O10" s="1">
        <v>2.7116496778156701E-13</v>
      </c>
      <c r="P10">
        <v>0</v>
      </c>
      <c r="R10">
        <v>8.6994423282610693</v>
      </c>
      <c r="S10">
        <v>2.1571957137385902</v>
      </c>
      <c r="T10">
        <v>50.108537762562698</v>
      </c>
      <c r="V10">
        <v>38.172666930929097</v>
      </c>
      <c r="X10">
        <v>0.86215726450846197</v>
      </c>
      <c r="AJ10">
        <v>0</v>
      </c>
      <c r="AK10">
        <v>-5.2754758162905E-4</v>
      </c>
      <c r="AL10">
        <v>0.70700320126984695</v>
      </c>
      <c r="AM10">
        <v>4.8197818979132903E-2</v>
      </c>
      <c r="AN10">
        <v>0.24532652733264801</v>
      </c>
    </row>
    <row r="11" spans="1:40" x14ac:dyDescent="0.2">
      <c r="A11">
        <v>35</v>
      </c>
      <c r="B11">
        <v>730</v>
      </c>
      <c r="C11">
        <v>290</v>
      </c>
      <c r="D11">
        <v>0.265544036285703</v>
      </c>
      <c r="E11">
        <v>0.56748674303922597</v>
      </c>
      <c r="F11">
        <v>4.9391246325941003</v>
      </c>
      <c r="G11">
        <v>-3.7909251601843392</v>
      </c>
      <c r="H11">
        <v>-2.7931740769597635</v>
      </c>
      <c r="I11">
        <v>0.994618036409883</v>
      </c>
      <c r="J11">
        <v>0.50307449544114002</v>
      </c>
      <c r="K11">
        <v>0.11489621851092501</v>
      </c>
      <c r="L11">
        <v>3.5656500635567953E-5</v>
      </c>
      <c r="M11">
        <v>4.1590753162941135E-7</v>
      </c>
      <c r="N11" s="1">
        <v>2.24923187151829E-9</v>
      </c>
      <c r="O11" s="1">
        <v>2.7830422995914099E-13</v>
      </c>
      <c r="P11">
        <v>0</v>
      </c>
      <c r="R11">
        <v>8.5661646449238393</v>
      </c>
      <c r="S11">
        <v>2.2681254295968598</v>
      </c>
      <c r="T11">
        <v>50.231540040272598</v>
      </c>
      <c r="V11">
        <v>38.0790808879945</v>
      </c>
      <c r="X11">
        <v>0.85508899721207599</v>
      </c>
      <c r="AJ11">
        <v>0</v>
      </c>
      <c r="AK11">
        <v>2.3179557393617602E-3</v>
      </c>
      <c r="AL11">
        <v>0.70843521366694995</v>
      </c>
      <c r="AM11">
        <v>4.7782207372643097E-2</v>
      </c>
      <c r="AN11">
        <v>0.24146462322104401</v>
      </c>
    </row>
    <row r="12" spans="1:40" x14ac:dyDescent="0.2">
      <c r="A12">
        <v>36</v>
      </c>
      <c r="B12">
        <v>728</v>
      </c>
      <c r="C12">
        <v>290</v>
      </c>
      <c r="D12">
        <v>0.26393697248164799</v>
      </c>
      <c r="E12">
        <v>0.57348798355392305</v>
      </c>
      <c r="F12">
        <v>4.9391257601370304</v>
      </c>
      <c r="G12">
        <v>-3.8309368400487327</v>
      </c>
      <c r="H12">
        <v>-2.8255847614810738</v>
      </c>
      <c r="I12">
        <v>1.0041972517281701</v>
      </c>
      <c r="J12">
        <v>0.50844000315818705</v>
      </c>
      <c r="K12">
        <v>0.116111233324419</v>
      </c>
      <c r="L12">
        <v>3.568561568551089E-5</v>
      </c>
      <c r="M12">
        <v>4.1663717210661441E-7</v>
      </c>
      <c r="N12" s="1">
        <v>2.27766756588718E-9</v>
      </c>
      <c r="O12" s="1">
        <v>2.8188684354935399E-13</v>
      </c>
      <c r="P12">
        <v>0</v>
      </c>
      <c r="R12">
        <v>8.4432317629710791</v>
      </c>
      <c r="S12">
        <v>2.36951701660051</v>
      </c>
      <c r="T12">
        <v>50.345758789306302</v>
      </c>
      <c r="V12">
        <v>37.993529388615698</v>
      </c>
      <c r="X12">
        <v>0.84796304250633803</v>
      </c>
      <c r="AJ12">
        <v>0</v>
      </c>
      <c r="AK12">
        <v>4.9538625267224199E-3</v>
      </c>
      <c r="AL12">
        <v>0.709772656017435</v>
      </c>
      <c r="AM12">
        <v>4.7365763426733799E-2</v>
      </c>
      <c r="AN12">
        <v>0.23790771802910701</v>
      </c>
    </row>
    <row r="13" spans="1:40" x14ac:dyDescent="0.2">
      <c r="A13">
        <v>37</v>
      </c>
      <c r="B13">
        <v>726</v>
      </c>
      <c r="C13">
        <v>290</v>
      </c>
      <c r="D13">
        <v>0.26232347495371</v>
      </c>
      <c r="E13">
        <v>0.57594821018167897</v>
      </c>
      <c r="F13">
        <v>4.9391686316017802</v>
      </c>
      <c r="G13">
        <v>-3.8471176199812693</v>
      </c>
      <c r="H13">
        <v>-2.8404277021091886</v>
      </c>
      <c r="I13">
        <v>1.00754633225449</v>
      </c>
      <c r="J13">
        <v>0.51065892714524996</v>
      </c>
      <c r="K13">
        <v>0.11660833090343301</v>
      </c>
      <c r="L13">
        <v>3.5710524915887756E-5</v>
      </c>
      <c r="M13">
        <v>4.1732002020234251E-7</v>
      </c>
      <c r="N13" s="1">
        <v>2.2918272199877701E-9</v>
      </c>
      <c r="O13" s="1">
        <v>2.8370311088701499E-13</v>
      </c>
      <c r="P13">
        <v>0</v>
      </c>
      <c r="R13">
        <v>8.3273777516916603</v>
      </c>
      <c r="S13">
        <v>2.46460390556524</v>
      </c>
      <c r="T13">
        <v>50.453705928677003</v>
      </c>
      <c r="V13">
        <v>37.913514615080302</v>
      </c>
      <c r="X13">
        <v>0.84079779898566798</v>
      </c>
      <c r="AJ13">
        <v>0</v>
      </c>
      <c r="AK13">
        <v>7.4509875265059197E-3</v>
      </c>
      <c r="AL13">
        <v>0.711040703019447</v>
      </c>
      <c r="AM13">
        <v>4.6948768031697702E-2</v>
      </c>
      <c r="AN13">
        <v>0.234559541422349</v>
      </c>
    </row>
    <row r="14" spans="1:40" x14ac:dyDescent="0.2">
      <c r="A14">
        <v>38</v>
      </c>
      <c r="B14">
        <v>724</v>
      </c>
      <c r="C14">
        <v>290</v>
      </c>
      <c r="D14">
        <v>0.26070350498922301</v>
      </c>
      <c r="E14">
        <v>0.57637541931521397</v>
      </c>
      <c r="F14">
        <v>4.9392389820418803</v>
      </c>
      <c r="G14">
        <v>-3.8496001105753064</v>
      </c>
      <c r="H14">
        <v>-2.8451488807962568</v>
      </c>
      <c r="I14">
        <v>1.00732209775765</v>
      </c>
      <c r="J14">
        <v>0.51106992960583697</v>
      </c>
      <c r="K14">
        <v>0.116693162936801</v>
      </c>
      <c r="L14">
        <v>3.5732123638814914E-5</v>
      </c>
      <c r="M14">
        <v>4.1796628609150233E-7</v>
      </c>
      <c r="N14" s="1">
        <v>2.2977013941887101E-9</v>
      </c>
      <c r="O14" s="1">
        <v>2.8449368251824598E-13</v>
      </c>
      <c r="P14">
        <v>0</v>
      </c>
      <c r="R14">
        <v>8.2167462297184706</v>
      </c>
      <c r="S14">
        <v>2.5552309628064398</v>
      </c>
      <c r="T14">
        <v>50.556800566244497</v>
      </c>
      <c r="V14">
        <v>37.8376194551034</v>
      </c>
      <c r="X14">
        <v>0.83360278612714001</v>
      </c>
      <c r="AJ14">
        <v>0</v>
      </c>
      <c r="AK14">
        <v>9.8497829556903008E-3</v>
      </c>
      <c r="AL14">
        <v>0.71225352589061397</v>
      </c>
      <c r="AM14">
        <v>4.6531325778558501E-2</v>
      </c>
      <c r="AN14">
        <v>0.231365365375136</v>
      </c>
    </row>
    <row r="15" spans="1:40" x14ac:dyDescent="0.2">
      <c r="A15">
        <v>51</v>
      </c>
      <c r="B15">
        <v>736</v>
      </c>
      <c r="C15">
        <v>280</v>
      </c>
      <c r="D15">
        <v>0.281227270475152</v>
      </c>
      <c r="E15">
        <v>0.51807540807404295</v>
      </c>
      <c r="F15">
        <v>4.9381593796310597</v>
      </c>
      <c r="G15">
        <v>-3.4638856677658101</v>
      </c>
      <c r="H15">
        <v>-2.5448760808806994</v>
      </c>
      <c r="I15">
        <v>0.91067689331131196</v>
      </c>
      <c r="J15">
        <v>0.459216805776056</v>
      </c>
      <c r="K15">
        <v>0.104912654340603</v>
      </c>
      <c r="L15">
        <v>3.5579470831206413E-5</v>
      </c>
      <c r="M15">
        <v>4.1419413761444231E-7</v>
      </c>
      <c r="N15" s="1">
        <v>2.04142845120845E-9</v>
      </c>
      <c r="O15" s="1">
        <v>2.52329190382588E-13</v>
      </c>
      <c r="P15">
        <v>0</v>
      </c>
      <c r="R15">
        <v>8.9283446245880107</v>
      </c>
      <c r="S15">
        <v>1.9828382596649401</v>
      </c>
      <c r="T15">
        <v>49.886946589406897</v>
      </c>
      <c r="V15">
        <v>38.311519145030999</v>
      </c>
      <c r="X15">
        <v>0.89035138130900104</v>
      </c>
      <c r="AJ15">
        <v>0</v>
      </c>
      <c r="AK15">
        <v>-5.9598260374417204E-3</v>
      </c>
      <c r="AL15">
        <v>0.70424599460121495</v>
      </c>
      <c r="AM15">
        <v>4.9800091766696197E-2</v>
      </c>
      <c r="AN15">
        <v>0.25191373966952901</v>
      </c>
    </row>
    <row r="16" spans="1:40" x14ac:dyDescent="0.2">
      <c r="A16">
        <v>52</v>
      </c>
      <c r="B16">
        <v>734</v>
      </c>
      <c r="C16">
        <v>280</v>
      </c>
      <c r="D16">
        <v>0.27966092439060802</v>
      </c>
      <c r="E16">
        <v>0.55971836801879304</v>
      </c>
      <c r="F16">
        <v>4.9379462128027196</v>
      </c>
      <c r="G16">
        <v>-3.7431028974460085</v>
      </c>
      <c r="H16">
        <v>-2.7530442721164055</v>
      </c>
      <c r="I16">
        <v>0.98302996110768204</v>
      </c>
      <c r="J16">
        <v>0.49621102535568301</v>
      </c>
      <c r="K16">
        <v>0.113350438400401</v>
      </c>
      <c r="L16">
        <v>3.5628434490244603E-5</v>
      </c>
      <c r="M16">
        <v>4.1514762362146946E-7</v>
      </c>
      <c r="N16" s="1">
        <v>2.2113663670047601E-9</v>
      </c>
      <c r="O16" s="1">
        <v>2.7339976955633302E-13</v>
      </c>
      <c r="P16">
        <v>0</v>
      </c>
      <c r="R16">
        <v>8.77084819414201</v>
      </c>
      <c r="S16">
        <v>2.11551018841261</v>
      </c>
      <c r="T16">
        <v>50.031208294242802</v>
      </c>
      <c r="V16">
        <v>38.199006709275103</v>
      </c>
      <c r="X16">
        <v>0.88342661392739896</v>
      </c>
      <c r="AJ16">
        <v>0</v>
      </c>
      <c r="AK16">
        <v>-2.63775769370116E-3</v>
      </c>
      <c r="AL16">
        <v>0.70591112993311</v>
      </c>
      <c r="AM16">
        <v>4.9386785550347E-2</v>
      </c>
      <c r="AN16">
        <v>0.24733984221024299</v>
      </c>
    </row>
    <row r="17" spans="1:40" x14ac:dyDescent="0.2">
      <c r="A17">
        <v>53</v>
      </c>
      <c r="B17">
        <v>732</v>
      </c>
      <c r="C17">
        <v>280</v>
      </c>
      <c r="D17">
        <v>0.27808834502313201</v>
      </c>
      <c r="E17">
        <v>0.57541591018107296</v>
      </c>
      <c r="F17">
        <v>4.93787242677897</v>
      </c>
      <c r="G17">
        <v>-3.8483176573473115</v>
      </c>
      <c r="H17">
        <v>-2.8334314490483421</v>
      </c>
      <c r="I17">
        <v>1.0096863237317499</v>
      </c>
      <c r="J17">
        <v>0.510187996097337</v>
      </c>
      <c r="K17">
        <v>0.116531141440692</v>
      </c>
      <c r="L17">
        <v>3.5666446121202189E-5</v>
      </c>
      <c r="M17">
        <v>4.1597698733181534E-7</v>
      </c>
      <c r="N17" s="1">
        <v>2.2786407907322301E-9</v>
      </c>
      <c r="O17" s="1">
        <v>2.8178315833275399E-13</v>
      </c>
      <c r="P17">
        <v>0</v>
      </c>
      <c r="R17">
        <v>8.6337422876244503</v>
      </c>
      <c r="S17">
        <v>2.2289817041779698</v>
      </c>
      <c r="T17">
        <v>50.158619291298002</v>
      </c>
      <c r="V17">
        <v>38.102282964466703</v>
      </c>
      <c r="X17">
        <v>0.87637375243271798</v>
      </c>
      <c r="AJ17">
        <v>0</v>
      </c>
      <c r="AK17">
        <v>2.6392680345340699E-4</v>
      </c>
      <c r="AL17">
        <v>0.70739841993927599</v>
      </c>
      <c r="AM17">
        <v>4.8971016377415202E-2</v>
      </c>
      <c r="AN17">
        <v>0.24336663687985399</v>
      </c>
    </row>
    <row r="18" spans="1:40" x14ac:dyDescent="0.2">
      <c r="A18">
        <v>54</v>
      </c>
      <c r="B18">
        <v>730</v>
      </c>
      <c r="C18">
        <v>280</v>
      </c>
      <c r="D18">
        <v>0.27650949509046802</v>
      </c>
      <c r="E18">
        <v>0.58246570283689203</v>
      </c>
      <c r="F18">
        <v>4.9378731876816397</v>
      </c>
      <c r="G18">
        <v>-3.8953930131382921</v>
      </c>
      <c r="H18">
        <v>-2.8710692369619601</v>
      </c>
      <c r="I18">
        <v>1.02110728821844</v>
      </c>
      <c r="J18">
        <v>0.516486323632244</v>
      </c>
      <c r="K18">
        <v>0.117958821682572</v>
      </c>
      <c r="L18">
        <v>3.5697874785630849E-5</v>
      </c>
      <c r="M18">
        <v>4.1673238531104121E-7</v>
      </c>
      <c r="N18" s="1">
        <v>2.3114251155799202E-9</v>
      </c>
      <c r="O18" s="1">
        <v>2.8590323207797601E-13</v>
      </c>
      <c r="P18">
        <v>0</v>
      </c>
      <c r="R18">
        <v>8.5083162202199407</v>
      </c>
      <c r="S18">
        <v>2.3317407900115099</v>
      </c>
      <c r="T18">
        <v>50.276045843553703</v>
      </c>
      <c r="V18">
        <v>38.014642841041002</v>
      </c>
      <c r="X18">
        <v>0.86925430517371405</v>
      </c>
      <c r="AJ18">
        <v>0</v>
      </c>
      <c r="AK18">
        <v>2.9304091935642299E-3</v>
      </c>
      <c r="AL18">
        <v>0.70877780651015698</v>
      </c>
      <c r="AM18">
        <v>4.8554232179251297E-2</v>
      </c>
      <c r="AN18">
        <v>0.23973755211702599</v>
      </c>
    </row>
    <row r="19" spans="1:40" x14ac:dyDescent="0.2">
      <c r="A19">
        <v>55</v>
      </c>
      <c r="B19">
        <v>728</v>
      </c>
      <c r="C19">
        <v>280</v>
      </c>
      <c r="D19">
        <v>0.27492433701243602</v>
      </c>
      <c r="E19">
        <v>0.58548536182585897</v>
      </c>
      <c r="F19">
        <v>4.9379196528145899</v>
      </c>
      <c r="G19">
        <v>-3.9153193762652023</v>
      </c>
      <c r="H19">
        <v>-2.8887106638368731</v>
      </c>
      <c r="I19">
        <v>1.0254294685395</v>
      </c>
      <c r="J19">
        <v>0.51920307732663395</v>
      </c>
      <c r="K19">
        <v>0.11856923623537099</v>
      </c>
      <c r="L19">
        <v>3.5724667390226341E-5</v>
      </c>
      <c r="M19">
        <v>4.1743608928499303E-7</v>
      </c>
      <c r="N19" s="1">
        <v>2.3279852776509101E-9</v>
      </c>
      <c r="O19" s="1">
        <v>2.8801711176086098E-13</v>
      </c>
      <c r="P19">
        <v>0</v>
      </c>
      <c r="R19">
        <v>8.3906726166974401</v>
      </c>
      <c r="S19">
        <v>2.4275879748755602</v>
      </c>
      <c r="T19">
        <v>50.386553850414202</v>
      </c>
      <c r="V19">
        <v>37.933095228679399</v>
      </c>
      <c r="X19">
        <v>0.86209032933333596</v>
      </c>
      <c r="AJ19">
        <v>0</v>
      </c>
      <c r="AK19">
        <v>5.4449108257339004E-3</v>
      </c>
      <c r="AL19">
        <v>0.71008052701684099</v>
      </c>
      <c r="AM19">
        <v>4.8136772017911798E-2</v>
      </c>
      <c r="AN19">
        <v>0.23633779013951201</v>
      </c>
    </row>
    <row r="20" spans="1:40" x14ac:dyDescent="0.2">
      <c r="A20">
        <v>56</v>
      </c>
      <c r="B20">
        <v>726</v>
      </c>
      <c r="C20">
        <v>280</v>
      </c>
      <c r="D20">
        <v>0.273332832907971</v>
      </c>
      <c r="E20">
        <v>0.58626500236325996</v>
      </c>
      <c r="F20">
        <v>4.9379959388157202</v>
      </c>
      <c r="G20">
        <v>-3.9201352177159476</v>
      </c>
      <c r="H20">
        <v>-2.895197897974382</v>
      </c>
      <c r="I20">
        <v>1.02580925761053</v>
      </c>
      <c r="J20">
        <v>0.51992754299744903</v>
      </c>
      <c r="K20">
        <v>0.11872529050800699</v>
      </c>
      <c r="L20">
        <v>3.5747883467333411E-5</v>
      </c>
      <c r="M20">
        <v>4.1810018852884673E-7</v>
      </c>
      <c r="N20" s="1">
        <v>2.3354289169153399E-9</v>
      </c>
      <c r="O20" s="1">
        <v>2.8900311624379902E-13</v>
      </c>
      <c r="P20">
        <v>0</v>
      </c>
      <c r="R20">
        <v>8.27867695549023</v>
      </c>
      <c r="S20">
        <v>2.51861257120113</v>
      </c>
      <c r="T20">
        <v>50.4918127438631</v>
      </c>
      <c r="V20">
        <v>37.856004746092502</v>
      </c>
      <c r="X20">
        <v>0.85489298335298802</v>
      </c>
      <c r="AJ20">
        <v>0</v>
      </c>
      <c r="AK20">
        <v>7.8532306568999104E-3</v>
      </c>
      <c r="AL20">
        <v>0.71132353437842499</v>
      </c>
      <c r="AM20">
        <v>4.7718766735828901E-2</v>
      </c>
      <c r="AN20">
        <v>0.23310446822884501</v>
      </c>
    </row>
    <row r="21" spans="1:40" x14ac:dyDescent="0.2">
      <c r="A21">
        <v>68</v>
      </c>
      <c r="B21">
        <v>738</v>
      </c>
      <c r="C21">
        <v>270</v>
      </c>
      <c r="D21">
        <v>0.29366612273154402</v>
      </c>
      <c r="E21">
        <v>0.51448690119014695</v>
      </c>
      <c r="F21">
        <v>4.9356155205479899</v>
      </c>
      <c r="G21">
        <v>-3.4477871238539874</v>
      </c>
      <c r="H21">
        <v>-2.532005152567713</v>
      </c>
      <c r="I21">
        <v>0.90568359915568797</v>
      </c>
      <c r="J21">
        <v>0.45612160531570101</v>
      </c>
      <c r="K21">
        <v>0.10423966353299401</v>
      </c>
      <c r="L21">
        <v>3.5390095517748636E-5</v>
      </c>
      <c r="M21">
        <v>4.1204033621892999E-7</v>
      </c>
      <c r="N21" s="1">
        <v>2.01431750779891E-9</v>
      </c>
      <c r="O21" s="1">
        <v>2.4875491228332602E-13</v>
      </c>
      <c r="P21">
        <v>0</v>
      </c>
      <c r="R21">
        <v>9.1639148846023506</v>
      </c>
      <c r="S21">
        <v>1.91858422865679</v>
      </c>
      <c r="T21">
        <v>49.523319825969097</v>
      </c>
      <c r="V21">
        <v>38.475113180059502</v>
      </c>
      <c r="X21">
        <v>0.91906788071220902</v>
      </c>
      <c r="AJ21">
        <v>0</v>
      </c>
      <c r="AK21">
        <v>-8.9858423079296097E-3</v>
      </c>
      <c r="AL21">
        <v>0.69904791825067802</v>
      </c>
      <c r="AM21">
        <v>5.1401527959496998E-2</v>
      </c>
      <c r="AN21">
        <v>0.25853639609775397</v>
      </c>
    </row>
    <row r="22" spans="1:40" x14ac:dyDescent="0.2">
      <c r="A22">
        <v>69</v>
      </c>
      <c r="B22">
        <v>736</v>
      </c>
      <c r="C22">
        <v>270</v>
      </c>
      <c r="D22">
        <v>0.29212753307238798</v>
      </c>
      <c r="E22">
        <v>0.56396835760449204</v>
      </c>
      <c r="F22">
        <v>4.93668734006443</v>
      </c>
      <c r="G22">
        <v>-3.7758629708276579</v>
      </c>
      <c r="H22">
        <v>-2.775154600957459</v>
      </c>
      <c r="I22">
        <v>0.991634910439675</v>
      </c>
      <c r="J22">
        <v>0.50005890790015795</v>
      </c>
      <c r="K22">
        <v>0.114240242242509</v>
      </c>
      <c r="L22">
        <v>3.5634145250669956E-5</v>
      </c>
      <c r="M22">
        <v>4.1517132363848852E-7</v>
      </c>
      <c r="N22" s="1">
        <v>2.2259191664218801E-9</v>
      </c>
      <c r="O22" s="1">
        <v>2.7503971257107199E-13</v>
      </c>
      <c r="P22">
        <v>0</v>
      </c>
      <c r="R22">
        <v>8.8434428923954602</v>
      </c>
      <c r="S22">
        <v>2.0735627073415501</v>
      </c>
      <c r="T22">
        <v>49.952022180594803</v>
      </c>
      <c r="V22">
        <v>38.226035558753502</v>
      </c>
      <c r="X22">
        <v>0.90493666091464198</v>
      </c>
      <c r="AJ22">
        <v>0</v>
      </c>
      <c r="AK22">
        <v>-4.7671991137408698E-3</v>
      </c>
      <c r="AL22">
        <v>0.70479177987851505</v>
      </c>
      <c r="AM22">
        <v>5.0589126696063101E-2</v>
      </c>
      <c r="AN22">
        <v>0.249386292539162</v>
      </c>
    </row>
    <row r="23" spans="1:40" x14ac:dyDescent="0.2">
      <c r="A23">
        <v>70</v>
      </c>
      <c r="B23">
        <v>734</v>
      </c>
      <c r="C23">
        <v>270</v>
      </c>
      <c r="D23">
        <v>0.29058283274586499</v>
      </c>
      <c r="E23">
        <v>0.58280699006502601</v>
      </c>
      <c r="F23">
        <v>4.9366033969793399</v>
      </c>
      <c r="G23">
        <v>-3.9022791356632918</v>
      </c>
      <c r="H23">
        <v>-2.8711171988232116</v>
      </c>
      <c r="I23">
        <v>1.0238414703272301</v>
      </c>
      <c r="J23">
        <v>0.51682751997269005</v>
      </c>
      <c r="K23">
        <v>0.11805829701078201</v>
      </c>
      <c r="L23">
        <v>3.56756116302137E-5</v>
      </c>
      <c r="M23">
        <v>4.1603945371414252E-7</v>
      </c>
      <c r="N23" s="1">
        <v>2.3058189813485598E-9</v>
      </c>
      <c r="O23" s="1">
        <v>2.8498005726718602E-13</v>
      </c>
      <c r="P23">
        <v>0</v>
      </c>
      <c r="R23">
        <v>8.7020082357636106</v>
      </c>
      <c r="S23">
        <v>2.1899582164017302</v>
      </c>
      <c r="T23">
        <v>50.084359479007396</v>
      </c>
      <c r="V23">
        <v>38.125773257974302</v>
      </c>
      <c r="X23">
        <v>0.89790081085281603</v>
      </c>
      <c r="AJ23">
        <v>0</v>
      </c>
      <c r="AK23">
        <v>-1.80093154348407E-3</v>
      </c>
      <c r="AL23">
        <v>0.70634052491963595</v>
      </c>
      <c r="AM23">
        <v>5.0173177629611897E-2</v>
      </c>
      <c r="AN23">
        <v>0.245287228994235</v>
      </c>
    </row>
    <row r="24" spans="1:40" x14ac:dyDescent="0.2">
      <c r="A24">
        <v>71</v>
      </c>
      <c r="B24">
        <v>732</v>
      </c>
      <c r="C24">
        <v>270</v>
      </c>
      <c r="D24">
        <v>0.28903198527583002</v>
      </c>
      <c r="E24">
        <v>0.59107318942020703</v>
      </c>
      <c r="F24">
        <v>4.9366030996692603</v>
      </c>
      <c r="G24">
        <v>-3.9575621406970818</v>
      </c>
      <c r="H24">
        <v>-2.9148152366273421</v>
      </c>
      <c r="I24">
        <v>1.0374042720685801</v>
      </c>
      <c r="J24">
        <v>0.52420805751739297</v>
      </c>
      <c r="K24">
        <v>0.119732775247782</v>
      </c>
      <c r="L24">
        <v>3.5709528667165464E-5</v>
      </c>
      <c r="M24">
        <v>4.1682258718142399E-7</v>
      </c>
      <c r="N24" s="1">
        <v>2.3436209372891801E-9</v>
      </c>
      <c r="O24" s="1">
        <v>2.8971965815276502E-13</v>
      </c>
      <c r="P24">
        <v>0</v>
      </c>
      <c r="R24">
        <v>8.5738599336498602</v>
      </c>
      <c r="S24">
        <v>2.2942457599088901</v>
      </c>
      <c r="T24">
        <v>50.205247236858803</v>
      </c>
      <c r="V24">
        <v>38.035858166648502</v>
      </c>
      <c r="X24">
        <v>0.89078890293386304</v>
      </c>
      <c r="AJ24">
        <v>0</v>
      </c>
      <c r="AK24">
        <v>8.9963800846082104E-4</v>
      </c>
      <c r="AL24">
        <v>0.70776496522101595</v>
      </c>
      <c r="AM24">
        <v>4.9756061128397103E-2</v>
      </c>
      <c r="AN24">
        <v>0.241579335642125</v>
      </c>
    </row>
    <row r="25" spans="1:40" x14ac:dyDescent="0.2">
      <c r="A25">
        <v>72</v>
      </c>
      <c r="B25">
        <v>730</v>
      </c>
      <c r="C25">
        <v>270</v>
      </c>
      <c r="D25">
        <v>0.28747495389523398</v>
      </c>
      <c r="E25">
        <v>0.59471019881476705</v>
      </c>
      <c r="F25">
        <v>4.9366528780819801</v>
      </c>
      <c r="G25">
        <v>-3.9816318254905143</v>
      </c>
      <c r="H25">
        <v>-2.9355428005419135</v>
      </c>
      <c r="I25">
        <v>1.0428041917446</v>
      </c>
      <c r="J25">
        <v>0.52747428740861202</v>
      </c>
      <c r="K25">
        <v>0.120468303828934</v>
      </c>
      <c r="L25">
        <v>3.5738307962011621E-5</v>
      </c>
      <c r="M25">
        <v>4.1754831241945135E-7</v>
      </c>
      <c r="N25" s="1">
        <v>2.3628154579903998E-9</v>
      </c>
      <c r="O25" s="1">
        <v>2.92159724726566E-13</v>
      </c>
      <c r="P25">
        <v>0</v>
      </c>
      <c r="R25">
        <v>8.4543018038636504</v>
      </c>
      <c r="S25">
        <v>2.3909337873347898</v>
      </c>
      <c r="T25">
        <v>50.318462994183101</v>
      </c>
      <c r="V25">
        <v>37.952674389176899</v>
      </c>
      <c r="X25">
        <v>0.88362702544143701</v>
      </c>
      <c r="AJ25">
        <v>0</v>
      </c>
      <c r="AK25">
        <v>3.4332487592805298E-3</v>
      </c>
      <c r="AL25">
        <v>0.70910420092073601</v>
      </c>
      <c r="AM25">
        <v>4.9338157294631597E-2</v>
      </c>
      <c r="AN25">
        <v>0.23812439302535099</v>
      </c>
    </row>
    <row r="26" spans="1:40" x14ac:dyDescent="0.2">
      <c r="A26">
        <v>73</v>
      </c>
      <c r="B26">
        <v>728</v>
      </c>
      <c r="C26">
        <v>270</v>
      </c>
      <c r="D26">
        <v>0.28591170154322698</v>
      </c>
      <c r="E26">
        <v>0.595865059108317</v>
      </c>
      <c r="F26">
        <v>4.9367349825445004</v>
      </c>
      <c r="G26">
        <v>-3.9889390764227728</v>
      </c>
      <c r="H26">
        <v>-2.9439086701706221</v>
      </c>
      <c r="I26">
        <v>1.0438300017501301</v>
      </c>
      <c r="J26">
        <v>0.52853258834833805</v>
      </c>
      <c r="K26">
        <v>0.120700232282105</v>
      </c>
      <c r="L26">
        <v>3.576320893282646E-5</v>
      </c>
      <c r="M26">
        <v>4.1823100413730504E-7</v>
      </c>
      <c r="N26" s="1">
        <v>2.3719223665519301E-9</v>
      </c>
      <c r="O26" s="1">
        <v>2.9335254587453799E-13</v>
      </c>
      <c r="P26">
        <v>0</v>
      </c>
      <c r="R26">
        <v>8.3408665507137503</v>
      </c>
      <c r="S26">
        <v>2.4824001735360399</v>
      </c>
      <c r="T26">
        <v>50.425980157937801</v>
      </c>
      <c r="V26">
        <v>37.874325011982101</v>
      </c>
      <c r="X26">
        <v>0.87642810583012598</v>
      </c>
      <c r="AJ26">
        <v>0</v>
      </c>
      <c r="AK26">
        <v>5.8520207544913898E-3</v>
      </c>
      <c r="AL26">
        <v>0.71037859253869096</v>
      </c>
      <c r="AM26">
        <v>4.8919617966554099E-2</v>
      </c>
      <c r="AN26">
        <v>0.234849768740263</v>
      </c>
    </row>
    <row r="27" spans="1:40" x14ac:dyDescent="0.2">
      <c r="A27">
        <v>84</v>
      </c>
      <c r="B27">
        <v>740</v>
      </c>
      <c r="C27">
        <v>260</v>
      </c>
      <c r="D27">
        <v>0.30605586537038199</v>
      </c>
      <c r="E27">
        <v>0.47419502369014899</v>
      </c>
      <c r="F27">
        <v>4.9389916310703699</v>
      </c>
      <c r="G27">
        <v>-3.1681250613590612</v>
      </c>
      <c r="H27">
        <v>-2.3223790884162003</v>
      </c>
      <c r="I27">
        <v>0.83476876370020303</v>
      </c>
      <c r="J27">
        <v>0.42039041724374798</v>
      </c>
      <c r="K27">
        <v>9.6010493459245297E-2</v>
      </c>
      <c r="L27">
        <v>3.6051931355909229E-5</v>
      </c>
      <c r="M27">
        <v>4.193829196432483E-7</v>
      </c>
      <c r="N27" s="1">
        <v>1.8884602590885899E-9</v>
      </c>
      <c r="O27" s="1">
        <v>2.3332865358151702E-13</v>
      </c>
      <c r="P27">
        <v>0</v>
      </c>
      <c r="R27">
        <v>8.7064879783770497</v>
      </c>
      <c r="S27">
        <v>1.9228657788794701</v>
      </c>
      <c r="T27">
        <v>50.3991822023618</v>
      </c>
      <c r="V27">
        <v>38.056054852983799</v>
      </c>
      <c r="X27">
        <v>0.915409187397764</v>
      </c>
      <c r="AJ27">
        <v>0</v>
      </c>
      <c r="AK27">
        <v>-8.6904501006104095E-3</v>
      </c>
      <c r="AL27">
        <v>0.71172947369485196</v>
      </c>
      <c r="AM27">
        <v>5.1219811047195203E-2</v>
      </c>
      <c r="AN27">
        <v>0.245741165358562</v>
      </c>
    </row>
    <row r="28" spans="1:40" x14ac:dyDescent="0.2">
      <c r="A28">
        <v>85</v>
      </c>
      <c r="B28">
        <v>738</v>
      </c>
      <c r="C28">
        <v>260</v>
      </c>
      <c r="D28">
        <v>0.30454482519902998</v>
      </c>
      <c r="E28">
        <v>0.56687250412112</v>
      </c>
      <c r="F28">
        <v>4.9354088366479498</v>
      </c>
      <c r="G28">
        <v>-3.7997260627113119</v>
      </c>
      <c r="H28">
        <v>-2.7907113273639661</v>
      </c>
      <c r="I28">
        <v>0.99788828101403804</v>
      </c>
      <c r="J28">
        <v>0.50271541520633301</v>
      </c>
      <c r="K28">
        <v>0.11485826663675699</v>
      </c>
      <c r="L28">
        <v>3.5638698153588428E-5</v>
      </c>
      <c r="M28">
        <v>4.1518379090465895E-7</v>
      </c>
      <c r="N28" s="1">
        <v>2.2350644314395999E-9</v>
      </c>
      <c r="O28" s="1">
        <v>2.7600750948480699E-13</v>
      </c>
      <c r="P28">
        <v>0</v>
      </c>
      <c r="R28">
        <v>8.9169747809004107</v>
      </c>
      <c r="S28">
        <v>2.0317675462624201</v>
      </c>
      <c r="T28">
        <v>49.8709811644122</v>
      </c>
      <c r="V28">
        <v>38.253583333178902</v>
      </c>
      <c r="X28">
        <v>0.92669317524598505</v>
      </c>
      <c r="AJ28">
        <v>0</v>
      </c>
      <c r="AK28">
        <v>-6.9070153012772703E-3</v>
      </c>
      <c r="AL28">
        <v>0.70364371544026105</v>
      </c>
      <c r="AM28">
        <v>5.18050513824364E-2</v>
      </c>
      <c r="AN28">
        <v>0.25145824847857901</v>
      </c>
    </row>
    <row r="29" spans="1:40" x14ac:dyDescent="0.2">
      <c r="A29">
        <v>86</v>
      </c>
      <c r="B29">
        <v>736</v>
      </c>
      <c r="C29">
        <v>260</v>
      </c>
      <c r="D29">
        <v>0.30302779566962401</v>
      </c>
      <c r="E29">
        <v>0.58967686430893995</v>
      </c>
      <c r="F29">
        <v>4.9353129843383599</v>
      </c>
      <c r="G29">
        <v>-3.9529305466737727</v>
      </c>
      <c r="H29">
        <v>-2.9063300299502624</v>
      </c>
      <c r="I29">
        <v>1.03711095151712</v>
      </c>
      <c r="J29">
        <v>0.52300842013567606</v>
      </c>
      <c r="K29">
        <v>0.119481148648568</v>
      </c>
      <c r="L29">
        <v>3.568400932354723E-5</v>
      </c>
      <c r="M29">
        <v>4.1609510268370895E-7</v>
      </c>
      <c r="N29" s="1">
        <v>2.3308401818539899E-9</v>
      </c>
      <c r="O29" s="1">
        <v>2.8790439440224598E-13</v>
      </c>
      <c r="P29">
        <v>0</v>
      </c>
      <c r="R29">
        <v>8.7706738686139207</v>
      </c>
      <c r="S29">
        <v>2.1514797732581901</v>
      </c>
      <c r="T29">
        <v>50.008820509402597</v>
      </c>
      <c r="V29">
        <v>38.149351438604398</v>
      </c>
      <c r="X29">
        <v>0.91967441012078699</v>
      </c>
      <c r="AJ29">
        <v>0</v>
      </c>
      <c r="AK29">
        <v>-3.86744480398513E-3</v>
      </c>
      <c r="AL29">
        <v>0.70526090866128599</v>
      </c>
      <c r="AM29">
        <v>5.1388808340876897E-2</v>
      </c>
      <c r="AN29">
        <v>0.247217727801822</v>
      </c>
    </row>
    <row r="30" spans="1:40" x14ac:dyDescent="0.2">
      <c r="A30">
        <v>87</v>
      </c>
      <c r="B30">
        <v>734</v>
      </c>
      <c r="C30">
        <v>260</v>
      </c>
      <c r="D30">
        <v>0.30150474110112602</v>
      </c>
      <c r="E30">
        <v>0.59934114343755596</v>
      </c>
      <c r="F30">
        <v>4.9353111868793196</v>
      </c>
      <c r="G30">
        <v>-4.0176614649262694</v>
      </c>
      <c r="H30">
        <v>-2.9569906004455082</v>
      </c>
      <c r="I30">
        <v>1.05314090699574</v>
      </c>
      <c r="J30">
        <v>0.53163288665504804</v>
      </c>
      <c r="K30">
        <v>0.121439382592717</v>
      </c>
      <c r="L30">
        <v>3.5720593364525005E-5</v>
      </c>
      <c r="M30">
        <v>4.1690798472309671E-7</v>
      </c>
      <c r="N30" s="1">
        <v>2.3743819765644699E-9</v>
      </c>
      <c r="O30" s="1">
        <v>2.9335201836216999E-13</v>
      </c>
      <c r="P30">
        <v>0</v>
      </c>
      <c r="R30">
        <v>8.6395827340796902</v>
      </c>
      <c r="S30">
        <v>2.2574387183231002</v>
      </c>
      <c r="T30">
        <v>50.133427256158697</v>
      </c>
      <c r="V30">
        <v>38.056981120190898</v>
      </c>
      <c r="X30">
        <v>0.91257017124752604</v>
      </c>
      <c r="AJ30">
        <v>0</v>
      </c>
      <c r="AK30">
        <v>-1.1296296784008299E-3</v>
      </c>
      <c r="AL30">
        <v>0.70673364208524403</v>
      </c>
      <c r="AM30">
        <v>5.0971320253012001E-2</v>
      </c>
      <c r="AN30">
        <v>0.24342466734014401</v>
      </c>
    </row>
    <row r="31" spans="1:40" x14ac:dyDescent="0.2">
      <c r="A31">
        <v>88</v>
      </c>
      <c r="B31">
        <v>732</v>
      </c>
      <c r="C31">
        <v>260</v>
      </c>
      <c r="D31">
        <v>0.29997562552852802</v>
      </c>
      <c r="E31">
        <v>0.603650033377229</v>
      </c>
      <c r="F31">
        <v>4.9353641919415496</v>
      </c>
      <c r="G31">
        <v>-4.0462504172214828</v>
      </c>
      <c r="H31">
        <v>-2.9810753610696796</v>
      </c>
      <c r="I31">
        <v>1.0597175109703001</v>
      </c>
      <c r="J31">
        <v>0.53549724868902904</v>
      </c>
      <c r="K31">
        <v>0.12231114258252</v>
      </c>
      <c r="L31">
        <v>3.5751458908812545E-5</v>
      </c>
      <c r="M31">
        <v>4.1765684698423713E-7</v>
      </c>
      <c r="N31" s="1">
        <v>2.3964306293519998E-9</v>
      </c>
      <c r="O31" s="1">
        <v>2.96145059624656E-13</v>
      </c>
      <c r="P31">
        <v>0</v>
      </c>
      <c r="R31">
        <v>8.5179992540113307</v>
      </c>
      <c r="S31">
        <v>2.3550300473621002</v>
      </c>
      <c r="T31">
        <v>50.249491308640501</v>
      </c>
      <c r="V31">
        <v>37.972068853293003</v>
      </c>
      <c r="X31">
        <v>0.90541053669292904</v>
      </c>
      <c r="AJ31">
        <v>0</v>
      </c>
      <c r="AK31">
        <v>1.42445529578279E-3</v>
      </c>
      <c r="AL31">
        <v>0.70811120786325099</v>
      </c>
      <c r="AM31">
        <v>5.0552959655067599E-2</v>
      </c>
      <c r="AN31">
        <v>0.239911377185898</v>
      </c>
    </row>
    <row r="32" spans="1:40" x14ac:dyDescent="0.2">
      <c r="A32">
        <v>89</v>
      </c>
      <c r="B32">
        <v>730</v>
      </c>
      <c r="C32">
        <v>260</v>
      </c>
      <c r="D32">
        <v>0.29844041269999899</v>
      </c>
      <c r="E32">
        <v>0.60519825198949195</v>
      </c>
      <c r="F32">
        <v>4.9354521421394804</v>
      </c>
      <c r="G32">
        <v>-4.0561760894771117</v>
      </c>
      <c r="H32">
        <v>-2.991409373363711</v>
      </c>
      <c r="I32">
        <v>1.06142323292967</v>
      </c>
      <c r="J32">
        <v>0.53690563007667003</v>
      </c>
      <c r="K32">
        <v>0.122622656356493</v>
      </c>
      <c r="L32">
        <v>3.5778106812305998E-5</v>
      </c>
      <c r="M32">
        <v>4.1835882182711423E-7</v>
      </c>
      <c r="N32" s="1">
        <v>2.4072756980090799E-9</v>
      </c>
      <c r="O32" s="1">
        <v>2.9755372683433799E-13</v>
      </c>
      <c r="P32">
        <v>0</v>
      </c>
      <c r="R32">
        <v>8.4030621964611196</v>
      </c>
      <c r="S32">
        <v>2.4469676634585098</v>
      </c>
      <c r="T32">
        <v>50.359352298090997</v>
      </c>
      <c r="V32">
        <v>37.892407626722601</v>
      </c>
      <c r="X32">
        <v>0.89821021526662204</v>
      </c>
      <c r="AJ32">
        <v>0</v>
      </c>
      <c r="AK32">
        <v>3.8543069069449602E-3</v>
      </c>
      <c r="AL32">
        <v>0.70941811399311105</v>
      </c>
      <c r="AM32">
        <v>5.0133886242776697E-2</v>
      </c>
      <c r="AN32">
        <v>0.236593692857166</v>
      </c>
    </row>
    <row r="33" spans="1:40" x14ac:dyDescent="0.2">
      <c r="A33">
        <v>90</v>
      </c>
      <c r="B33">
        <v>728</v>
      </c>
      <c r="C33">
        <v>260</v>
      </c>
      <c r="D33">
        <v>0.29689906607401501</v>
      </c>
      <c r="E33">
        <v>0.60511362983886496</v>
      </c>
      <c r="F33">
        <v>4.9355632830673999</v>
      </c>
      <c r="G33">
        <v>-4.0550521943599591</v>
      </c>
      <c r="H33">
        <v>-2.9935815796880672</v>
      </c>
      <c r="I33">
        <v>1.06025132564739</v>
      </c>
      <c r="J33">
        <v>0.536860216453662</v>
      </c>
      <c r="K33">
        <v>0.122602749703331</v>
      </c>
      <c r="L33">
        <v>3.5801408407185307E-5</v>
      </c>
      <c r="M33">
        <v>4.1902383523959205E-7</v>
      </c>
      <c r="N33" s="1">
        <v>2.4114089496694799E-9</v>
      </c>
      <c r="O33" s="1">
        <v>2.9813253259421102E-13</v>
      </c>
      <c r="P33">
        <v>0</v>
      </c>
      <c r="R33">
        <v>8.2930981751448005</v>
      </c>
      <c r="S33">
        <v>2.53484760066732</v>
      </c>
      <c r="T33">
        <v>50.464368235268601</v>
      </c>
      <c r="V33">
        <v>37.8167081001803</v>
      </c>
      <c r="X33">
        <v>0.89097788873885597</v>
      </c>
      <c r="AJ33">
        <v>0</v>
      </c>
      <c r="AK33">
        <v>6.1949074168737399E-3</v>
      </c>
      <c r="AL33">
        <v>0.71066851911137097</v>
      </c>
      <c r="AM33">
        <v>4.9714194491025897E-2</v>
      </c>
      <c r="AN33">
        <v>0.23342237898072901</v>
      </c>
    </row>
    <row r="34" spans="1:40" x14ac:dyDescent="0.2">
      <c r="A34">
        <v>100</v>
      </c>
      <c r="B34">
        <v>742</v>
      </c>
      <c r="C34">
        <v>250</v>
      </c>
      <c r="D34">
        <v>0.318396788651924</v>
      </c>
      <c r="E34">
        <v>0.41306184615959801</v>
      </c>
      <c r="F34">
        <v>4.9430964663887398</v>
      </c>
      <c r="G34">
        <v>-2.7491815968375244</v>
      </c>
      <c r="H34">
        <v>-2.0111716607816703</v>
      </c>
      <c r="I34">
        <v>0.72699594745195695</v>
      </c>
      <c r="J34">
        <v>0.36615650990492599</v>
      </c>
      <c r="K34">
        <v>8.3563379547267294E-2</v>
      </c>
      <c r="L34">
        <v>3.6837403442610164E-5</v>
      </c>
      <c r="M34">
        <v>4.2810157999761527E-7</v>
      </c>
      <c r="N34" s="1">
        <v>1.6782328214919301E-9</v>
      </c>
      <c r="O34" s="1">
        <v>2.0749045458735101E-13</v>
      </c>
      <c r="P34">
        <v>0</v>
      </c>
      <c r="R34">
        <v>8.1510397810779605</v>
      </c>
      <c r="S34">
        <v>1.93638239438032</v>
      </c>
      <c r="T34">
        <v>51.451192737545199</v>
      </c>
      <c r="V34">
        <v>37.553679510636798</v>
      </c>
      <c r="X34">
        <v>0.90770557635953097</v>
      </c>
      <c r="AJ34">
        <v>0</v>
      </c>
      <c r="AK34">
        <v>-7.9646139286389094E-3</v>
      </c>
      <c r="AL34">
        <v>0.72696547866513805</v>
      </c>
      <c r="AM34">
        <v>5.0815311036804103E-2</v>
      </c>
      <c r="AN34">
        <v>0.230183824226696</v>
      </c>
    </row>
    <row r="35" spans="1:40" x14ac:dyDescent="0.2">
      <c r="A35">
        <v>101</v>
      </c>
      <c r="B35">
        <v>740</v>
      </c>
      <c r="C35">
        <v>250</v>
      </c>
      <c r="D35">
        <v>0.31691309282929903</v>
      </c>
      <c r="E35">
        <v>0.58156749495744997</v>
      </c>
      <c r="F35">
        <v>4.9310736811073896</v>
      </c>
      <c r="G35">
        <v>-3.9133915026300903</v>
      </c>
      <c r="H35">
        <v>-2.8742295662831046</v>
      </c>
      <c r="I35">
        <v>1.0256743190514499</v>
      </c>
      <c r="J35">
        <v>0.51587964877075299</v>
      </c>
      <c r="K35">
        <v>0.11793932367825501</v>
      </c>
      <c r="L35">
        <v>3.5210990875149574E-5</v>
      </c>
      <c r="M35">
        <v>4.1037967986206296E-7</v>
      </c>
      <c r="N35" s="1">
        <v>2.2632968904030002E-9</v>
      </c>
      <c r="O35" s="1">
        <v>2.79118103566524E-13</v>
      </c>
      <c r="P35">
        <v>0</v>
      </c>
      <c r="R35">
        <v>9.3439818371499204</v>
      </c>
      <c r="S35">
        <v>1.9546356462650101</v>
      </c>
      <c r="T35">
        <v>49.1586884452799</v>
      </c>
      <c r="V35">
        <v>38.576757150648199</v>
      </c>
      <c r="X35">
        <v>0.96593692065685</v>
      </c>
      <c r="AJ35">
        <v>0</v>
      </c>
      <c r="AK35">
        <v>-1.08022235737095E-2</v>
      </c>
      <c r="AL35">
        <v>0.69339464974379295</v>
      </c>
      <c r="AM35">
        <v>5.3983396879857502E-2</v>
      </c>
      <c r="AN35">
        <v>0.26342417695005799</v>
      </c>
    </row>
    <row r="36" spans="1:40" x14ac:dyDescent="0.2">
      <c r="A36">
        <v>102</v>
      </c>
      <c r="B36">
        <v>738</v>
      </c>
      <c r="C36">
        <v>250</v>
      </c>
      <c r="D36">
        <v>0.31542352766652099</v>
      </c>
      <c r="E36">
        <v>0.59606877891346699</v>
      </c>
      <c r="F36">
        <v>4.9339959549521204</v>
      </c>
      <c r="G36">
        <v>-4.0005736141452539</v>
      </c>
      <c r="H36">
        <v>-2.9393018755327409</v>
      </c>
      <c r="I36">
        <v>1.0495690437744201</v>
      </c>
      <c r="J36">
        <v>0.52876957577693695</v>
      </c>
      <c r="K36">
        <v>0.120808526061965</v>
      </c>
      <c r="L36">
        <v>3.5691697233418497E-5</v>
      </c>
      <c r="M36">
        <v>4.1614465013940712E-7</v>
      </c>
      <c r="N36" s="1">
        <v>2.3538856697684101E-9</v>
      </c>
      <c r="O36" s="1">
        <v>2.9057889268702402E-13</v>
      </c>
      <c r="P36">
        <v>0</v>
      </c>
      <c r="R36">
        <v>8.8393665388101308</v>
      </c>
      <c r="S36">
        <v>2.1140523959493001</v>
      </c>
      <c r="T36">
        <v>49.932130424874799</v>
      </c>
      <c r="V36">
        <v>38.172749182444299</v>
      </c>
      <c r="X36">
        <v>0.94170145792135396</v>
      </c>
      <c r="AJ36">
        <v>0</v>
      </c>
      <c r="AK36">
        <v>-5.9247749347631704E-3</v>
      </c>
      <c r="AL36">
        <v>0.70415964976716605</v>
      </c>
      <c r="AM36">
        <v>5.2618144034158203E-2</v>
      </c>
      <c r="AN36">
        <v>0.249146981133438</v>
      </c>
    </row>
    <row r="37" spans="1:40" x14ac:dyDescent="0.2">
      <c r="A37">
        <v>103</v>
      </c>
      <c r="B37">
        <v>736</v>
      </c>
      <c r="C37">
        <v>250</v>
      </c>
      <c r="D37">
        <v>0.31392805826685999</v>
      </c>
      <c r="E37">
        <v>0.60731481266482601</v>
      </c>
      <c r="F37">
        <v>4.9339926230005799</v>
      </c>
      <c r="G37">
        <v>-4.0760097386585077</v>
      </c>
      <c r="H37">
        <v>-2.9978379691449883</v>
      </c>
      <c r="I37">
        <v>1.0683959466021</v>
      </c>
      <c r="J37">
        <v>0.53880152737361497</v>
      </c>
      <c r="K37">
        <v>0.123087904475927</v>
      </c>
      <c r="L37">
        <v>3.5731119651639244E-5</v>
      </c>
      <c r="M37">
        <v>4.1698919925628431E-7</v>
      </c>
      <c r="N37" s="1">
        <v>2.4038951769986698E-9</v>
      </c>
      <c r="O37" s="1">
        <v>2.9682357851315297E-13</v>
      </c>
      <c r="P37">
        <v>0</v>
      </c>
      <c r="R37">
        <v>8.7051414034892396</v>
      </c>
      <c r="S37">
        <v>2.2217875469066</v>
      </c>
      <c r="T37">
        <v>50.060701300850099</v>
      </c>
      <c r="V37">
        <v>38.0777659951979</v>
      </c>
      <c r="X37">
        <v>0.934603753556001</v>
      </c>
      <c r="AJ37">
        <v>0</v>
      </c>
      <c r="AK37">
        <v>-3.1473364950049699E-3</v>
      </c>
      <c r="AL37">
        <v>0.70568386971373398</v>
      </c>
      <c r="AM37">
        <v>5.2200183034948E-2</v>
      </c>
      <c r="AN37">
        <v>0.245263283746322</v>
      </c>
    </row>
    <row r="38" spans="1:40" x14ac:dyDescent="0.2">
      <c r="A38">
        <v>104</v>
      </c>
      <c r="B38">
        <v>734</v>
      </c>
      <c r="C38">
        <v>250</v>
      </c>
      <c r="D38">
        <v>0.31242664945638698</v>
      </c>
      <c r="E38">
        <v>0.61234005490961396</v>
      </c>
      <c r="F38">
        <v>4.9340490491983902</v>
      </c>
      <c r="G38">
        <v>-4.1094269386708318</v>
      </c>
      <c r="H38">
        <v>-3.0255012019317968</v>
      </c>
      <c r="I38">
        <v>1.0762306873246601</v>
      </c>
      <c r="J38">
        <v>0.54330375405786302</v>
      </c>
      <c r="K38">
        <v>0.12410497925818099</v>
      </c>
      <c r="L38">
        <v>3.5764159840445775E-5</v>
      </c>
      <c r="M38">
        <v>4.1776217884575018E-7</v>
      </c>
      <c r="N38" s="1">
        <v>2.4289768263201102E-9</v>
      </c>
      <c r="O38" s="1">
        <v>2.9999128608419299E-13</v>
      </c>
      <c r="P38">
        <v>0</v>
      </c>
      <c r="R38">
        <v>8.5814488719429907</v>
      </c>
      <c r="S38">
        <v>2.3203146409216799</v>
      </c>
      <c r="T38">
        <v>50.179736636054798</v>
      </c>
      <c r="V38">
        <v>37.9910542220032</v>
      </c>
      <c r="X38">
        <v>0.92744562907727401</v>
      </c>
      <c r="AJ38">
        <v>0</v>
      </c>
      <c r="AK38">
        <v>-5.7203394351131595E-4</v>
      </c>
      <c r="AL38">
        <v>0.70710143273695703</v>
      </c>
      <c r="AM38">
        <v>5.1781311040454199E-2</v>
      </c>
      <c r="AN38">
        <v>0.241689290166099</v>
      </c>
    </row>
    <row r="39" spans="1:40" x14ac:dyDescent="0.2">
      <c r="A39">
        <v>105</v>
      </c>
      <c r="B39">
        <v>732</v>
      </c>
      <c r="C39">
        <v>250</v>
      </c>
      <c r="D39">
        <v>0.31091926578122597</v>
      </c>
      <c r="E39">
        <v>0.61429165598211199</v>
      </c>
      <c r="F39">
        <v>4.9341430711153302</v>
      </c>
      <c r="G39">
        <v>-4.1220433833753276</v>
      </c>
      <c r="H39">
        <v>-3.0378524528314816</v>
      </c>
      <c r="I39">
        <v>1.07863595537367</v>
      </c>
      <c r="J39">
        <v>0.54507124793500605</v>
      </c>
      <c r="K39">
        <v>0.12449814428328999</v>
      </c>
      <c r="L39">
        <v>3.5792606134757612E-5</v>
      </c>
      <c r="M39">
        <v>4.1848400022158597E-7</v>
      </c>
      <c r="N39" s="1">
        <v>2.44160200016152E-9</v>
      </c>
      <c r="O39" s="1">
        <v>3.0162074671737101E-13</v>
      </c>
      <c r="P39">
        <v>0</v>
      </c>
      <c r="R39">
        <v>8.4649696254431195</v>
      </c>
      <c r="S39">
        <v>2.4127304564601602</v>
      </c>
      <c r="T39">
        <v>50.292010910669397</v>
      </c>
      <c r="V39">
        <v>37.910045642453198</v>
      </c>
      <c r="X39">
        <v>0.92024336497399295</v>
      </c>
      <c r="AJ39">
        <v>0</v>
      </c>
      <c r="AK39">
        <v>1.8690608661550601E-3</v>
      </c>
      <c r="AL39">
        <v>0.70844183019166795</v>
      </c>
      <c r="AM39">
        <v>5.1361669713951702E-2</v>
      </c>
      <c r="AN39">
        <v>0.238327439228224</v>
      </c>
    </row>
    <row r="40" spans="1:40" x14ac:dyDescent="0.2">
      <c r="A40">
        <v>106</v>
      </c>
      <c r="B40">
        <v>730</v>
      </c>
      <c r="C40">
        <v>250</v>
      </c>
      <c r="D40">
        <v>0.30940587150476501</v>
      </c>
      <c r="E40">
        <v>0.61447303618732596</v>
      </c>
      <c r="F40">
        <v>4.9342619146562603</v>
      </c>
      <c r="G40">
        <v>-4.1226658351697685</v>
      </c>
      <c r="H40">
        <v>-3.0413531743642279</v>
      </c>
      <c r="I40">
        <v>1.07791722155763</v>
      </c>
      <c r="J40">
        <v>0.54526236640943104</v>
      </c>
      <c r="K40">
        <v>0.124531905037743</v>
      </c>
      <c r="L40">
        <v>3.5817467486400346E-5</v>
      </c>
      <c r="M40">
        <v>4.1916615942037314E-7</v>
      </c>
      <c r="N40" s="1">
        <v>2.4469594619219799E-9</v>
      </c>
      <c r="O40" s="1">
        <v>3.0235218278542702E-13</v>
      </c>
      <c r="P40">
        <v>0</v>
      </c>
      <c r="R40">
        <v>8.3538171881517709</v>
      </c>
      <c r="S40">
        <v>2.5008055084582801</v>
      </c>
      <c r="T40">
        <v>50.399088796963703</v>
      </c>
      <c r="V40">
        <v>37.833281904836603</v>
      </c>
      <c r="X40">
        <v>0.91300660158955704</v>
      </c>
      <c r="AJ40">
        <v>0</v>
      </c>
      <c r="AK40">
        <v>4.2147608193426299E-3</v>
      </c>
      <c r="AL40">
        <v>0.70972161461969296</v>
      </c>
      <c r="AM40">
        <v>5.0941356885540502E-2</v>
      </c>
      <c r="AN40">
        <v>0.23512226767542199</v>
      </c>
    </row>
    <row r="41" spans="1:40" x14ac:dyDescent="0.2">
      <c r="A41">
        <v>115</v>
      </c>
      <c r="B41">
        <v>744</v>
      </c>
      <c r="C41">
        <v>240</v>
      </c>
      <c r="D41">
        <v>0.33068918055350899</v>
      </c>
      <c r="E41">
        <v>0.31551170124261801</v>
      </c>
      <c r="F41">
        <v>4.9481051976462798</v>
      </c>
      <c r="G41">
        <v>-2.0897962259093026</v>
      </c>
      <c r="H41">
        <v>-1.5252630501660784</v>
      </c>
      <c r="I41">
        <v>0.555014674082705</v>
      </c>
      <c r="J41">
        <v>0.279624643334068</v>
      </c>
      <c r="K41">
        <v>6.3764145797203395E-2</v>
      </c>
      <c r="L41">
        <v>3.7790138048481462E-5</v>
      </c>
      <c r="M41">
        <v>4.3868548019643079E-7</v>
      </c>
      <c r="N41" s="1">
        <v>1.3129126721478701E-9</v>
      </c>
      <c r="O41" s="1">
        <v>1.62461567281287E-13</v>
      </c>
      <c r="P41">
        <v>0</v>
      </c>
      <c r="R41">
        <v>7.46208248027704</v>
      </c>
      <c r="S41">
        <v>1.9645976425479299</v>
      </c>
      <c r="T41">
        <v>52.740904645125099</v>
      </c>
      <c r="V41">
        <v>36.9374172465077</v>
      </c>
      <c r="X41">
        <v>0.89499798554210397</v>
      </c>
      <c r="AJ41">
        <v>0</v>
      </c>
      <c r="AK41">
        <v>-6.6328727713644998E-3</v>
      </c>
      <c r="AL41">
        <v>0.74564221342277903</v>
      </c>
      <c r="AM41">
        <v>5.0134445240378397E-2</v>
      </c>
      <c r="AN41">
        <v>0.21085621410820601</v>
      </c>
    </row>
    <row r="42" spans="1:40" x14ac:dyDescent="0.2">
      <c r="A42">
        <v>116</v>
      </c>
      <c r="B42">
        <v>742</v>
      </c>
      <c r="C42">
        <v>240</v>
      </c>
      <c r="D42">
        <v>0.32923262572033701</v>
      </c>
      <c r="E42">
        <v>0.56751998499252498</v>
      </c>
      <c r="F42">
        <v>4.9328814245273103</v>
      </c>
      <c r="G42">
        <v>-3.8127996950490228</v>
      </c>
      <c r="H42">
        <v>-2.7963256115017519</v>
      </c>
      <c r="I42">
        <v>1.0013043230530101</v>
      </c>
      <c r="J42">
        <v>0.50345670729863401</v>
      </c>
      <c r="K42">
        <v>0.11504837358763501</v>
      </c>
      <c r="L42">
        <v>3.5660697769085181E-5</v>
      </c>
      <c r="M42">
        <v>4.1535777491005305E-7</v>
      </c>
      <c r="N42" s="1">
        <v>2.2337957993896199E-9</v>
      </c>
      <c r="O42" s="1">
        <v>2.7552717082731802E-13</v>
      </c>
      <c r="P42">
        <v>0</v>
      </c>
      <c r="R42">
        <v>9.0520032739714598</v>
      </c>
      <c r="S42">
        <v>1.95226794020141</v>
      </c>
      <c r="T42">
        <v>49.727391644463502</v>
      </c>
      <c r="V42">
        <v>38.297995937780797</v>
      </c>
      <c r="X42">
        <v>0.97034120358276399</v>
      </c>
      <c r="AJ42">
        <v>0</v>
      </c>
      <c r="AK42">
        <v>-1.11035822039868E-2</v>
      </c>
      <c r="AL42">
        <v>0.70160018266628899</v>
      </c>
      <c r="AM42">
        <v>5.4243753105245103E-2</v>
      </c>
      <c r="AN42">
        <v>0.25525964643245103</v>
      </c>
    </row>
    <row r="43" spans="1:40" x14ac:dyDescent="0.2">
      <c r="A43">
        <v>117</v>
      </c>
      <c r="B43">
        <v>740</v>
      </c>
      <c r="C43">
        <v>240</v>
      </c>
      <c r="D43">
        <v>0.32777032028821201</v>
      </c>
      <c r="E43">
        <v>0.60207260242654004</v>
      </c>
      <c r="F43">
        <v>4.93264621415838</v>
      </c>
      <c r="G43">
        <v>-4.0458288441942623</v>
      </c>
      <c r="H43">
        <v>-2.9704989307519685</v>
      </c>
      <c r="I43">
        <v>1.0613728603289601</v>
      </c>
      <c r="J43">
        <v>0.53419142434338795</v>
      </c>
      <c r="K43">
        <v>0.122058744188542</v>
      </c>
      <c r="L43">
        <v>3.5698798561126638E-5</v>
      </c>
      <c r="M43">
        <v>4.1618957825832226E-7</v>
      </c>
      <c r="N43" s="1">
        <v>2.3753251780021499E-9</v>
      </c>
      <c r="O43" s="1">
        <v>2.9304947492908198E-13</v>
      </c>
      <c r="P43">
        <v>0</v>
      </c>
      <c r="R43">
        <v>8.9075980404010693</v>
      </c>
      <c r="S43">
        <v>2.0782907218064901</v>
      </c>
      <c r="T43">
        <v>49.854514264490902</v>
      </c>
      <c r="V43">
        <v>38.195605038698702</v>
      </c>
      <c r="X43">
        <v>0.96399193460277899</v>
      </c>
      <c r="AJ43">
        <v>0</v>
      </c>
      <c r="AK43">
        <v>-7.9598336706042695E-3</v>
      </c>
      <c r="AL43">
        <v>0.70303784811175796</v>
      </c>
      <c r="AM43">
        <v>5.38615516762221E-2</v>
      </c>
      <c r="AN43">
        <v>0.251060433882623</v>
      </c>
    </row>
    <row r="44" spans="1:40" x14ac:dyDescent="0.2">
      <c r="A44">
        <v>118</v>
      </c>
      <c r="B44">
        <v>738</v>
      </c>
      <c r="C44">
        <v>240</v>
      </c>
      <c r="D44">
        <v>0.326302230134007</v>
      </c>
      <c r="E44">
        <v>0.61506088508165802</v>
      </c>
      <c r="F44">
        <v>4.9326419373419697</v>
      </c>
      <c r="G44">
        <v>-4.1330747736251494</v>
      </c>
      <c r="H44">
        <v>-3.0377096050221488</v>
      </c>
      <c r="I44">
        <v>1.08328652386193</v>
      </c>
      <c r="J44">
        <v>0.54577388569062402</v>
      </c>
      <c r="K44">
        <v>0.12469197904380799</v>
      </c>
      <c r="L44">
        <v>3.5741204420539993E-5</v>
      </c>
      <c r="M44">
        <v>4.1706739786660957E-7</v>
      </c>
      <c r="N44" s="1">
        <v>2.4324354433721601E-9</v>
      </c>
      <c r="O44" s="1">
        <v>3.0016840173065001E-13</v>
      </c>
      <c r="P44">
        <v>0</v>
      </c>
      <c r="R44">
        <v>8.7701102352172509</v>
      </c>
      <c r="S44">
        <v>2.18783877702591</v>
      </c>
      <c r="T44">
        <v>49.987252923481599</v>
      </c>
      <c r="V44">
        <v>38.097900156225798</v>
      </c>
      <c r="X44">
        <v>0.95689790804931596</v>
      </c>
      <c r="AJ44">
        <v>0</v>
      </c>
      <c r="AK44">
        <v>-5.1418161658891501E-3</v>
      </c>
      <c r="AL44">
        <v>0.70461638894316303</v>
      </c>
      <c r="AM44">
        <v>5.3442937190162201E-2</v>
      </c>
      <c r="AN44">
        <v>0.247082490032563</v>
      </c>
    </row>
    <row r="45" spans="1:40" x14ac:dyDescent="0.2">
      <c r="A45">
        <v>119</v>
      </c>
      <c r="B45">
        <v>736</v>
      </c>
      <c r="C45">
        <v>240</v>
      </c>
      <c r="D45">
        <v>0.32482832086409602</v>
      </c>
      <c r="E45">
        <v>0.62082622145174904</v>
      </c>
      <c r="F45">
        <v>4.9327023693658898</v>
      </c>
      <c r="G45">
        <v>-4.1714898062547681</v>
      </c>
      <c r="H45">
        <v>-3.0690696861211908</v>
      </c>
      <c r="I45">
        <v>1.0924244365392399</v>
      </c>
      <c r="J45">
        <v>0.55093529242736805</v>
      </c>
      <c r="K45">
        <v>0.12585925015612801</v>
      </c>
      <c r="L45">
        <v>3.5776485319644496E-5</v>
      </c>
      <c r="M45">
        <v>4.1786521079000689E-7</v>
      </c>
      <c r="N45" s="1">
        <v>2.4606452659565298E-9</v>
      </c>
      <c r="O45" s="1">
        <v>3.0372210332781899E-13</v>
      </c>
      <c r="P45">
        <v>0</v>
      </c>
      <c r="R45">
        <v>8.6442704656496403</v>
      </c>
      <c r="S45">
        <v>2.2872880677636198</v>
      </c>
      <c r="T45">
        <v>50.109348203245702</v>
      </c>
      <c r="V45">
        <v>38.009353810132701</v>
      </c>
      <c r="X45">
        <v>0.94973945320819297</v>
      </c>
      <c r="AJ45">
        <v>0</v>
      </c>
      <c r="AK45">
        <v>-2.5455186642121298E-3</v>
      </c>
      <c r="AL45">
        <v>0.70607528156590504</v>
      </c>
      <c r="AM45">
        <v>5.3023449435628298E-2</v>
      </c>
      <c r="AN45">
        <v>0.24344678766267699</v>
      </c>
    </row>
    <row r="46" spans="1:40" x14ac:dyDescent="0.2">
      <c r="A46">
        <v>120</v>
      </c>
      <c r="B46">
        <v>734</v>
      </c>
      <c r="C46">
        <v>240</v>
      </c>
      <c r="D46">
        <v>0.32334855781164801</v>
      </c>
      <c r="E46">
        <v>0.62317819211094305</v>
      </c>
      <c r="F46">
        <v>4.9328029519515901</v>
      </c>
      <c r="G46">
        <v>-4.1867811034418327</v>
      </c>
      <c r="H46">
        <v>-3.0834222235555093</v>
      </c>
      <c r="I46">
        <v>1.0955258699164201</v>
      </c>
      <c r="J46">
        <v>0.55305933174788902</v>
      </c>
      <c r="K46">
        <v>0.126333485886435</v>
      </c>
      <c r="L46">
        <v>3.580676370171259E-5</v>
      </c>
      <c r="M46">
        <v>4.1860723205730864E-7</v>
      </c>
      <c r="N46" s="1">
        <v>2.4750396439233402E-9</v>
      </c>
      <c r="O46" s="1">
        <v>3.0557077580798302E-13</v>
      </c>
      <c r="P46">
        <v>0</v>
      </c>
      <c r="R46">
        <v>8.5262419219315895</v>
      </c>
      <c r="S46">
        <v>2.3801568290178401</v>
      </c>
      <c r="T46">
        <v>50.224078417100102</v>
      </c>
      <c r="V46">
        <v>37.926988986325</v>
      </c>
      <c r="X46">
        <v>0.94253384562528597</v>
      </c>
      <c r="AJ46">
        <v>0</v>
      </c>
      <c r="AK46" s="1">
        <v>-9.3689994660689903E-5</v>
      </c>
      <c r="AL46">
        <v>0.707449872464184</v>
      </c>
      <c r="AM46">
        <v>5.2603167281601602E-2</v>
      </c>
      <c r="AN46">
        <v>0.240040650248874</v>
      </c>
    </row>
    <row r="47" spans="1:40" x14ac:dyDescent="0.2">
      <c r="A47">
        <v>121</v>
      </c>
      <c r="B47">
        <v>732</v>
      </c>
      <c r="C47">
        <v>240</v>
      </c>
      <c r="D47">
        <v>0.32186290603392398</v>
      </c>
      <c r="E47">
        <v>0.62361692481707498</v>
      </c>
      <c r="F47">
        <v>4.9329298912978699</v>
      </c>
      <c r="G47">
        <v>-4.189093691101009</v>
      </c>
      <c r="H47">
        <v>-3.0882066973904441</v>
      </c>
      <c r="I47">
        <v>1.0952464743675701</v>
      </c>
      <c r="J47">
        <v>0.55347934964424605</v>
      </c>
      <c r="K47">
        <v>0.12641917451881701</v>
      </c>
      <c r="L47">
        <v>3.5833202592228564E-5</v>
      </c>
      <c r="M47">
        <v>4.1930671285506006E-7</v>
      </c>
      <c r="N47" s="1">
        <v>2.48158758411496E-9</v>
      </c>
      <c r="O47" s="1">
        <v>3.0645052050334499E-13</v>
      </c>
      <c r="P47">
        <v>0</v>
      </c>
      <c r="R47">
        <v>8.4139062956908308</v>
      </c>
      <c r="S47">
        <v>2.4684004500706802</v>
      </c>
      <c r="T47">
        <v>50.3332387634767</v>
      </c>
      <c r="V47">
        <v>37.849162975685601</v>
      </c>
      <c r="X47">
        <v>0.93529151507610797</v>
      </c>
      <c r="AJ47">
        <v>0</v>
      </c>
      <c r="AK47">
        <v>2.2565546268279199E-3</v>
      </c>
      <c r="AL47">
        <v>0.70875941980730695</v>
      </c>
      <c r="AM47">
        <v>5.2182178433347701E-2</v>
      </c>
      <c r="AN47">
        <v>0.23680184713251601</v>
      </c>
    </row>
    <row r="48" spans="1:40" x14ac:dyDescent="0.2">
      <c r="A48">
        <v>130</v>
      </c>
      <c r="B48">
        <v>744</v>
      </c>
      <c r="C48">
        <v>230</v>
      </c>
      <c r="D48">
        <v>0.34150371135034502</v>
      </c>
      <c r="E48">
        <v>0.55138607720920996</v>
      </c>
      <c r="F48">
        <v>4.9347059685305803</v>
      </c>
      <c r="G48">
        <v>-3.6983334043531055</v>
      </c>
      <c r="H48">
        <v>-2.7084328130703952</v>
      </c>
      <c r="I48">
        <v>0.97321003911194004</v>
      </c>
      <c r="J48">
        <v>0.48917500195430902</v>
      </c>
      <c r="K48">
        <v>0.111736358908816</v>
      </c>
      <c r="L48">
        <v>3.6122847519543292E-5</v>
      </c>
      <c r="M48">
        <v>4.2047091734963767E-7</v>
      </c>
      <c r="N48" s="1">
        <v>2.1954404618980399E-9</v>
      </c>
      <c r="O48" s="1">
        <v>2.70846127330689E-13</v>
      </c>
      <c r="P48">
        <v>0</v>
      </c>
      <c r="R48">
        <v>8.7493800173051905</v>
      </c>
      <c r="S48">
        <v>1.9529379338650801</v>
      </c>
      <c r="T48">
        <v>50.312887327496099</v>
      </c>
      <c r="V48">
        <v>38.010385004849802</v>
      </c>
      <c r="X48">
        <v>0.97440971648378705</v>
      </c>
      <c r="AJ48">
        <v>0</v>
      </c>
      <c r="AK48">
        <v>-1.1319136846519201E-2</v>
      </c>
      <c r="AL48">
        <v>0.71004425052342302</v>
      </c>
      <c r="AM48">
        <v>5.44852594997055E-2</v>
      </c>
      <c r="AN48">
        <v>0.24678962682339001</v>
      </c>
    </row>
    <row r="49" spans="1:40" x14ac:dyDescent="0.2">
      <c r="A49">
        <v>131</v>
      </c>
      <c r="B49">
        <v>742</v>
      </c>
      <c r="C49">
        <v>230</v>
      </c>
      <c r="D49">
        <v>0.34006846278875003</v>
      </c>
      <c r="E49">
        <v>0.60785317868913602</v>
      </c>
      <c r="F49">
        <v>4.9312566270632798</v>
      </c>
      <c r="G49">
        <v>-4.0898291366309811</v>
      </c>
      <c r="H49">
        <v>-3.00076309260192</v>
      </c>
      <c r="I49">
        <v>1.07281292816732</v>
      </c>
      <c r="J49">
        <v>0.53942120384058001</v>
      </c>
      <c r="K49">
        <v>0.12326537121454401</v>
      </c>
      <c r="L49">
        <v>3.5705525933745466E-5</v>
      </c>
      <c r="M49">
        <v>4.1623241344622027E-7</v>
      </c>
      <c r="N49" s="1">
        <v>2.39582961528827E-9</v>
      </c>
      <c r="O49" s="1">
        <v>2.9539909386080698E-13</v>
      </c>
      <c r="P49">
        <v>0</v>
      </c>
      <c r="R49">
        <v>8.9747278193569606</v>
      </c>
      <c r="S49">
        <v>2.0449479723960802</v>
      </c>
      <c r="T49">
        <v>49.776330026933799</v>
      </c>
      <c r="V49">
        <v>38.217434936983402</v>
      </c>
      <c r="X49">
        <v>0.98655924432962805</v>
      </c>
      <c r="AJ49">
        <v>0</v>
      </c>
      <c r="AK49">
        <v>-9.9566357968345898E-3</v>
      </c>
      <c r="AL49">
        <v>0.70189804240401898</v>
      </c>
      <c r="AM49">
        <v>5.5119538411751497E-2</v>
      </c>
      <c r="AN49">
        <v>0.25293905498106301</v>
      </c>
    </row>
    <row r="50" spans="1:40" x14ac:dyDescent="0.2">
      <c r="A50">
        <v>132</v>
      </c>
      <c r="B50">
        <v>740</v>
      </c>
      <c r="C50">
        <v>230</v>
      </c>
      <c r="D50">
        <v>0.33862754774713</v>
      </c>
      <c r="E50">
        <v>0.62267517951354001</v>
      </c>
      <c r="F50">
        <v>4.9312528917757996</v>
      </c>
      <c r="G50">
        <v>-4.1895267934035019</v>
      </c>
      <c r="H50">
        <v>-3.0771063531102376</v>
      </c>
      <c r="I50">
        <v>1.09798197729187</v>
      </c>
      <c r="J50">
        <v>0.552635932088407</v>
      </c>
      <c r="K50">
        <v>0.126271191759809</v>
      </c>
      <c r="L50">
        <v>3.5751004064793143E-5</v>
      </c>
      <c r="M50">
        <v>4.1714444741004015E-7</v>
      </c>
      <c r="N50" s="1">
        <v>2.4603967957019399E-9</v>
      </c>
      <c r="O50" s="1">
        <v>3.0343515759557299E-13</v>
      </c>
      <c r="P50">
        <v>0</v>
      </c>
      <c r="R50">
        <v>8.8339596603203994</v>
      </c>
      <c r="S50">
        <v>2.1562359490906</v>
      </c>
      <c r="T50">
        <v>49.913353663256999</v>
      </c>
      <c r="V50">
        <v>38.116986912891299</v>
      </c>
      <c r="X50">
        <v>0.97946381444057096</v>
      </c>
      <c r="AJ50">
        <v>0</v>
      </c>
      <c r="AK50">
        <v>-7.0994028856099503E-3</v>
      </c>
      <c r="AL50">
        <v>0.703532872427859</v>
      </c>
      <c r="AM50">
        <v>5.4699994569367701E-2</v>
      </c>
      <c r="AN50">
        <v>0.24886653588838201</v>
      </c>
    </row>
    <row r="51" spans="1:40" x14ac:dyDescent="0.2">
      <c r="A51">
        <v>133</v>
      </c>
      <c r="B51">
        <v>738</v>
      </c>
      <c r="C51">
        <v>230</v>
      </c>
      <c r="D51">
        <v>0.33718093260149401</v>
      </c>
      <c r="E51">
        <v>0.62916801222934404</v>
      </c>
      <c r="F51">
        <v>4.9313184307154403</v>
      </c>
      <c r="G51">
        <v>-4.2328636432715259</v>
      </c>
      <c r="H51">
        <v>-3.1121010130492177</v>
      </c>
      <c r="I51">
        <v>1.1084039264424701</v>
      </c>
      <c r="J51">
        <v>0.55844552610842002</v>
      </c>
      <c r="K51">
        <v>0.12758616606676099</v>
      </c>
      <c r="L51">
        <v>3.578855357777151E-5</v>
      </c>
      <c r="M51">
        <v>4.1796736336735035E-7</v>
      </c>
      <c r="N51" s="1">
        <v>2.4916838696202698E-9</v>
      </c>
      <c r="O51" s="1">
        <v>3.0736814357054297E-13</v>
      </c>
      <c r="P51">
        <v>0</v>
      </c>
      <c r="R51">
        <v>8.70600452670514</v>
      </c>
      <c r="S51">
        <v>2.2565275007344101</v>
      </c>
      <c r="T51">
        <v>50.0385396219976</v>
      </c>
      <c r="V51">
        <v>38.026626519485397</v>
      </c>
      <c r="X51">
        <v>0.97230183107733803</v>
      </c>
      <c r="AJ51">
        <v>0</v>
      </c>
      <c r="AK51">
        <v>-4.4837380718006402E-3</v>
      </c>
      <c r="AL51">
        <v>0.70503382075217902</v>
      </c>
      <c r="AM51">
        <v>5.42797291339066E-2</v>
      </c>
      <c r="AN51">
        <v>0.24517018818571501</v>
      </c>
    </row>
    <row r="52" spans="1:40" x14ac:dyDescent="0.2">
      <c r="A52">
        <v>134</v>
      </c>
      <c r="B52">
        <v>736</v>
      </c>
      <c r="C52">
        <v>230</v>
      </c>
      <c r="D52">
        <v>0.335728583461332</v>
      </c>
      <c r="E52">
        <v>0.63189782180955001</v>
      </c>
      <c r="F52">
        <v>4.93142639681869</v>
      </c>
      <c r="G52">
        <v>-4.2506812434345447</v>
      </c>
      <c r="H52">
        <v>-3.1283413770554827</v>
      </c>
      <c r="I52">
        <v>1.11216356971615</v>
      </c>
      <c r="J52">
        <v>0.560906168218398</v>
      </c>
      <c r="K52">
        <v>0.12813692651221401</v>
      </c>
      <c r="L52">
        <v>3.5820670322423734E-5</v>
      </c>
      <c r="M52">
        <v>4.1872961677300325E-7</v>
      </c>
      <c r="N52" s="1">
        <v>2.5077575336222202E-9</v>
      </c>
      <c r="O52" s="1">
        <v>3.0942470413995798E-13</v>
      </c>
      <c r="P52">
        <v>0</v>
      </c>
      <c r="R52">
        <v>8.5864674022382292</v>
      </c>
      <c r="S52">
        <v>2.34977993793099</v>
      </c>
      <c r="T52">
        <v>50.1557273216117</v>
      </c>
      <c r="V52">
        <v>37.942934880402902</v>
      </c>
      <c r="X52">
        <v>0.96509045781601799</v>
      </c>
      <c r="AJ52">
        <v>0</v>
      </c>
      <c r="AK52">
        <v>-2.0226116495949999E-3</v>
      </c>
      <c r="AL52">
        <v>0.706442866152594</v>
      </c>
      <c r="AM52">
        <v>5.3858688840322098E-2</v>
      </c>
      <c r="AN52">
        <v>0.24172105665667801</v>
      </c>
    </row>
    <row r="53" spans="1:40" x14ac:dyDescent="0.2">
      <c r="A53">
        <v>135</v>
      </c>
      <c r="B53">
        <v>734</v>
      </c>
      <c r="C53">
        <v>230</v>
      </c>
      <c r="D53">
        <v>0.33427046616690598</v>
      </c>
      <c r="E53">
        <v>0.632573863580978</v>
      </c>
      <c r="F53">
        <v>4.9315620567202503</v>
      </c>
      <c r="G53">
        <v>-4.2545499677343699</v>
      </c>
      <c r="H53">
        <v>-3.1343076575935704</v>
      </c>
      <c r="I53">
        <v>1.11228944064022</v>
      </c>
      <c r="J53">
        <v>0.561537296993739</v>
      </c>
      <c r="K53">
        <v>0.128270486370331</v>
      </c>
      <c r="L53">
        <v>3.5848683726477948E-5</v>
      </c>
      <c r="M53">
        <v>4.1944635064655439E-7</v>
      </c>
      <c r="N53" s="1">
        <v>2.51541568040296E-9</v>
      </c>
      <c r="O53" s="1">
        <v>3.10442703704315E-13</v>
      </c>
      <c r="P53">
        <v>0</v>
      </c>
      <c r="R53">
        <v>8.4729884573755605</v>
      </c>
      <c r="S53">
        <v>2.43813451789338</v>
      </c>
      <c r="T53">
        <v>50.266959839121</v>
      </c>
      <c r="V53">
        <v>37.8640766038884</v>
      </c>
      <c r="X53">
        <v>0.95784058172153597</v>
      </c>
      <c r="AJ53">
        <v>0</v>
      </c>
      <c r="AK53">
        <v>3.3097447999161502E-4</v>
      </c>
      <c r="AL53">
        <v>0.70778222299092697</v>
      </c>
      <c r="AM53">
        <v>5.3436930993627202E-2</v>
      </c>
      <c r="AN53">
        <v>0.238449871535453</v>
      </c>
    </row>
    <row r="54" spans="1:40" x14ac:dyDescent="0.2">
      <c r="A54">
        <v>136</v>
      </c>
      <c r="B54">
        <v>732</v>
      </c>
      <c r="C54">
        <v>230</v>
      </c>
      <c r="D54">
        <v>0.33280654628662198</v>
      </c>
      <c r="E54">
        <v>0.63198937933555999</v>
      </c>
      <c r="F54">
        <v>4.9317162533431196</v>
      </c>
      <c r="G54">
        <v>-4.2498518605156024</v>
      </c>
      <c r="H54">
        <v>-3.1339462616482776</v>
      </c>
      <c r="I54">
        <v>1.11018812999783</v>
      </c>
      <c r="J54">
        <v>0.56104458654467204</v>
      </c>
      <c r="K54">
        <v>0.12814796044016999</v>
      </c>
      <c r="L54">
        <v>3.5873396664853389E-5</v>
      </c>
      <c r="M54">
        <v>4.2012669625857446E-7</v>
      </c>
      <c r="N54" s="1">
        <v>2.51782971266305E-9</v>
      </c>
      <c r="O54" s="1">
        <v>3.1081304872355698E-13</v>
      </c>
      <c r="P54">
        <v>0</v>
      </c>
      <c r="R54">
        <v>8.3641303203314301</v>
      </c>
      <c r="S54">
        <v>2.5229055192588898</v>
      </c>
      <c r="T54">
        <v>50.373470168017697</v>
      </c>
      <c r="V54">
        <v>37.788934493800902</v>
      </c>
      <c r="X54">
        <v>0.950559498590962</v>
      </c>
      <c r="AJ54">
        <v>0</v>
      </c>
      <c r="AK54">
        <v>2.60582743971187E-3</v>
      </c>
      <c r="AL54">
        <v>0.70906522236374003</v>
      </c>
      <c r="AM54">
        <v>5.3014523794593302E-2</v>
      </c>
      <c r="AN54">
        <v>0.23531442640195399</v>
      </c>
    </row>
    <row r="55" spans="1:40" x14ac:dyDescent="0.2">
      <c r="A55">
        <v>144</v>
      </c>
      <c r="B55">
        <v>746</v>
      </c>
      <c r="C55">
        <v>220</v>
      </c>
      <c r="D55">
        <v>0.35372663494088302</v>
      </c>
      <c r="E55">
        <v>0.53433353188122901</v>
      </c>
      <c r="F55">
        <v>4.9364254677149297</v>
      </c>
      <c r="G55">
        <v>-3.5782883481976664</v>
      </c>
      <c r="H55">
        <v>-2.6167430838564156</v>
      </c>
      <c r="I55">
        <v>0.94347766701785796</v>
      </c>
      <c r="J55">
        <v>0.47407452069552097</v>
      </c>
      <c r="K55">
        <v>0.10824300607309099</v>
      </c>
      <c r="L55">
        <v>3.6582728810805837E-5</v>
      </c>
      <c r="M55">
        <v>4.2555547118839886E-7</v>
      </c>
      <c r="N55" s="1">
        <v>2.1517422715173799E-9</v>
      </c>
      <c r="O55" s="1">
        <v>2.6550046546542401E-13</v>
      </c>
      <c r="P55">
        <v>0</v>
      </c>
      <c r="R55">
        <v>8.4471909734896897</v>
      </c>
      <c r="S55">
        <v>1.9568901365118101</v>
      </c>
      <c r="T55">
        <v>50.8938451845261</v>
      </c>
      <c r="V55">
        <v>37.723300693450199</v>
      </c>
      <c r="X55">
        <v>0.97877301202211198</v>
      </c>
      <c r="AJ55">
        <v>0</v>
      </c>
      <c r="AK55">
        <v>-1.14784859809584E-2</v>
      </c>
      <c r="AL55">
        <v>0.71841371049081104</v>
      </c>
      <c r="AM55">
        <v>5.4742241619777102E-2</v>
      </c>
      <c r="AN55">
        <v>0.238322533870369</v>
      </c>
    </row>
    <row r="56" spans="1:40" x14ac:dyDescent="0.2">
      <c r="A56">
        <v>145</v>
      </c>
      <c r="B56">
        <v>744</v>
      </c>
      <c r="C56">
        <v>220</v>
      </c>
      <c r="D56">
        <v>0.352318242147177</v>
      </c>
      <c r="E56">
        <v>0.62010298978821699</v>
      </c>
      <c r="F56">
        <v>4.9283239658005398</v>
      </c>
      <c r="G56">
        <v>-4.1832662902413942</v>
      </c>
      <c r="H56">
        <v>-3.0683619205622827</v>
      </c>
      <c r="I56">
        <v>1.09610614921998</v>
      </c>
      <c r="J56">
        <v>0.55042517758040399</v>
      </c>
      <c r="K56">
        <v>0.12582431554649001</v>
      </c>
      <c r="L56">
        <v>3.5499761201312737E-5</v>
      </c>
      <c r="M56">
        <v>4.1391245330589259E-7</v>
      </c>
      <c r="N56" s="1">
        <v>2.4274675487391002E-9</v>
      </c>
      <c r="O56" s="1">
        <v>2.9899929557125399E-13</v>
      </c>
      <c r="P56">
        <v>0</v>
      </c>
      <c r="R56">
        <v>9.2142132257625793</v>
      </c>
      <c r="S56">
        <v>1.9969242094245601</v>
      </c>
      <c r="T56">
        <v>49.387693750657</v>
      </c>
      <c r="V56">
        <v>38.382875312307299</v>
      </c>
      <c r="X56">
        <v>1.01829350184842</v>
      </c>
      <c r="AJ56">
        <v>0</v>
      </c>
      <c r="AK56">
        <v>-1.27875847636728E-2</v>
      </c>
      <c r="AL56">
        <v>0.69627252245357096</v>
      </c>
      <c r="AM56">
        <v>5.6880672995006702E-2</v>
      </c>
      <c r="AN56">
        <v>0.25963438931509403</v>
      </c>
    </row>
    <row r="57" spans="1:40" x14ac:dyDescent="0.2">
      <c r="A57">
        <v>146</v>
      </c>
      <c r="B57">
        <v>742</v>
      </c>
      <c r="C57">
        <v>220</v>
      </c>
      <c r="D57">
        <v>0.35090429985716198</v>
      </c>
      <c r="E57">
        <v>0.63028919675366402</v>
      </c>
      <c r="F57">
        <v>4.9298183804234101</v>
      </c>
      <c r="G57">
        <v>-4.2462845705384265</v>
      </c>
      <c r="H57">
        <v>-3.1167111643570751</v>
      </c>
      <c r="I57">
        <v>1.11271576238127</v>
      </c>
      <c r="J57">
        <v>0.55950557578211402</v>
      </c>
      <c r="K57">
        <v>0.127852417293216</v>
      </c>
      <c r="L57">
        <v>3.5760748565811066E-5</v>
      </c>
      <c r="M57">
        <v>4.1722307575897557E-7</v>
      </c>
      <c r="N57" s="1">
        <v>2.48831897375356E-9</v>
      </c>
      <c r="O57" s="1">
        <v>3.0669035613327401E-13</v>
      </c>
      <c r="P57">
        <v>0</v>
      </c>
      <c r="R57">
        <v>8.8960353868392197</v>
      </c>
      <c r="S57">
        <v>2.1277364336206102</v>
      </c>
      <c r="T57">
        <v>49.839383673213497</v>
      </c>
      <c r="V57">
        <v>38.134528671713298</v>
      </c>
      <c r="X57">
        <v>1.00231583461319</v>
      </c>
      <c r="AJ57">
        <v>0</v>
      </c>
      <c r="AK57">
        <v>-9.0040724901941805E-3</v>
      </c>
      <c r="AL57">
        <v>0.702436165622772</v>
      </c>
      <c r="AM57">
        <v>5.5971898196335697E-2</v>
      </c>
      <c r="AN57">
        <v>0.250596008671086</v>
      </c>
    </row>
    <row r="58" spans="1:40" x14ac:dyDescent="0.2">
      <c r="A58">
        <v>147</v>
      </c>
      <c r="B58">
        <v>740</v>
      </c>
      <c r="C58">
        <v>220</v>
      </c>
      <c r="D58">
        <v>0.34948477520604299</v>
      </c>
      <c r="E58">
        <v>0.63744016139781001</v>
      </c>
      <c r="F58">
        <v>4.9298907721405403</v>
      </c>
      <c r="G58">
        <v>-4.2940822007512844</v>
      </c>
      <c r="H58">
        <v>-3.1549956151343475</v>
      </c>
      <c r="I58">
        <v>1.12430201413111</v>
      </c>
      <c r="J58">
        <v>0.565901869265515</v>
      </c>
      <c r="K58">
        <v>0.129301071942621</v>
      </c>
      <c r="L58">
        <v>3.5800535573758163E-5</v>
      </c>
      <c r="M58">
        <v>4.1807067935085122E-7</v>
      </c>
      <c r="N58" s="1">
        <v>2.5224047684331502E-9</v>
      </c>
      <c r="O58" s="1">
        <v>3.1096787484149598E-13</v>
      </c>
      <c r="P58">
        <v>0</v>
      </c>
      <c r="R58">
        <v>8.7660971341790006</v>
      </c>
      <c r="S58">
        <v>2.2287003305531701</v>
      </c>
      <c r="T58">
        <v>49.967602255689798</v>
      </c>
      <c r="V58">
        <v>38.042454737355499</v>
      </c>
      <c r="X58">
        <v>0.99514554222243301</v>
      </c>
      <c r="AJ58">
        <v>0</v>
      </c>
      <c r="AK58">
        <v>-6.3725866861066198E-3</v>
      </c>
      <c r="AL58">
        <v>0.70397892369244897</v>
      </c>
      <c r="AM58">
        <v>5.5550630526340197E-2</v>
      </c>
      <c r="AN58">
        <v>0.24684303246731701</v>
      </c>
    </row>
    <row r="59" spans="1:40" x14ac:dyDescent="0.2">
      <c r="A59">
        <v>148</v>
      </c>
      <c r="B59">
        <v>738</v>
      </c>
      <c r="C59">
        <v>220</v>
      </c>
      <c r="D59">
        <v>0.34805963506898102</v>
      </c>
      <c r="E59">
        <v>0.64049806565428402</v>
      </c>
      <c r="F59">
        <v>4.9300073480598101</v>
      </c>
      <c r="G59">
        <v>-4.3140920554146795</v>
      </c>
      <c r="H59">
        <v>-3.1728742277920121</v>
      </c>
      <c r="I59">
        <v>1.12863356339085</v>
      </c>
      <c r="J59">
        <v>0.56865493177499304</v>
      </c>
      <c r="K59">
        <v>0.129918278094727</v>
      </c>
      <c r="L59">
        <v>3.5834457297053716E-5</v>
      </c>
      <c r="M59">
        <v>4.1885273584010955E-7</v>
      </c>
      <c r="N59" s="1">
        <v>2.5399577084306001E-9</v>
      </c>
      <c r="O59" s="1">
        <v>3.1320744922402298E-13</v>
      </c>
      <c r="P59">
        <v>0</v>
      </c>
      <c r="R59">
        <v>8.6451572756026902</v>
      </c>
      <c r="S59">
        <v>2.3222099614793899</v>
      </c>
      <c r="T59">
        <v>50.087189909373102</v>
      </c>
      <c r="V59">
        <v>37.957518050737299</v>
      </c>
      <c r="X59">
        <v>0.98792480280733097</v>
      </c>
      <c r="AJ59">
        <v>0</v>
      </c>
      <c r="AK59">
        <v>-3.9048109611879499E-3</v>
      </c>
      <c r="AL59">
        <v>0.70542202869447601</v>
      </c>
      <c r="AM59">
        <v>5.5128665984311397E-2</v>
      </c>
      <c r="AN59">
        <v>0.2433541162824</v>
      </c>
    </row>
    <row r="60" spans="1:40" x14ac:dyDescent="0.2">
      <c r="A60">
        <v>149</v>
      </c>
      <c r="B60">
        <v>736</v>
      </c>
      <c r="C60">
        <v>220</v>
      </c>
      <c r="D60">
        <v>0.34662884605856398</v>
      </c>
      <c r="E60">
        <v>0.64137648068045205</v>
      </c>
      <c r="F60">
        <v>4.9301526279116201</v>
      </c>
      <c r="G60">
        <v>-4.3192809285139768</v>
      </c>
      <c r="H60">
        <v>-3.1798455181585639</v>
      </c>
      <c r="I60">
        <v>1.12910410776932</v>
      </c>
      <c r="J60">
        <v>0.56946610005308596</v>
      </c>
      <c r="K60">
        <v>0.13009262168666999</v>
      </c>
      <c r="L60">
        <v>3.5864013348537642E-5</v>
      </c>
      <c r="M60">
        <v>4.1958631781808421E-7</v>
      </c>
      <c r="N60" s="1">
        <v>2.5485849059007399E-9</v>
      </c>
      <c r="O60" s="1">
        <v>3.14346162420945E-13</v>
      </c>
      <c r="P60">
        <v>0</v>
      </c>
      <c r="R60">
        <v>8.5306206586204905</v>
      </c>
      <c r="S60">
        <v>2.4105784707918301</v>
      </c>
      <c r="T60">
        <v>50.200441781000997</v>
      </c>
      <c r="V60">
        <v>37.877694652933002</v>
      </c>
      <c r="X60">
        <v>0.98066443665351799</v>
      </c>
      <c r="AJ60">
        <v>0</v>
      </c>
      <c r="AK60">
        <v>-1.54991478456078E-3</v>
      </c>
      <c r="AL60">
        <v>0.70679076344392999</v>
      </c>
      <c r="AM60">
        <v>5.4706004396813598E-2</v>
      </c>
      <c r="AN60">
        <v>0.24005314694381599</v>
      </c>
    </row>
    <row r="61" spans="1:40" x14ac:dyDescent="0.2">
      <c r="A61">
        <v>150</v>
      </c>
      <c r="B61">
        <v>734</v>
      </c>
      <c r="C61">
        <v>220</v>
      </c>
      <c r="D61">
        <v>0.345192374522167</v>
      </c>
      <c r="E61">
        <v>0.64093898533161497</v>
      </c>
      <c r="F61">
        <v>4.9303171053410599</v>
      </c>
      <c r="G61">
        <v>-4.3155142431314459</v>
      </c>
      <c r="H61">
        <v>-3.1802080517350122</v>
      </c>
      <c r="I61">
        <v>1.127246379781</v>
      </c>
      <c r="J61">
        <v>0.56910375745327302</v>
      </c>
      <c r="K61">
        <v>0.12999954600025199</v>
      </c>
      <c r="L61">
        <v>3.5890095079677588E-5</v>
      </c>
      <c r="M61">
        <v>4.2028156080127109E-7</v>
      </c>
      <c r="N61" s="1">
        <v>2.5517385828307502E-9</v>
      </c>
      <c r="O61" s="1">
        <v>3.1480930237229901E-13</v>
      </c>
      <c r="P61">
        <v>0</v>
      </c>
      <c r="R61">
        <v>8.4209311132761293</v>
      </c>
      <c r="S61">
        <v>2.4952047080738402</v>
      </c>
      <c r="T61">
        <v>50.308720842920799</v>
      </c>
      <c r="V61">
        <v>37.801771377093601</v>
      </c>
      <c r="X61">
        <v>0.97337195863551296</v>
      </c>
      <c r="AJ61">
        <v>0</v>
      </c>
      <c r="AK61">
        <v>7.2278177778634502E-4</v>
      </c>
      <c r="AL61">
        <v>0.70810005440070301</v>
      </c>
      <c r="AM61">
        <v>5.4282698245044503E-2</v>
      </c>
      <c r="AN61">
        <v>0.23689446557646601</v>
      </c>
    </row>
    <row r="62" spans="1:40" x14ac:dyDescent="0.2">
      <c r="A62">
        <v>157</v>
      </c>
      <c r="B62">
        <v>748</v>
      </c>
      <c r="C62">
        <v>210</v>
      </c>
      <c r="D62">
        <v>0.36590167947901903</v>
      </c>
      <c r="E62">
        <v>0.51888158712983501</v>
      </c>
      <c r="F62">
        <v>4.9378472384545002</v>
      </c>
      <c r="G62">
        <v>-3.4701466016293381</v>
      </c>
      <c r="H62">
        <v>-2.5341610262534902</v>
      </c>
      <c r="I62">
        <v>0.91659949603471302</v>
      </c>
      <c r="J62">
        <v>0.46039736730606301</v>
      </c>
      <c r="K62">
        <v>0.105082551580157</v>
      </c>
      <c r="L62">
        <v>3.7014645166686502E-5</v>
      </c>
      <c r="M62">
        <v>4.303256163039161E-7</v>
      </c>
      <c r="N62" s="1">
        <v>2.1114197799737701E-9</v>
      </c>
      <c r="O62" s="1">
        <v>2.6055504590138299E-13</v>
      </c>
      <c r="P62">
        <v>0</v>
      </c>
      <c r="R62">
        <v>8.1651206285976503</v>
      </c>
      <c r="S62">
        <v>1.9637990384233699</v>
      </c>
      <c r="T62">
        <v>51.433210596290799</v>
      </c>
      <c r="V62">
        <v>37.453409785986501</v>
      </c>
      <c r="X62">
        <v>0.984459950701563</v>
      </c>
      <c r="AJ62">
        <v>0</v>
      </c>
      <c r="AK62">
        <v>-1.16460413146048E-2</v>
      </c>
      <c r="AL62">
        <v>0.72616657913544402</v>
      </c>
      <c r="AM62">
        <v>5.5070867660036903E-2</v>
      </c>
      <c r="AN62">
        <v>0.23040859451912199</v>
      </c>
    </row>
    <row r="63" spans="1:40" x14ac:dyDescent="0.2">
      <c r="A63">
        <v>158</v>
      </c>
      <c r="B63">
        <v>746</v>
      </c>
      <c r="C63">
        <v>210</v>
      </c>
      <c r="D63">
        <v>0.36451994308983099</v>
      </c>
      <c r="E63">
        <v>0.61695560326492305</v>
      </c>
      <c r="F63">
        <v>4.9290206710151203</v>
      </c>
      <c r="G63">
        <v>-4.1595420851095</v>
      </c>
      <c r="H63">
        <v>-3.047385131812737</v>
      </c>
      <c r="I63">
        <v>1.0912593369933401</v>
      </c>
      <c r="J63">
        <v>0.54770959861062196</v>
      </c>
      <c r="K63">
        <v>0.125167988621533</v>
      </c>
      <c r="L63">
        <v>3.581862763890631E-5</v>
      </c>
      <c r="M63">
        <v>4.1743351047320377E-7</v>
      </c>
      <c r="N63" s="1">
        <v>2.43377054570109E-9</v>
      </c>
      <c r="O63" s="1">
        <v>2.9975801421488101E-13</v>
      </c>
      <c r="P63">
        <v>0</v>
      </c>
      <c r="R63">
        <v>9.0207330462978401</v>
      </c>
      <c r="S63">
        <v>1.9977599646284201</v>
      </c>
      <c r="T63">
        <v>49.765605984300102</v>
      </c>
      <c r="V63">
        <v>38.187487340067499</v>
      </c>
      <c r="X63">
        <v>1.02841366470599</v>
      </c>
      <c r="AJ63">
        <v>0</v>
      </c>
      <c r="AK63">
        <v>-1.3335838273759301E-2</v>
      </c>
      <c r="AL63">
        <v>0.70167439905043705</v>
      </c>
      <c r="AM63">
        <v>5.7452035062028499E-2</v>
      </c>
      <c r="AN63">
        <v>0.25420940416129301</v>
      </c>
    </row>
    <row r="64" spans="1:40" x14ac:dyDescent="0.2">
      <c r="A64">
        <v>159</v>
      </c>
      <c r="B64">
        <v>744</v>
      </c>
      <c r="C64">
        <v>210</v>
      </c>
      <c r="D64">
        <v>0.36313277294401303</v>
      </c>
      <c r="E64">
        <v>0.63807139344109798</v>
      </c>
      <c r="F64">
        <v>4.9283303794022499</v>
      </c>
      <c r="G64">
        <v>-4.3045263317675282</v>
      </c>
      <c r="H64">
        <v>-3.1573966512412546</v>
      </c>
      <c r="I64">
        <v>1.12778811436491</v>
      </c>
      <c r="J64">
        <v>0.56653386074844003</v>
      </c>
      <c r="K64">
        <v>0.129470093179607</v>
      </c>
      <c r="L64">
        <v>3.5770753352480839E-5</v>
      </c>
      <c r="M64">
        <v>4.1730700633774853E-7</v>
      </c>
      <c r="N64" s="1">
        <v>2.5168930256345101E-9</v>
      </c>
      <c r="O64" s="1">
        <v>3.1001897991914702E-13</v>
      </c>
      <c r="P64">
        <v>0</v>
      </c>
      <c r="R64">
        <v>8.9555428110975601</v>
      </c>
      <c r="S64">
        <v>2.10322262752962</v>
      </c>
      <c r="T64">
        <v>49.765848728924702</v>
      </c>
      <c r="V64">
        <v>38.149914163011303</v>
      </c>
      <c r="X64">
        <v>1.0254716694367001</v>
      </c>
      <c r="AJ64">
        <v>0</v>
      </c>
      <c r="AK64">
        <v>-1.08372033261758E-2</v>
      </c>
      <c r="AL64">
        <v>0.70133049557900895</v>
      </c>
      <c r="AM64">
        <v>5.72593242994636E-2</v>
      </c>
      <c r="AN64">
        <v>0.25224738344770198</v>
      </c>
    </row>
    <row r="65" spans="1:40" x14ac:dyDescent="0.2">
      <c r="A65">
        <v>160</v>
      </c>
      <c r="B65">
        <v>742</v>
      </c>
      <c r="C65">
        <v>210</v>
      </c>
      <c r="D65">
        <v>0.361740136925575</v>
      </c>
      <c r="E65">
        <v>0.64573184364589498</v>
      </c>
      <c r="F65">
        <v>4.9284121146103699</v>
      </c>
      <c r="G65">
        <v>-4.3557842239288815</v>
      </c>
      <c r="H65">
        <v>-3.1982310070239759</v>
      </c>
      <c r="I65">
        <v>1.1402780051272201</v>
      </c>
      <c r="J65">
        <v>0.57338480676142201</v>
      </c>
      <c r="K65">
        <v>0.131022290471937</v>
      </c>
      <c r="L65">
        <v>3.5812662854195627E-5</v>
      </c>
      <c r="M65">
        <v>4.181779139430462E-7</v>
      </c>
      <c r="N65" s="1">
        <v>2.5531816703496301E-9</v>
      </c>
      <c r="O65" s="1">
        <v>3.1456725068636798E-13</v>
      </c>
      <c r="P65">
        <v>0</v>
      </c>
      <c r="R65">
        <v>8.8238873354797498</v>
      </c>
      <c r="S65">
        <v>2.2045752805649501</v>
      </c>
      <c r="T65">
        <v>49.896916647707698</v>
      </c>
      <c r="V65">
        <v>38.056334153225599</v>
      </c>
      <c r="X65">
        <v>1.0182865830218499</v>
      </c>
      <c r="AJ65">
        <v>0</v>
      </c>
      <c r="AK65">
        <v>-8.1958831479411395E-3</v>
      </c>
      <c r="AL65">
        <v>0.70291339812161602</v>
      </c>
      <c r="AM65">
        <v>5.6836768415052197E-2</v>
      </c>
      <c r="AN65">
        <v>0.24844571661127199</v>
      </c>
    </row>
    <row r="66" spans="1:40" x14ac:dyDescent="0.2">
      <c r="A66">
        <v>161</v>
      </c>
      <c r="B66">
        <v>740</v>
      </c>
      <c r="C66">
        <v>210</v>
      </c>
      <c r="D66">
        <v>0.36034200266496003</v>
      </c>
      <c r="E66">
        <v>0.64903315898174496</v>
      </c>
      <c r="F66">
        <v>4.9285389836987399</v>
      </c>
      <c r="G66">
        <v>-4.3774133545643572</v>
      </c>
      <c r="H66">
        <v>-3.2173232702830088</v>
      </c>
      <c r="I66">
        <v>1.1450329016249701</v>
      </c>
      <c r="J66">
        <v>0.57635496736744596</v>
      </c>
      <c r="K66">
        <v>0.13168875423902199</v>
      </c>
      <c r="L66">
        <v>3.5848302232498285E-5</v>
      </c>
      <c r="M66">
        <v>4.1897872023506686E-7</v>
      </c>
      <c r="N66" s="1">
        <v>2.57187252341512E-9</v>
      </c>
      <c r="O66" s="1">
        <v>3.1694759419767798E-13</v>
      </c>
      <c r="P66">
        <v>0</v>
      </c>
      <c r="R66">
        <v>8.7017343832417904</v>
      </c>
      <c r="S66">
        <v>2.2981453803383198</v>
      </c>
      <c r="T66">
        <v>50.0187668781141</v>
      </c>
      <c r="V66">
        <v>37.970301779408899</v>
      </c>
      <c r="X66">
        <v>1.0110515788968399</v>
      </c>
      <c r="AJ66">
        <v>0</v>
      </c>
      <c r="AK66">
        <v>-5.7256031377837698E-3</v>
      </c>
      <c r="AL66">
        <v>0.70438925547511</v>
      </c>
      <c r="AM66">
        <v>5.64136626790347E-2</v>
      </c>
      <c r="AN66">
        <v>0.24492268498363701</v>
      </c>
    </row>
    <row r="67" spans="1:40" x14ac:dyDescent="0.2">
      <c r="A67">
        <v>162</v>
      </c>
      <c r="B67">
        <v>738</v>
      </c>
      <c r="C67">
        <v>210</v>
      </c>
      <c r="D67">
        <v>0.35893833753646798</v>
      </c>
      <c r="E67">
        <v>0.65006080880345296</v>
      </c>
      <c r="F67">
        <v>4.9286950905852596</v>
      </c>
      <c r="G67">
        <v>-4.3835613090534284</v>
      </c>
      <c r="H67">
        <v>-3.2250311233308828</v>
      </c>
      <c r="I67">
        <v>1.1457550172798701</v>
      </c>
      <c r="J67">
        <v>0.57729885675725001</v>
      </c>
      <c r="K67">
        <v>0.13189308668032401</v>
      </c>
      <c r="L67">
        <v>3.5879330922625192E-5</v>
      </c>
      <c r="M67">
        <v>4.1972830262592404E-7</v>
      </c>
      <c r="N67" s="1">
        <v>2.5812530641045802E-9</v>
      </c>
      <c r="O67" s="1">
        <v>3.1818032539824702E-13</v>
      </c>
      <c r="P67">
        <v>0</v>
      </c>
      <c r="R67">
        <v>8.5862834514123296</v>
      </c>
      <c r="S67">
        <v>2.3863831650144198</v>
      </c>
      <c r="T67">
        <v>50.133929315072599</v>
      </c>
      <c r="V67">
        <v>37.8896273593842</v>
      </c>
      <c r="X67">
        <v>1.0037767091163201</v>
      </c>
      <c r="AJ67">
        <v>0</v>
      </c>
      <c r="AK67">
        <v>-3.3724343242491801E-3</v>
      </c>
      <c r="AL67">
        <v>0.705786291654529</v>
      </c>
      <c r="AM67">
        <v>5.5989918150024798E-2</v>
      </c>
      <c r="AN67">
        <v>0.24159622451969401</v>
      </c>
    </row>
    <row r="68" spans="1:40" x14ac:dyDescent="0.2">
      <c r="A68">
        <v>163</v>
      </c>
      <c r="B68">
        <v>736</v>
      </c>
      <c r="C68">
        <v>210</v>
      </c>
      <c r="D68">
        <v>0.35752910865580001</v>
      </c>
      <c r="E68">
        <v>0.64973431914968205</v>
      </c>
      <c r="F68">
        <v>4.92887074441777</v>
      </c>
      <c r="G68">
        <v>-4.3804806815309005</v>
      </c>
      <c r="H68">
        <v>-3.22593437178499</v>
      </c>
      <c r="I68">
        <v>1.14407799608176</v>
      </c>
      <c r="J68">
        <v>0.57703480632221504</v>
      </c>
      <c r="K68">
        <v>0.131822146053544</v>
      </c>
      <c r="L68">
        <v>3.5906722957057506E-5</v>
      </c>
      <c r="M68">
        <v>4.2043773188434189E-7</v>
      </c>
      <c r="N68" s="1">
        <v>2.5849991510448E-9</v>
      </c>
      <c r="O68" s="1">
        <v>3.18718030276893E-13</v>
      </c>
      <c r="P68">
        <v>0</v>
      </c>
      <c r="R68">
        <v>8.4758754130456708</v>
      </c>
      <c r="S68">
        <v>2.4707541251789098</v>
      </c>
      <c r="T68">
        <v>50.243887255161198</v>
      </c>
      <c r="V68">
        <v>37.813013795364299</v>
      </c>
      <c r="X68">
        <v>0.99646941124982602</v>
      </c>
      <c r="AJ68">
        <v>0</v>
      </c>
      <c r="AK68">
        <v>-1.10420596653221E-3</v>
      </c>
      <c r="AL68">
        <v>0.70712095194209301</v>
      </c>
      <c r="AM68">
        <v>5.5565559086225499E-2</v>
      </c>
      <c r="AN68">
        <v>0.23841769493821299</v>
      </c>
    </row>
    <row r="69" spans="1:40" x14ac:dyDescent="0.2">
      <c r="A69">
        <v>169</v>
      </c>
      <c r="B69">
        <v>750</v>
      </c>
      <c r="C69">
        <v>200</v>
      </c>
      <c r="D69">
        <v>0.37802912573913899</v>
      </c>
      <c r="E69">
        <v>0.50902544259475102</v>
      </c>
      <c r="F69">
        <v>4.93872024075774</v>
      </c>
      <c r="G69">
        <v>-3.401314275284296</v>
      </c>
      <c r="H69">
        <v>-2.480789102131514</v>
      </c>
      <c r="I69">
        <v>0.89969718335804305</v>
      </c>
      <c r="J69">
        <v>0.45169849154639202</v>
      </c>
      <c r="K69">
        <v>0.103068288499907</v>
      </c>
      <c r="L69">
        <v>3.7382760664652023E-5</v>
      </c>
      <c r="M69">
        <v>4.343829443329688E-7</v>
      </c>
      <c r="N69" s="1">
        <v>2.08927916947807E-9</v>
      </c>
      <c r="O69" s="1">
        <v>2.5782379397102598E-13</v>
      </c>
      <c r="P69">
        <v>0</v>
      </c>
      <c r="R69">
        <v>7.9308225613341898</v>
      </c>
      <c r="S69">
        <v>1.9726767434955499</v>
      </c>
      <c r="T69">
        <v>51.879515466604303</v>
      </c>
      <c r="V69">
        <v>37.224136132827901</v>
      </c>
      <c r="X69">
        <v>0.99284909573788604</v>
      </c>
      <c r="AJ69">
        <v>0</v>
      </c>
      <c r="AK69">
        <v>-1.19203814082976E-2</v>
      </c>
      <c r="AL69">
        <v>0.73255133993330601</v>
      </c>
      <c r="AM69">
        <v>5.5546492955121103E-2</v>
      </c>
      <c r="AN69">
        <v>0.22382254851986999</v>
      </c>
    </row>
    <row r="70" spans="1:40" x14ac:dyDescent="0.2">
      <c r="A70">
        <v>170</v>
      </c>
      <c r="B70">
        <v>748</v>
      </c>
      <c r="C70">
        <v>200</v>
      </c>
      <c r="D70">
        <v>0.37667384811242399</v>
      </c>
      <c r="E70">
        <v>0.61564066324108002</v>
      </c>
      <c r="F70">
        <v>4.9294279574121003</v>
      </c>
      <c r="G70">
        <v>-4.1492233965419709</v>
      </c>
      <c r="H70">
        <v>-3.0364617876471152</v>
      </c>
      <c r="I70">
        <v>1.08971415452661</v>
      </c>
      <c r="J70">
        <v>0.54662929953700501</v>
      </c>
      <c r="K70">
        <v>0.12489089374262501</v>
      </c>
      <c r="L70">
        <v>3.6108318533989428E-5</v>
      </c>
      <c r="M70">
        <v>4.2062809037492408E-7</v>
      </c>
      <c r="N70" s="1">
        <v>2.44521143995971E-9</v>
      </c>
      <c r="O70" s="1">
        <v>3.0113249403564598E-13</v>
      </c>
      <c r="P70">
        <v>0</v>
      </c>
      <c r="R70">
        <v>8.8480758282899306</v>
      </c>
      <c r="S70">
        <v>2.0015712969973198</v>
      </c>
      <c r="T70">
        <v>50.100577308848003</v>
      </c>
      <c r="V70">
        <v>38.009856929503002</v>
      </c>
      <c r="X70">
        <v>1.0399186363616699</v>
      </c>
      <c r="AJ70">
        <v>0</v>
      </c>
      <c r="AK70">
        <v>-1.3895207486858701E-2</v>
      </c>
      <c r="AL70">
        <v>0.70643865218328405</v>
      </c>
      <c r="AM70">
        <v>5.8098153265928799E-2</v>
      </c>
      <c r="AN70">
        <v>0.24935840203764501</v>
      </c>
    </row>
    <row r="71" spans="1:40" x14ac:dyDescent="0.2">
      <c r="A71">
        <v>171</v>
      </c>
      <c r="B71">
        <v>746</v>
      </c>
      <c r="C71">
        <v>200</v>
      </c>
      <c r="D71">
        <v>0.37531325123877901</v>
      </c>
      <c r="E71">
        <v>0.65668995618368198</v>
      </c>
      <c r="F71">
        <v>4.9242695919407202</v>
      </c>
      <c r="G71">
        <v>-4.4462763933368672</v>
      </c>
      <c r="H71">
        <v>-3.2612349717905791</v>
      </c>
      <c r="I71">
        <v>1.1627742938196399</v>
      </c>
      <c r="J71">
        <v>0.58323748266619702</v>
      </c>
      <c r="K71">
        <v>0.133357839964418</v>
      </c>
      <c r="L71">
        <v>3.5425837048212048E-5</v>
      </c>
      <c r="M71">
        <v>4.1344670566294542E-7</v>
      </c>
      <c r="N71" s="1">
        <v>2.5628220188386901E-9</v>
      </c>
      <c r="O71" s="1">
        <v>3.1526396601889597E-13</v>
      </c>
      <c r="P71">
        <v>0</v>
      </c>
      <c r="R71">
        <v>9.3043835250526499</v>
      </c>
      <c r="S71">
        <v>2.0526946295236401</v>
      </c>
      <c r="T71">
        <v>49.172961761082398</v>
      </c>
      <c r="V71">
        <v>38.4055848107499</v>
      </c>
      <c r="X71">
        <v>1.0643752735913099</v>
      </c>
      <c r="AJ71">
        <v>0</v>
      </c>
      <c r="AK71">
        <v>-1.41197013977006E-2</v>
      </c>
      <c r="AL71">
        <v>0.69272918992448196</v>
      </c>
      <c r="AM71">
        <v>5.94104909768828E-2</v>
      </c>
      <c r="AN71">
        <v>0.26198002049633501</v>
      </c>
    </row>
    <row r="72" spans="1:40" x14ac:dyDescent="0.2">
      <c r="A72">
        <v>172</v>
      </c>
      <c r="B72">
        <v>744</v>
      </c>
      <c r="C72">
        <v>200</v>
      </c>
      <c r="D72">
        <v>0.373947303740848</v>
      </c>
      <c r="E72">
        <v>0.65414119162428397</v>
      </c>
      <c r="F72">
        <v>4.92687431500031</v>
      </c>
      <c r="G72">
        <v>-4.4186777528512007</v>
      </c>
      <c r="H72">
        <v>-3.2423354923306156</v>
      </c>
      <c r="I72">
        <v>1.1565081458197699</v>
      </c>
      <c r="J72">
        <v>0.58098306468805905</v>
      </c>
      <c r="K72">
        <v>0.13277001802800001</v>
      </c>
      <c r="L72">
        <v>3.582523167373507E-5</v>
      </c>
      <c r="M72">
        <v>4.1829258151885047E-7</v>
      </c>
      <c r="N72" s="1">
        <v>2.5844285973541601E-9</v>
      </c>
      <c r="O72" s="1">
        <v>3.1821706600284802E-13</v>
      </c>
      <c r="P72">
        <v>0</v>
      </c>
      <c r="R72">
        <v>8.8786005279356992</v>
      </c>
      <c r="S72">
        <v>2.18502848651119</v>
      </c>
      <c r="T72">
        <v>49.826958260027702</v>
      </c>
      <c r="V72">
        <v>38.067668350505301</v>
      </c>
      <c r="X72">
        <v>1.04174437501991</v>
      </c>
      <c r="AJ72">
        <v>0</v>
      </c>
      <c r="AK72">
        <v>-9.9352489447714493E-3</v>
      </c>
      <c r="AL72">
        <v>0.70184104890744403</v>
      </c>
      <c r="AM72">
        <v>5.8138898210065501E-2</v>
      </c>
      <c r="AN72">
        <v>0.249955301827261</v>
      </c>
    </row>
    <row r="73" spans="1:40" x14ac:dyDescent="0.2">
      <c r="A73">
        <v>173</v>
      </c>
      <c r="B73">
        <v>742</v>
      </c>
      <c r="C73">
        <v>200</v>
      </c>
      <c r="D73">
        <v>0.37257597399398801</v>
      </c>
      <c r="E73">
        <v>0.65756095156561001</v>
      </c>
      <c r="F73">
        <v>4.9270136336083503</v>
      </c>
      <c r="G73">
        <v>-4.4410765901165075</v>
      </c>
      <c r="H73">
        <v>-3.2620145746949869</v>
      </c>
      <c r="I73">
        <v>1.16146580842389</v>
      </c>
      <c r="J73">
        <v>0.58405906906775595</v>
      </c>
      <c r="K73">
        <v>0.13346034747706501</v>
      </c>
      <c r="L73">
        <v>3.5862432689296173E-5</v>
      </c>
      <c r="M73">
        <v>4.1911029277028514E-7</v>
      </c>
      <c r="N73" s="1">
        <v>2.6037527971264402E-9</v>
      </c>
      <c r="O73" s="1">
        <v>3.2067591395421998E-13</v>
      </c>
      <c r="P73">
        <v>0</v>
      </c>
      <c r="R73">
        <v>8.7555249765238692</v>
      </c>
      <c r="S73">
        <v>2.2783820442819702</v>
      </c>
      <c r="T73">
        <v>49.950832703075299</v>
      </c>
      <c r="V73">
        <v>37.980771406009502</v>
      </c>
      <c r="X73">
        <v>1.0344888701092501</v>
      </c>
      <c r="AJ73">
        <v>0</v>
      </c>
      <c r="AK73">
        <v>-7.4683287803157996E-3</v>
      </c>
      <c r="AL73">
        <v>0.70334716632886096</v>
      </c>
      <c r="AM73">
        <v>5.7714385475101902E-2</v>
      </c>
      <c r="AN73">
        <v>0.24640677697635199</v>
      </c>
    </row>
    <row r="74" spans="1:40" x14ac:dyDescent="0.2">
      <c r="A74">
        <v>174</v>
      </c>
      <c r="B74">
        <v>740</v>
      </c>
      <c r="C74">
        <v>200</v>
      </c>
      <c r="D74">
        <v>0.37119923012387401</v>
      </c>
      <c r="E74">
        <v>0.65866437562624602</v>
      </c>
      <c r="F74">
        <v>4.9271820934020596</v>
      </c>
      <c r="G74">
        <v>-4.4476823054540553</v>
      </c>
      <c r="H74">
        <v>-3.2700879596112289</v>
      </c>
      <c r="I74">
        <v>1.16230996974073</v>
      </c>
      <c r="J74">
        <v>0.58507020437475199</v>
      </c>
      <c r="K74">
        <v>0.13367973075487799</v>
      </c>
      <c r="L74">
        <v>3.589481610643088E-5</v>
      </c>
      <c r="M74">
        <v>4.1987447421268943E-7</v>
      </c>
      <c r="N74" s="1">
        <v>2.6135874326312001E-9</v>
      </c>
      <c r="O74" s="1">
        <v>3.2196572727351601E-13</v>
      </c>
      <c r="P74">
        <v>0</v>
      </c>
      <c r="R74">
        <v>8.6393719692193596</v>
      </c>
      <c r="S74">
        <v>2.36629028392914</v>
      </c>
      <c r="T74">
        <v>50.067727040465897</v>
      </c>
      <c r="V74">
        <v>37.899416355527897</v>
      </c>
      <c r="X74">
        <v>1.0271943508575601</v>
      </c>
      <c r="AJ74">
        <v>0</v>
      </c>
      <c r="AK74">
        <v>-5.1210737882312601E-3</v>
      </c>
      <c r="AL74">
        <v>0.70477060308856498</v>
      </c>
      <c r="AM74">
        <v>5.7289333651141097E-2</v>
      </c>
      <c r="AN74">
        <v>0.243061137048524</v>
      </c>
    </row>
    <row r="75" spans="1:40" x14ac:dyDescent="0.2">
      <c r="A75">
        <v>175</v>
      </c>
      <c r="B75">
        <v>738</v>
      </c>
      <c r="C75">
        <v>200</v>
      </c>
      <c r="D75">
        <v>0.36981704000395799</v>
      </c>
      <c r="E75">
        <v>0.65840129116852797</v>
      </c>
      <c r="F75">
        <v>4.9273700464809602</v>
      </c>
      <c r="G75">
        <v>-4.4449617986892571</v>
      </c>
      <c r="H75">
        <v>-3.271289753949445</v>
      </c>
      <c r="I75">
        <v>1.1607299062847301</v>
      </c>
      <c r="J75">
        <v>0.58486197389042405</v>
      </c>
      <c r="K75">
        <v>0.13362123911086099</v>
      </c>
      <c r="L75">
        <v>3.5923424183515266E-5</v>
      </c>
      <c r="M75">
        <v>4.2059696391016993E-7</v>
      </c>
      <c r="N75" s="1">
        <v>2.6177301627738899E-9</v>
      </c>
      <c r="O75" s="1">
        <v>3.2255382243819798E-13</v>
      </c>
      <c r="P75">
        <v>0</v>
      </c>
      <c r="R75">
        <v>8.5284085840181501</v>
      </c>
      <c r="S75">
        <v>2.4502565709852502</v>
      </c>
      <c r="T75">
        <v>50.179222235609998</v>
      </c>
      <c r="V75">
        <v>37.822244788618598</v>
      </c>
      <c r="X75">
        <v>1.0198678207679399</v>
      </c>
      <c r="AJ75">
        <v>0</v>
      </c>
      <c r="AK75">
        <v>-2.8604422621087101E-3</v>
      </c>
      <c r="AL75">
        <v>0.70612909565008197</v>
      </c>
      <c r="AM75">
        <v>5.6863726043412798E-2</v>
      </c>
      <c r="AN75">
        <v>0.23986762056861299</v>
      </c>
    </row>
    <row r="76" spans="1:40" x14ac:dyDescent="0.2">
      <c r="A76">
        <v>181</v>
      </c>
      <c r="B76">
        <v>752</v>
      </c>
      <c r="C76">
        <v>190</v>
      </c>
      <c r="D76">
        <v>0.39010925230454402</v>
      </c>
      <c r="E76">
        <v>0.50915585281319098</v>
      </c>
      <c r="F76">
        <v>4.9387941613154398</v>
      </c>
      <c r="G76">
        <v>-3.4017913224497125</v>
      </c>
      <c r="H76">
        <v>-2.4785286427504603</v>
      </c>
      <c r="I76">
        <v>0.90061228083622102</v>
      </c>
      <c r="J76">
        <v>0.45188653712418803</v>
      </c>
      <c r="K76">
        <v>0.10309315111800001</v>
      </c>
      <c r="L76">
        <v>3.7649613952643361E-5</v>
      </c>
      <c r="M76">
        <v>4.3731166292296197E-7</v>
      </c>
      <c r="N76" s="1">
        <v>2.1022290586821801E-9</v>
      </c>
      <c r="O76" s="1">
        <v>2.5937932946198501E-13</v>
      </c>
      <c r="P76">
        <v>0</v>
      </c>
      <c r="R76">
        <v>7.7732188086401797</v>
      </c>
      <c r="S76">
        <v>1.9822952617034499</v>
      </c>
      <c r="T76">
        <v>52.179153511143603</v>
      </c>
      <c r="V76">
        <v>37.059961973422297</v>
      </c>
      <c r="X76">
        <v>1.00537044509032</v>
      </c>
      <c r="AJ76">
        <v>0</v>
      </c>
      <c r="AK76">
        <v>-1.2408244572597199E-2</v>
      </c>
      <c r="AL76">
        <v>0.73678539154920897</v>
      </c>
      <c r="AM76">
        <v>5.6247255272974798E-2</v>
      </c>
      <c r="AN76">
        <v>0.21937559775041199</v>
      </c>
    </row>
    <row r="77" spans="1:40" x14ac:dyDescent="0.2">
      <c r="A77">
        <v>182</v>
      </c>
      <c r="B77">
        <v>750</v>
      </c>
      <c r="C77">
        <v>190</v>
      </c>
      <c r="D77">
        <v>0.38878023750183299</v>
      </c>
      <c r="E77">
        <v>0.61717068572043599</v>
      </c>
      <c r="F77">
        <v>4.9294392967525598</v>
      </c>
      <c r="G77">
        <v>-4.1595394661040288</v>
      </c>
      <c r="H77">
        <v>-3.0409284286267177</v>
      </c>
      <c r="I77">
        <v>1.0933011166273801</v>
      </c>
      <c r="J77">
        <v>0.54808956678883503</v>
      </c>
      <c r="K77">
        <v>0.125200991140517</v>
      </c>
      <c r="L77">
        <v>3.6355212805946713E-5</v>
      </c>
      <c r="M77">
        <v>4.233456177406433E-7</v>
      </c>
      <c r="N77" s="1">
        <v>2.4651018597761601E-9</v>
      </c>
      <c r="O77" s="1">
        <v>3.0352254571307302E-13</v>
      </c>
      <c r="P77">
        <v>0</v>
      </c>
      <c r="R77">
        <v>8.7063651082411706</v>
      </c>
      <c r="S77">
        <v>2.0086734786701501</v>
      </c>
      <c r="T77">
        <v>50.373029750496599</v>
      </c>
      <c r="V77">
        <v>37.858508273600997</v>
      </c>
      <c r="X77">
        <v>1.0534233889909801</v>
      </c>
      <c r="AJ77">
        <v>0</v>
      </c>
      <c r="AK77">
        <v>-1.44927755138361E-2</v>
      </c>
      <c r="AL77">
        <v>0.71027692387270902</v>
      </c>
      <c r="AM77">
        <v>5.8852353195460998E-2</v>
      </c>
      <c r="AN77">
        <v>0.24536349844566399</v>
      </c>
    </row>
    <row r="78" spans="1:40" x14ac:dyDescent="0.2">
      <c r="A78">
        <v>183</v>
      </c>
      <c r="B78">
        <v>748</v>
      </c>
      <c r="C78">
        <v>190</v>
      </c>
      <c r="D78">
        <v>0.38744601674582602</v>
      </c>
      <c r="E78">
        <v>0.65887232988196798</v>
      </c>
      <c r="F78">
        <v>4.9242111969884901</v>
      </c>
      <c r="G78">
        <v>-4.4614478127151269</v>
      </c>
      <c r="H78">
        <v>-3.2691413856100349</v>
      </c>
      <c r="I78">
        <v>1.16761144504244</v>
      </c>
      <c r="J78">
        <v>0.585293251075791</v>
      </c>
      <c r="K78">
        <v>0.13380261396686499</v>
      </c>
      <c r="L78">
        <v>3.565907317786432E-5</v>
      </c>
      <c r="M78">
        <v>4.1601993692355943E-7</v>
      </c>
      <c r="N78" s="1">
        <v>2.58517262551251E-9</v>
      </c>
      <c r="O78" s="1">
        <v>3.1794222680039301E-13</v>
      </c>
      <c r="P78">
        <v>0</v>
      </c>
      <c r="R78">
        <v>9.1734456424979101</v>
      </c>
      <c r="S78">
        <v>2.0586111204536399</v>
      </c>
      <c r="T78">
        <v>49.426442046377403</v>
      </c>
      <c r="V78">
        <v>38.262831392440198</v>
      </c>
      <c r="X78">
        <v>1.0786697982307401</v>
      </c>
      <c r="AJ78">
        <v>0</v>
      </c>
      <c r="AK78">
        <v>-1.4786823065656001E-2</v>
      </c>
      <c r="AL78">
        <v>0.69628988214122001</v>
      </c>
      <c r="AM78">
        <v>6.0207486670843698E-2</v>
      </c>
      <c r="AN78">
        <v>0.25828945425359101</v>
      </c>
    </row>
    <row r="79" spans="1:40" x14ac:dyDescent="0.2">
      <c r="A79">
        <v>184</v>
      </c>
      <c r="B79">
        <v>746</v>
      </c>
      <c r="C79">
        <v>190</v>
      </c>
      <c r="D79">
        <v>0.38610655938772698</v>
      </c>
      <c r="E79">
        <v>0.66276307961271397</v>
      </c>
      <c r="F79">
        <v>4.9252683596336198</v>
      </c>
      <c r="G79">
        <v>-4.4834585442275285</v>
      </c>
      <c r="H79">
        <v>-3.2878283309092149</v>
      </c>
      <c r="I79">
        <v>1.1731641204124099</v>
      </c>
      <c r="J79">
        <v>0.58878278778974302</v>
      </c>
      <c r="K79">
        <v>0.13456385139225399</v>
      </c>
      <c r="L79">
        <v>3.5838599915588992E-5</v>
      </c>
      <c r="M79">
        <v>4.1841891940431006E-7</v>
      </c>
      <c r="N79" s="1">
        <v>2.6165516868116302E-9</v>
      </c>
      <c r="O79" s="1">
        <v>3.2196700618405E-13</v>
      </c>
      <c r="P79">
        <v>0</v>
      </c>
      <c r="R79">
        <v>8.9293520848695298</v>
      </c>
      <c r="S79">
        <v>2.1710418542359</v>
      </c>
      <c r="T79">
        <v>49.7582924862933</v>
      </c>
      <c r="V79">
        <v>38.075771659865701</v>
      </c>
      <c r="X79">
        <v>1.0655419147354499</v>
      </c>
      <c r="AJ79">
        <v>0</v>
      </c>
      <c r="AK79">
        <v>-1.15701568937485E-2</v>
      </c>
      <c r="AL79">
        <v>0.70076661258230499</v>
      </c>
      <c r="AM79">
        <v>5.9457920386440002E-2</v>
      </c>
      <c r="AN79">
        <v>0.25134562392500198</v>
      </c>
    </row>
    <row r="80" spans="1:40" x14ac:dyDescent="0.2">
      <c r="A80">
        <v>185</v>
      </c>
      <c r="B80">
        <v>744</v>
      </c>
      <c r="C80">
        <v>190</v>
      </c>
      <c r="D80">
        <v>0.38476183453767998</v>
      </c>
      <c r="E80">
        <v>0.66613669759246297</v>
      </c>
      <c r="F80">
        <v>4.9254227092901397</v>
      </c>
      <c r="G80">
        <v>-4.5055037459314642</v>
      </c>
      <c r="H80">
        <v>-3.30726771220198</v>
      </c>
      <c r="I80">
        <v>1.1780327716949099</v>
      </c>
      <c r="J80">
        <v>0.59181799096944998</v>
      </c>
      <c r="K80">
        <v>0.13524457430547401</v>
      </c>
      <c r="L80">
        <v>3.5877125568850323E-5</v>
      </c>
      <c r="M80">
        <v>4.1925076136218521E-7</v>
      </c>
      <c r="N80" s="1">
        <v>2.6358434353882099E-9</v>
      </c>
      <c r="O80" s="1">
        <v>3.2442236402778002E-13</v>
      </c>
      <c r="P80">
        <v>0</v>
      </c>
      <c r="R80">
        <v>8.8057559911771701</v>
      </c>
      <c r="S80">
        <v>2.2638185607375299</v>
      </c>
      <c r="T80">
        <v>49.883834710672197</v>
      </c>
      <c r="V80">
        <v>37.988332317108998</v>
      </c>
      <c r="X80">
        <v>1.0582584203039</v>
      </c>
      <c r="AJ80">
        <v>0</v>
      </c>
      <c r="AK80">
        <v>-9.1142531322676093E-3</v>
      </c>
      <c r="AL80">
        <v>0.70229907396771696</v>
      </c>
      <c r="AM80">
        <v>5.9031693257560101E-2</v>
      </c>
      <c r="AN80">
        <v>0.24778348590698901</v>
      </c>
    </row>
    <row r="81" spans="1:40" x14ac:dyDescent="0.2">
      <c r="A81">
        <v>186</v>
      </c>
      <c r="B81">
        <v>742</v>
      </c>
      <c r="C81">
        <v>190</v>
      </c>
      <c r="D81">
        <v>0.38341181106240502</v>
      </c>
      <c r="E81">
        <v>0.66722260777315501</v>
      </c>
      <c r="F81">
        <v>4.9256053410759701</v>
      </c>
      <c r="G81">
        <v>-4.5119281273418164</v>
      </c>
      <c r="H81">
        <v>-3.3152350696135287</v>
      </c>
      <c r="I81">
        <v>1.17883372676775</v>
      </c>
      <c r="J81">
        <v>0.59281315258008305</v>
      </c>
      <c r="K81">
        <v>0.13546002198125801</v>
      </c>
      <c r="L81">
        <v>3.5910689186253111E-5</v>
      </c>
      <c r="M81">
        <v>4.2002748862024223E-7</v>
      </c>
      <c r="N81" s="1">
        <v>2.6457507580399699E-9</v>
      </c>
      <c r="O81" s="1">
        <v>3.2572227715540301E-13</v>
      </c>
      <c r="P81">
        <v>0</v>
      </c>
      <c r="R81">
        <v>8.6891899379807604</v>
      </c>
      <c r="S81">
        <v>2.3511415691226798</v>
      </c>
      <c r="T81">
        <v>50.002200320161698</v>
      </c>
      <c r="V81">
        <v>37.906530195080698</v>
      </c>
      <c r="X81">
        <v>1.05093797765403</v>
      </c>
      <c r="AJ81">
        <v>0</v>
      </c>
      <c r="AK81">
        <v>-6.7783090642339E-3</v>
      </c>
      <c r="AL81">
        <v>0.70374601927629699</v>
      </c>
      <c r="AM81">
        <v>5.8605066852223102E-2</v>
      </c>
      <c r="AN81">
        <v>0.24442722293571301</v>
      </c>
    </row>
    <row r="82" spans="1:40" x14ac:dyDescent="0.2">
      <c r="A82">
        <v>187</v>
      </c>
      <c r="B82">
        <v>740</v>
      </c>
      <c r="C82">
        <v>190</v>
      </c>
      <c r="D82">
        <v>0.382056457582788</v>
      </c>
      <c r="E82">
        <v>0.66696402137280697</v>
      </c>
      <c r="F82">
        <v>4.9258069278681296</v>
      </c>
      <c r="G82">
        <v>-4.5091628224427085</v>
      </c>
      <c r="H82">
        <v>-3.3164355868350182</v>
      </c>
      <c r="I82">
        <v>1.1772464448577999</v>
      </c>
      <c r="J82">
        <v>0.59260813206101604</v>
      </c>
      <c r="K82">
        <v>0.13540198207920101</v>
      </c>
      <c r="L82">
        <v>3.5940376688616014E-5</v>
      </c>
      <c r="M82">
        <v>4.2076142370448497E-7</v>
      </c>
      <c r="N82" s="1">
        <v>2.65004657841382E-9</v>
      </c>
      <c r="O82" s="1">
        <v>3.2633074866130699E-13</v>
      </c>
      <c r="P82">
        <v>0</v>
      </c>
      <c r="R82">
        <v>8.5778906987863799</v>
      </c>
      <c r="S82">
        <v>2.43451261510869</v>
      </c>
      <c r="T82">
        <v>50.115030253819199</v>
      </c>
      <c r="V82">
        <v>37.828979639829598</v>
      </c>
      <c r="X82">
        <v>1.0435867924559901</v>
      </c>
      <c r="AJ82">
        <v>0</v>
      </c>
      <c r="AK82">
        <v>-4.5292706181856201E-3</v>
      </c>
      <c r="AL82">
        <v>0.705126067255475</v>
      </c>
      <c r="AM82">
        <v>5.8177973693357601E-2</v>
      </c>
      <c r="AN82">
        <v>0.241225229669352</v>
      </c>
    </row>
    <row r="83" spans="1:40" x14ac:dyDescent="0.2">
      <c r="A83">
        <v>193</v>
      </c>
      <c r="B83">
        <v>754</v>
      </c>
      <c r="C83">
        <v>180</v>
      </c>
      <c r="D83">
        <v>0.402142335588766</v>
      </c>
      <c r="E83">
        <v>0.52169076439509998</v>
      </c>
      <c r="F83">
        <v>4.9379109385085904</v>
      </c>
      <c r="G83">
        <v>-3.4883088417465871</v>
      </c>
      <c r="H83">
        <v>-2.5395185425890623</v>
      </c>
      <c r="I83">
        <v>0.92371153108847304</v>
      </c>
      <c r="J83">
        <v>0.46312085862087299</v>
      </c>
      <c r="K83">
        <v>0.105650095939694</v>
      </c>
      <c r="L83">
        <v>3.7791086718654892E-5</v>
      </c>
      <c r="M83">
        <v>4.3884569252873986E-7</v>
      </c>
      <c r="N83" s="1">
        <v>2.1596805440337198E-9</v>
      </c>
      <c r="O83" s="1">
        <v>2.6636928998296098E-13</v>
      </c>
      <c r="P83">
        <v>0</v>
      </c>
      <c r="R83">
        <v>7.7106634015601498</v>
      </c>
      <c r="S83">
        <v>1.9921745993716999</v>
      </c>
      <c r="T83">
        <v>52.297798964625102</v>
      </c>
      <c r="V83">
        <v>36.976348447467103</v>
      </c>
      <c r="X83">
        <v>1.02301458697587</v>
      </c>
      <c r="AJ83">
        <v>0</v>
      </c>
      <c r="AK83">
        <v>-1.3175202356865E-2</v>
      </c>
      <c r="AL83">
        <v>0.73836592695337799</v>
      </c>
      <c r="AM83">
        <v>5.7227043007841302E-2</v>
      </c>
      <c r="AN83">
        <v>0.217582232395645</v>
      </c>
    </row>
    <row r="84" spans="1:40" x14ac:dyDescent="0.2">
      <c r="A84">
        <v>194</v>
      </c>
      <c r="B84">
        <v>752</v>
      </c>
      <c r="C84">
        <v>180</v>
      </c>
      <c r="D84">
        <v>0.40083938935765601</v>
      </c>
      <c r="E84">
        <v>0.62233828286595605</v>
      </c>
      <c r="F84">
        <v>4.9289608627221302</v>
      </c>
      <c r="G84">
        <v>-4.1962322546279935</v>
      </c>
      <c r="H84">
        <v>-3.065013753151494</v>
      </c>
      <c r="I84">
        <v>1.10346632344193</v>
      </c>
      <c r="J84">
        <v>0.552801345327122</v>
      </c>
      <c r="K84">
        <v>0.12626155901798999</v>
      </c>
      <c r="L84">
        <v>3.6547335751666908E-5</v>
      </c>
      <c r="M84">
        <v>4.2545426705773743E-7</v>
      </c>
      <c r="N84" s="1">
        <v>2.4960025877225702E-9</v>
      </c>
      <c r="O84" s="1">
        <v>3.0723526733407698E-13</v>
      </c>
      <c r="P84">
        <v>0</v>
      </c>
      <c r="R84">
        <v>8.6043819971525508</v>
      </c>
      <c r="S84">
        <v>2.0195036210541102</v>
      </c>
      <c r="T84">
        <v>50.565808540275398</v>
      </c>
      <c r="V84">
        <v>37.740808410823597</v>
      </c>
      <c r="X84">
        <v>1.06949743069424</v>
      </c>
      <c r="AJ84">
        <v>0</v>
      </c>
      <c r="AK84">
        <v>-1.5150360007023401E-2</v>
      </c>
      <c r="AL84">
        <v>0.71293576643057299</v>
      </c>
      <c r="AM84">
        <v>5.9745394919554003E-2</v>
      </c>
      <c r="AN84">
        <v>0.24246919865689501</v>
      </c>
    </row>
    <row r="85" spans="1:40" x14ac:dyDescent="0.2">
      <c r="A85">
        <v>195</v>
      </c>
      <c r="B85">
        <v>750</v>
      </c>
      <c r="C85">
        <v>180</v>
      </c>
      <c r="D85">
        <v>0.39953134926452799</v>
      </c>
      <c r="E85">
        <v>0.66276338291093395</v>
      </c>
      <c r="F85">
        <v>4.9238229117214898</v>
      </c>
      <c r="G85">
        <v>-4.4895045949513106</v>
      </c>
      <c r="H85">
        <v>-3.2867196161979031</v>
      </c>
      <c r="I85">
        <v>1.1755705211879</v>
      </c>
      <c r="J85">
        <v>0.588882333669978</v>
      </c>
      <c r="K85">
        <v>0.134603415840399</v>
      </c>
      <c r="L85">
        <v>3.585928527856547E-5</v>
      </c>
      <c r="M85">
        <v>4.1822578131272917E-7</v>
      </c>
      <c r="N85" s="1">
        <v>2.61199410101989E-9</v>
      </c>
      <c r="O85" s="1">
        <v>3.2114739314914402E-13</v>
      </c>
      <c r="P85">
        <v>0</v>
      </c>
      <c r="R85">
        <v>9.0654424847414106</v>
      </c>
      <c r="S85">
        <v>2.0687508369757399</v>
      </c>
      <c r="T85">
        <v>49.6316029277627</v>
      </c>
      <c r="V85">
        <v>38.139550349382901</v>
      </c>
      <c r="X85">
        <v>1.0946534011370701</v>
      </c>
      <c r="AJ85">
        <v>0</v>
      </c>
      <c r="AK85">
        <v>-1.54541232029946E-2</v>
      </c>
      <c r="AL85">
        <v>0.69912906805995101</v>
      </c>
      <c r="AM85">
        <v>6.1095177685642002E-2</v>
      </c>
      <c r="AN85">
        <v>0.255229877457401</v>
      </c>
    </row>
    <row r="86" spans="1:40" x14ac:dyDescent="0.2">
      <c r="A86">
        <v>196</v>
      </c>
      <c r="B86">
        <v>748</v>
      </c>
      <c r="C86">
        <v>180</v>
      </c>
      <c r="D86">
        <v>0.39821818537923098</v>
      </c>
      <c r="E86">
        <v>0.67166969536561505</v>
      </c>
      <c r="F86">
        <v>4.9235843886275603</v>
      </c>
      <c r="G86">
        <v>-4.5506788919230967</v>
      </c>
      <c r="H86">
        <v>-3.3351237824458684</v>
      </c>
      <c r="I86">
        <v>1.1903786020439899</v>
      </c>
      <c r="J86">
        <v>0.59685028553264496</v>
      </c>
      <c r="K86">
        <v>0.13641884496120901</v>
      </c>
      <c r="L86">
        <v>3.5853173192090861E-5</v>
      </c>
      <c r="M86">
        <v>4.1856172779910012E-7</v>
      </c>
      <c r="N86" s="1">
        <v>2.6498720104152101E-9</v>
      </c>
      <c r="O86" s="1">
        <v>3.25856151718773E-13</v>
      </c>
      <c r="P86">
        <v>0</v>
      </c>
      <c r="R86">
        <v>8.9751647471491491</v>
      </c>
      <c r="S86">
        <v>2.16369230877438</v>
      </c>
      <c r="T86">
        <v>49.691553791394199</v>
      </c>
      <c r="V86">
        <v>38.079883255061098</v>
      </c>
      <c r="X86">
        <v>1.08970589762112</v>
      </c>
      <c r="AJ86">
        <v>0</v>
      </c>
      <c r="AK86">
        <v>-1.3078182734461E-2</v>
      </c>
      <c r="AL86">
        <v>0.69969549357926197</v>
      </c>
      <c r="AM86">
        <v>6.0794885529590101E-2</v>
      </c>
      <c r="AN86">
        <v>0.25258780362560801</v>
      </c>
    </row>
    <row r="87" spans="1:40" x14ac:dyDescent="0.2">
      <c r="A87">
        <v>197</v>
      </c>
      <c r="B87">
        <v>746</v>
      </c>
      <c r="C87">
        <v>180</v>
      </c>
      <c r="D87">
        <v>0.396899867536674</v>
      </c>
      <c r="E87">
        <v>0.67480345529681895</v>
      </c>
      <c r="F87">
        <v>4.92375664213949</v>
      </c>
      <c r="G87">
        <v>-4.5710429518689395</v>
      </c>
      <c r="H87">
        <v>-3.3533487243405333</v>
      </c>
      <c r="I87">
        <v>1.1948135480826201</v>
      </c>
      <c r="J87">
        <v>0.59967193437094102</v>
      </c>
      <c r="K87">
        <v>0.13705052957361399</v>
      </c>
      <c r="L87">
        <v>3.5892699826051053E-5</v>
      </c>
      <c r="M87">
        <v>4.1940393581241481E-7</v>
      </c>
      <c r="N87" s="1">
        <v>2.6683452825411901E-9</v>
      </c>
      <c r="O87" s="1">
        <v>3.2821138485212702E-13</v>
      </c>
      <c r="P87">
        <v>0</v>
      </c>
      <c r="R87">
        <v>8.8515601692714991</v>
      </c>
      <c r="S87">
        <v>2.2554570620307901</v>
      </c>
      <c r="T87">
        <v>49.818282436123297</v>
      </c>
      <c r="V87">
        <v>37.9923144298088</v>
      </c>
      <c r="X87">
        <v>1.0823859027655101</v>
      </c>
      <c r="AJ87">
        <v>0</v>
      </c>
      <c r="AK87">
        <v>-1.0642569690133099E-2</v>
      </c>
      <c r="AL87">
        <v>0.70124882794957999</v>
      </c>
      <c r="AM87">
        <v>6.0366607353022503E-2</v>
      </c>
      <c r="AN87">
        <v>0.24902713438752999</v>
      </c>
    </row>
    <row r="88" spans="1:40" x14ac:dyDescent="0.2">
      <c r="A88">
        <v>198</v>
      </c>
      <c r="B88">
        <v>744</v>
      </c>
      <c r="C88">
        <v>180</v>
      </c>
      <c r="D88">
        <v>0.39557636533451601</v>
      </c>
      <c r="E88">
        <v>0.67576335748643601</v>
      </c>
      <c r="F88">
        <v>4.9239554817307702</v>
      </c>
      <c r="G88">
        <v>-4.5765397162427979</v>
      </c>
      <c r="H88">
        <v>-3.3606606310466915</v>
      </c>
      <c r="I88">
        <v>1.1953783465527199</v>
      </c>
      <c r="J88">
        <v>0.60055424350088005</v>
      </c>
      <c r="K88">
        <v>0.137239940530271</v>
      </c>
      <c r="L88">
        <v>3.5927207031565994E-5</v>
      </c>
      <c r="M88">
        <v>4.2019044350536688E-7</v>
      </c>
      <c r="N88" s="1">
        <v>2.6778795532662502E-9</v>
      </c>
      <c r="O88" s="1">
        <v>3.2946658523971202E-13</v>
      </c>
      <c r="P88">
        <v>0</v>
      </c>
      <c r="R88">
        <v>8.7349482976733306</v>
      </c>
      <c r="S88">
        <v>2.3418859818493498</v>
      </c>
      <c r="T88">
        <v>49.937769716788402</v>
      </c>
      <c r="V88">
        <v>37.9103637731478</v>
      </c>
      <c r="X88">
        <v>1.07503223054102</v>
      </c>
      <c r="AJ88">
        <v>0</v>
      </c>
      <c r="AK88">
        <v>-8.3244689242527401E-3</v>
      </c>
      <c r="AL88">
        <v>0.70271528286951501</v>
      </c>
      <c r="AM88">
        <v>5.9938101826244303E-2</v>
      </c>
      <c r="AN88">
        <v>0.24567108422849299</v>
      </c>
    </row>
    <row r="89" spans="1:40" x14ac:dyDescent="0.2">
      <c r="A89">
        <v>199</v>
      </c>
      <c r="B89">
        <v>742</v>
      </c>
      <c r="C89">
        <v>180</v>
      </c>
      <c r="D89">
        <v>0.39424764813081797</v>
      </c>
      <c r="E89">
        <v>0.67544139270228198</v>
      </c>
      <c r="F89">
        <v>4.9241721992866996</v>
      </c>
      <c r="G89">
        <v>-4.5732611378881582</v>
      </c>
      <c r="H89">
        <v>-3.3615138498410335</v>
      </c>
      <c r="I89">
        <v>1.1936632892155099</v>
      </c>
      <c r="J89">
        <v>0.60029174864208601</v>
      </c>
      <c r="K89">
        <v>0.13716851591829399</v>
      </c>
      <c r="L89">
        <v>3.595779010344937E-5</v>
      </c>
      <c r="M89">
        <v>4.209336653343526E-7</v>
      </c>
      <c r="N89" s="1">
        <v>2.68204596415878E-9</v>
      </c>
      <c r="O89" s="1">
        <v>3.3006068042712498E-13</v>
      </c>
      <c r="P89">
        <v>0</v>
      </c>
      <c r="R89">
        <v>8.6235913643773703</v>
      </c>
      <c r="S89">
        <v>2.42443169876096</v>
      </c>
      <c r="T89">
        <v>50.051664578927699</v>
      </c>
      <c r="V89">
        <v>37.8326623628314</v>
      </c>
      <c r="X89">
        <v>1.0676499951024401</v>
      </c>
      <c r="AJ89">
        <v>0</v>
      </c>
      <c r="AK89">
        <v>-6.0918541830446002E-3</v>
      </c>
      <c r="AL89">
        <v>0.704113770173739</v>
      </c>
      <c r="AM89">
        <v>5.9509247469686097E-2</v>
      </c>
      <c r="AN89">
        <v>0.24246883653961801</v>
      </c>
    </row>
    <row r="90" spans="1:40" x14ac:dyDescent="0.2">
      <c r="A90">
        <v>200</v>
      </c>
      <c r="B90">
        <v>740</v>
      </c>
      <c r="C90">
        <v>180</v>
      </c>
      <c r="D90">
        <v>0.39291368504170499</v>
      </c>
      <c r="E90">
        <v>0.67429066828042905</v>
      </c>
      <c r="F90">
        <v>4.9244009307557004</v>
      </c>
      <c r="G90">
        <v>-4.5643097253333815</v>
      </c>
      <c r="H90">
        <v>-3.3581780366327347</v>
      </c>
      <c r="I90">
        <v>1.19047691723895</v>
      </c>
      <c r="J90">
        <v>0.59928841583055503</v>
      </c>
      <c r="K90">
        <v>0.13692846658140601</v>
      </c>
      <c r="L90">
        <v>3.5985151659452786E-5</v>
      </c>
      <c r="M90">
        <v>4.2164155767287788E-7</v>
      </c>
      <c r="N90" s="1">
        <v>2.6826719076501799E-9</v>
      </c>
      <c r="O90" s="1">
        <v>3.3021829644559401E-13</v>
      </c>
      <c r="P90">
        <v>0</v>
      </c>
      <c r="R90">
        <v>8.5163628489493703</v>
      </c>
      <c r="S90">
        <v>2.5040469804158501</v>
      </c>
      <c r="T90">
        <v>50.161023548455297</v>
      </c>
      <c r="V90">
        <v>37.758322955822401</v>
      </c>
      <c r="X90">
        <v>1.0602436663569199</v>
      </c>
      <c r="AJ90">
        <v>0</v>
      </c>
      <c r="AK90">
        <v>-3.9237869161028102E-3</v>
      </c>
      <c r="AL90">
        <v>0.70545632829395</v>
      </c>
      <c r="AM90">
        <v>5.90800255279098E-2</v>
      </c>
      <c r="AN90">
        <v>0.23938743309424201</v>
      </c>
    </row>
    <row r="91" spans="1:40" x14ac:dyDescent="0.2">
      <c r="A91">
        <v>207</v>
      </c>
      <c r="B91">
        <v>756</v>
      </c>
      <c r="C91">
        <v>170</v>
      </c>
      <c r="D91">
        <v>0.41412864985667802</v>
      </c>
      <c r="E91">
        <v>0.54527292123432303</v>
      </c>
      <c r="F91">
        <v>4.9360684824729297</v>
      </c>
      <c r="G91">
        <v>-3.6522462521842947</v>
      </c>
      <c r="H91">
        <v>-2.657392820128798</v>
      </c>
      <c r="I91">
        <v>0.96667485988971003</v>
      </c>
      <c r="J91">
        <v>0.484208990612778</v>
      </c>
      <c r="K91">
        <v>0.11046704946871901</v>
      </c>
      <c r="L91">
        <v>3.7807876031993236E-5</v>
      </c>
      <c r="M91">
        <v>4.3899628473117294E-7</v>
      </c>
      <c r="N91" s="1">
        <v>2.25598157989938E-9</v>
      </c>
      <c r="O91" s="1">
        <v>2.7808493019298402E-13</v>
      </c>
      <c r="P91">
        <v>0</v>
      </c>
      <c r="R91">
        <v>7.74185773127902</v>
      </c>
      <c r="S91">
        <v>2.0034458737331802</v>
      </c>
      <c r="T91">
        <v>52.236723730027599</v>
      </c>
      <c r="V91">
        <v>36.972014527308097</v>
      </c>
      <c r="X91">
        <v>1.04595813765194</v>
      </c>
      <c r="AJ91">
        <v>0</v>
      </c>
      <c r="AK91">
        <v>-1.4205624679609501E-2</v>
      </c>
      <c r="AL91">
        <v>0.73730663006214103</v>
      </c>
      <c r="AM91">
        <v>5.8494866709618502E-2</v>
      </c>
      <c r="AN91">
        <v>0.21840412790784899</v>
      </c>
    </row>
    <row r="92" spans="1:40" x14ac:dyDescent="0.2">
      <c r="A92">
        <v>208</v>
      </c>
      <c r="B92">
        <v>754</v>
      </c>
      <c r="C92">
        <v>170</v>
      </c>
      <c r="D92">
        <v>0.412851579613494</v>
      </c>
      <c r="E92">
        <v>0.63139335408830199</v>
      </c>
      <c r="F92">
        <v>4.9279335674171403</v>
      </c>
      <c r="G92">
        <v>-4.2613251170504762</v>
      </c>
      <c r="H92">
        <v>-3.1102055602983536</v>
      </c>
      <c r="I92">
        <v>1.1206927486269</v>
      </c>
      <c r="J92">
        <v>0.56099364697331</v>
      </c>
      <c r="K92">
        <v>0.12812537860960399</v>
      </c>
      <c r="L92">
        <v>3.6677691781534232E-5</v>
      </c>
      <c r="M92">
        <v>4.2687801675671178E-7</v>
      </c>
      <c r="N92" s="1">
        <v>2.5385470699223501E-9</v>
      </c>
      <c r="O92" s="1">
        <v>3.1234144552623802E-13</v>
      </c>
      <c r="P92">
        <v>0</v>
      </c>
      <c r="R92">
        <v>8.5469518271103997</v>
      </c>
      <c r="S92">
        <v>2.0347867572082401</v>
      </c>
      <c r="T92">
        <v>50.668963018114901</v>
      </c>
      <c r="V92">
        <v>37.6607592372863</v>
      </c>
      <c r="X92">
        <v>1.0885391602801</v>
      </c>
      <c r="AJ92">
        <v>0</v>
      </c>
      <c r="AK92">
        <v>-1.58738500337001E-2</v>
      </c>
      <c r="AL92">
        <v>0.71426622616978297</v>
      </c>
      <c r="AM92">
        <v>6.0798574956492102E-2</v>
      </c>
      <c r="AN92">
        <v>0.24080904890742399</v>
      </c>
    </row>
    <row r="93" spans="1:40" x14ac:dyDescent="0.2">
      <c r="A93">
        <v>209</v>
      </c>
      <c r="B93">
        <v>752</v>
      </c>
      <c r="C93">
        <v>170</v>
      </c>
      <c r="D93">
        <v>0.41156952641076899</v>
      </c>
      <c r="E93">
        <v>0.66860020836558398</v>
      </c>
      <c r="F93">
        <v>4.92305166417749</v>
      </c>
      <c r="G93">
        <v>-4.5323254490768985</v>
      </c>
      <c r="H93">
        <v>-3.3153713192969163</v>
      </c>
      <c r="I93">
        <v>1.1870985999902199</v>
      </c>
      <c r="J93">
        <v>0.59422046874882495</v>
      </c>
      <c r="K93">
        <v>0.135810114127105</v>
      </c>
      <c r="L93">
        <v>3.6020713394408309E-5</v>
      </c>
      <c r="M93">
        <v>4.2000141589390807E-7</v>
      </c>
      <c r="N93" s="1">
        <v>2.6438687354191599E-9</v>
      </c>
      <c r="O93" s="1">
        <v>3.2494567501349401E-13</v>
      </c>
      <c r="P93">
        <v>0</v>
      </c>
      <c r="R93">
        <v>8.9842579545743302</v>
      </c>
      <c r="S93">
        <v>2.0839012278029898</v>
      </c>
      <c r="T93">
        <v>49.780202612509299</v>
      </c>
      <c r="V93">
        <v>38.038978171263899</v>
      </c>
      <c r="X93">
        <v>1.11266003384931</v>
      </c>
      <c r="AJ93">
        <v>0</v>
      </c>
      <c r="AK93">
        <v>-1.6122579597364999E-2</v>
      </c>
      <c r="AL93">
        <v>0.70112288020431301</v>
      </c>
      <c r="AM93">
        <v>6.2091365722837903E-2</v>
      </c>
      <c r="AN93">
        <v>0.25290833367021298</v>
      </c>
    </row>
    <row r="94" spans="1:40" x14ac:dyDescent="0.2">
      <c r="A94">
        <v>210</v>
      </c>
      <c r="B94">
        <v>750</v>
      </c>
      <c r="C94">
        <v>170</v>
      </c>
      <c r="D94">
        <v>0.41028246102722199</v>
      </c>
      <c r="E94">
        <v>0.68983023767448604</v>
      </c>
      <c r="F94">
        <v>4.9196124473920904</v>
      </c>
      <c r="G94">
        <v>-4.6904098962821621</v>
      </c>
      <c r="H94">
        <v>-3.4373461874994495</v>
      </c>
      <c r="I94">
        <v>1.2247116344453</v>
      </c>
      <c r="J94">
        <v>0.613195215695296</v>
      </c>
      <c r="K94">
        <v>0.14022044318555299</v>
      </c>
      <c r="L94">
        <v>3.5558276862838374E-5</v>
      </c>
      <c r="M94">
        <v>4.152726210616899E-7</v>
      </c>
      <c r="N94" s="1">
        <v>2.6964778381465799E-9</v>
      </c>
      <c r="O94" s="1">
        <v>3.3116295930995698E-13</v>
      </c>
      <c r="P94">
        <v>0</v>
      </c>
      <c r="R94">
        <v>9.2724305801454801</v>
      </c>
      <c r="S94">
        <v>2.1359624721122099</v>
      </c>
      <c r="T94">
        <v>49.171327617922998</v>
      </c>
      <c r="V94">
        <v>38.2918166719463</v>
      </c>
      <c r="X94">
        <v>1.12846265787292</v>
      </c>
      <c r="AJ94">
        <v>0</v>
      </c>
      <c r="AK94">
        <v>-1.5845164490270999E-2</v>
      </c>
      <c r="AL94">
        <v>0.69207325463852798</v>
      </c>
      <c r="AM94">
        <v>6.2930121149303603E-2</v>
      </c>
      <c r="AN94">
        <v>0.26084178870243802</v>
      </c>
    </row>
    <row r="95" spans="1:40" x14ac:dyDescent="0.2">
      <c r="A95">
        <v>211</v>
      </c>
      <c r="B95">
        <v>748</v>
      </c>
      <c r="C95">
        <v>170</v>
      </c>
      <c r="D95">
        <v>0.40899035401263301</v>
      </c>
      <c r="E95">
        <v>0.68358012544501401</v>
      </c>
      <c r="F95">
        <v>4.9220048102731804</v>
      </c>
      <c r="G95">
        <v>-4.6378875641846236</v>
      </c>
      <c r="H95">
        <v>-3.4004111692768912</v>
      </c>
      <c r="I95">
        <v>1.2118458550729301</v>
      </c>
      <c r="J95">
        <v>0.60763991931571104</v>
      </c>
      <c r="K95">
        <v>0.13888245781845801</v>
      </c>
      <c r="L95">
        <v>3.5909500431724235E-5</v>
      </c>
      <c r="M95">
        <v>4.1957394486448347E-7</v>
      </c>
      <c r="N95" s="1">
        <v>2.7013671253371899E-9</v>
      </c>
      <c r="O95" s="1">
        <v>3.3205601088344399E-13</v>
      </c>
      <c r="P95">
        <v>0</v>
      </c>
      <c r="R95">
        <v>8.8919901548531897</v>
      </c>
      <c r="S95">
        <v>2.2543999166109301</v>
      </c>
      <c r="T95">
        <v>49.7547244484917</v>
      </c>
      <c r="V95">
        <v>37.9919842556872</v>
      </c>
      <c r="X95">
        <v>1.1069012243568099</v>
      </c>
      <c r="AJ95">
        <v>0</v>
      </c>
      <c r="AK95">
        <v>-1.20304986226277E-2</v>
      </c>
      <c r="AL95">
        <v>0.70020049132381801</v>
      </c>
      <c r="AM95">
        <v>6.1720324010451501E-2</v>
      </c>
      <c r="AN95">
        <v>0.25010968328835698</v>
      </c>
    </row>
    <row r="96" spans="1:40" x14ac:dyDescent="0.2">
      <c r="A96">
        <v>212</v>
      </c>
      <c r="B96">
        <v>746</v>
      </c>
      <c r="C96">
        <v>170</v>
      </c>
      <c r="D96">
        <v>0.40769317568562202</v>
      </c>
      <c r="E96">
        <v>0.68429992740328804</v>
      </c>
      <c r="F96">
        <v>4.9222219744520297</v>
      </c>
      <c r="G96">
        <v>-4.6416680694140089</v>
      </c>
      <c r="H96">
        <v>-3.4064880393571952</v>
      </c>
      <c r="I96">
        <v>1.2119707894390499</v>
      </c>
      <c r="J96">
        <v>0.60830736880118597</v>
      </c>
      <c r="K96">
        <v>0.13902256561265</v>
      </c>
      <c r="L96">
        <v>3.5944652821084652E-5</v>
      </c>
      <c r="M96">
        <v>4.2036676185733859E-7</v>
      </c>
      <c r="N96" s="1">
        <v>2.7100560578971401E-9</v>
      </c>
      <c r="O96" s="1">
        <v>3.3320851837969299E-13</v>
      </c>
      <c r="P96">
        <v>0</v>
      </c>
      <c r="R96">
        <v>8.7757695245543204</v>
      </c>
      <c r="S96">
        <v>2.33958505213959</v>
      </c>
      <c r="T96">
        <v>49.874896580250898</v>
      </c>
      <c r="V96">
        <v>37.910242661840201</v>
      </c>
      <c r="X96">
        <v>1.0995061812148801</v>
      </c>
      <c r="AJ96">
        <v>0</v>
      </c>
      <c r="AK96">
        <v>-9.7376470306029996E-3</v>
      </c>
      <c r="AL96">
        <v>0.70168133112006903</v>
      </c>
      <c r="AM96">
        <v>6.12896064407897E-2</v>
      </c>
      <c r="AN96">
        <v>0.246766709469743</v>
      </c>
    </row>
    <row r="97" spans="1:40" x14ac:dyDescent="0.2">
      <c r="A97">
        <v>213</v>
      </c>
      <c r="B97">
        <v>744</v>
      </c>
      <c r="C97">
        <v>170</v>
      </c>
      <c r="D97">
        <v>0.40639089613134799</v>
      </c>
      <c r="E97">
        <v>0.68384257864865505</v>
      </c>
      <c r="F97">
        <v>4.9224553924129699</v>
      </c>
      <c r="G97">
        <v>-4.6373768410345351</v>
      </c>
      <c r="H97">
        <v>-3.4066258092191064</v>
      </c>
      <c r="I97">
        <v>1.2099995397094101</v>
      </c>
      <c r="J97">
        <v>0.60792293744162595</v>
      </c>
      <c r="K97">
        <v>0.138923062604623</v>
      </c>
      <c r="L97">
        <v>3.5975898759894301E-5</v>
      </c>
      <c r="M97">
        <v>4.2111655189622919E-7</v>
      </c>
      <c r="N97" s="1">
        <v>2.7137905145688701E-9</v>
      </c>
      <c r="O97" s="1">
        <v>3.3375108014341802E-13</v>
      </c>
      <c r="P97">
        <v>0</v>
      </c>
      <c r="R97">
        <v>8.6646881010860497</v>
      </c>
      <c r="S97">
        <v>2.4210430020300402</v>
      </c>
      <c r="T97">
        <v>49.989517892559</v>
      </c>
      <c r="V97">
        <v>37.832665360674902</v>
      </c>
      <c r="X97">
        <v>1.09208564364986</v>
      </c>
      <c r="AJ97">
        <v>0</v>
      </c>
      <c r="AK97">
        <v>-7.5269694787720304E-3</v>
      </c>
      <c r="AL97">
        <v>0.70309425643744805</v>
      </c>
      <c r="AM97">
        <v>6.0858682109405801E-2</v>
      </c>
      <c r="AN97">
        <v>0.24357403093191701</v>
      </c>
    </row>
    <row r="98" spans="1:40" x14ac:dyDescent="0.2">
      <c r="A98">
        <v>214</v>
      </c>
      <c r="B98">
        <v>742</v>
      </c>
      <c r="C98">
        <v>170</v>
      </c>
      <c r="D98">
        <v>0.40508348519923099</v>
      </c>
      <c r="E98">
        <v>0.68261814397568399</v>
      </c>
      <c r="F98">
        <v>4.9226997175880003</v>
      </c>
      <c r="G98">
        <v>-4.6278271803679125</v>
      </c>
      <c r="H98">
        <v>-3.4028813076191078</v>
      </c>
      <c r="I98">
        <v>1.20666489952106</v>
      </c>
      <c r="J98">
        <v>0.60685239231722099</v>
      </c>
      <c r="K98">
        <v>0.13866743517521499</v>
      </c>
      <c r="L98">
        <v>3.6003927672648667E-5</v>
      </c>
      <c r="M98">
        <v>4.2183111213286053E-7</v>
      </c>
      <c r="N98" s="1">
        <v>2.7142276023291401E-9</v>
      </c>
      <c r="O98" s="1">
        <v>3.3388727119276501E-13</v>
      </c>
      <c r="P98">
        <v>0</v>
      </c>
      <c r="R98">
        <v>8.5576646205527496</v>
      </c>
      <c r="S98">
        <v>2.4996721425666601</v>
      </c>
      <c r="T98">
        <v>50.099621139217703</v>
      </c>
      <c r="V98">
        <v>37.758398703227797</v>
      </c>
      <c r="X98">
        <v>1.08464339443503</v>
      </c>
      <c r="AJ98">
        <v>0</v>
      </c>
      <c r="AK98">
        <v>-5.3786970404462097E-3</v>
      </c>
      <c r="AL98">
        <v>0.70445115272783698</v>
      </c>
      <c r="AM98">
        <v>6.0427504840415897E-2</v>
      </c>
      <c r="AN98">
        <v>0.24050003947219201</v>
      </c>
    </row>
    <row r="99" spans="1:40" x14ac:dyDescent="0.2">
      <c r="A99">
        <v>221</v>
      </c>
      <c r="B99">
        <v>760</v>
      </c>
      <c r="C99">
        <v>160</v>
      </c>
      <c r="D99">
        <v>0.427315007501331</v>
      </c>
      <c r="E99">
        <v>0.322722347994364</v>
      </c>
      <c r="F99">
        <v>4.9475654249527299</v>
      </c>
      <c r="G99">
        <v>-2.1363879143558449</v>
      </c>
      <c r="H99">
        <v>-1.5462984264645241</v>
      </c>
      <c r="I99">
        <v>0.57115567719239202</v>
      </c>
      <c r="J99">
        <v>0.28636109443441499</v>
      </c>
      <c r="K99">
        <v>6.52285154970835E-2</v>
      </c>
      <c r="L99">
        <v>3.9929365274892605E-5</v>
      </c>
      <c r="M99">
        <v>4.6214558415386048E-7</v>
      </c>
      <c r="N99" s="1">
        <v>1.40562983671822E-9</v>
      </c>
      <c r="O99" s="1">
        <v>1.7366798459299499E-13</v>
      </c>
      <c r="P99">
        <v>0</v>
      </c>
      <c r="R99">
        <v>6.2021432529012204</v>
      </c>
      <c r="S99">
        <v>2.0593264981680202</v>
      </c>
      <c r="T99">
        <v>55.1192285197885</v>
      </c>
      <c r="V99">
        <v>35.617012165285402</v>
      </c>
      <c r="X99">
        <v>1.00228956385671</v>
      </c>
      <c r="AJ99">
        <v>0</v>
      </c>
      <c r="AK99">
        <v>-1.05441270893291E-2</v>
      </c>
      <c r="AL99">
        <v>0.77917323553049</v>
      </c>
      <c r="AM99">
        <v>5.6137794697712497E-2</v>
      </c>
      <c r="AN99">
        <v>0.17523309686112601</v>
      </c>
    </row>
    <row r="100" spans="1:40" x14ac:dyDescent="0.2">
      <c r="A100">
        <v>222</v>
      </c>
      <c r="B100">
        <v>758</v>
      </c>
      <c r="C100">
        <v>160</v>
      </c>
      <c r="D100">
        <v>0.426068467245311</v>
      </c>
      <c r="E100">
        <v>0.57554132607720099</v>
      </c>
      <c r="F100">
        <v>4.9334077366156999</v>
      </c>
      <c r="G100">
        <v>-3.8646125869485131</v>
      </c>
      <c r="H100">
        <v>-2.8109588828526153</v>
      </c>
      <c r="I100">
        <v>1.02182388992474</v>
      </c>
      <c r="J100">
        <v>0.51128695033622495</v>
      </c>
      <c r="K100">
        <v>0.11666202284590001</v>
      </c>
      <c r="L100">
        <v>3.7723965573481737E-5</v>
      </c>
      <c r="M100">
        <v>4.3803406793257575E-7</v>
      </c>
      <c r="N100" s="1">
        <v>2.3736346239851301E-9</v>
      </c>
      <c r="O100" s="1">
        <v>2.9236287394617702E-13</v>
      </c>
      <c r="P100">
        <v>0</v>
      </c>
      <c r="R100">
        <v>7.8470952472489204</v>
      </c>
      <c r="S100">
        <v>2.0187585343077199</v>
      </c>
      <c r="T100">
        <v>52.030513955459703</v>
      </c>
      <c r="V100">
        <v>37.030050243212301</v>
      </c>
      <c r="X100">
        <v>1.07358201977126</v>
      </c>
      <c r="AJ100">
        <v>0</v>
      </c>
      <c r="AK100">
        <v>-1.5405859092479299E-2</v>
      </c>
      <c r="AL100">
        <v>0.734104778767943</v>
      </c>
      <c r="AM100">
        <v>6.0015911773227897E-2</v>
      </c>
      <c r="AN100">
        <v>0.221285168551308</v>
      </c>
    </row>
    <row r="101" spans="1:40" x14ac:dyDescent="0.2">
      <c r="A101">
        <v>223</v>
      </c>
      <c r="B101">
        <v>756</v>
      </c>
      <c r="C101">
        <v>160</v>
      </c>
      <c r="D101">
        <v>0.424817082058009</v>
      </c>
      <c r="E101">
        <v>0.64389036943191302</v>
      </c>
      <c r="F101">
        <v>4.9263465978891698</v>
      </c>
      <c r="G101">
        <v>-4.3520376684397117</v>
      </c>
      <c r="H101">
        <v>-3.1744627610788663</v>
      </c>
      <c r="I101">
        <v>1.1442208690286499</v>
      </c>
      <c r="J101">
        <v>0.57227675263325894</v>
      </c>
      <c r="K101">
        <v>0.13070342425922701</v>
      </c>
      <c r="L101">
        <v>3.6746410345834532E-5</v>
      </c>
      <c r="M101">
        <v>4.2762034277504021E-7</v>
      </c>
      <c r="N101" s="1">
        <v>2.59090228964024E-9</v>
      </c>
      <c r="O101" s="1">
        <v>3.1861057484192699E-13</v>
      </c>
      <c r="P101">
        <v>0</v>
      </c>
      <c r="R101">
        <v>8.5332675546512906</v>
      </c>
      <c r="S101">
        <v>2.0556447597649301</v>
      </c>
      <c r="T101">
        <v>50.682807416388997</v>
      </c>
      <c r="V101">
        <v>37.617591718612601</v>
      </c>
      <c r="X101">
        <v>1.11068855058212</v>
      </c>
      <c r="AJ101">
        <v>0</v>
      </c>
      <c r="AK101">
        <v>-1.6645961444739999E-2</v>
      </c>
      <c r="AL101">
        <v>0.71426844963782399</v>
      </c>
      <c r="AM101">
        <v>6.2018940470408103E-2</v>
      </c>
      <c r="AN101">
        <v>0.24035857133650701</v>
      </c>
    </row>
    <row r="102" spans="1:40" x14ac:dyDescent="0.2">
      <c r="A102">
        <v>224</v>
      </c>
      <c r="B102">
        <v>754</v>
      </c>
      <c r="C102">
        <v>160</v>
      </c>
      <c r="D102">
        <v>0.42356082363822201</v>
      </c>
      <c r="E102">
        <v>0.67638510462113499</v>
      </c>
      <c r="F102">
        <v>4.9218628182105304</v>
      </c>
      <c r="G102">
        <v>-4.5901572397754107</v>
      </c>
      <c r="H102">
        <v>-3.3552930732340793</v>
      </c>
      <c r="I102">
        <v>1.2022237906258399</v>
      </c>
      <c r="J102">
        <v>0.601314724790596</v>
      </c>
      <c r="K102">
        <v>0.13742461535469</v>
      </c>
      <c r="L102">
        <v>3.6140269209398991E-5</v>
      </c>
      <c r="M102">
        <v>4.2131394913053067E-7</v>
      </c>
      <c r="N102" s="1">
        <v>2.6805980734503601E-9</v>
      </c>
      <c r="O102" s="1">
        <v>3.2930812269429702E-13</v>
      </c>
      <c r="P102">
        <v>0</v>
      </c>
      <c r="R102">
        <v>8.9316308216158493</v>
      </c>
      <c r="S102">
        <v>2.10503643112223</v>
      </c>
      <c r="T102">
        <v>49.867869549592903</v>
      </c>
      <c r="V102">
        <v>37.962533202293599</v>
      </c>
      <c r="X102">
        <v>1.1329299953752601</v>
      </c>
      <c r="AJ102">
        <v>0</v>
      </c>
      <c r="AK102">
        <v>-1.6783827898365199E-2</v>
      </c>
      <c r="AL102">
        <v>0.70220348528833898</v>
      </c>
      <c r="AM102">
        <v>6.3208645648637804E-2</v>
      </c>
      <c r="AN102">
        <v>0.251371696961387</v>
      </c>
    </row>
    <row r="103" spans="1:40" x14ac:dyDescent="0.2">
      <c r="A103">
        <v>225</v>
      </c>
      <c r="B103">
        <v>752</v>
      </c>
      <c r="C103">
        <v>160</v>
      </c>
      <c r="D103">
        <v>0.42229966346388498</v>
      </c>
      <c r="E103">
        <v>0.69574184084348001</v>
      </c>
      <c r="F103">
        <v>4.9186158414546197</v>
      </c>
      <c r="G103">
        <v>-4.7350262626453654</v>
      </c>
      <c r="H103">
        <v>-3.4674316146305144</v>
      </c>
      <c r="I103">
        <v>1.2364967546357599</v>
      </c>
      <c r="J103">
        <v>0.61862541707978402</v>
      </c>
      <c r="K103">
        <v>0.14145073802668001</v>
      </c>
      <c r="L103">
        <v>3.5700450054857131E-5</v>
      </c>
      <c r="M103">
        <v>4.1684101885281236E-7</v>
      </c>
      <c r="N103" s="1">
        <v>2.7274220801140399E-9</v>
      </c>
      <c r="O103" s="1">
        <v>3.34821026789567E-13</v>
      </c>
      <c r="P103">
        <v>0</v>
      </c>
      <c r="R103">
        <v>9.2027972930495796</v>
      </c>
      <c r="S103">
        <v>2.15652107885438</v>
      </c>
      <c r="T103">
        <v>49.292064551204298</v>
      </c>
      <c r="V103">
        <v>38.2006832615278</v>
      </c>
      <c r="X103">
        <v>1.14793381536374</v>
      </c>
      <c r="AJ103">
        <v>0</v>
      </c>
      <c r="AK103">
        <v>-1.6474614872441298E-2</v>
      </c>
      <c r="AL103">
        <v>0.69363824717978495</v>
      </c>
      <c r="AM103">
        <v>6.4003557882296197E-2</v>
      </c>
      <c r="AN103">
        <v>0.258832809810359</v>
      </c>
    </row>
    <row r="104" spans="1:40" x14ac:dyDescent="0.2">
      <c r="A104">
        <v>226</v>
      </c>
      <c r="B104">
        <v>750</v>
      </c>
      <c r="C104">
        <v>160</v>
      </c>
      <c r="D104">
        <v>0.42103357278991599</v>
      </c>
      <c r="E104">
        <v>0.69244996392646896</v>
      </c>
      <c r="F104">
        <v>4.9201554134676</v>
      </c>
      <c r="G104">
        <v>-4.7059978656244548</v>
      </c>
      <c r="H104">
        <v>-3.4484393415946952</v>
      </c>
      <c r="I104">
        <v>1.22910474908836</v>
      </c>
      <c r="J104">
        <v>0.61570955784679304</v>
      </c>
      <c r="K104">
        <v>0.14073741695863301</v>
      </c>
      <c r="L104">
        <v>3.5927872824658974E-5</v>
      </c>
      <c r="M104">
        <v>4.1976494566619373E-7</v>
      </c>
      <c r="N104" s="1">
        <v>2.7348789439110098E-9</v>
      </c>
      <c r="O104" s="1">
        <v>3.3595215257401898E-13</v>
      </c>
      <c r="P104">
        <v>0</v>
      </c>
      <c r="R104">
        <v>8.9260400400515305</v>
      </c>
      <c r="S104">
        <v>2.2618455606838501</v>
      </c>
      <c r="T104">
        <v>49.693711888674699</v>
      </c>
      <c r="V104">
        <v>37.986563571922801</v>
      </c>
      <c r="X104">
        <v>1.13183893866699</v>
      </c>
      <c r="AJ104">
        <v>0</v>
      </c>
      <c r="AK104">
        <v>-1.3253414624009901E-2</v>
      </c>
      <c r="AL104">
        <v>0.69915782793532399</v>
      </c>
      <c r="AM104">
        <v>6.3094232427543598E-2</v>
      </c>
      <c r="AN104">
        <v>0.25100135426114101</v>
      </c>
    </row>
    <row r="105" spans="1:40" x14ac:dyDescent="0.2">
      <c r="A105">
        <v>227</v>
      </c>
      <c r="B105">
        <v>748</v>
      </c>
      <c r="C105">
        <v>160</v>
      </c>
      <c r="D105">
        <v>0.41976252264603803</v>
      </c>
      <c r="E105">
        <v>0.69282381146119398</v>
      </c>
      <c r="F105">
        <v>4.9203929087198404</v>
      </c>
      <c r="G105">
        <v>-4.7073253965223358</v>
      </c>
      <c r="H105">
        <v>-3.452740575496263</v>
      </c>
      <c r="I105">
        <v>1.2285999324546499</v>
      </c>
      <c r="J105">
        <v>0.616067324854356</v>
      </c>
      <c r="K105">
        <v>0.140806603113621</v>
      </c>
      <c r="L105">
        <v>3.5963318278082249E-5</v>
      </c>
      <c r="M105">
        <v>4.2055999083612207E-7</v>
      </c>
      <c r="N105" s="1">
        <v>2.7422785638114501E-9</v>
      </c>
      <c r="O105" s="1">
        <v>3.36947565366821E-13</v>
      </c>
      <c r="P105">
        <v>0</v>
      </c>
      <c r="R105">
        <v>8.8106973837817009</v>
      </c>
      <c r="S105">
        <v>2.3454182283014799</v>
      </c>
      <c r="T105">
        <v>49.814058205721203</v>
      </c>
      <c r="V105">
        <v>37.905432348623101</v>
      </c>
      <c r="X105">
        <v>1.12439383357234</v>
      </c>
      <c r="AJ105">
        <v>0</v>
      </c>
      <c r="AK105">
        <v>-1.0993623019908499E-2</v>
      </c>
      <c r="AL105">
        <v>0.70064691861155903</v>
      </c>
      <c r="AM105">
        <v>6.2660952367745895E-2</v>
      </c>
      <c r="AN105">
        <v>0.247685752040602</v>
      </c>
    </row>
    <row r="106" spans="1:40" x14ac:dyDescent="0.2">
      <c r="A106">
        <v>228</v>
      </c>
      <c r="B106">
        <v>746</v>
      </c>
      <c r="C106">
        <v>160</v>
      </c>
      <c r="D106">
        <v>0.41848648383456999</v>
      </c>
      <c r="E106">
        <v>0.69216211897907398</v>
      </c>
      <c r="F106">
        <v>4.9206445363877798</v>
      </c>
      <c r="G106">
        <v>-4.7015401830411809</v>
      </c>
      <c r="H106">
        <v>-3.4518085690596894</v>
      </c>
      <c r="I106">
        <v>1.2262489466530799</v>
      </c>
      <c r="J106">
        <v>0.61549910306316602</v>
      </c>
      <c r="K106">
        <v>0.14066492994171501</v>
      </c>
      <c r="L106">
        <v>3.5994948675812909E-5</v>
      </c>
      <c r="M106">
        <v>4.213131091876781E-7</v>
      </c>
      <c r="N106" s="1">
        <v>2.74528686754231E-9</v>
      </c>
      <c r="O106" s="1">
        <v>3.3740252511387501E-13</v>
      </c>
      <c r="P106">
        <v>0</v>
      </c>
      <c r="R106">
        <v>8.7002684303024598</v>
      </c>
      <c r="S106">
        <v>2.42550734219519</v>
      </c>
      <c r="T106">
        <v>49.929004586185798</v>
      </c>
      <c r="V106">
        <v>37.828292557029201</v>
      </c>
      <c r="X106">
        <v>1.1169270842872601</v>
      </c>
      <c r="AJ106">
        <v>0</v>
      </c>
      <c r="AK106">
        <v>-8.8107866323046298E-3</v>
      </c>
      <c r="AL106">
        <v>0.70206943003675204</v>
      </c>
      <c r="AM106">
        <v>6.2227624335355503E-2</v>
      </c>
      <c r="AN106">
        <v>0.24451373226019599</v>
      </c>
    </row>
    <row r="107" spans="1:40" x14ac:dyDescent="0.2">
      <c r="A107">
        <v>229</v>
      </c>
      <c r="B107">
        <v>744</v>
      </c>
      <c r="C107">
        <v>160</v>
      </c>
      <c r="D107">
        <v>0.41720542692818402</v>
      </c>
      <c r="E107">
        <v>0.69081593774750205</v>
      </c>
      <c r="F107">
        <v>4.9209055983574297</v>
      </c>
      <c r="G107">
        <v>-4.6910562031175989</v>
      </c>
      <c r="H107">
        <v>-3.4474070832204378</v>
      </c>
      <c r="I107">
        <v>1.2226801552348801</v>
      </c>
      <c r="J107">
        <v>0.61431820871422604</v>
      </c>
      <c r="K107">
        <v>0.14038390372253601</v>
      </c>
      <c r="L107">
        <v>3.6023416478198978E-5</v>
      </c>
      <c r="M107">
        <v>4.2203166827227402E-7</v>
      </c>
      <c r="N107" s="1">
        <v>2.7453266322351299E-9</v>
      </c>
      <c r="O107" s="1">
        <v>3.3749171655137099E-13</v>
      </c>
      <c r="P107">
        <v>0</v>
      </c>
      <c r="R107">
        <v>8.5937513733844604</v>
      </c>
      <c r="S107">
        <v>2.5029307347874101</v>
      </c>
      <c r="T107">
        <v>50.039524701658898</v>
      </c>
      <c r="V107">
        <v>37.754351489800499</v>
      </c>
      <c r="X107">
        <v>1.1094417003686701</v>
      </c>
      <c r="AJ107">
        <v>0</v>
      </c>
      <c r="AK107">
        <v>-6.6868838934412596E-3</v>
      </c>
      <c r="AL107">
        <v>0.70343667243465502</v>
      </c>
      <c r="AM107">
        <v>6.1794177939192403E-2</v>
      </c>
      <c r="AN107">
        <v>0.24145603351959299</v>
      </c>
    </row>
    <row r="108" spans="1:40" x14ac:dyDescent="0.2">
      <c r="A108">
        <v>237</v>
      </c>
      <c r="B108">
        <v>762</v>
      </c>
      <c r="C108">
        <v>150</v>
      </c>
      <c r="D108">
        <v>0.439183210162781</v>
      </c>
      <c r="E108">
        <v>0.46698449559935401</v>
      </c>
      <c r="F108">
        <v>4.94061942307028</v>
      </c>
      <c r="G108">
        <v>-3.1134854837513339</v>
      </c>
      <c r="H108">
        <v>-2.2555638688655812</v>
      </c>
      <c r="I108">
        <v>0.82878965839323104</v>
      </c>
      <c r="J108">
        <v>0.41469772982848502</v>
      </c>
      <c r="K108">
        <v>9.4519422689949506E-2</v>
      </c>
      <c r="L108">
        <v>3.9107171653110959E-5</v>
      </c>
      <c r="M108">
        <v>4.5290431819747518E-7</v>
      </c>
      <c r="N108" s="1">
        <v>1.9909856128261102E-9</v>
      </c>
      <c r="O108" s="1">
        <v>2.45599401632438E-13</v>
      </c>
      <c r="P108">
        <v>0</v>
      </c>
      <c r="R108">
        <v>6.8762082227461203</v>
      </c>
      <c r="S108">
        <v>2.0370233978050498</v>
      </c>
      <c r="T108">
        <v>53.868793555989598</v>
      </c>
      <c r="V108">
        <v>36.170584462580003</v>
      </c>
      <c r="X108">
        <v>1.04739036087913</v>
      </c>
      <c r="AJ108">
        <v>0</v>
      </c>
      <c r="AK108">
        <v>-1.3552141723423099E-2</v>
      </c>
      <c r="AL108">
        <v>0.76083143490112703</v>
      </c>
      <c r="AM108">
        <v>5.8612603828837997E-2</v>
      </c>
      <c r="AN108">
        <v>0.19410810299345699</v>
      </c>
    </row>
    <row r="109" spans="1:40" x14ac:dyDescent="0.2">
      <c r="A109">
        <v>238</v>
      </c>
      <c r="B109">
        <v>760</v>
      </c>
      <c r="C109">
        <v>150</v>
      </c>
      <c r="D109">
        <v>0.43796205778444602</v>
      </c>
      <c r="E109">
        <v>0.60765289731104699</v>
      </c>
      <c r="F109">
        <v>4.93014013570372</v>
      </c>
      <c r="G109">
        <v>-4.0927502846728609</v>
      </c>
      <c r="H109">
        <v>-2.9763629353472001</v>
      </c>
      <c r="I109">
        <v>1.0805665676094001</v>
      </c>
      <c r="J109">
        <v>0.54005517744087295</v>
      </c>
      <c r="K109">
        <v>0.123252662314904</v>
      </c>
      <c r="L109">
        <v>3.7574359192148101E-5</v>
      </c>
      <c r="M109">
        <v>4.3635135574324971E-7</v>
      </c>
      <c r="N109" s="1">
        <v>2.4938391469678602E-9</v>
      </c>
      <c r="O109" s="1">
        <v>3.0688905891231299E-13</v>
      </c>
      <c r="P109">
        <v>0</v>
      </c>
      <c r="R109">
        <v>7.9980346832871998</v>
      </c>
      <c r="S109">
        <v>2.0413465699811302</v>
      </c>
      <c r="T109">
        <v>51.729495037121403</v>
      </c>
      <c r="V109">
        <v>37.126299741863797</v>
      </c>
      <c r="X109">
        <v>1.10482396774638</v>
      </c>
      <c r="AJ109">
        <v>0</v>
      </c>
      <c r="AK109">
        <v>-1.6644753426930399E-2</v>
      </c>
      <c r="AL109">
        <v>0.72948674527035895</v>
      </c>
      <c r="AM109">
        <v>6.1731026252066099E-2</v>
      </c>
      <c r="AN109">
        <v>0.225426981904505</v>
      </c>
    </row>
    <row r="110" spans="1:40" x14ac:dyDescent="0.2">
      <c r="A110">
        <v>239</v>
      </c>
      <c r="B110">
        <v>758</v>
      </c>
      <c r="C110">
        <v>150</v>
      </c>
      <c r="D110">
        <v>0.43673616835572199</v>
      </c>
      <c r="E110">
        <v>0.65883044371548605</v>
      </c>
      <c r="F110">
        <v>4.92423484571954</v>
      </c>
      <c r="G110">
        <v>-4.4617073897930517</v>
      </c>
      <c r="H110">
        <v>-3.2528968521149495</v>
      </c>
      <c r="I110">
        <v>1.17229359227862</v>
      </c>
      <c r="J110">
        <v>0.58576747474089996</v>
      </c>
      <c r="K110">
        <v>0.133793465250379</v>
      </c>
      <c r="L110">
        <v>3.6760441363630431E-5</v>
      </c>
      <c r="M110">
        <v>4.27760531276985E-7</v>
      </c>
      <c r="N110" s="1">
        <v>2.64934589534823E-9</v>
      </c>
      <c r="O110" s="1">
        <v>3.2558291518435202E-13</v>
      </c>
      <c r="P110">
        <v>0</v>
      </c>
      <c r="R110">
        <v>8.5571416689267394</v>
      </c>
      <c r="S110">
        <v>2.0835727496590302</v>
      </c>
      <c r="T110">
        <v>50.617460757568203</v>
      </c>
      <c r="V110">
        <v>37.606000705070002</v>
      </c>
      <c r="X110">
        <v>1.13582411877587</v>
      </c>
      <c r="AJ110">
        <v>0</v>
      </c>
      <c r="AK110">
        <v>-1.7426638432419098E-2</v>
      </c>
      <c r="AL110">
        <v>0.71308512352015097</v>
      </c>
      <c r="AM110">
        <v>6.3399137781652098E-2</v>
      </c>
      <c r="AN110">
        <v>0.240942377130615</v>
      </c>
    </row>
    <row r="111" spans="1:40" x14ac:dyDescent="0.2">
      <c r="A111">
        <v>240</v>
      </c>
      <c r="B111">
        <v>756</v>
      </c>
      <c r="C111">
        <v>150</v>
      </c>
      <c r="D111">
        <v>0.43550551425934297</v>
      </c>
      <c r="E111">
        <v>0.68586545182409098</v>
      </c>
      <c r="F111">
        <v>4.9202443834607399</v>
      </c>
      <c r="G111">
        <v>-4.6614533155124569</v>
      </c>
      <c r="H111">
        <v>-3.4053594219765686</v>
      </c>
      <c r="I111">
        <v>1.2205158563240399</v>
      </c>
      <c r="J111">
        <v>0.60994512740555196</v>
      </c>
      <c r="K111">
        <v>0.13939662308839901</v>
      </c>
      <c r="L111">
        <v>3.6218184310972894E-5</v>
      </c>
      <c r="M111">
        <v>4.2216751616155689E-7</v>
      </c>
      <c r="N111" s="1">
        <v>2.7211569570690801E-9</v>
      </c>
      <c r="O111" s="1">
        <v>3.3410562284511501E-13</v>
      </c>
      <c r="P111">
        <v>0</v>
      </c>
      <c r="R111">
        <v>8.9066476020018595</v>
      </c>
      <c r="S111">
        <v>2.1333488958884099</v>
      </c>
      <c r="T111">
        <v>49.895027230553197</v>
      </c>
      <c r="V111">
        <v>37.909397474690202</v>
      </c>
      <c r="X111">
        <v>1.1555787968662301</v>
      </c>
      <c r="AJ111">
        <v>0</v>
      </c>
      <c r="AK111">
        <v>-1.7417756717142401E-2</v>
      </c>
      <c r="AL111">
        <v>0.70237259299052801</v>
      </c>
      <c r="AM111">
        <v>6.4452697906893994E-2</v>
      </c>
      <c r="AN111">
        <v>0.250592465819719</v>
      </c>
    </row>
    <row r="112" spans="1:40" x14ac:dyDescent="0.2">
      <c r="A112">
        <v>241</v>
      </c>
      <c r="B112">
        <v>754</v>
      </c>
      <c r="C112">
        <v>150</v>
      </c>
      <c r="D112">
        <v>0.43427006766295001</v>
      </c>
      <c r="E112">
        <v>0.70283349307520404</v>
      </c>
      <c r="F112">
        <v>4.9172570273028899</v>
      </c>
      <c r="G112">
        <v>-4.7893243319088752</v>
      </c>
      <c r="H112">
        <v>-3.5048689637110115</v>
      </c>
      <c r="I112">
        <v>1.2505041797184999</v>
      </c>
      <c r="J112">
        <v>0.62512946367502198</v>
      </c>
      <c r="K112">
        <v>0.14293202270549299</v>
      </c>
      <c r="L112">
        <v>3.5809791228640599E-5</v>
      </c>
      <c r="M112">
        <v>4.1804722373823728E-7</v>
      </c>
      <c r="N112" s="1">
        <v>2.76067932983157E-9</v>
      </c>
      <c r="O112" s="1">
        <v>3.3873394017584998E-13</v>
      </c>
      <c r="P112">
        <v>0</v>
      </c>
      <c r="R112">
        <v>9.1541551706332491</v>
      </c>
      <c r="S112">
        <v>2.1842227789358302</v>
      </c>
      <c r="T112">
        <v>49.364946552431398</v>
      </c>
      <c r="V112">
        <v>38.1273107466263</v>
      </c>
      <c r="X112">
        <v>1.16936475137317</v>
      </c>
      <c r="AJ112">
        <v>0</v>
      </c>
      <c r="AK112">
        <v>-1.7054399334165599E-2</v>
      </c>
      <c r="AL112">
        <v>0.69447768851723202</v>
      </c>
      <c r="AM112">
        <v>6.5180977451470196E-2</v>
      </c>
      <c r="AN112">
        <v>0.25739573336546201</v>
      </c>
    </row>
    <row r="113" spans="1:40" x14ac:dyDescent="0.2">
      <c r="A113">
        <v>242</v>
      </c>
      <c r="B113">
        <v>752</v>
      </c>
      <c r="C113">
        <v>150</v>
      </c>
      <c r="D113">
        <v>0.43302980051699702</v>
      </c>
      <c r="E113">
        <v>0.70135373889698904</v>
      </c>
      <c r="F113">
        <v>4.9181952344440596</v>
      </c>
      <c r="G113">
        <v>-4.7750539349532817</v>
      </c>
      <c r="H113">
        <v>-3.4972145940021653</v>
      </c>
      <c r="I113">
        <v>1.2464901145696801</v>
      </c>
      <c r="J113">
        <v>0.62383094265560801</v>
      </c>
      <c r="K113">
        <v>0.14260388322633699</v>
      </c>
      <c r="L113">
        <v>3.5948129270317611E-5</v>
      </c>
      <c r="M113">
        <v>4.1998074289116095E-7</v>
      </c>
      <c r="N113" s="1">
        <v>2.76868285738533E-9</v>
      </c>
      <c r="O113" s="1">
        <v>3.3987506965688398E-13</v>
      </c>
      <c r="P113">
        <v>0</v>
      </c>
      <c r="R113">
        <v>8.9526691733813593</v>
      </c>
      <c r="S113">
        <v>2.2790898436738001</v>
      </c>
      <c r="T113">
        <v>49.635751274843898</v>
      </c>
      <c r="V113">
        <v>37.9752508335785</v>
      </c>
      <c r="X113">
        <v>1.1572388745223201</v>
      </c>
      <c r="AJ113">
        <v>0</v>
      </c>
      <c r="AK113">
        <v>-1.4284869445491399E-2</v>
      </c>
      <c r="AL113">
        <v>0.69812361533196798</v>
      </c>
      <c r="AM113">
        <v>6.4489942149358895E-2</v>
      </c>
      <c r="AN113">
        <v>0.25167131196416398</v>
      </c>
    </row>
    <row r="114" spans="1:40" x14ac:dyDescent="0.2">
      <c r="A114">
        <v>243</v>
      </c>
      <c r="B114">
        <v>750</v>
      </c>
      <c r="C114">
        <v>150</v>
      </c>
      <c r="D114">
        <v>0.43178468455260599</v>
      </c>
      <c r="E114">
        <v>0.70129916490671695</v>
      </c>
      <c r="F114">
        <v>4.9184547289851501</v>
      </c>
      <c r="G114">
        <v>-4.773347910849556</v>
      </c>
      <c r="H114">
        <v>-3.4993148111727508</v>
      </c>
      <c r="I114">
        <v>1.24520656763603</v>
      </c>
      <c r="J114">
        <v>0.62380489887646995</v>
      </c>
      <c r="K114">
        <v>0.14258526377682401</v>
      </c>
      <c r="L114">
        <v>3.5983478243776609E-5</v>
      </c>
      <c r="M114">
        <v>4.2077351463260419E-7</v>
      </c>
      <c r="N114" s="1">
        <v>2.7744379964645899E-9</v>
      </c>
      <c r="O114" s="1">
        <v>3.4066998116296801E-13</v>
      </c>
      <c r="P114">
        <v>0</v>
      </c>
      <c r="R114">
        <v>8.8387095796131092</v>
      </c>
      <c r="S114">
        <v>2.3606923191708602</v>
      </c>
      <c r="T114">
        <v>49.7557126870838</v>
      </c>
      <c r="V114">
        <v>37.895150603919703</v>
      </c>
      <c r="X114">
        <v>1.1497348102124101</v>
      </c>
      <c r="AJ114">
        <v>0</v>
      </c>
      <c r="AK114">
        <v>-1.2065708199711801E-2</v>
      </c>
      <c r="AL114">
        <v>0.69961407697543698</v>
      </c>
      <c r="AM114">
        <v>6.4053742900075206E-2</v>
      </c>
      <c r="AN114">
        <v>0.24839788832419901</v>
      </c>
    </row>
    <row r="115" spans="1:40" x14ac:dyDescent="0.2">
      <c r="A115">
        <v>244</v>
      </c>
      <c r="B115">
        <v>748</v>
      </c>
      <c r="C115">
        <v>150</v>
      </c>
      <c r="D115">
        <v>0.43053469127944</v>
      </c>
      <c r="E115">
        <v>0.700375596079298</v>
      </c>
      <c r="F115">
        <v>4.91872584609124</v>
      </c>
      <c r="G115">
        <v>-4.7656631521482185</v>
      </c>
      <c r="H115">
        <v>-3.4970148323742314</v>
      </c>
      <c r="I115">
        <v>1.24237214882631</v>
      </c>
      <c r="J115">
        <v>0.62300111836182204</v>
      </c>
      <c r="K115">
        <v>0.142389638697969</v>
      </c>
      <c r="L115">
        <v>3.6015177664901962E-5</v>
      </c>
      <c r="M115">
        <v>4.2152630210762011E-7</v>
      </c>
      <c r="N115" s="1">
        <v>2.7764677854435599E-9</v>
      </c>
      <c r="O115" s="1">
        <v>3.4100646704682801E-13</v>
      </c>
      <c r="P115">
        <v>0</v>
      </c>
      <c r="R115">
        <v>8.7293344065997704</v>
      </c>
      <c r="S115">
        <v>2.4391330196227301</v>
      </c>
      <c r="T115">
        <v>49.8705337958082</v>
      </c>
      <c r="V115">
        <v>37.818785220420203</v>
      </c>
      <c r="X115">
        <v>1.14221355754904</v>
      </c>
      <c r="AJ115">
        <v>0</v>
      </c>
      <c r="AK115">
        <v>-9.9165771097598793E-3</v>
      </c>
      <c r="AL115">
        <v>0.70104060298536697</v>
      </c>
      <c r="AM115">
        <v>6.3617662802158498E-2</v>
      </c>
      <c r="AN115">
        <v>0.245258311322234</v>
      </c>
    </row>
    <row r="116" spans="1:40" x14ac:dyDescent="0.2">
      <c r="A116">
        <v>253</v>
      </c>
      <c r="B116">
        <v>766</v>
      </c>
      <c r="C116">
        <v>140</v>
      </c>
      <c r="D116">
        <v>0.45219698792282498</v>
      </c>
      <c r="E116">
        <v>0.26771732661658898</v>
      </c>
      <c r="F116">
        <v>4.9488646374673504</v>
      </c>
      <c r="G116">
        <v>-1.7710539270619248</v>
      </c>
      <c r="H116">
        <v>-1.2776388217933028</v>
      </c>
      <c r="I116">
        <v>0.474825679900516</v>
      </c>
      <c r="J116">
        <v>0.23759322477495601</v>
      </c>
      <c r="K116">
        <v>5.4096716363937002E-2</v>
      </c>
      <c r="L116">
        <v>4.0433087959972223E-5</v>
      </c>
      <c r="M116">
        <v>4.6672589715132269E-7</v>
      </c>
      <c r="N116" s="1">
        <v>1.1771942899108899E-9</v>
      </c>
      <c r="O116" s="1">
        <v>1.4556740188212099E-13</v>
      </c>
      <c r="P116">
        <v>0</v>
      </c>
      <c r="R116">
        <v>5.8840808543793202</v>
      </c>
      <c r="S116">
        <v>2.0811728025662601</v>
      </c>
      <c r="T116">
        <v>55.692928850359998</v>
      </c>
      <c r="V116">
        <v>35.3663943546767</v>
      </c>
      <c r="X116">
        <v>0.97542313801758695</v>
      </c>
      <c r="AJ116">
        <v>0</v>
      </c>
      <c r="AK116">
        <v>-8.5590336480610395E-3</v>
      </c>
      <c r="AL116">
        <v>0.78759253543393803</v>
      </c>
      <c r="AM116">
        <v>5.4654488049441501E-2</v>
      </c>
      <c r="AN116">
        <v>0.16631201016468</v>
      </c>
    </row>
    <row r="117" spans="1:40" x14ac:dyDescent="0.2">
      <c r="A117">
        <v>254</v>
      </c>
      <c r="B117">
        <v>764</v>
      </c>
      <c r="C117">
        <v>140</v>
      </c>
      <c r="D117">
        <v>0.45100564045702202</v>
      </c>
      <c r="E117">
        <v>0.55835731829852098</v>
      </c>
      <c r="F117">
        <v>4.9340622604292097</v>
      </c>
      <c r="G117">
        <v>-3.7465528911347254</v>
      </c>
      <c r="H117">
        <v>-2.7161723187825881</v>
      </c>
      <c r="I117">
        <v>0.99347304859676699</v>
      </c>
      <c r="J117">
        <v>0.49621150382988699</v>
      </c>
      <c r="K117">
        <v>0.113163816917452</v>
      </c>
      <c r="L117">
        <v>3.8471643823714188E-5</v>
      </c>
      <c r="M117">
        <v>4.4582959077583163E-7</v>
      </c>
      <c r="N117" s="1">
        <v>2.3403304771608101E-9</v>
      </c>
      <c r="O117" s="1">
        <v>2.8821858896675198E-13</v>
      </c>
      <c r="P117">
        <v>0</v>
      </c>
      <c r="R117">
        <v>7.4017635117123897</v>
      </c>
      <c r="S117">
        <v>2.0452622171744199</v>
      </c>
      <c r="T117">
        <v>52.8715669219931</v>
      </c>
      <c r="V117">
        <v>36.5843205049243</v>
      </c>
      <c r="X117">
        <v>1.09708684419574</v>
      </c>
      <c r="AJ117">
        <v>0</v>
      </c>
      <c r="AK117">
        <v>-1.6135875614822302E-2</v>
      </c>
      <c r="AL117">
        <v>0.74605037737689806</v>
      </c>
      <c r="AM117">
        <v>6.1336391707863397E-2</v>
      </c>
      <c r="AN117">
        <v>0.20874910653006001</v>
      </c>
    </row>
    <row r="118" spans="1:40" x14ac:dyDescent="0.2">
      <c r="A118">
        <v>255</v>
      </c>
      <c r="B118">
        <v>762</v>
      </c>
      <c r="C118">
        <v>140</v>
      </c>
      <c r="D118">
        <v>0.44980968941699401</v>
      </c>
      <c r="E118">
        <v>0.63817263638251098</v>
      </c>
      <c r="F118">
        <v>4.9264696883347403</v>
      </c>
      <c r="G118">
        <v>-4.3130755430504957</v>
      </c>
      <c r="H118">
        <v>-3.136357883136113</v>
      </c>
      <c r="I118">
        <v>1.13676052737707</v>
      </c>
      <c r="J118">
        <v>0.56745858691349904</v>
      </c>
      <c r="K118">
        <v>0.12953954388344699</v>
      </c>
      <c r="L118">
        <v>3.7392033486102018E-5</v>
      </c>
      <c r="M118">
        <v>4.343164166126032E-7</v>
      </c>
      <c r="N118" s="1">
        <v>2.6040755703325E-9</v>
      </c>
      <c r="O118" s="1">
        <v>3.2013191808214002E-13</v>
      </c>
      <c r="P118">
        <v>0</v>
      </c>
      <c r="R118">
        <v>8.1680398873576792</v>
      </c>
      <c r="S118">
        <v>2.0741107573156898</v>
      </c>
      <c r="T118">
        <v>51.381077175192701</v>
      </c>
      <c r="V118">
        <v>37.238180001783498</v>
      </c>
      <c r="X118">
        <v>1.1385921783502799</v>
      </c>
      <c r="AJ118">
        <v>0</v>
      </c>
      <c r="AK118">
        <v>-1.7797161332188699E-2</v>
      </c>
      <c r="AL118">
        <v>0.72413749881635103</v>
      </c>
      <c r="AM118">
        <v>6.3579524062433099E-2</v>
      </c>
      <c r="AN118">
        <v>0.230080138453404</v>
      </c>
    </row>
    <row r="119" spans="1:40" x14ac:dyDescent="0.2">
      <c r="A119">
        <v>256</v>
      </c>
      <c r="B119">
        <v>760</v>
      </c>
      <c r="C119">
        <v>140</v>
      </c>
      <c r="D119">
        <v>0.44860910806756099</v>
      </c>
      <c r="E119">
        <v>0.67500873538572403</v>
      </c>
      <c r="F119">
        <v>4.9216619247838</v>
      </c>
      <c r="G119">
        <v>-4.5821371995533697</v>
      </c>
      <c r="H119">
        <v>-3.3394944799689052</v>
      </c>
      <c r="I119">
        <v>1.2027708653965601</v>
      </c>
      <c r="J119">
        <v>0.60039753588112998</v>
      </c>
      <c r="K119">
        <v>0.13715056940148801</v>
      </c>
      <c r="L119">
        <v>3.6731026254893765E-5</v>
      </c>
      <c r="M119">
        <v>4.2742526441665432E-7</v>
      </c>
      <c r="N119" s="1">
        <v>2.7095915779226802E-9</v>
      </c>
      <c r="O119" s="1">
        <v>3.3273270570645998E-13</v>
      </c>
      <c r="P119">
        <v>0</v>
      </c>
      <c r="R119">
        <v>8.6089978810630203</v>
      </c>
      <c r="S119">
        <v>2.12030613328238</v>
      </c>
      <c r="T119">
        <v>50.489201824296899</v>
      </c>
      <c r="V119">
        <v>37.617851998550599</v>
      </c>
      <c r="X119">
        <v>1.16364216280693</v>
      </c>
      <c r="AJ119">
        <v>0</v>
      </c>
      <c r="AK119">
        <v>-1.81604622720185E-2</v>
      </c>
      <c r="AL119">
        <v>0.71094856040159804</v>
      </c>
      <c r="AM119">
        <v>6.4921772225725705E-2</v>
      </c>
      <c r="AN119">
        <v>0.24229012964469401</v>
      </c>
    </row>
    <row r="120" spans="1:40" x14ac:dyDescent="0.2">
      <c r="A120">
        <v>257</v>
      </c>
      <c r="B120">
        <v>758</v>
      </c>
      <c r="C120">
        <v>140</v>
      </c>
      <c r="D120">
        <v>0.44740386946613198</v>
      </c>
      <c r="E120">
        <v>0.69659381725774805</v>
      </c>
      <c r="F120">
        <v>4.9182049543039401</v>
      </c>
      <c r="G120">
        <v>-4.7432704620693737</v>
      </c>
      <c r="H120">
        <v>-3.463416801939931</v>
      </c>
      <c r="I120">
        <v>1.24119057375691</v>
      </c>
      <c r="J120">
        <v>0.61971775458063705</v>
      </c>
      <c r="K120">
        <v>0.14163578454536599</v>
      </c>
      <c r="L120">
        <v>3.62577633632928E-5</v>
      </c>
      <c r="M120">
        <v>4.2260039066560608E-7</v>
      </c>
      <c r="N120" s="1">
        <v>2.76392688496254E-9</v>
      </c>
      <c r="O120" s="1">
        <v>3.3913792570659301E-13</v>
      </c>
      <c r="P120">
        <v>0</v>
      </c>
      <c r="R120">
        <v>8.9059312597190399</v>
      </c>
      <c r="S120">
        <v>2.1702502809805502</v>
      </c>
      <c r="T120">
        <v>49.866530238038699</v>
      </c>
      <c r="V120">
        <v>37.876688624227597</v>
      </c>
      <c r="X120">
        <v>1.18059959703402</v>
      </c>
      <c r="AJ120">
        <v>0</v>
      </c>
      <c r="AK120">
        <v>-1.7992657962531099E-2</v>
      </c>
      <c r="AL120">
        <v>0.70169618267432898</v>
      </c>
      <c r="AM120">
        <v>6.58224188264043E-2</v>
      </c>
      <c r="AN120">
        <v>0.25047405646179599</v>
      </c>
    </row>
    <row r="121" spans="1:40" x14ac:dyDescent="0.2">
      <c r="A121">
        <v>258</v>
      </c>
      <c r="B121">
        <v>756</v>
      </c>
      <c r="C121">
        <v>140</v>
      </c>
      <c r="D121">
        <v>0.44619394646067401</v>
      </c>
      <c r="E121">
        <v>0.71093092223097798</v>
      </c>
      <c r="F121">
        <v>4.9155219741334397</v>
      </c>
      <c r="G121">
        <v>-4.8522680810232606</v>
      </c>
      <c r="H121">
        <v>-3.5489134343231954</v>
      </c>
      <c r="I121">
        <v>1.2664379795948699</v>
      </c>
      <c r="J121">
        <v>0.63255651650115496</v>
      </c>
      <c r="K121">
        <v>0.14462979231342099</v>
      </c>
      <c r="L121">
        <v>3.5886518251811699E-5</v>
      </c>
      <c r="M121">
        <v>4.188950175979285E-7</v>
      </c>
      <c r="N121" s="1">
        <v>2.7955465557983199E-9</v>
      </c>
      <c r="O121" s="1">
        <v>3.42812957007427E-13</v>
      </c>
      <c r="P121">
        <v>0</v>
      </c>
      <c r="R121">
        <v>9.1255276711616204</v>
      </c>
      <c r="S121">
        <v>2.22038854674603</v>
      </c>
      <c r="T121">
        <v>49.390364396085097</v>
      </c>
      <c r="V121">
        <v>38.070854555039197</v>
      </c>
      <c r="X121">
        <v>1.1928648309679</v>
      </c>
      <c r="AJ121">
        <v>0</v>
      </c>
      <c r="AK121">
        <v>-1.7561300964967198E-2</v>
      </c>
      <c r="AL121">
        <v>0.69459250882286205</v>
      </c>
      <c r="AM121">
        <v>6.6467652858561502E-2</v>
      </c>
      <c r="AN121">
        <v>0.25650113928354301</v>
      </c>
    </row>
    <row r="122" spans="1:40" x14ac:dyDescent="0.2">
      <c r="A122">
        <v>259</v>
      </c>
      <c r="B122">
        <v>754</v>
      </c>
      <c r="C122">
        <v>140</v>
      </c>
      <c r="D122">
        <v>0.44497931168767801</v>
      </c>
      <c r="E122">
        <v>0.71019122137497104</v>
      </c>
      <c r="F122">
        <v>4.9161092080581099</v>
      </c>
      <c r="G122">
        <v>-4.8444654427282181</v>
      </c>
      <c r="H122">
        <v>-3.5463235758595473</v>
      </c>
      <c r="I122">
        <v>1.2638289119102999</v>
      </c>
      <c r="J122">
        <v>0.63191795026744202</v>
      </c>
      <c r="K122">
        <v>0.14446205145542301</v>
      </c>
      <c r="L122">
        <v>3.5970510758383832E-5</v>
      </c>
      <c r="M122">
        <v>4.2022436018889891E-7</v>
      </c>
      <c r="N122" s="1">
        <v>2.8024164278551698E-9</v>
      </c>
      <c r="O122" s="1">
        <v>3.43779824903702E-13</v>
      </c>
      <c r="P122">
        <v>0</v>
      </c>
      <c r="R122">
        <v>8.9708196206465907</v>
      </c>
      <c r="S122">
        <v>2.30754210339646</v>
      </c>
      <c r="T122">
        <v>49.581252430396901</v>
      </c>
      <c r="V122">
        <v>37.957238730649699</v>
      </c>
      <c r="X122">
        <v>1.1831471149102499</v>
      </c>
      <c r="AJ122">
        <v>0</v>
      </c>
      <c r="AK122">
        <v>-1.5096313810639301E-2</v>
      </c>
      <c r="AL122">
        <v>0.69709883658752603</v>
      </c>
      <c r="AM122">
        <v>6.5909324061997496E-2</v>
      </c>
      <c r="AN122">
        <v>0.25208815316111499</v>
      </c>
    </row>
    <row r="123" spans="1:40" x14ac:dyDescent="0.2">
      <c r="A123">
        <v>260</v>
      </c>
      <c r="B123">
        <v>752</v>
      </c>
      <c r="C123">
        <v>140</v>
      </c>
      <c r="D123">
        <v>0.443759937570114</v>
      </c>
      <c r="E123">
        <v>0.70966118947841605</v>
      </c>
      <c r="F123">
        <v>4.9163917974074698</v>
      </c>
      <c r="G123">
        <v>-4.8393855165228397</v>
      </c>
      <c r="H123">
        <v>-3.5459739494564095</v>
      </c>
      <c r="I123">
        <v>1.2616803073369001</v>
      </c>
      <c r="J123">
        <v>0.63146544104328195</v>
      </c>
      <c r="K123">
        <v>0.14434593879451099</v>
      </c>
      <c r="L123">
        <v>3.600535881222626E-5</v>
      </c>
      <c r="M123">
        <v>4.2101019648773137E-7</v>
      </c>
      <c r="N123" s="1">
        <v>2.8063094021918899E-9</v>
      </c>
      <c r="O123" s="1">
        <v>3.4434776746953099E-13</v>
      </c>
      <c r="P123">
        <v>0</v>
      </c>
      <c r="R123">
        <v>8.8587280766116496</v>
      </c>
      <c r="S123">
        <v>2.3868617426592902</v>
      </c>
      <c r="T123">
        <v>49.700255731716297</v>
      </c>
      <c r="V123">
        <v>37.8785790931178</v>
      </c>
      <c r="X123">
        <v>1.17557535589488</v>
      </c>
      <c r="AJ123">
        <v>0</v>
      </c>
      <c r="AK123">
        <v>-1.29243762300349E-2</v>
      </c>
      <c r="AL123">
        <v>0.69858342145416497</v>
      </c>
      <c r="AM123">
        <v>6.5469853386592405E-2</v>
      </c>
      <c r="AN123">
        <v>0.24887110138927701</v>
      </c>
    </row>
    <row r="124" spans="1:40" x14ac:dyDescent="0.2">
      <c r="A124">
        <v>261</v>
      </c>
      <c r="B124">
        <v>750</v>
      </c>
      <c r="C124">
        <v>140</v>
      </c>
      <c r="D124">
        <v>0.44253579631530099</v>
      </c>
      <c r="E124">
        <v>0.70843722494644801</v>
      </c>
      <c r="F124">
        <v>4.9166832635680997</v>
      </c>
      <c r="G124">
        <v>-4.8295244007931579</v>
      </c>
      <c r="H124">
        <v>-3.5421026610196362</v>
      </c>
      <c r="I124">
        <v>1.25829227363878</v>
      </c>
      <c r="J124">
        <v>0.63039120973781204</v>
      </c>
      <c r="K124">
        <v>0.14408844071690799</v>
      </c>
      <c r="L124">
        <v>3.6036788494900921E-5</v>
      </c>
      <c r="M124">
        <v>4.217587339727986E-7</v>
      </c>
      <c r="N124" s="1">
        <v>2.8071808501625899E-9</v>
      </c>
      <c r="O124" s="1">
        <v>3.44543856915371E-13</v>
      </c>
      <c r="P124">
        <v>0</v>
      </c>
      <c r="R124">
        <v>8.7508063097999909</v>
      </c>
      <c r="S124">
        <v>2.4634007939455702</v>
      </c>
      <c r="T124">
        <v>49.814473486563799</v>
      </c>
      <c r="V124">
        <v>37.803328146230598</v>
      </c>
      <c r="X124">
        <v>1.16799126346001</v>
      </c>
      <c r="AJ124">
        <v>0</v>
      </c>
      <c r="AK124">
        <v>-1.08142430632396E-2</v>
      </c>
      <c r="AL124">
        <v>0.70000789096230698</v>
      </c>
      <c r="AM124">
        <v>6.5030670112642103E-2</v>
      </c>
      <c r="AN124">
        <v>0.24577568198829</v>
      </c>
    </row>
    <row r="125" spans="1:40" x14ac:dyDescent="0.2">
      <c r="A125">
        <v>271</v>
      </c>
      <c r="B125">
        <v>768</v>
      </c>
      <c r="C125">
        <v>130</v>
      </c>
      <c r="D125">
        <v>0.46394899870335798</v>
      </c>
      <c r="E125">
        <v>0.50606057196163701</v>
      </c>
      <c r="F125">
        <v>4.9370475815153601</v>
      </c>
      <c r="G125">
        <v>-3.3853724387383792</v>
      </c>
      <c r="H125">
        <v>-2.4472115752771004</v>
      </c>
      <c r="I125">
        <v>0.90108136528000604</v>
      </c>
      <c r="J125">
        <v>0.449729645520409</v>
      </c>
      <c r="K125">
        <v>0.102502672620851</v>
      </c>
      <c r="L125">
        <v>3.9294106188499624E-5</v>
      </c>
      <c r="M125">
        <v>4.5446062212683624E-7</v>
      </c>
      <c r="N125" s="1">
        <v>2.1612099135349101E-9</v>
      </c>
      <c r="O125" s="1">
        <v>2.6631349963114101E-13</v>
      </c>
      <c r="P125">
        <v>0</v>
      </c>
      <c r="R125">
        <v>6.8547311345469701</v>
      </c>
      <c r="S125">
        <v>2.0654694221765699</v>
      </c>
      <c r="T125">
        <v>53.901777411464501</v>
      </c>
      <c r="V125">
        <v>36.0843604748909</v>
      </c>
      <c r="X125">
        <v>1.09366155692101</v>
      </c>
      <c r="AJ125">
        <v>0</v>
      </c>
      <c r="AK125">
        <v>-1.5504679894668701E-2</v>
      </c>
      <c r="AL125">
        <v>0.76092532988851602</v>
      </c>
      <c r="AM125">
        <v>6.1172065548817801E-2</v>
      </c>
      <c r="AN125">
        <v>0.19340728445733399</v>
      </c>
    </row>
    <row r="126" spans="1:40" x14ac:dyDescent="0.2">
      <c r="A126">
        <v>272</v>
      </c>
      <c r="B126">
        <v>766</v>
      </c>
      <c r="C126">
        <v>130</v>
      </c>
      <c r="D126">
        <v>0.46278256267141699</v>
      </c>
      <c r="E126">
        <v>0.61872157495747004</v>
      </c>
      <c r="F126">
        <v>4.92804781036343</v>
      </c>
      <c r="G126">
        <v>-4.1754765781195911</v>
      </c>
      <c r="H126">
        <v>-3.0288400282431973</v>
      </c>
      <c r="I126">
        <v>1.1034369916531701</v>
      </c>
      <c r="J126">
        <v>0.55024371859960497</v>
      </c>
      <c r="K126">
        <v>0.125551049577143</v>
      </c>
      <c r="L126">
        <v>3.7969487123426511E-5</v>
      </c>
      <c r="M126">
        <v>4.4025858961022701E-7</v>
      </c>
      <c r="N126" s="1">
        <v>2.5576938498788901E-9</v>
      </c>
      <c r="O126" s="1">
        <v>3.1450155697796399E-13</v>
      </c>
      <c r="P126">
        <v>0</v>
      </c>
      <c r="R126">
        <v>7.8134232826662302</v>
      </c>
      <c r="S126">
        <v>2.07777221401982</v>
      </c>
      <c r="T126">
        <v>52.064289504720399</v>
      </c>
      <c r="V126">
        <v>36.900219645599698</v>
      </c>
      <c r="X126">
        <v>1.1442953529937701</v>
      </c>
      <c r="AJ126">
        <v>0</v>
      </c>
      <c r="AK126">
        <v>-1.80398477808839E-2</v>
      </c>
      <c r="AL126">
        <v>0.73397133546223103</v>
      </c>
      <c r="AM126">
        <v>6.3915844437653302E-2</v>
      </c>
      <c r="AN126">
        <v>0.22015266788099899</v>
      </c>
    </row>
    <row r="127" spans="1:40" x14ac:dyDescent="0.2">
      <c r="A127">
        <v>273</v>
      </c>
      <c r="B127">
        <v>764</v>
      </c>
      <c r="C127">
        <v>130</v>
      </c>
      <c r="D127">
        <v>0.461611628019092</v>
      </c>
      <c r="E127">
        <v>0.66543684714782103</v>
      </c>
      <c r="F127">
        <v>4.9225464737942701</v>
      </c>
      <c r="G127">
        <v>-4.5137825591527676</v>
      </c>
      <c r="H127">
        <v>-3.2822815739763929</v>
      </c>
      <c r="I127">
        <v>1.18738946649604</v>
      </c>
      <c r="J127">
        <v>0.59201338057096997</v>
      </c>
      <c r="K127">
        <v>0.13518142503892</v>
      </c>
      <c r="L127">
        <v>3.7200826571974396E-5</v>
      </c>
      <c r="M127">
        <v>4.3219462275454181E-7</v>
      </c>
      <c r="N127" s="1">
        <v>2.6991071748243401E-9</v>
      </c>
      <c r="O127" s="1">
        <v>3.31460162003126E-13</v>
      </c>
      <c r="P127">
        <v>0</v>
      </c>
      <c r="R127">
        <v>8.3377326609400093</v>
      </c>
      <c r="S127">
        <v>2.1192792993174598</v>
      </c>
      <c r="T127">
        <v>51.0195823988185</v>
      </c>
      <c r="V127">
        <v>37.349370819489401</v>
      </c>
      <c r="X127">
        <v>1.17403482143452</v>
      </c>
      <c r="AJ127">
        <v>0</v>
      </c>
      <c r="AK127">
        <v>-1.8766475042011201E-2</v>
      </c>
      <c r="AL127">
        <v>0.71855254033091898</v>
      </c>
      <c r="AM127">
        <v>6.5513960021277601E-2</v>
      </c>
      <c r="AN127">
        <v>0.23469997468981399</v>
      </c>
    </row>
    <row r="128" spans="1:40" x14ac:dyDescent="0.2">
      <c r="A128">
        <v>274</v>
      </c>
      <c r="B128">
        <v>762</v>
      </c>
      <c r="C128">
        <v>130</v>
      </c>
      <c r="D128">
        <v>0.46043616867121101</v>
      </c>
      <c r="E128">
        <v>0.69135103113114005</v>
      </c>
      <c r="F128">
        <v>4.9186978543263802</v>
      </c>
      <c r="G128">
        <v>-4.7059164747422821</v>
      </c>
      <c r="H128">
        <v>-3.4288194706590964</v>
      </c>
      <c r="I128">
        <v>1.23373134722811</v>
      </c>
      <c r="J128">
        <v>0.61521317923651697</v>
      </c>
      <c r="K128">
        <v>0.14055570226234601</v>
      </c>
      <c r="L128">
        <v>3.667040295102209E-5</v>
      </c>
      <c r="M128">
        <v>4.2675184010815953E-7</v>
      </c>
      <c r="N128" s="1">
        <v>2.7680101090112798E-9</v>
      </c>
      <c r="O128" s="1">
        <v>3.3961746717219001E-13</v>
      </c>
      <c r="P128">
        <v>0</v>
      </c>
      <c r="R128">
        <v>8.6784408910589992</v>
      </c>
      <c r="S128">
        <v>2.16768326693012</v>
      </c>
      <c r="T128">
        <v>50.315733755795698</v>
      </c>
      <c r="V128">
        <v>37.644368623625802</v>
      </c>
      <c r="X128">
        <v>1.19377346258928</v>
      </c>
      <c r="AJ128">
        <v>0</v>
      </c>
      <c r="AK128">
        <v>-1.8786230161298101E-2</v>
      </c>
      <c r="AL128">
        <v>0.70811177943389403</v>
      </c>
      <c r="AM128">
        <v>6.6565802568695404E-2</v>
      </c>
      <c r="AN128">
        <v>0.244108648158708</v>
      </c>
    </row>
    <row r="129" spans="1:40" x14ac:dyDescent="0.2">
      <c r="A129">
        <v>275</v>
      </c>
      <c r="B129">
        <v>760</v>
      </c>
      <c r="C129">
        <v>130</v>
      </c>
      <c r="D129">
        <v>0.45925615835067601</v>
      </c>
      <c r="E129">
        <v>0.70803986377110895</v>
      </c>
      <c r="F129">
        <v>4.9157661045178402</v>
      </c>
      <c r="G129">
        <v>-4.8320380664457403</v>
      </c>
      <c r="H129">
        <v>-3.5268509693526235</v>
      </c>
      <c r="I129">
        <v>1.2633084228748099</v>
      </c>
      <c r="J129">
        <v>0.63016419432503601</v>
      </c>
      <c r="K129">
        <v>0.14403448998933899</v>
      </c>
      <c r="L129">
        <v>3.6264354075207234E-5</v>
      </c>
      <c r="M129">
        <v>4.2267341305846397E-7</v>
      </c>
      <c r="N129" s="1">
        <v>2.8070955979093901E-9</v>
      </c>
      <c r="O129" s="1">
        <v>3.4418264263511999E-13</v>
      </c>
      <c r="P129">
        <v>0</v>
      </c>
      <c r="R129">
        <v>8.9244309338728396</v>
      </c>
      <c r="S129">
        <v>2.2173567775469998</v>
      </c>
      <c r="T129">
        <v>49.790176008537799</v>
      </c>
      <c r="V129">
        <v>37.8601383512746</v>
      </c>
      <c r="X129">
        <v>1.2078979287676199</v>
      </c>
      <c r="AJ129">
        <v>0</v>
      </c>
      <c r="AK129">
        <v>-1.8467521383592801E-2</v>
      </c>
      <c r="AL129">
        <v>0.70028279565648199</v>
      </c>
      <c r="AM129">
        <v>6.73118110518654E-2</v>
      </c>
      <c r="AN129">
        <v>0.25087291467524397</v>
      </c>
    </row>
    <row r="130" spans="1:40" x14ac:dyDescent="0.2">
      <c r="A130">
        <v>276</v>
      </c>
      <c r="B130">
        <v>758</v>
      </c>
      <c r="C130">
        <v>130</v>
      </c>
      <c r="D130">
        <v>0.45807157057654202</v>
      </c>
      <c r="E130">
        <v>0.719769365279888</v>
      </c>
      <c r="F130">
        <v>4.9134069208837703</v>
      </c>
      <c r="G130">
        <v>-4.9221668421761793</v>
      </c>
      <c r="H130">
        <v>-3.5983384766070015</v>
      </c>
      <c r="I130">
        <v>1.2838368477613999</v>
      </c>
      <c r="J130">
        <v>0.64067499041530196</v>
      </c>
      <c r="K130">
        <v>0.14649089254557801</v>
      </c>
      <c r="L130">
        <v>3.5932524010530531E-5</v>
      </c>
      <c r="M130">
        <v>4.1940680418922459E-7</v>
      </c>
      <c r="N130" s="1">
        <v>2.8310708778223602E-9</v>
      </c>
      <c r="O130" s="1">
        <v>3.4693972335333601E-13</v>
      </c>
      <c r="P130">
        <v>0</v>
      </c>
      <c r="R130">
        <v>9.1145334796788795</v>
      </c>
      <c r="S130">
        <v>2.2665553014873598</v>
      </c>
      <c r="T130">
        <v>49.371130988038701</v>
      </c>
      <c r="V130">
        <v>38.0293022297734</v>
      </c>
      <c r="X130">
        <v>1.2184780010214999</v>
      </c>
      <c r="AJ130">
        <v>0</v>
      </c>
      <c r="AK130">
        <v>-1.7963766000510799E-2</v>
      </c>
      <c r="AL130">
        <v>0.69401848788284803</v>
      </c>
      <c r="AM130">
        <v>6.7865163532884201E-2</v>
      </c>
      <c r="AN130">
        <v>0.25608011458477697</v>
      </c>
    </row>
    <row r="131" spans="1:40" x14ac:dyDescent="0.2">
      <c r="A131">
        <v>277</v>
      </c>
      <c r="B131">
        <v>756</v>
      </c>
      <c r="C131">
        <v>130</v>
      </c>
      <c r="D131">
        <v>0.45688237866200498</v>
      </c>
      <c r="E131">
        <v>0.72848850315763902</v>
      </c>
      <c r="F131">
        <v>4.9114358412958703</v>
      </c>
      <c r="G131">
        <v>-4.9901907595185993</v>
      </c>
      <c r="H131">
        <v>-3.6534751172736857</v>
      </c>
      <c r="I131">
        <v>1.2988540467812399</v>
      </c>
      <c r="J131">
        <v>0.64848729705455699</v>
      </c>
      <c r="K131">
        <v>0.148324955613271</v>
      </c>
      <c r="L131">
        <v>3.5649160991782843E-5</v>
      </c>
      <c r="M131">
        <v>4.166687710531974E-7</v>
      </c>
      <c r="N131" s="1">
        <v>2.8463036282096298E-9</v>
      </c>
      <c r="O131" s="1">
        <v>3.4865711309320199E-13</v>
      </c>
      <c r="P131">
        <v>0</v>
      </c>
      <c r="R131">
        <v>9.2685417080170307</v>
      </c>
      <c r="S131">
        <v>2.3146950819809802</v>
      </c>
      <c r="T131">
        <v>49.021684912951798</v>
      </c>
      <c r="V131">
        <v>38.168448669946898</v>
      </c>
      <c r="X131">
        <v>1.22662962710323</v>
      </c>
      <c r="AJ131">
        <v>0</v>
      </c>
      <c r="AK131">
        <v>-1.7349684935391501E-2</v>
      </c>
      <c r="AL131">
        <v>0.68877935187110895</v>
      </c>
      <c r="AM131">
        <v>6.8286771280799699E-2</v>
      </c>
      <c r="AN131">
        <v>0.260283561783482</v>
      </c>
    </row>
    <row r="132" spans="1:40" x14ac:dyDescent="0.2">
      <c r="A132">
        <v>278</v>
      </c>
      <c r="B132">
        <v>754</v>
      </c>
      <c r="C132">
        <v>130</v>
      </c>
      <c r="D132">
        <v>0.45568855571240902</v>
      </c>
      <c r="E132">
        <v>0.71781970430227204</v>
      </c>
      <c r="F132">
        <v>4.9141857062717804</v>
      </c>
      <c r="G132">
        <v>-4.9049277605166797</v>
      </c>
      <c r="H132">
        <v>-3.59236796923848</v>
      </c>
      <c r="I132">
        <v>1.2778657365313699</v>
      </c>
      <c r="J132">
        <v>0.63897207329241201</v>
      </c>
      <c r="K132">
        <v>0.14607093569665999</v>
      </c>
      <c r="L132">
        <v>3.6029101278141638E-5</v>
      </c>
      <c r="M132">
        <v>4.212719771090082E-7</v>
      </c>
      <c r="N132" s="1">
        <v>2.83756345897645E-9</v>
      </c>
      <c r="O132" s="1">
        <v>3.4794010766706499E-13</v>
      </c>
      <c r="P132">
        <v>0</v>
      </c>
      <c r="R132">
        <v>8.8696195634767907</v>
      </c>
      <c r="S132">
        <v>2.4255687637276599</v>
      </c>
      <c r="T132">
        <v>49.647973275376899</v>
      </c>
      <c r="V132">
        <v>37.854868545066502</v>
      </c>
      <c r="X132">
        <v>1.2019698523520499</v>
      </c>
      <c r="AJ132">
        <v>0</v>
      </c>
      <c r="AK132">
        <v>-1.35364889589537E-2</v>
      </c>
      <c r="AL132">
        <v>0.69755332871588105</v>
      </c>
      <c r="AM132">
        <v>6.6911491331526005E-2</v>
      </c>
      <c r="AN132">
        <v>0.249071668911546</v>
      </c>
    </row>
    <row r="133" spans="1:40" x14ac:dyDescent="0.2">
      <c r="A133">
        <v>279</v>
      </c>
      <c r="B133">
        <v>752</v>
      </c>
      <c r="C133">
        <v>130</v>
      </c>
      <c r="D133">
        <v>0.45449007462322599</v>
      </c>
      <c r="E133">
        <v>0.71628041535034603</v>
      </c>
      <c r="F133">
        <v>4.9144977684261901</v>
      </c>
      <c r="G133">
        <v>-4.8927752529726316</v>
      </c>
      <c r="H133">
        <v>-3.5868409462698612</v>
      </c>
      <c r="I133">
        <v>1.27389582666221</v>
      </c>
      <c r="J133">
        <v>0.63761350674241102</v>
      </c>
      <c r="K133">
        <v>0.145748446555857</v>
      </c>
      <c r="L133">
        <v>3.6059915768243533E-5</v>
      </c>
      <c r="M133">
        <v>4.2201227797343764E-7</v>
      </c>
      <c r="N133" s="1">
        <v>2.8371883698333299E-9</v>
      </c>
      <c r="O133" s="1">
        <v>3.4798514460650901E-13</v>
      </c>
      <c r="P133">
        <v>0</v>
      </c>
      <c r="R133">
        <v>8.7635199752199497</v>
      </c>
      <c r="S133">
        <v>2.50000584434156</v>
      </c>
      <c r="T133">
        <v>49.761107114965</v>
      </c>
      <c r="V133">
        <v>37.781052144327703</v>
      </c>
      <c r="X133">
        <v>1.19431492114569</v>
      </c>
      <c r="AJ133">
        <v>0</v>
      </c>
      <c r="AK133">
        <v>-1.14695081282566E-2</v>
      </c>
      <c r="AL133">
        <v>0.69896944399408001</v>
      </c>
      <c r="AM133">
        <v>6.64688642782892E-2</v>
      </c>
      <c r="AN133">
        <v>0.24603119985588601</v>
      </c>
    </row>
    <row r="134" spans="1:40" x14ac:dyDescent="0.2">
      <c r="A134">
        <v>290</v>
      </c>
      <c r="B134">
        <v>772</v>
      </c>
      <c r="C134">
        <v>120</v>
      </c>
      <c r="D134">
        <v>0.47679328326077502</v>
      </c>
      <c r="E134">
        <v>0.48077934138155798</v>
      </c>
      <c r="F134">
        <v>4.9376156273179301</v>
      </c>
      <c r="G134">
        <v>-3.2139824308023575</v>
      </c>
      <c r="H134">
        <v>-2.3180558220396383</v>
      </c>
      <c r="I134">
        <v>0.857222990731205</v>
      </c>
      <c r="J134">
        <v>0.42734560267361599</v>
      </c>
      <c r="K134">
        <v>9.7370750919044805E-2</v>
      </c>
      <c r="L134">
        <v>3.9802546862505118E-5</v>
      </c>
      <c r="M134">
        <v>4.5960409564556388E-7</v>
      </c>
      <c r="N134" s="1">
        <v>2.07516574124964E-9</v>
      </c>
      <c r="O134" s="1">
        <v>2.5572170001966202E-13</v>
      </c>
      <c r="P134">
        <v>0</v>
      </c>
      <c r="R134">
        <v>6.5431094907184404</v>
      </c>
      <c r="S134">
        <v>2.0900735958537102</v>
      </c>
      <c r="T134">
        <v>54.479635260564699</v>
      </c>
      <c r="V134">
        <v>35.783645617888197</v>
      </c>
      <c r="X134">
        <v>1.10353603497478</v>
      </c>
      <c r="AJ134">
        <v>0</v>
      </c>
      <c r="AK134">
        <v>-1.55144054346E-2</v>
      </c>
      <c r="AL134">
        <v>0.769152801198977</v>
      </c>
      <c r="AM134">
        <v>6.1729988721788198E-2</v>
      </c>
      <c r="AN134">
        <v>0.184631615513834</v>
      </c>
    </row>
    <row r="135" spans="1:40" x14ac:dyDescent="0.2">
      <c r="A135">
        <v>291</v>
      </c>
      <c r="B135">
        <v>770</v>
      </c>
      <c r="C135">
        <v>120</v>
      </c>
      <c r="D135">
        <v>0.47565594593299199</v>
      </c>
      <c r="E135">
        <v>0.60878343924321499</v>
      </c>
      <c r="F135">
        <v>4.9282622958507503</v>
      </c>
      <c r="G135">
        <v>-4.1075415585338764</v>
      </c>
      <c r="H135">
        <v>-2.9732585764148158</v>
      </c>
      <c r="I135">
        <v>1.0873632575555301</v>
      </c>
      <c r="J135">
        <v>0.54154582376821303</v>
      </c>
      <c r="K135">
        <v>0.123529025586922</v>
      </c>
      <c r="L135">
        <v>3.8393560894237011E-5</v>
      </c>
      <c r="M135">
        <v>4.4449605833763722E-7</v>
      </c>
      <c r="N135" s="1">
        <v>2.5390637834796399E-9</v>
      </c>
      <c r="O135" s="1">
        <v>3.1218945720494901E-13</v>
      </c>
      <c r="P135">
        <v>0</v>
      </c>
      <c r="R135">
        <v>7.5686946378895099</v>
      </c>
      <c r="S135">
        <v>2.0934495134167901</v>
      </c>
      <c r="T135">
        <v>52.525211450392398</v>
      </c>
      <c r="V135">
        <v>36.655366241313502</v>
      </c>
      <c r="X135">
        <v>1.1572781569877</v>
      </c>
      <c r="AJ135">
        <v>0</v>
      </c>
      <c r="AK135">
        <v>-1.8419820660666799E-2</v>
      </c>
      <c r="AL135">
        <v>0.74050733195607799</v>
      </c>
      <c r="AM135">
        <v>6.4644347074190506E-2</v>
      </c>
      <c r="AN135">
        <v>0.21326814163039801</v>
      </c>
    </row>
    <row r="136" spans="1:40" x14ac:dyDescent="0.2">
      <c r="A136">
        <v>292</v>
      </c>
      <c r="B136">
        <v>768</v>
      </c>
      <c r="C136">
        <v>120</v>
      </c>
      <c r="D136">
        <v>0.474514239062578</v>
      </c>
      <c r="E136">
        <v>0.66072406193307898</v>
      </c>
      <c r="F136">
        <v>4.9224833849039102</v>
      </c>
      <c r="G136">
        <v>-4.4823122063621028</v>
      </c>
      <c r="H136">
        <v>-3.2528265145255246</v>
      </c>
      <c r="I136">
        <v>1.18089198658846</v>
      </c>
      <c r="J136">
        <v>0.58799604955079898</v>
      </c>
      <c r="K136">
        <v>0.13422575766519801</v>
      </c>
      <c r="L136">
        <v>3.7574542402158578E-5</v>
      </c>
      <c r="M136">
        <v>4.3589435668321322E-7</v>
      </c>
      <c r="N136" s="1">
        <v>2.7009226423837199E-9</v>
      </c>
      <c r="O136" s="1">
        <v>3.31632115964208E-13</v>
      </c>
      <c r="P136">
        <v>0</v>
      </c>
      <c r="R136">
        <v>8.13214581791261</v>
      </c>
      <c r="S136">
        <v>2.1315997939511502</v>
      </c>
      <c r="T136">
        <v>51.410149344761003</v>
      </c>
      <c r="V136">
        <v>37.136780309411598</v>
      </c>
      <c r="X136">
        <v>1.18932473396352</v>
      </c>
      <c r="AJ136">
        <v>0</v>
      </c>
      <c r="AK136">
        <v>-1.9348204081324E-2</v>
      </c>
      <c r="AL136">
        <v>0.72406382621901799</v>
      </c>
      <c r="AM136">
        <v>6.6368145116680696E-2</v>
      </c>
      <c r="AN136">
        <v>0.228916232745624</v>
      </c>
    </row>
    <row r="137" spans="1:40" x14ac:dyDescent="0.2">
      <c r="A137">
        <v>293</v>
      </c>
      <c r="B137">
        <v>766</v>
      </c>
      <c r="C137">
        <v>120</v>
      </c>
      <c r="D137">
        <v>0.47336813742000999</v>
      </c>
      <c r="E137">
        <v>0.68904352106202005</v>
      </c>
      <c r="F137">
        <v>4.9184551456038799</v>
      </c>
      <c r="G137">
        <v>-4.6916589014933416</v>
      </c>
      <c r="H137">
        <v>-3.4117537956118014</v>
      </c>
      <c r="I137">
        <v>1.23168465176494</v>
      </c>
      <c r="J137">
        <v>0.61335785187396397</v>
      </c>
      <c r="K137">
        <v>0.14009348477598399</v>
      </c>
      <c r="L137">
        <v>3.7014452664416626E-5</v>
      </c>
      <c r="M137">
        <v>4.3013812961344927E-7</v>
      </c>
      <c r="N137" s="1">
        <v>2.7785005202297901E-9</v>
      </c>
      <c r="O137" s="1">
        <v>3.40832315837128E-13</v>
      </c>
      <c r="P137">
        <v>0</v>
      </c>
      <c r="R137">
        <v>8.4956469577467608</v>
      </c>
      <c r="S137">
        <v>2.1785841673153299</v>
      </c>
      <c r="T137">
        <v>50.664821691251902</v>
      </c>
      <c r="V137">
        <v>37.450319871695697</v>
      </c>
      <c r="X137">
        <v>1.21062731199017</v>
      </c>
      <c r="AJ137">
        <v>0</v>
      </c>
      <c r="AK137">
        <v>-1.9485516433350999E-2</v>
      </c>
      <c r="AL137">
        <v>0.71301645146207904</v>
      </c>
      <c r="AM137">
        <v>6.7504813702253502E-2</v>
      </c>
      <c r="AN137">
        <v>0.23896425126901699</v>
      </c>
    </row>
    <row r="138" spans="1:40" x14ac:dyDescent="0.2">
      <c r="A138">
        <v>294</v>
      </c>
      <c r="B138">
        <v>764</v>
      </c>
      <c r="C138">
        <v>120</v>
      </c>
      <c r="D138">
        <v>0.47221761558116099</v>
      </c>
      <c r="E138">
        <v>0.70709279676830505</v>
      </c>
      <c r="F138">
        <v>4.9154004649390401</v>
      </c>
      <c r="G138">
        <v>-4.827704576025309</v>
      </c>
      <c r="H138">
        <v>-3.5169566266965435</v>
      </c>
      <c r="I138">
        <v>1.2637978588716801</v>
      </c>
      <c r="J138">
        <v>0.62953530591086504</v>
      </c>
      <c r="K138">
        <v>0.14385253079823501</v>
      </c>
      <c r="L138">
        <v>3.6589197511534768E-5</v>
      </c>
      <c r="M138">
        <v>4.2585922014314799E-7</v>
      </c>
      <c r="N138" s="1">
        <v>2.8222024200299701E-9</v>
      </c>
      <c r="O138" s="1">
        <v>3.45946980480939E-13</v>
      </c>
      <c r="P138">
        <v>0</v>
      </c>
      <c r="R138">
        <v>8.7562539943098905</v>
      </c>
      <c r="S138">
        <v>2.2275995854269302</v>
      </c>
      <c r="T138">
        <v>50.112438680262798</v>
      </c>
      <c r="V138">
        <v>37.677820257121901</v>
      </c>
      <c r="X138">
        <v>1.2258874828783299</v>
      </c>
      <c r="AJ138">
        <v>0</v>
      </c>
      <c r="AK138">
        <v>-1.9243796246711499E-2</v>
      </c>
      <c r="AL138">
        <v>0.70479377632234697</v>
      </c>
      <c r="AM138">
        <v>6.8312216485199806E-2</v>
      </c>
      <c r="AN138">
        <v>0.246137803439164</v>
      </c>
    </row>
    <row r="139" spans="1:40" x14ac:dyDescent="0.2">
      <c r="A139">
        <v>295</v>
      </c>
      <c r="B139">
        <v>762</v>
      </c>
      <c r="C139">
        <v>120</v>
      </c>
      <c r="D139">
        <v>0.47106264792542502</v>
      </c>
      <c r="E139">
        <v>0.719702294348746</v>
      </c>
      <c r="F139">
        <v>4.9129521122300401</v>
      </c>
      <c r="G139">
        <v>-4.9243469748758093</v>
      </c>
      <c r="H139">
        <v>-3.5931692732048988</v>
      </c>
      <c r="I139">
        <v>1.28597565731624</v>
      </c>
      <c r="J139">
        <v>0.64084137576200495</v>
      </c>
      <c r="K139">
        <v>0.14649080184542301</v>
      </c>
      <c r="L139">
        <v>3.6243979624886126E-5</v>
      </c>
      <c r="M139">
        <v>4.2245473842547223E-7</v>
      </c>
      <c r="N139" s="1">
        <v>2.8490311110359401E-9</v>
      </c>
      <c r="O139" s="1">
        <v>3.4904067116138303E-13</v>
      </c>
      <c r="P139">
        <v>0</v>
      </c>
      <c r="R139">
        <v>8.9564558579882405</v>
      </c>
      <c r="S139">
        <v>2.2764919486759898</v>
      </c>
      <c r="T139">
        <v>49.674734487266001</v>
      </c>
      <c r="V139">
        <v>37.854973128489803</v>
      </c>
      <c r="X139">
        <v>1.2373445775799099</v>
      </c>
      <c r="AJ139">
        <v>0</v>
      </c>
      <c r="AK139">
        <v>-1.8794951560541399E-2</v>
      </c>
      <c r="AL139">
        <v>0.69825469253084005</v>
      </c>
      <c r="AM139">
        <v>6.8912850068894305E-2</v>
      </c>
      <c r="AN139">
        <v>0.25162740896080599</v>
      </c>
    </row>
    <row r="140" spans="1:40" x14ac:dyDescent="0.2">
      <c r="A140">
        <v>296</v>
      </c>
      <c r="B140">
        <v>760</v>
      </c>
      <c r="C140">
        <v>120</v>
      </c>
      <c r="D140">
        <v>0.46990320863379098</v>
      </c>
      <c r="E140">
        <v>0.72904590012186099</v>
      </c>
      <c r="F140">
        <v>4.9109134113601796</v>
      </c>
      <c r="G140">
        <v>-4.997043233136945</v>
      </c>
      <c r="H140">
        <v>-3.6517088798929338</v>
      </c>
      <c r="I140">
        <v>1.30216750059914</v>
      </c>
      <c r="J140">
        <v>0.6492191767962</v>
      </c>
      <c r="K140">
        <v>0.14845423632096499</v>
      </c>
      <c r="L140">
        <v>3.5950779791673453E-5</v>
      </c>
      <c r="M140">
        <v>4.1961692188932334E-7</v>
      </c>
      <c r="N140" s="1">
        <v>2.8662242332405302E-9</v>
      </c>
      <c r="O140" s="1">
        <v>3.5098756205940299E-13</v>
      </c>
      <c r="P140">
        <v>0</v>
      </c>
      <c r="R140">
        <v>9.1178192825719506</v>
      </c>
      <c r="S140">
        <v>2.3245093607303802</v>
      </c>
      <c r="T140">
        <v>49.311618966793603</v>
      </c>
      <c r="V140">
        <v>37.999846955547902</v>
      </c>
      <c r="X140">
        <v>1.24620543435611</v>
      </c>
      <c r="AJ140">
        <v>0</v>
      </c>
      <c r="AK140">
        <v>-1.8222462995047199E-2</v>
      </c>
      <c r="AL140">
        <v>0.69281355752213203</v>
      </c>
      <c r="AM140">
        <v>6.9372604676434302E-2</v>
      </c>
      <c r="AN140">
        <v>0.25603630079647999</v>
      </c>
    </row>
    <row r="141" spans="1:40" x14ac:dyDescent="0.2">
      <c r="A141">
        <v>297</v>
      </c>
      <c r="B141">
        <v>758</v>
      </c>
      <c r="C141">
        <v>120</v>
      </c>
      <c r="D141">
        <v>0.46873927168695301</v>
      </c>
      <c r="E141">
        <v>0.73625245487784896</v>
      </c>
      <c r="F141">
        <v>4.9091683628974199</v>
      </c>
      <c r="G141">
        <v>-5.0539073493839508</v>
      </c>
      <c r="H141">
        <v>-3.6985323863529631</v>
      </c>
      <c r="I141">
        <v>1.3144304543771299</v>
      </c>
      <c r="J141">
        <v>0.65567863041121</v>
      </c>
      <c r="K141">
        <v>0.14997498567014</v>
      </c>
      <c r="L141">
        <v>3.5693649396822231E-5</v>
      </c>
      <c r="M141">
        <v>4.1717083693002554E-7</v>
      </c>
      <c r="N141" s="1">
        <v>2.87736919278454E-9</v>
      </c>
      <c r="O141" s="1">
        <v>3.5221883702223501E-13</v>
      </c>
      <c r="P141">
        <v>0</v>
      </c>
      <c r="R141">
        <v>9.2525382332089894</v>
      </c>
      <c r="S141">
        <v>2.3713969388407699</v>
      </c>
      <c r="T141">
        <v>49.000242516699302</v>
      </c>
      <c r="V141">
        <v>38.122636982325197</v>
      </c>
      <c r="X141">
        <v>1.2531853289256401</v>
      </c>
      <c r="AJ141">
        <v>0</v>
      </c>
      <c r="AK141">
        <v>-1.7571534031782299E-2</v>
      </c>
      <c r="AL141">
        <v>0.68813601319829398</v>
      </c>
      <c r="AM141">
        <v>6.9730471710992906E-2</v>
      </c>
      <c r="AN141">
        <v>0.25970504912249398</v>
      </c>
    </row>
    <row r="142" spans="1:40" x14ac:dyDescent="0.2">
      <c r="A142">
        <v>298</v>
      </c>
      <c r="B142">
        <v>756</v>
      </c>
      <c r="C142">
        <v>120</v>
      </c>
      <c r="D142">
        <v>0.46757081086333502</v>
      </c>
      <c r="E142">
        <v>0.725667307963483</v>
      </c>
      <c r="F142">
        <v>4.9118142251583503</v>
      </c>
      <c r="G142">
        <v>-4.9693630093890304</v>
      </c>
      <c r="H142">
        <v>-3.6380783828987675</v>
      </c>
      <c r="I142">
        <v>1.2935768609923299</v>
      </c>
      <c r="J142">
        <v>0.64623303523617803</v>
      </c>
      <c r="K142">
        <v>0.14773916005345</v>
      </c>
      <c r="L142">
        <v>3.6054723893578663E-5</v>
      </c>
      <c r="M142">
        <v>4.2155945433951114E-7</v>
      </c>
      <c r="N142" s="1">
        <v>2.8677958019696501E-9</v>
      </c>
      <c r="O142" s="1">
        <v>3.5139697170210801E-13</v>
      </c>
      <c r="P142">
        <v>0</v>
      </c>
      <c r="R142">
        <v>8.8701774450557895</v>
      </c>
      <c r="S142">
        <v>2.4787149929244499</v>
      </c>
      <c r="T142">
        <v>49.598993429947903</v>
      </c>
      <c r="V142">
        <v>37.823130995679698</v>
      </c>
      <c r="X142">
        <v>1.22898313639204</v>
      </c>
      <c r="AJ142">
        <v>0</v>
      </c>
      <c r="AK142">
        <v>-1.38638887820111E-2</v>
      </c>
      <c r="AL142">
        <v>0.69651899912710302</v>
      </c>
      <c r="AM142">
        <v>6.8381287215192099E-2</v>
      </c>
      <c r="AN142">
        <v>0.24896360243971499</v>
      </c>
    </row>
    <row r="143" spans="1:40" x14ac:dyDescent="0.2">
      <c r="A143">
        <v>310</v>
      </c>
      <c r="B143">
        <v>776</v>
      </c>
      <c r="C143">
        <v>110</v>
      </c>
      <c r="D143">
        <v>0.48953962731735601</v>
      </c>
      <c r="E143">
        <v>0.50512627993772996</v>
      </c>
      <c r="F143">
        <v>4.9350369976717197</v>
      </c>
      <c r="G143">
        <v>-3.3851664802910624</v>
      </c>
      <c r="H143">
        <v>-2.4381487943551363</v>
      </c>
      <c r="I143">
        <v>0.90265232420142505</v>
      </c>
      <c r="J143">
        <v>0.44921156522836903</v>
      </c>
      <c r="K143">
        <v>0.102355115103704</v>
      </c>
      <c r="L143">
        <v>3.9860983676762306E-5</v>
      </c>
      <c r="M143">
        <v>4.5977557259722311E-7</v>
      </c>
      <c r="N143" s="1">
        <v>2.17911026131846E-9</v>
      </c>
      <c r="O143" s="1">
        <v>2.6834726953517101E-13</v>
      </c>
      <c r="P143">
        <v>0</v>
      </c>
      <c r="R143">
        <v>6.5725181851224903</v>
      </c>
      <c r="S143">
        <v>2.1106895370681902</v>
      </c>
      <c r="T143">
        <v>54.413871078865199</v>
      </c>
      <c r="V143">
        <v>35.77115941988</v>
      </c>
      <c r="X143">
        <v>1.13176177906403</v>
      </c>
      <c r="AJ143">
        <v>0</v>
      </c>
      <c r="AK143">
        <v>-1.6631507261999998E-2</v>
      </c>
      <c r="AL143">
        <v>0.767949992823318</v>
      </c>
      <c r="AM143">
        <v>6.3286282310950903E-2</v>
      </c>
      <c r="AN143">
        <v>0.18539523212772999</v>
      </c>
    </row>
    <row r="144" spans="1:40" x14ac:dyDescent="0.2">
      <c r="A144">
        <v>311</v>
      </c>
      <c r="B144">
        <v>774</v>
      </c>
      <c r="C144">
        <v>110</v>
      </c>
      <c r="D144">
        <v>0.48843097932483898</v>
      </c>
      <c r="E144">
        <v>0.61558023117491301</v>
      </c>
      <c r="F144">
        <v>4.9265831803833997</v>
      </c>
      <c r="G144">
        <v>-4.1600633323432739</v>
      </c>
      <c r="H144">
        <v>-3.0064201095764607</v>
      </c>
      <c r="I144">
        <v>1.10169815476943</v>
      </c>
      <c r="J144">
        <v>0.54782792302894201</v>
      </c>
      <c r="K144">
        <v>0.12495074347389901</v>
      </c>
      <c r="L144">
        <v>3.8585666288731623E-5</v>
      </c>
      <c r="M144">
        <v>4.4617280452595593E-7</v>
      </c>
      <c r="N144" s="1">
        <v>2.5749171185361902E-9</v>
      </c>
      <c r="O144" s="1">
        <v>3.1643941375432502E-13</v>
      </c>
      <c r="P144">
        <v>0</v>
      </c>
      <c r="R144">
        <v>7.4931254273303596</v>
      </c>
      <c r="S144">
        <v>2.1202320504321901</v>
      </c>
      <c r="T144">
        <v>52.652417151835898</v>
      </c>
      <c r="V144">
        <v>36.553160421445</v>
      </c>
      <c r="X144">
        <v>1.18106494895641</v>
      </c>
      <c r="AJ144">
        <v>0</v>
      </c>
      <c r="AK144">
        <v>-1.9152261748408402E-2</v>
      </c>
      <c r="AL144">
        <v>0.74211118018066802</v>
      </c>
      <c r="AM144">
        <v>6.5956209013671302E-2</v>
      </c>
      <c r="AN144">
        <v>0.21108487255406799</v>
      </c>
    </row>
    <row r="145" spans="1:40" x14ac:dyDescent="0.2">
      <c r="A145">
        <v>312</v>
      </c>
      <c r="B145">
        <v>772</v>
      </c>
      <c r="C145">
        <v>110</v>
      </c>
      <c r="D145">
        <v>0.48731808831268297</v>
      </c>
      <c r="E145">
        <v>0.66410142308577402</v>
      </c>
      <c r="F145">
        <v>4.9211183896493003</v>
      </c>
      <c r="G145">
        <v>-4.511194883290444</v>
      </c>
      <c r="H145">
        <v>-3.2682845792152349</v>
      </c>
      <c r="I145">
        <v>1.1892171497633901</v>
      </c>
      <c r="J145">
        <v>0.591247509720077</v>
      </c>
      <c r="K145">
        <v>0.134949288048544</v>
      </c>
      <c r="L145">
        <v>3.7805621165070086E-5</v>
      </c>
      <c r="M145">
        <v>4.3801892969986762E-7</v>
      </c>
      <c r="N145" s="1">
        <v>2.7256809829777901E-9</v>
      </c>
      <c r="O145" s="1">
        <v>3.3452359567526699E-13</v>
      </c>
      <c r="P145">
        <v>0</v>
      </c>
      <c r="R145">
        <v>8.0263451499929594</v>
      </c>
      <c r="S145">
        <v>2.15869281330931</v>
      </c>
      <c r="T145">
        <v>51.5946596491451</v>
      </c>
      <c r="V145">
        <v>37.008449812317203</v>
      </c>
      <c r="X145">
        <v>1.2118525752353699</v>
      </c>
      <c r="AJ145">
        <v>0</v>
      </c>
      <c r="AK145">
        <v>-2.0003336466540501E-2</v>
      </c>
      <c r="AL145">
        <v>0.72650406993387595</v>
      </c>
      <c r="AM145">
        <v>6.7610528916010701E-2</v>
      </c>
      <c r="AN145">
        <v>0.22588873761665301</v>
      </c>
    </row>
    <row r="146" spans="1:40" x14ac:dyDescent="0.2">
      <c r="A146">
        <v>313</v>
      </c>
      <c r="B146">
        <v>770</v>
      </c>
      <c r="C146">
        <v>110</v>
      </c>
      <c r="D146">
        <v>0.486200929875856</v>
      </c>
      <c r="E146">
        <v>0.69147292817416195</v>
      </c>
      <c r="F146">
        <v>4.9172189261355097</v>
      </c>
      <c r="G146">
        <v>-4.7139527448402703</v>
      </c>
      <c r="H146">
        <v>-3.4221306812188068</v>
      </c>
      <c r="I146">
        <v>1.23838571981159</v>
      </c>
      <c r="J146">
        <v>0.61577543467125895</v>
      </c>
      <c r="K146">
        <v>0.14062276635659099</v>
      </c>
      <c r="L146">
        <v>3.7258976454856569E-5</v>
      </c>
      <c r="M146">
        <v>4.3242417218655895E-7</v>
      </c>
      <c r="N146" s="1">
        <v>2.80076573930052E-9</v>
      </c>
      <c r="O146" s="1">
        <v>3.43416948454387E-13</v>
      </c>
      <c r="P146">
        <v>0</v>
      </c>
      <c r="R146">
        <v>8.3795287023658602</v>
      </c>
      <c r="S146">
        <v>2.2051750453475201</v>
      </c>
      <c r="T146">
        <v>50.869673441548201</v>
      </c>
      <c r="V146">
        <v>37.312769085412803</v>
      </c>
      <c r="X146">
        <v>1.23285372532555</v>
      </c>
      <c r="AJ146">
        <v>0</v>
      </c>
      <c r="AK146">
        <v>-2.0134677619961999E-2</v>
      </c>
      <c r="AL146">
        <v>0.71575416891238197</v>
      </c>
      <c r="AM146">
        <v>6.8730219684196098E-2</v>
      </c>
      <c r="AN146">
        <v>0.235650289023383</v>
      </c>
    </row>
    <row r="147" spans="1:40" x14ac:dyDescent="0.2">
      <c r="A147">
        <v>314</v>
      </c>
      <c r="B147">
        <v>768</v>
      </c>
      <c r="C147">
        <v>110</v>
      </c>
      <c r="D147">
        <v>0.48507947942179502</v>
      </c>
      <c r="E147">
        <v>0.70923932138578105</v>
      </c>
      <c r="F147">
        <v>4.9142236949181504</v>
      </c>
      <c r="G147">
        <v>-4.8480718779460314</v>
      </c>
      <c r="H147">
        <v>-3.5257618826756394</v>
      </c>
      <c r="I147">
        <v>1.2700475390389301</v>
      </c>
      <c r="J147">
        <v>0.63170936717156501</v>
      </c>
      <c r="K147">
        <v>0.14432377633098201</v>
      </c>
      <c r="L147">
        <v>3.6838677049996771E-5</v>
      </c>
      <c r="M147">
        <v>4.2821064508110468E-7</v>
      </c>
      <c r="N147" s="1">
        <v>2.8439941072613201E-9</v>
      </c>
      <c r="O147" s="1">
        <v>3.4847039525521699E-13</v>
      </c>
      <c r="P147">
        <v>0</v>
      </c>
      <c r="R147">
        <v>8.6363780885325507</v>
      </c>
      <c r="S147">
        <v>2.2536472306403899</v>
      </c>
      <c r="T147">
        <v>50.325197617186198</v>
      </c>
      <c r="V147">
        <v>37.536633631798402</v>
      </c>
      <c r="X147">
        <v>1.2481434318423099</v>
      </c>
      <c r="AJ147">
        <v>0</v>
      </c>
      <c r="AK147">
        <v>-1.99063295626692E-2</v>
      </c>
      <c r="AL147">
        <v>0.70764712166163701</v>
      </c>
      <c r="AM147">
        <v>6.9538768444572199E-2</v>
      </c>
      <c r="AN147">
        <v>0.24272043945645899</v>
      </c>
    </row>
    <row r="148" spans="1:40" x14ac:dyDescent="0.2">
      <c r="A148">
        <v>315</v>
      </c>
      <c r="B148">
        <v>766</v>
      </c>
      <c r="C148">
        <v>110</v>
      </c>
      <c r="D148">
        <v>0.483953712168602</v>
      </c>
      <c r="E148">
        <v>0.72179688281211196</v>
      </c>
      <c r="F148">
        <v>4.9118044505042304</v>
      </c>
      <c r="G148">
        <v>-4.9444211302574068</v>
      </c>
      <c r="H148">
        <v>-3.60165640844804</v>
      </c>
      <c r="I148">
        <v>1.2921760302260099</v>
      </c>
      <c r="J148">
        <v>0.64297627338650698</v>
      </c>
      <c r="K148">
        <v>0.14695146968605599</v>
      </c>
      <c r="L148">
        <v>3.6495095245815367E-5</v>
      </c>
      <c r="M148">
        <v>4.2483343828340299E-7</v>
      </c>
      <c r="N148" s="1">
        <v>2.87095853006488E-9</v>
      </c>
      <c r="O148" s="1">
        <v>3.5157678673246698E-13</v>
      </c>
      <c r="P148">
        <v>0</v>
      </c>
      <c r="R148">
        <v>8.8353600937587409</v>
      </c>
      <c r="S148">
        <v>2.3020828420835402</v>
      </c>
      <c r="T148">
        <v>49.8904701930119</v>
      </c>
      <c r="V148">
        <v>37.712328229904102</v>
      </c>
      <c r="X148">
        <v>1.2597586412416399</v>
      </c>
      <c r="AJ148">
        <v>0</v>
      </c>
      <c r="AK148">
        <v>-1.9476116015485E-2</v>
      </c>
      <c r="AL148">
        <v>0.70115133261479201</v>
      </c>
      <c r="AM148">
        <v>7.0147590260708201E-2</v>
      </c>
      <c r="AN148">
        <v>0.24817719313998399</v>
      </c>
    </row>
    <row r="149" spans="1:40" x14ac:dyDescent="0.2">
      <c r="A149">
        <v>316</v>
      </c>
      <c r="B149">
        <v>764</v>
      </c>
      <c r="C149">
        <v>110</v>
      </c>
      <c r="D149">
        <v>0.48282360314323097</v>
      </c>
      <c r="E149">
        <v>0.731181783091435</v>
      </c>
      <c r="F149">
        <v>4.9097800888062801</v>
      </c>
      <c r="G149">
        <v>-5.017484859407352</v>
      </c>
      <c r="H149">
        <v>-3.6603975133504454</v>
      </c>
      <c r="I149">
        <v>1.3084774102655401</v>
      </c>
      <c r="J149">
        <v>0.65139695931220598</v>
      </c>
      <c r="K149">
        <v>0.148923530151267</v>
      </c>
      <c r="L149">
        <v>3.620210948210468E-5</v>
      </c>
      <c r="M149">
        <v>4.2200621161726597E-7</v>
      </c>
      <c r="N149" s="1">
        <v>2.88849630380858E-9</v>
      </c>
      <c r="O149" s="1">
        <v>3.53561787909456E-13</v>
      </c>
      <c r="P149">
        <v>0</v>
      </c>
      <c r="R149">
        <v>8.9965745664005503</v>
      </c>
      <c r="S149">
        <v>2.3497396230420402</v>
      </c>
      <c r="T149">
        <v>49.528179534025</v>
      </c>
      <c r="V149">
        <v>37.8566767191938</v>
      </c>
      <c r="X149">
        <v>1.2688295573384301</v>
      </c>
      <c r="AJ149">
        <v>0</v>
      </c>
      <c r="AK149">
        <v>-1.89230423833366E-2</v>
      </c>
      <c r="AL149">
        <v>0.69572179812514701</v>
      </c>
      <c r="AM149">
        <v>7.0618384157233205E-2</v>
      </c>
      <c r="AN149">
        <v>0.25258286010095599</v>
      </c>
    </row>
    <row r="150" spans="1:40" x14ac:dyDescent="0.2">
      <c r="A150">
        <v>317</v>
      </c>
      <c r="B150">
        <v>762</v>
      </c>
      <c r="C150">
        <v>110</v>
      </c>
      <c r="D150">
        <v>0.48168912717963802</v>
      </c>
      <c r="E150">
        <v>0.73847068089949697</v>
      </c>
      <c r="F150">
        <v>4.9080416898549997</v>
      </c>
      <c r="G150">
        <v>-5.0750052001753758</v>
      </c>
      <c r="H150">
        <v>-3.7076576239159018</v>
      </c>
      <c r="I150">
        <v>1.3209173320383201</v>
      </c>
      <c r="J150">
        <v>0.65793509834501795</v>
      </c>
      <c r="K150">
        <v>0.15046137086119801</v>
      </c>
      <c r="L150">
        <v>3.5944567486694931E-5</v>
      </c>
      <c r="M150">
        <v>4.1956310228489086E-7</v>
      </c>
      <c r="N150" s="1">
        <v>2.9000598965399498E-9</v>
      </c>
      <c r="O150" s="1">
        <v>3.5484029444468298E-13</v>
      </c>
      <c r="P150">
        <v>0</v>
      </c>
      <c r="R150">
        <v>9.1316040499962092</v>
      </c>
      <c r="S150">
        <v>2.3963500573386498</v>
      </c>
      <c r="T150">
        <v>49.216653466296698</v>
      </c>
      <c r="V150">
        <v>37.979353426006803</v>
      </c>
      <c r="X150">
        <v>1.2760390003614901</v>
      </c>
      <c r="AJ150">
        <v>0</v>
      </c>
      <c r="AK150">
        <v>-1.82907862990104E-2</v>
      </c>
      <c r="AL150">
        <v>0.69104141824077703</v>
      </c>
      <c r="AM150">
        <v>7.0988367638691902E-2</v>
      </c>
      <c r="AN150">
        <v>0.25626100041954097</v>
      </c>
    </row>
    <row r="151" spans="1:40" x14ac:dyDescent="0.2">
      <c r="A151">
        <v>318</v>
      </c>
      <c r="B151">
        <v>760</v>
      </c>
      <c r="C151">
        <v>110</v>
      </c>
      <c r="D151">
        <v>0.480550258916906</v>
      </c>
      <c r="E151">
        <v>0.74428931398089204</v>
      </c>
      <c r="F151">
        <v>4.9065192057598503</v>
      </c>
      <c r="G151">
        <v>-5.1215239110136475</v>
      </c>
      <c r="H151">
        <v>-3.7467719139517555</v>
      </c>
      <c r="I151">
        <v>1.3306412399573</v>
      </c>
      <c r="J151">
        <v>0.66315122141272598</v>
      </c>
      <c r="K151">
        <v>0.15169395711468001</v>
      </c>
      <c r="L151">
        <v>3.5713008281440131E-5</v>
      </c>
      <c r="M151">
        <v>4.1740067509155842E-7</v>
      </c>
      <c r="N151" s="1">
        <v>2.9075770392272901E-9</v>
      </c>
      <c r="O151" s="1">
        <v>3.5564291268019199E-13</v>
      </c>
      <c r="P151">
        <v>0</v>
      </c>
      <c r="R151">
        <v>9.2476361739619701</v>
      </c>
      <c r="S151">
        <v>2.4418387488800399</v>
      </c>
      <c r="T151">
        <v>48.942345809977901</v>
      </c>
      <c r="V151">
        <v>38.086351570987603</v>
      </c>
      <c r="X151">
        <v>1.28182769619239</v>
      </c>
      <c r="AJ151">
        <v>0</v>
      </c>
      <c r="AK151">
        <v>-1.7605359577746699E-2</v>
      </c>
      <c r="AL151">
        <v>0.686911683953084</v>
      </c>
      <c r="AM151">
        <v>7.1281530669065396E-2</v>
      </c>
      <c r="AN151">
        <v>0.259412144955596</v>
      </c>
    </row>
    <row r="152" spans="1:40" x14ac:dyDescent="0.2">
      <c r="A152">
        <v>331</v>
      </c>
      <c r="B152">
        <v>782</v>
      </c>
      <c r="C152">
        <v>100</v>
      </c>
      <c r="D152">
        <v>0.50326541250059598</v>
      </c>
      <c r="E152">
        <v>0.36378362902542899</v>
      </c>
      <c r="F152">
        <v>4.9404795992148802</v>
      </c>
      <c r="G152">
        <v>-2.4246888149807817</v>
      </c>
      <c r="H152">
        <v>-1.738253447628817</v>
      </c>
      <c r="I152">
        <v>0.65055714102446505</v>
      </c>
      <c r="J152">
        <v>0.32342906242693797</v>
      </c>
      <c r="K152">
        <v>7.3633262058857493E-2</v>
      </c>
      <c r="L152">
        <v>4.1097457251081233E-5</v>
      </c>
      <c r="M152">
        <v>4.7225857809012092E-7</v>
      </c>
      <c r="N152" s="1">
        <v>1.61252746786458E-9</v>
      </c>
      <c r="O152" s="1">
        <v>1.9889847947441299E-13</v>
      </c>
      <c r="P152">
        <v>0</v>
      </c>
      <c r="R152">
        <v>5.7100111130051596</v>
      </c>
      <c r="S152">
        <v>2.1580754832139499</v>
      </c>
      <c r="T152">
        <v>56.001636536988599</v>
      </c>
      <c r="V152">
        <v>35.037850850037501</v>
      </c>
      <c r="X152">
        <v>1.09242601675465</v>
      </c>
      <c r="AJ152">
        <v>0</v>
      </c>
      <c r="AK152">
        <v>-1.33961961794465E-2</v>
      </c>
      <c r="AL152">
        <v>0.79104933686510803</v>
      </c>
      <c r="AM152">
        <v>6.1140097991896299E-2</v>
      </c>
      <c r="AN152">
        <v>0.16120676132244099</v>
      </c>
    </row>
    <row r="153" spans="1:40" x14ac:dyDescent="0.2">
      <c r="A153">
        <v>332</v>
      </c>
      <c r="B153">
        <v>780</v>
      </c>
      <c r="C153">
        <v>100</v>
      </c>
      <c r="D153">
        <v>0.50218914684517901</v>
      </c>
      <c r="E153">
        <v>0.56251569603576501</v>
      </c>
      <c r="F153">
        <v>4.9297846505668801</v>
      </c>
      <c r="G153">
        <v>-3.7893961161410292</v>
      </c>
      <c r="H153">
        <v>-2.7276041083670495</v>
      </c>
      <c r="I153">
        <v>1.00820586599627</v>
      </c>
      <c r="J153">
        <v>0.50063445611966295</v>
      </c>
      <c r="K153">
        <v>0.114105531155621</v>
      </c>
      <c r="L153">
        <v>3.9554283066494799E-5</v>
      </c>
      <c r="M153">
        <v>4.5594270469708848E-7</v>
      </c>
      <c r="N153" s="1">
        <v>2.4037034408164301E-9</v>
      </c>
      <c r="O153" s="1">
        <v>2.9561284142965899E-13</v>
      </c>
      <c r="P153">
        <v>0</v>
      </c>
      <c r="R153">
        <v>6.8730912564972</v>
      </c>
      <c r="S153">
        <v>2.1367829859479199</v>
      </c>
      <c r="T153">
        <v>53.827109292802099</v>
      </c>
      <c r="V153">
        <v>35.986704018784401</v>
      </c>
      <c r="X153">
        <v>1.1763124459681999</v>
      </c>
      <c r="AJ153">
        <v>0</v>
      </c>
      <c r="AK153">
        <v>-1.8531590673998399E-2</v>
      </c>
      <c r="AL153">
        <v>0.75908128003916897</v>
      </c>
      <c r="AM153">
        <v>6.5726598896056296E-2</v>
      </c>
      <c r="AN153">
        <v>0.19372371173877201</v>
      </c>
    </row>
    <row r="154" spans="1:40" x14ac:dyDescent="0.2">
      <c r="A154">
        <v>333</v>
      </c>
      <c r="B154">
        <v>778</v>
      </c>
      <c r="C154">
        <v>100</v>
      </c>
      <c r="D154">
        <v>0.501108785615755</v>
      </c>
      <c r="E154">
        <v>0.63772865396272505</v>
      </c>
      <c r="F154">
        <v>4.9230118172797299</v>
      </c>
      <c r="G154">
        <v>-4.3245569974806486</v>
      </c>
      <c r="H154">
        <v>-3.121868688139537</v>
      </c>
      <c r="I154">
        <v>1.14416430513353</v>
      </c>
      <c r="J154">
        <v>0.56788776110716699</v>
      </c>
      <c r="K154">
        <v>0.129540345957387</v>
      </c>
      <c r="L154">
        <v>3.8549433455755304E-5</v>
      </c>
      <c r="M154">
        <v>4.4534556109677695E-7</v>
      </c>
      <c r="N154" s="1">
        <v>2.6599344067914499E-9</v>
      </c>
      <c r="O154" s="1">
        <v>3.26578471769223E-13</v>
      </c>
      <c r="P154">
        <v>0</v>
      </c>
      <c r="R154">
        <v>7.5814544518918296</v>
      </c>
      <c r="S154">
        <v>2.1615801269586701</v>
      </c>
      <c r="T154">
        <v>52.452238607563402</v>
      </c>
      <c r="V154">
        <v>36.5886158573092</v>
      </c>
      <c r="X154">
        <v>1.2161109562767001</v>
      </c>
      <c r="AJ154">
        <v>0</v>
      </c>
      <c r="AK154">
        <v>-2.0184940636402599E-2</v>
      </c>
      <c r="AL154">
        <v>0.73886151115517096</v>
      </c>
      <c r="AM154">
        <v>6.7874002564686398E-2</v>
      </c>
      <c r="AN154">
        <v>0.21344942691654401</v>
      </c>
    </row>
    <row r="155" spans="1:40" x14ac:dyDescent="0.2">
      <c r="A155">
        <v>334</v>
      </c>
      <c r="B155">
        <v>776</v>
      </c>
      <c r="C155">
        <v>100</v>
      </c>
      <c r="D155">
        <v>0.50002430539008103</v>
      </c>
      <c r="E155">
        <v>0.67594037398777596</v>
      </c>
      <c r="F155">
        <v>4.9183388423307397</v>
      </c>
      <c r="G155">
        <v>-4.6038370266390753</v>
      </c>
      <c r="H155">
        <v>-3.3310478450717911</v>
      </c>
      <c r="I155">
        <v>1.21316225665279</v>
      </c>
      <c r="J155">
        <v>0.60212068931395901</v>
      </c>
      <c r="K155">
        <v>0.13743265676820501</v>
      </c>
      <c r="L155">
        <v>3.7882157500709727E-5</v>
      </c>
      <c r="M155">
        <v>4.38448270460503E-7</v>
      </c>
      <c r="N155" s="1">
        <v>2.7743668009969301E-9</v>
      </c>
      <c r="O155" s="1">
        <v>3.4023719640325802E-13</v>
      </c>
      <c r="P155">
        <v>0</v>
      </c>
      <c r="R155">
        <v>8.0273240538201094</v>
      </c>
      <c r="S155">
        <v>2.2034134694631402</v>
      </c>
      <c r="T155">
        <v>51.556782908924497</v>
      </c>
      <c r="V155">
        <v>36.969890126571997</v>
      </c>
      <c r="X155">
        <v>1.2425894412202201</v>
      </c>
      <c r="AJ155">
        <v>0</v>
      </c>
      <c r="AK155">
        <v>-2.07219658357655E-2</v>
      </c>
      <c r="AL155">
        <v>0.72562209244138098</v>
      </c>
      <c r="AM155">
        <v>6.9292078620517505E-2</v>
      </c>
      <c r="AN155">
        <v>0.22580779477386601</v>
      </c>
    </row>
    <row r="156" spans="1:40" x14ac:dyDescent="0.2">
      <c r="A156">
        <v>335</v>
      </c>
      <c r="B156">
        <v>774</v>
      </c>
      <c r="C156">
        <v>100</v>
      </c>
      <c r="D156">
        <v>0.49893568256697302</v>
      </c>
      <c r="E156">
        <v>0.69921016715085804</v>
      </c>
      <c r="F156">
        <v>4.91485462104046</v>
      </c>
      <c r="G156">
        <v>-4.7775252568191826</v>
      </c>
      <c r="H156">
        <v>-3.4633969864339194</v>
      </c>
      <c r="I156">
        <v>1.2549570456813799</v>
      </c>
      <c r="J156">
        <v>0.62299279364893501</v>
      </c>
      <c r="K156">
        <v>0.14226466926560599</v>
      </c>
      <c r="L156">
        <v>3.7390040856727059E-5</v>
      </c>
      <c r="M156">
        <v>4.3346475735743585E-7</v>
      </c>
      <c r="N156" s="1">
        <v>2.8363193456823101E-9</v>
      </c>
      <c r="O156" s="1">
        <v>3.4754029433581398E-13</v>
      </c>
      <c r="P156">
        <v>0</v>
      </c>
      <c r="R156">
        <v>8.3387093739506994</v>
      </c>
      <c r="S156">
        <v>2.2503489506016598</v>
      </c>
      <c r="T156">
        <v>50.910790032782103</v>
      </c>
      <c r="V156">
        <v>37.2386874941744</v>
      </c>
      <c r="X156">
        <v>1.2614641484909801</v>
      </c>
      <c r="AJ156">
        <v>0</v>
      </c>
      <c r="AK156">
        <v>-2.0725346385169902E-2</v>
      </c>
      <c r="AL156">
        <v>0.716027596327098</v>
      </c>
      <c r="AM156">
        <v>7.0295266228055403E-2</v>
      </c>
      <c r="AN156">
        <v>0.234402483830016</v>
      </c>
    </row>
    <row r="157" spans="1:40" x14ac:dyDescent="0.2">
      <c r="A157">
        <v>336</v>
      </c>
      <c r="B157">
        <v>772</v>
      </c>
      <c r="C157">
        <v>100</v>
      </c>
      <c r="D157">
        <v>0.49784289336458698</v>
      </c>
      <c r="E157">
        <v>0.71500884267659903</v>
      </c>
      <c r="F157">
        <v>4.9121023080049504</v>
      </c>
      <c r="G157">
        <v>-4.8975268241978771</v>
      </c>
      <c r="H157">
        <v>-3.5565095753780227</v>
      </c>
      <c r="I157">
        <v>1.2830859195520701</v>
      </c>
      <c r="J157">
        <v>0.63717382127681599</v>
      </c>
      <c r="K157">
        <v>0.145560657706862</v>
      </c>
      <c r="L157">
        <v>3.6999655688637408E-5</v>
      </c>
      <c r="M157">
        <v>4.2958958602200978E-7</v>
      </c>
      <c r="N157" s="1">
        <v>2.8737661518201701E-9</v>
      </c>
      <c r="O157" s="1">
        <v>3.5189669665731499E-13</v>
      </c>
      <c r="P157">
        <v>0</v>
      </c>
      <c r="R157">
        <v>8.5728447533678604</v>
      </c>
      <c r="S157">
        <v>2.2984796364695002</v>
      </c>
      <c r="T157">
        <v>50.4099403748722</v>
      </c>
      <c r="V157">
        <v>37.443121163387303</v>
      </c>
      <c r="X157">
        <v>1.27561407190303</v>
      </c>
      <c r="AJ157">
        <v>0</v>
      </c>
      <c r="AK157">
        <v>-2.0441429454298998E-2</v>
      </c>
      <c r="AL157">
        <v>0.70855998853107305</v>
      </c>
      <c r="AM157">
        <v>7.1041314063548494E-2</v>
      </c>
      <c r="AN157">
        <v>0.24084012685967601</v>
      </c>
    </row>
    <row r="158" spans="1:40" x14ac:dyDescent="0.2">
      <c r="A158">
        <v>337</v>
      </c>
      <c r="B158">
        <v>770</v>
      </c>
      <c r="C158">
        <v>100</v>
      </c>
      <c r="D158">
        <v>0.49674591381872402</v>
      </c>
      <c r="E158">
        <v>0.72650817046926297</v>
      </c>
      <c r="F158">
        <v>4.9098372897371201</v>
      </c>
      <c r="G158">
        <v>-4.9862108705450821</v>
      </c>
      <c r="H158">
        <v>-3.6266527643104376</v>
      </c>
      <c r="I158">
        <v>1.30331985451243</v>
      </c>
      <c r="J158">
        <v>0.64749914239143402</v>
      </c>
      <c r="K158">
        <v>0.147969907676545</v>
      </c>
      <c r="L158">
        <v>3.667404139217885E-5</v>
      </c>
      <c r="M158">
        <v>4.2641810306752883E-7</v>
      </c>
      <c r="N158" s="1">
        <v>2.89787522876851E-9</v>
      </c>
      <c r="O158" s="1">
        <v>3.5465986727378699E-13</v>
      </c>
      <c r="P158">
        <v>0</v>
      </c>
      <c r="R158">
        <v>8.7583042178268204</v>
      </c>
      <c r="S158">
        <v>2.3463719568827401</v>
      </c>
      <c r="T158">
        <v>50.001605689617897</v>
      </c>
      <c r="V158">
        <v>37.607129150175197</v>
      </c>
      <c r="X158">
        <v>1.2865889854972199</v>
      </c>
      <c r="AJ158">
        <v>0</v>
      </c>
      <c r="AK158">
        <v>-1.9987824109835801E-2</v>
      </c>
      <c r="AL158">
        <v>0.70245168567661398</v>
      </c>
      <c r="AM158">
        <v>7.1614931493455394E-2</v>
      </c>
      <c r="AN158">
        <v>0.24592120693976599</v>
      </c>
    </row>
    <row r="159" spans="1:40" x14ac:dyDescent="0.2">
      <c r="A159">
        <v>338</v>
      </c>
      <c r="B159">
        <v>768</v>
      </c>
      <c r="C159">
        <v>100</v>
      </c>
      <c r="D159">
        <v>0.49564471978101199</v>
      </c>
      <c r="E159">
        <v>0.73528278568997496</v>
      </c>
      <c r="F159">
        <v>4.9079169950000399</v>
      </c>
      <c r="G159">
        <v>-5.054818440175981</v>
      </c>
      <c r="H159">
        <v>-3.6820272655394581</v>
      </c>
      <c r="I159">
        <v>1.31853352027711</v>
      </c>
      <c r="J159">
        <v>0.65537787601086395</v>
      </c>
      <c r="K159">
        <v>0.14981565222864299</v>
      </c>
      <c r="L159">
        <v>3.6392586928251789E-5</v>
      </c>
      <c r="M159">
        <v>4.2372500814083187E-7</v>
      </c>
      <c r="N159" s="1">
        <v>2.9139160251854499E-9</v>
      </c>
      <c r="O159" s="1">
        <v>3.5646519759373902E-13</v>
      </c>
      <c r="P159">
        <v>0</v>
      </c>
      <c r="R159">
        <v>8.9109104391598404</v>
      </c>
      <c r="S159">
        <v>2.3934702928484599</v>
      </c>
      <c r="T159">
        <v>49.656390001400801</v>
      </c>
      <c r="V159">
        <v>37.743932883647098</v>
      </c>
      <c r="X159">
        <v>1.2952963829437301</v>
      </c>
      <c r="AJ159">
        <v>0</v>
      </c>
      <c r="AK159">
        <v>-1.94270388390765E-2</v>
      </c>
      <c r="AL159">
        <v>0.69727314053183598</v>
      </c>
      <c r="AM159">
        <v>7.20656302819387E-2</v>
      </c>
      <c r="AN159">
        <v>0.25008826802530099</v>
      </c>
    </row>
    <row r="160" spans="1:40" x14ac:dyDescent="0.2">
      <c r="A160">
        <v>339</v>
      </c>
      <c r="B160">
        <v>766</v>
      </c>
      <c r="C160">
        <v>100</v>
      </c>
      <c r="D160">
        <v>0.49453928691719501</v>
      </c>
      <c r="E160">
        <v>0.74220583599470502</v>
      </c>
      <c r="F160">
        <v>4.9062521833545398</v>
      </c>
      <c r="G160">
        <v>-5.109647247569062</v>
      </c>
      <c r="H160">
        <v>-3.7272394480587683</v>
      </c>
      <c r="I160">
        <v>1.3303255540685099</v>
      </c>
      <c r="J160">
        <v>0.66159210110142996</v>
      </c>
      <c r="K160">
        <v>0.15127755530235201</v>
      </c>
      <c r="L160">
        <v>3.6142830226157706E-5</v>
      </c>
      <c r="M160">
        <v>4.213742630692932E-7</v>
      </c>
      <c r="N160" s="1">
        <v>2.9246858829391299E-9</v>
      </c>
      <c r="O160" s="1">
        <v>3.5764840239881699E-13</v>
      </c>
      <c r="P160">
        <v>0</v>
      </c>
      <c r="R160">
        <v>9.0401693701787895</v>
      </c>
      <c r="S160">
        <v>2.4395675945745698</v>
      </c>
      <c r="T160">
        <v>49.356497266031397</v>
      </c>
      <c r="V160">
        <v>37.861459270135398</v>
      </c>
      <c r="X160">
        <v>1.3023064990798101</v>
      </c>
      <c r="AJ160">
        <v>0</v>
      </c>
      <c r="AK160">
        <v>-1.8795167980053699E-2</v>
      </c>
      <c r="AL160">
        <v>0.69276387876349699</v>
      </c>
      <c r="AM160">
        <v>7.2424474984003701E-2</v>
      </c>
      <c r="AN160">
        <v>0.25360681423255199</v>
      </c>
    </row>
    <row r="161" spans="1:40" x14ac:dyDescent="0.2">
      <c r="A161">
        <v>340</v>
      </c>
      <c r="B161">
        <v>764</v>
      </c>
      <c r="C161">
        <v>100</v>
      </c>
      <c r="D161">
        <v>0.49342959070530001</v>
      </c>
      <c r="E161">
        <v>0.74780254483450803</v>
      </c>
      <c r="F161">
        <v>4.9047837155740304</v>
      </c>
      <c r="G161">
        <v>-5.1545196990289792</v>
      </c>
      <c r="H161">
        <v>-3.7650912718078922</v>
      </c>
      <c r="I161">
        <v>1.33966005613564</v>
      </c>
      <c r="J161">
        <v>0.66661264340615201</v>
      </c>
      <c r="K161">
        <v>0.152463918533253</v>
      </c>
      <c r="L161">
        <v>3.5916745761053463E-5</v>
      </c>
      <c r="M161">
        <v>4.1927836584052782E-7</v>
      </c>
      <c r="N161" s="1">
        <v>2.9318042271030598E-9</v>
      </c>
      <c r="O161" s="1">
        <v>3.5840296432683602E-13</v>
      </c>
      <c r="P161">
        <v>0</v>
      </c>
      <c r="R161">
        <v>9.1521664081078704</v>
      </c>
      <c r="S161">
        <v>2.4846055157147999</v>
      </c>
      <c r="T161">
        <v>49.090455387105898</v>
      </c>
      <c r="V161">
        <v>37.964774265820402</v>
      </c>
      <c r="X161">
        <v>1.3079984232509001</v>
      </c>
      <c r="AJ161">
        <v>0</v>
      </c>
      <c r="AK161">
        <v>-1.8114429598943198E-2</v>
      </c>
      <c r="AL161">
        <v>0.68875573478483598</v>
      </c>
      <c r="AM161">
        <v>7.2712090545704003E-2</v>
      </c>
      <c r="AN161">
        <v>0.25664660426840202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57193-C131-423B-A4D4-A5C734CFC52E}">
  <sheetPr codeName="Sheet8"/>
  <dimension ref="A1:AP15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734</v>
      </c>
      <c r="C2">
        <v>300</v>
      </c>
      <c r="D2">
        <v>0.25781710768008598</v>
      </c>
      <c r="E2">
        <v>0.43599561302334799</v>
      </c>
      <c r="F2">
        <v>3.5901314585965598</v>
      </c>
      <c r="G2">
        <v>-5.5381173879794297</v>
      </c>
      <c r="H2">
        <v>-4.7094389899021616</v>
      </c>
      <c r="I2">
        <v>0.822795410889409</v>
      </c>
      <c r="J2">
        <v>0.48623651931923501</v>
      </c>
      <c r="K2">
        <v>0.121442798975886</v>
      </c>
      <c r="L2">
        <v>4.4322662231835897E-5</v>
      </c>
      <c r="M2">
        <v>9.1475063712470547E-7</v>
      </c>
      <c r="N2" s="1">
        <v>6.8124318074895602E-10</v>
      </c>
      <c r="O2" s="1">
        <v>1.1870071872405099E-13</v>
      </c>
      <c r="P2" s="1">
        <v>-8.4579864555881602E-13</v>
      </c>
      <c r="Q2">
        <v>49.6231672743044</v>
      </c>
      <c r="R2">
        <v>1.7506285698223999E-2</v>
      </c>
      <c r="S2">
        <v>2.2404114241692099</v>
      </c>
      <c r="T2">
        <v>0.55823120063931897</v>
      </c>
      <c r="V2">
        <v>32.415296784163502</v>
      </c>
      <c r="X2">
        <v>14.914593012670499</v>
      </c>
      <c r="AA2">
        <v>0.21425848020475299</v>
      </c>
      <c r="AB2">
        <v>1.65355381499377E-2</v>
      </c>
      <c r="AJ2">
        <v>-1.1106964667287</v>
      </c>
      <c r="AK2">
        <v>0.98977060124305705</v>
      </c>
      <c r="AL2">
        <v>1.0599501475897499</v>
      </c>
      <c r="AM2">
        <v>4.3297330670138801E-2</v>
      </c>
      <c r="AN2">
        <v>-4.2267835768869402E-2</v>
      </c>
      <c r="AO2">
        <v>5.8692664413423697E-2</v>
      </c>
      <c r="AP2">
        <v>1.25355858120039E-3</v>
      </c>
    </row>
    <row r="3" spans="1:42" x14ac:dyDescent="0.2">
      <c r="A3">
        <v>15</v>
      </c>
      <c r="B3">
        <v>732</v>
      </c>
      <c r="C3">
        <v>300</v>
      </c>
      <c r="D3">
        <v>0.256201064517732</v>
      </c>
      <c r="E3">
        <v>0.587252924679185</v>
      </c>
      <c r="F3">
        <v>3.5977276736656401</v>
      </c>
      <c r="G3">
        <v>-7.4350684807879652</v>
      </c>
      <c r="H3">
        <v>-6.3232554715075038</v>
      </c>
      <c r="I3">
        <v>1.10611650925778</v>
      </c>
      <c r="J3">
        <v>0.65388929142833196</v>
      </c>
      <c r="K3">
        <v>0.163228842743632</v>
      </c>
      <c r="L3">
        <v>4.4230113928250692E-5</v>
      </c>
      <c r="M3">
        <v>9.1501349036561155E-7</v>
      </c>
      <c r="N3" s="1">
        <v>1.0114976013866901E-9</v>
      </c>
      <c r="O3" s="1">
        <v>1.5932559820705401E-13</v>
      </c>
      <c r="P3" s="1">
        <v>-1.7972520030349301E-12</v>
      </c>
      <c r="Q3">
        <v>49.339905986185201</v>
      </c>
      <c r="R3">
        <v>1.7724293603594701E-2</v>
      </c>
      <c r="S3">
        <v>2.5421114594798402</v>
      </c>
      <c r="T3">
        <v>0.60046976642243499</v>
      </c>
      <c r="V3">
        <v>32.732539290373801</v>
      </c>
      <c r="X3">
        <v>14.577690964301301</v>
      </c>
      <c r="AA3">
        <v>0.17372891788550099</v>
      </c>
      <c r="AB3">
        <v>1.5829321748217599E-2</v>
      </c>
      <c r="AJ3">
        <v>-1.1323383073309701</v>
      </c>
      <c r="AK3">
        <v>0.99150729471029297</v>
      </c>
      <c r="AL3">
        <v>1.07218364381734</v>
      </c>
      <c r="AM3">
        <v>4.9746947774288897E-2</v>
      </c>
      <c r="AN3">
        <v>-4.8702821159005698E-2</v>
      </c>
      <c r="AO3">
        <v>6.64011365066286E-2</v>
      </c>
      <c r="AP3">
        <v>1.20210568142268E-3</v>
      </c>
    </row>
    <row r="4" spans="1:42" x14ac:dyDescent="0.2">
      <c r="A4">
        <v>16</v>
      </c>
      <c r="B4">
        <v>730</v>
      </c>
      <c r="C4">
        <v>300</v>
      </c>
      <c r="D4">
        <v>0.25457857748093798</v>
      </c>
      <c r="E4">
        <v>0.64178350916012195</v>
      </c>
      <c r="F4">
        <v>3.6018017354776002</v>
      </c>
      <c r="G4">
        <v>-8.113950548846649</v>
      </c>
      <c r="H4">
        <v>-6.9031224521097156</v>
      </c>
      <c r="I4">
        <v>1.20702596494734</v>
      </c>
      <c r="J4">
        <v>0.714119497049018</v>
      </c>
      <c r="K4">
        <v>0.178184019080944</v>
      </c>
      <c r="L4">
        <v>4.4150648765804156E-5</v>
      </c>
      <c r="M4">
        <v>9.1481199099267623E-7</v>
      </c>
      <c r="N4" s="1">
        <v>1.17776388586876E-9</v>
      </c>
      <c r="O4" s="1">
        <v>1.7408133997661901E-13</v>
      </c>
      <c r="P4" s="1">
        <v>-2.4698251515813999E-12</v>
      </c>
      <c r="Q4">
        <v>49.154952738916698</v>
      </c>
      <c r="R4">
        <v>1.8518268114832401E-2</v>
      </c>
      <c r="S4">
        <v>2.77746887712228</v>
      </c>
      <c r="T4">
        <v>0.62475520482093205</v>
      </c>
      <c r="V4">
        <v>32.855508626204397</v>
      </c>
      <c r="X4">
        <v>14.403191154941</v>
      </c>
      <c r="AA4">
        <v>0.150271991825147</v>
      </c>
      <c r="AB4">
        <v>1.5333138054473399E-2</v>
      </c>
      <c r="AJ4">
        <v>-1.1439906753766</v>
      </c>
      <c r="AK4">
        <v>0.99252407717644198</v>
      </c>
      <c r="AL4">
        <v>1.0769718592067199</v>
      </c>
      <c r="AM4">
        <v>5.4902376745477703E-2</v>
      </c>
      <c r="AN4">
        <v>-5.3810706987792598E-2</v>
      </c>
      <c r="AO4">
        <v>7.2237822030936497E-2</v>
      </c>
      <c r="AP4">
        <v>1.16524720481301E-3</v>
      </c>
    </row>
    <row r="5" spans="1:42" x14ac:dyDescent="0.2">
      <c r="A5">
        <v>17</v>
      </c>
      <c r="B5">
        <v>728</v>
      </c>
      <c r="C5">
        <v>300</v>
      </c>
      <c r="D5">
        <v>0.25294960795086002</v>
      </c>
      <c r="E5">
        <v>0.674974353357497</v>
      </c>
      <c r="F5">
        <v>3.6054723926827501</v>
      </c>
      <c r="G5">
        <v>-8.5226040416645805</v>
      </c>
      <c r="H5">
        <v>-7.2535533366325575</v>
      </c>
      <c r="I5">
        <v>1.2675929731129401</v>
      </c>
      <c r="J5">
        <v>0.75054173990223305</v>
      </c>
      <c r="K5">
        <v>0.187208298897904</v>
      </c>
      <c r="L5">
        <v>4.4068649360230767E-5</v>
      </c>
      <c r="M5">
        <v>9.1461362071527015E-7</v>
      </c>
      <c r="N5" s="1">
        <v>1.3110411592500401E-9</v>
      </c>
      <c r="O5" s="1">
        <v>1.8278483373885799E-13</v>
      </c>
      <c r="P5" s="1">
        <v>-3.0502492422995101E-12</v>
      </c>
      <c r="Q5">
        <v>48.987541912633198</v>
      </c>
      <c r="R5">
        <v>1.9169461072811901E-2</v>
      </c>
      <c r="S5">
        <v>2.9919655442392199</v>
      </c>
      <c r="T5">
        <v>0.64546156801652899</v>
      </c>
      <c r="V5">
        <v>32.964199903759301</v>
      </c>
      <c r="X5">
        <v>14.243858467133601</v>
      </c>
      <c r="AA5">
        <v>0.13290395898764101</v>
      </c>
      <c r="AB5">
        <v>1.4899184157516E-2</v>
      </c>
      <c r="AJ5">
        <v>-1.1543091550684601</v>
      </c>
      <c r="AK5">
        <v>0.99328217280382003</v>
      </c>
      <c r="AL5">
        <v>1.0812192898327899</v>
      </c>
      <c r="AM5">
        <v>5.9624795848220301E-2</v>
      </c>
      <c r="AN5">
        <v>-5.8494021623902201E-2</v>
      </c>
      <c r="AO5">
        <v>7.75439320667487E-2</v>
      </c>
      <c r="AP5">
        <v>1.1329861407829E-3</v>
      </c>
    </row>
    <row r="6" spans="1:42" x14ac:dyDescent="0.2">
      <c r="A6">
        <v>18</v>
      </c>
      <c r="B6">
        <v>726</v>
      </c>
      <c r="C6">
        <v>300</v>
      </c>
      <c r="D6">
        <v>0.251314116999449</v>
      </c>
      <c r="E6">
        <v>0.69928247766527396</v>
      </c>
      <c r="F6">
        <v>3.60889707517115</v>
      </c>
      <c r="G6">
        <v>-8.8189178261977581</v>
      </c>
      <c r="H6">
        <v>-7.5086901234844534</v>
      </c>
      <c r="I6">
        <v>1.3113423437054501</v>
      </c>
      <c r="J6">
        <v>0.77704443012598901</v>
      </c>
      <c r="K6">
        <v>0.193766256864532</v>
      </c>
      <c r="L6">
        <v>4.3983729806666748E-5</v>
      </c>
      <c r="M6">
        <v>9.1441172747874033E-7</v>
      </c>
      <c r="N6" s="1">
        <v>1.4314472630471701E-9</v>
      </c>
      <c r="O6" s="1">
        <v>1.8885848648731699E-13</v>
      </c>
      <c r="P6" s="1">
        <v>-3.57513220617266E-12</v>
      </c>
      <c r="Q6">
        <v>48.830576843605797</v>
      </c>
      <c r="R6">
        <v>1.97269037819068E-2</v>
      </c>
      <c r="S6">
        <v>3.1944063002507899</v>
      </c>
      <c r="T6">
        <v>0.66391154939967001</v>
      </c>
      <c r="V6">
        <v>33.063937992561002</v>
      </c>
      <c r="X6">
        <v>14.0938577883137</v>
      </c>
      <c r="AA6">
        <v>0.11907689166985</v>
      </c>
      <c r="AB6">
        <v>1.4505730417204901E-2</v>
      </c>
      <c r="AJ6">
        <v>-1.16382712342239</v>
      </c>
      <c r="AK6">
        <v>0.99388954219181302</v>
      </c>
      <c r="AL6">
        <v>1.0851275228481601</v>
      </c>
      <c r="AM6">
        <v>6.4100401421049905E-2</v>
      </c>
      <c r="AN6">
        <v>-6.2936061258294193E-2</v>
      </c>
      <c r="AO6">
        <v>8.2542003927638094E-2</v>
      </c>
      <c r="AP6">
        <v>1.10371429201621E-3</v>
      </c>
    </row>
    <row r="7" spans="1:42" x14ac:dyDescent="0.2">
      <c r="A7">
        <v>19</v>
      </c>
      <c r="B7">
        <v>724</v>
      </c>
      <c r="C7">
        <v>300</v>
      </c>
      <c r="D7">
        <v>0.249672065386352</v>
      </c>
      <c r="E7">
        <v>0.71895756245292097</v>
      </c>
      <c r="F7">
        <v>3.6121534726805602</v>
      </c>
      <c r="G7">
        <v>-9.056692709003471</v>
      </c>
      <c r="H7">
        <v>-7.7142314524216653</v>
      </c>
      <c r="I7">
        <v>1.34629820647024</v>
      </c>
      <c r="J7">
        <v>0.79836460388001995</v>
      </c>
      <c r="K7">
        <v>0.19903848712147401</v>
      </c>
      <c r="L7">
        <v>4.3895655633965703E-5</v>
      </c>
      <c r="M7">
        <v>9.1420378798243873E-7</v>
      </c>
      <c r="N7" s="1">
        <v>1.54607379106351E-9</v>
      </c>
      <c r="O7" s="1">
        <v>1.9348193559677301E-13</v>
      </c>
      <c r="P7" s="1">
        <v>-4.0604877289896E-12</v>
      </c>
      <c r="Q7">
        <v>48.680501417793501</v>
      </c>
      <c r="R7">
        <v>2.0215752059853199E-2</v>
      </c>
      <c r="S7">
        <v>3.3891991873086198</v>
      </c>
      <c r="T7">
        <v>0.68077271115683702</v>
      </c>
      <c r="V7">
        <v>33.157319155515999</v>
      </c>
      <c r="X7">
        <v>13.950233974063099</v>
      </c>
      <c r="AA7">
        <v>0.10761662619437901</v>
      </c>
      <c r="AB7">
        <v>1.41411759075699E-2</v>
      </c>
      <c r="AJ7">
        <v>-1.1728051159172499</v>
      </c>
      <c r="AK7">
        <v>0.994396039041612</v>
      </c>
      <c r="AL7">
        <v>1.08879514023865</v>
      </c>
      <c r="AM7">
        <v>6.8422356610043505E-2</v>
      </c>
      <c r="AN7">
        <v>-6.7228502064151596E-2</v>
      </c>
      <c r="AO7">
        <v>8.7343509913488201E-2</v>
      </c>
      <c r="AP7">
        <v>1.07657217761072E-3</v>
      </c>
    </row>
    <row r="8" spans="1:42" x14ac:dyDescent="0.2">
      <c r="A8">
        <v>32</v>
      </c>
      <c r="B8">
        <v>736</v>
      </c>
      <c r="C8">
        <v>290</v>
      </c>
      <c r="D8">
        <v>0.27032700787792002</v>
      </c>
      <c r="E8">
        <v>0.34672181071485297</v>
      </c>
      <c r="F8">
        <v>3.5897387257530098</v>
      </c>
      <c r="G8">
        <v>-4.4034951332650127</v>
      </c>
      <c r="H8">
        <v>-3.7424456377415205</v>
      </c>
      <c r="I8">
        <v>0.65505573554326901</v>
      </c>
      <c r="J8">
        <v>0.386576348491803</v>
      </c>
      <c r="K8">
        <v>9.6586920999973999E-2</v>
      </c>
      <c r="L8">
        <v>4.4337818710256781E-5</v>
      </c>
      <c r="M8">
        <v>9.1513671665957834E-7</v>
      </c>
      <c r="N8" s="1">
        <v>5.3165515601862405E-10</v>
      </c>
      <c r="O8" s="1">
        <v>9.3848542725742601E-14</v>
      </c>
      <c r="P8" s="1">
        <v>-5.29480061642253E-13</v>
      </c>
      <c r="Q8">
        <v>49.658479399969799</v>
      </c>
      <c r="R8">
        <v>1.5545359162787599E-2</v>
      </c>
      <c r="S8">
        <v>2.1507727015258999</v>
      </c>
      <c r="T8">
        <v>0.561975972906684</v>
      </c>
      <c r="V8">
        <v>32.4744914806015</v>
      </c>
      <c r="X8">
        <v>14.895019271298001</v>
      </c>
      <c r="AA8">
        <v>0.22729827067893299</v>
      </c>
      <c r="AB8">
        <v>1.64175438562701E-2</v>
      </c>
      <c r="AJ8">
        <v>-1.1104014015026999</v>
      </c>
      <c r="AK8">
        <v>0.98922959911044495</v>
      </c>
      <c r="AL8">
        <v>1.06224839278803</v>
      </c>
      <c r="AM8">
        <v>4.1137713407058601E-2</v>
      </c>
      <c r="AN8">
        <v>-4.0223222830002597E-2</v>
      </c>
      <c r="AO8">
        <v>5.6763880554395303E-2</v>
      </c>
      <c r="AP8">
        <v>1.2450384727700401E-3</v>
      </c>
    </row>
    <row r="9" spans="1:42" x14ac:dyDescent="0.2">
      <c r="A9">
        <v>33</v>
      </c>
      <c r="B9">
        <v>734</v>
      </c>
      <c r="C9">
        <v>290</v>
      </c>
      <c r="D9">
        <v>0.268739016035347</v>
      </c>
      <c r="E9">
        <v>0.55076917828194405</v>
      </c>
      <c r="F9">
        <v>3.59240137226013</v>
      </c>
      <c r="G9">
        <v>-6.9930530574408412</v>
      </c>
      <c r="H9">
        <v>-5.9463508866276422</v>
      </c>
      <c r="I9">
        <v>1.03927138044302</v>
      </c>
      <c r="J9">
        <v>0.61419619041331597</v>
      </c>
      <c r="K9">
        <v>0.153315045065644</v>
      </c>
      <c r="L9">
        <v>4.4282583810985883E-5</v>
      </c>
      <c r="M9">
        <v>9.1445663133287591E-7</v>
      </c>
      <c r="N9" s="1">
        <v>8.97842192101752E-10</v>
      </c>
      <c r="O9" s="1">
        <v>1.5048331245848701E-13</v>
      </c>
      <c r="P9" s="1">
        <v>-1.4136370532657601E-12</v>
      </c>
      <c r="Q9">
        <v>49.483935906704197</v>
      </c>
      <c r="R9">
        <v>1.7517544065990501E-2</v>
      </c>
      <c r="S9">
        <v>2.4237891650230399</v>
      </c>
      <c r="T9">
        <v>0.58552777277621304</v>
      </c>
      <c r="V9">
        <v>32.481718364330099</v>
      </c>
      <c r="X9">
        <v>14.8068579481436</v>
      </c>
      <c r="AA9">
        <v>0.18478406272263201</v>
      </c>
      <c r="AB9">
        <v>1.5869236234112599E-2</v>
      </c>
      <c r="AJ9">
        <v>-1.11919851978789</v>
      </c>
      <c r="AK9">
        <v>0.99105233153476702</v>
      </c>
      <c r="AL9">
        <v>1.06254261311112</v>
      </c>
      <c r="AM9">
        <v>4.7165255927078799E-2</v>
      </c>
      <c r="AN9">
        <v>-4.6134691068168802E-2</v>
      </c>
      <c r="AO9">
        <v>6.3369487687724602E-2</v>
      </c>
      <c r="AP9">
        <v>1.2035225953681099E-3</v>
      </c>
    </row>
    <row r="10" spans="1:42" x14ac:dyDescent="0.2">
      <c r="A10">
        <v>34</v>
      </c>
      <c r="B10">
        <v>732</v>
      </c>
      <c r="C10">
        <v>290</v>
      </c>
      <c r="D10">
        <v>0.267144704770434</v>
      </c>
      <c r="E10">
        <v>0.61655318158975103</v>
      </c>
      <c r="F10">
        <v>3.59660293255501</v>
      </c>
      <c r="G10">
        <v>-7.8167505788978007</v>
      </c>
      <c r="H10">
        <v>-6.6491093445466714</v>
      </c>
      <c r="I10">
        <v>1.1616586920868801</v>
      </c>
      <c r="J10">
        <v>0.68709407636682496</v>
      </c>
      <c r="K10">
        <v>0.171426535859423</v>
      </c>
      <c r="L10">
        <v>4.42106232288507E-5</v>
      </c>
      <c r="M10">
        <v>9.1429118373053867E-7</v>
      </c>
      <c r="N10" s="1">
        <v>1.0725337049993301E-9</v>
      </c>
      <c r="O10" s="1">
        <v>1.6861573387793799E-13</v>
      </c>
      <c r="P10" s="1">
        <v>-2.0964971319736101E-12</v>
      </c>
      <c r="Q10">
        <v>49.295304093679199</v>
      </c>
      <c r="R10">
        <v>1.8364448464305801E-2</v>
      </c>
      <c r="S10">
        <v>2.6620077789888499</v>
      </c>
      <c r="T10">
        <v>0.61071951590349605</v>
      </c>
      <c r="V10">
        <v>32.611443143919502</v>
      </c>
      <c r="X10">
        <v>14.627952849479801</v>
      </c>
      <c r="AA10">
        <v>0.158853301867703</v>
      </c>
      <c r="AB10">
        <v>1.5354867697013099E-2</v>
      </c>
      <c r="AJ10">
        <v>-1.1312677766365999</v>
      </c>
      <c r="AK10">
        <v>0.99217231550778895</v>
      </c>
      <c r="AL10">
        <v>1.0675720558084401</v>
      </c>
      <c r="AM10">
        <v>5.23684853128892E-2</v>
      </c>
      <c r="AN10">
        <v>-5.1287300790121601E-2</v>
      </c>
      <c r="AO10">
        <v>6.9276850026241704E-2</v>
      </c>
      <c r="AP10">
        <v>1.1653707713599601E-3</v>
      </c>
    </row>
    <row r="11" spans="1:42" x14ac:dyDescent="0.2">
      <c r="A11">
        <v>35</v>
      </c>
      <c r="B11">
        <v>730</v>
      </c>
      <c r="C11">
        <v>290</v>
      </c>
      <c r="D11">
        <v>0.265544036285703</v>
      </c>
      <c r="E11">
        <v>0.65355533041518699</v>
      </c>
      <c r="F11">
        <v>3.6003379062965601</v>
      </c>
      <c r="G11">
        <v>-8.2749044174706619</v>
      </c>
      <c r="H11">
        <v>-7.0414606963169373</v>
      </c>
      <c r="I11">
        <v>1.22957057384611</v>
      </c>
      <c r="J11">
        <v>0.72784536345853801</v>
      </c>
      <c r="K11">
        <v>0.18152610877778799</v>
      </c>
      <c r="L11">
        <v>4.4135727381881801E-5</v>
      </c>
      <c r="M11">
        <v>9.1412564522077715E-7</v>
      </c>
      <c r="N11" s="1">
        <v>1.20456154191179E-9</v>
      </c>
      <c r="O11" s="1">
        <v>1.78611442668235E-13</v>
      </c>
      <c r="P11" s="1">
        <v>-2.6813065059308301E-12</v>
      </c>
      <c r="Q11">
        <v>49.126892484067199</v>
      </c>
      <c r="R11">
        <v>1.9047734759493E-2</v>
      </c>
      <c r="S11">
        <v>2.8761861823103398</v>
      </c>
      <c r="T11">
        <v>0.63183491583058904</v>
      </c>
      <c r="V11">
        <v>32.724495383139001</v>
      </c>
      <c r="X11">
        <v>14.466551571102499</v>
      </c>
      <c r="AA11">
        <v>0.14007951862836801</v>
      </c>
      <c r="AB11">
        <v>1.49122101624096E-2</v>
      </c>
      <c r="AJ11">
        <v>-1.14178889413339</v>
      </c>
      <c r="AK11">
        <v>0.99298871332118899</v>
      </c>
      <c r="AL11">
        <v>1.07197185841853</v>
      </c>
      <c r="AM11">
        <v>5.7072135522125401E-2</v>
      </c>
      <c r="AN11">
        <v>-5.5949991728870198E-2</v>
      </c>
      <c r="AO11">
        <v>7.4573665316603199E-2</v>
      </c>
      <c r="AP11">
        <v>1.13251328381879E-3</v>
      </c>
    </row>
    <row r="12" spans="1:42" x14ac:dyDescent="0.2">
      <c r="A12">
        <v>36</v>
      </c>
      <c r="B12">
        <v>728</v>
      </c>
      <c r="C12">
        <v>290</v>
      </c>
      <c r="D12">
        <v>0.26393697248164799</v>
      </c>
      <c r="E12">
        <v>0.679592380058889</v>
      </c>
      <c r="F12">
        <v>3.6038009124178698</v>
      </c>
      <c r="G12">
        <v>-8.5939784107676687</v>
      </c>
      <c r="H12">
        <v>-7.3158067905295976</v>
      </c>
      <c r="I12">
        <v>1.2767034113150499</v>
      </c>
      <c r="J12">
        <v>0.75634049629104005</v>
      </c>
      <c r="K12">
        <v>0.188576560296982</v>
      </c>
      <c r="L12">
        <v>4.40576572552453E-5</v>
      </c>
      <c r="M12">
        <v>9.1395372500177423E-7</v>
      </c>
      <c r="N12" s="1">
        <v>1.32126305003336E-9</v>
      </c>
      <c r="O12" s="1">
        <v>1.8538253965755799E-13</v>
      </c>
      <c r="P12" s="1">
        <v>-3.2096767094501801E-12</v>
      </c>
      <c r="Q12">
        <v>48.970022215740002</v>
      </c>
      <c r="R12">
        <v>1.96279396740516E-2</v>
      </c>
      <c r="S12">
        <v>3.0770233730014098</v>
      </c>
      <c r="T12">
        <v>0.65048832226933095</v>
      </c>
      <c r="V12">
        <v>32.827583078694801</v>
      </c>
      <c r="X12">
        <v>14.3154493790061</v>
      </c>
      <c r="AA12">
        <v>0.12529148048174801</v>
      </c>
      <c r="AB12">
        <v>1.45142111324037E-2</v>
      </c>
      <c r="AJ12">
        <v>-1.1514211494209901</v>
      </c>
      <c r="AK12">
        <v>0.99363573102986802</v>
      </c>
      <c r="AL12">
        <v>1.0759952690556001</v>
      </c>
      <c r="AM12">
        <v>6.1502179326740999E-2</v>
      </c>
      <c r="AN12">
        <v>-6.0345159188360697E-2</v>
      </c>
      <c r="AO12">
        <v>7.9530179382236096E-2</v>
      </c>
      <c r="AP12">
        <v>1.10294981490731E-3</v>
      </c>
    </row>
    <row r="13" spans="1:42" x14ac:dyDescent="0.2">
      <c r="A13">
        <v>37</v>
      </c>
      <c r="B13">
        <v>726</v>
      </c>
      <c r="C13">
        <v>290</v>
      </c>
      <c r="D13">
        <v>0.26232347495371</v>
      </c>
      <c r="E13">
        <v>0.70015808673910096</v>
      </c>
      <c r="F13">
        <v>3.6070825964291302</v>
      </c>
      <c r="G13">
        <v>-8.8437216564060019</v>
      </c>
      <c r="H13">
        <v>-7.5313921835947104</v>
      </c>
      <c r="I13">
        <v>1.3134459018278399</v>
      </c>
      <c r="J13">
        <v>0.778711623109683</v>
      </c>
      <c r="K13">
        <v>0.19410647469848</v>
      </c>
      <c r="L13">
        <v>4.3976240973314261E-5</v>
      </c>
      <c r="M13">
        <v>9.1377329434470942E-7</v>
      </c>
      <c r="N13" s="1">
        <v>1.43136062679469E-9</v>
      </c>
      <c r="O13" s="1">
        <v>1.90459200934417E-13</v>
      </c>
      <c r="P13" s="1">
        <v>-3.6990319156760098E-12</v>
      </c>
      <c r="Q13">
        <v>48.820587301835502</v>
      </c>
      <c r="R13">
        <v>2.0134386935202302E-2</v>
      </c>
      <c r="S13">
        <v>3.26957690282214</v>
      </c>
      <c r="T13">
        <v>0.66744943611435104</v>
      </c>
      <c r="V13">
        <v>32.923792488579501</v>
      </c>
      <c r="X13">
        <v>14.1712018650255</v>
      </c>
      <c r="AA13">
        <v>0.113110381958653</v>
      </c>
      <c r="AB13">
        <v>1.4147236728971399E-2</v>
      </c>
      <c r="AJ13">
        <v>-1.1604684281400199</v>
      </c>
      <c r="AK13">
        <v>0.99417183940037301</v>
      </c>
      <c r="AL13">
        <v>1.0797591534978701</v>
      </c>
      <c r="AM13">
        <v>6.5765370563168599E-2</v>
      </c>
      <c r="AN13">
        <v>-6.4577825222779703E-2</v>
      </c>
      <c r="AO13">
        <v>8.4274218747174098E-2</v>
      </c>
      <c r="AP13">
        <v>1.0756711542117799E-3</v>
      </c>
    </row>
    <row r="14" spans="1:42" x14ac:dyDescent="0.2">
      <c r="A14">
        <v>38</v>
      </c>
      <c r="B14">
        <v>724</v>
      </c>
      <c r="C14">
        <v>290</v>
      </c>
      <c r="D14">
        <v>0.26070350498922301</v>
      </c>
      <c r="E14">
        <v>0.71756642053750097</v>
      </c>
      <c r="F14">
        <v>3.6102334232740501</v>
      </c>
      <c r="G14">
        <v>-9.0534809005481005</v>
      </c>
      <c r="H14">
        <v>-7.7131387890375169</v>
      </c>
      <c r="I14">
        <v>1.34417300457361</v>
      </c>
      <c r="J14">
        <v>0.79754093791443204</v>
      </c>
      <c r="K14">
        <v>0.19875900985004799</v>
      </c>
      <c r="L14">
        <v>4.3891373967910218E-5</v>
      </c>
      <c r="M14">
        <v>9.1358366118362769E-7</v>
      </c>
      <c r="N14" s="1">
        <v>1.53860314922382E-9</v>
      </c>
      <c r="O14" s="1">
        <v>1.9449282330813999E-13</v>
      </c>
      <c r="P14" s="1">
        <v>-4.1582105360218297E-12</v>
      </c>
      <c r="Q14">
        <v>48.6762786024563</v>
      </c>
      <c r="R14">
        <v>2.0583991903613E-2</v>
      </c>
      <c r="S14">
        <v>3.4566919923111699</v>
      </c>
      <c r="T14">
        <v>0.68315470518170696</v>
      </c>
      <c r="V14">
        <v>33.014826833553997</v>
      </c>
      <c r="X14">
        <v>14.031868567563899</v>
      </c>
      <c r="AA14">
        <v>0.102791900034419</v>
      </c>
      <c r="AB14">
        <v>1.38034069946728E-2</v>
      </c>
      <c r="AJ14">
        <v>-1.16909924135867</v>
      </c>
      <c r="AK14">
        <v>0.99462863493537201</v>
      </c>
      <c r="AL14">
        <v>1.08332807295649</v>
      </c>
      <c r="AM14">
        <v>6.9921722349181606E-2</v>
      </c>
      <c r="AN14">
        <v>-6.8707004740930805E-2</v>
      </c>
      <c r="AO14">
        <v>8.8877721971657206E-2</v>
      </c>
      <c r="AP14">
        <v>1.05009388690089E-3</v>
      </c>
    </row>
    <row r="15" spans="1:42" x14ac:dyDescent="0.2">
      <c r="A15">
        <v>51</v>
      </c>
      <c r="B15">
        <v>736</v>
      </c>
      <c r="C15">
        <v>280</v>
      </c>
      <c r="D15">
        <v>0.281227270475152</v>
      </c>
      <c r="E15">
        <v>0.50736527103761497</v>
      </c>
      <c r="F15">
        <v>3.5870427973300498</v>
      </c>
      <c r="G15">
        <v>-6.4604463292649577</v>
      </c>
      <c r="H15">
        <v>-5.4925700511463544</v>
      </c>
      <c r="I15">
        <v>0.95910050846613804</v>
      </c>
      <c r="J15">
        <v>0.56663426585701904</v>
      </c>
      <c r="K15">
        <v>0.14144388559156901</v>
      </c>
      <c r="L15">
        <v>4.4326216057322094E-5</v>
      </c>
      <c r="M15">
        <v>9.1386224424216936E-7</v>
      </c>
      <c r="N15" s="1">
        <v>7.8333307717235596E-10</v>
      </c>
      <c r="O15" s="1">
        <v>1.39486877794942E-13</v>
      </c>
      <c r="P15" s="1">
        <v>-1.04287748387882E-12</v>
      </c>
      <c r="Q15">
        <v>49.628316352639899</v>
      </c>
      <c r="R15">
        <v>1.72925970066839E-2</v>
      </c>
      <c r="S15">
        <v>2.3059305349040802</v>
      </c>
      <c r="T15">
        <v>0.57046454800498003</v>
      </c>
      <c r="V15">
        <v>32.228172435923099</v>
      </c>
      <c r="X15">
        <v>15.0369574854591</v>
      </c>
      <c r="AA15">
        <v>0.19694691605158399</v>
      </c>
      <c r="AB15">
        <v>1.59191300103762E-2</v>
      </c>
      <c r="AJ15">
        <v>-1.1059544991185799</v>
      </c>
      <c r="AK15">
        <v>0.99055157108603198</v>
      </c>
      <c r="AL15">
        <v>1.0528269464582101</v>
      </c>
      <c r="AM15">
        <v>4.4601530447254303E-2</v>
      </c>
      <c r="AN15">
        <v>-4.3585571206796299E-2</v>
      </c>
      <c r="AO15">
        <v>6.0354343863128997E-2</v>
      </c>
      <c r="AP15">
        <v>1.2056784707504501E-3</v>
      </c>
    </row>
    <row r="16" spans="1:42" x14ac:dyDescent="0.2">
      <c r="A16">
        <v>52</v>
      </c>
      <c r="B16">
        <v>734</v>
      </c>
      <c r="C16">
        <v>280</v>
      </c>
      <c r="D16">
        <v>0.27966092439060802</v>
      </c>
      <c r="E16">
        <v>0.58970184712725704</v>
      </c>
      <c r="F16">
        <v>3.5913979743516702</v>
      </c>
      <c r="G16">
        <v>-7.4972762427482023</v>
      </c>
      <c r="H16">
        <v>-6.3762542982000916</v>
      </c>
      <c r="I16">
        <v>1.1130635402354201</v>
      </c>
      <c r="J16">
        <v>0.65815286721766098</v>
      </c>
      <c r="K16">
        <v>0.16419841280155201</v>
      </c>
      <c r="L16">
        <v>4.4261991316388428E-5</v>
      </c>
      <c r="M16">
        <v>9.1373649060039829E-7</v>
      </c>
      <c r="N16" s="1">
        <v>9.7286563242845498E-10</v>
      </c>
      <c r="O16" s="1">
        <v>1.6248159993133199E-13</v>
      </c>
      <c r="P16" s="1">
        <v>-1.7328977400802901E-12</v>
      </c>
      <c r="Q16">
        <v>49.4348876069391</v>
      </c>
      <c r="R16">
        <v>1.8202107268840601E-2</v>
      </c>
      <c r="S16">
        <v>2.5483370858910299</v>
      </c>
      <c r="T16">
        <v>0.59677340781000399</v>
      </c>
      <c r="V16">
        <v>32.365660636921199</v>
      </c>
      <c r="X16">
        <v>14.852689005302899</v>
      </c>
      <c r="AA16">
        <v>0.168068143440982</v>
      </c>
      <c r="AB16">
        <v>1.5382006425758399E-2</v>
      </c>
      <c r="AJ16">
        <v>-1.1185308251077899</v>
      </c>
      <c r="AK16">
        <v>0.991794577754879</v>
      </c>
      <c r="AL16">
        <v>1.0581343021037799</v>
      </c>
      <c r="AM16">
        <v>4.9880391434299003E-2</v>
      </c>
      <c r="AN16">
        <v>-4.8810172235631097E-2</v>
      </c>
      <c r="AO16">
        <v>6.6365829093378598E-2</v>
      </c>
      <c r="AP16">
        <v>1.1658969570810299E-3</v>
      </c>
    </row>
    <row r="17" spans="1:42" x14ac:dyDescent="0.2">
      <c r="A17">
        <v>53</v>
      </c>
      <c r="B17">
        <v>732</v>
      </c>
      <c r="C17">
        <v>280</v>
      </c>
      <c r="D17">
        <v>0.27808834502313201</v>
      </c>
      <c r="E17">
        <v>0.63164253027905004</v>
      </c>
      <c r="F17">
        <v>3.5952045700966502</v>
      </c>
      <c r="G17">
        <v>-8.0195496635445274</v>
      </c>
      <c r="H17">
        <v>-6.8229435716276248</v>
      </c>
      <c r="I17">
        <v>1.1904751449205599</v>
      </c>
      <c r="J17">
        <v>0.70450176343486004</v>
      </c>
      <c r="K17">
        <v>0.17569028909586301</v>
      </c>
      <c r="L17">
        <v>4.4194319514108772E-5</v>
      </c>
      <c r="M17">
        <v>9.1360651140119592E-7</v>
      </c>
      <c r="N17" s="1">
        <v>1.1048468686274299E-9</v>
      </c>
      <c r="O17" s="1">
        <v>1.74088724912998E-13</v>
      </c>
      <c r="P17" s="1">
        <v>-2.3193326693416701E-12</v>
      </c>
      <c r="Q17">
        <v>49.2651504298464</v>
      </c>
      <c r="R17">
        <v>1.89210404701937E-2</v>
      </c>
      <c r="S17">
        <v>2.7625908414522899</v>
      </c>
      <c r="T17">
        <v>0.61836182503512604</v>
      </c>
      <c r="V17">
        <v>32.483359264753098</v>
      </c>
      <c r="X17">
        <v>14.6889695944651</v>
      </c>
      <c r="AA17">
        <v>0.14771787350113899</v>
      </c>
      <c r="AB17">
        <v>1.4929130476593999E-2</v>
      </c>
      <c r="AJ17">
        <v>-1.1292815838103301</v>
      </c>
      <c r="AK17">
        <v>0.99267635267451004</v>
      </c>
      <c r="AL17">
        <v>1.0626963434463299</v>
      </c>
      <c r="AM17">
        <v>5.4573587291278203E-2</v>
      </c>
      <c r="AN17">
        <v>-5.3460349306985101E-2</v>
      </c>
      <c r="AO17">
        <v>7.1663318104506296E-2</v>
      </c>
      <c r="AP17">
        <v>1.1323316006902301E-3</v>
      </c>
    </row>
    <row r="18" spans="1:42" x14ac:dyDescent="0.2">
      <c r="A18">
        <v>54</v>
      </c>
      <c r="B18">
        <v>730</v>
      </c>
      <c r="C18">
        <v>280</v>
      </c>
      <c r="D18">
        <v>0.27650949509046802</v>
      </c>
      <c r="E18">
        <v>0.65981357381527606</v>
      </c>
      <c r="F18">
        <v>3.5987080503038702</v>
      </c>
      <c r="G18">
        <v>-8.3666633970645528</v>
      </c>
      <c r="H18">
        <v>-7.1209847702816154</v>
      </c>
      <c r="I18">
        <v>1.24176706054222</v>
      </c>
      <c r="J18">
        <v>0.73544488806048902</v>
      </c>
      <c r="K18">
        <v>0.18334734704571501</v>
      </c>
      <c r="L18">
        <v>4.4123190763562137E-5</v>
      </c>
      <c r="M18">
        <v>9.1346690006702552E-7</v>
      </c>
      <c r="N18" s="1">
        <v>1.2181736742122199E-9</v>
      </c>
      <c r="O18" s="1">
        <v>1.81671626866307E-13</v>
      </c>
      <c r="P18" s="1">
        <v>-2.8486539379438E-12</v>
      </c>
      <c r="Q18">
        <v>49.108267030533</v>
      </c>
      <c r="R18">
        <v>1.952576407089E-2</v>
      </c>
      <c r="S18">
        <v>2.9619666848291302</v>
      </c>
      <c r="T18">
        <v>0.63724191041431599</v>
      </c>
      <c r="V18">
        <v>32.589879599029999</v>
      </c>
      <c r="X18">
        <v>14.5367136289569</v>
      </c>
      <c r="AA18">
        <v>0.13187938085297499</v>
      </c>
      <c r="AB18">
        <v>1.45260013126754E-2</v>
      </c>
      <c r="AJ18">
        <v>-1.13903789579282</v>
      </c>
      <c r="AK18">
        <v>0.99336668953481799</v>
      </c>
      <c r="AL18">
        <v>1.06683732837848</v>
      </c>
      <c r="AM18">
        <v>5.8961150126914101E-2</v>
      </c>
      <c r="AN18">
        <v>-5.7811625617568599E-2</v>
      </c>
      <c r="AO18">
        <v>7.6581919901843001E-2</v>
      </c>
      <c r="AP18">
        <v>1.1024334683399401E-3</v>
      </c>
    </row>
    <row r="19" spans="1:42" x14ac:dyDescent="0.2">
      <c r="A19">
        <v>55</v>
      </c>
      <c r="B19">
        <v>728</v>
      </c>
      <c r="C19">
        <v>280</v>
      </c>
      <c r="D19">
        <v>0.27492433701243602</v>
      </c>
      <c r="E19">
        <v>0.68146070671977999</v>
      </c>
      <c r="F19">
        <v>3.6020151666282199</v>
      </c>
      <c r="G19">
        <v>-8.6308709158702523</v>
      </c>
      <c r="H19">
        <v>-7.3487368085020144</v>
      </c>
      <c r="I19">
        <v>1.2806613468193899</v>
      </c>
      <c r="J19">
        <v>0.75908070641525405</v>
      </c>
      <c r="K19">
        <v>0.189188738857444</v>
      </c>
      <c r="L19">
        <v>4.4048522633641506E-5</v>
      </c>
      <c r="M19">
        <v>9.1331615544426545E-7</v>
      </c>
      <c r="N19" s="1">
        <v>1.32380382538423E-9</v>
      </c>
      <c r="O19" s="1">
        <v>1.8725472814958599E-13</v>
      </c>
      <c r="P19" s="1">
        <v>-3.3395877721746699E-12</v>
      </c>
      <c r="Q19">
        <v>48.959449388529002</v>
      </c>
      <c r="R19">
        <v>2.0050822614088699E-2</v>
      </c>
      <c r="S19">
        <v>3.1523247533915599</v>
      </c>
      <c r="T19">
        <v>0.65431010297760395</v>
      </c>
      <c r="V19">
        <v>32.688921139963398</v>
      </c>
      <c r="X19">
        <v>14.3918659452483</v>
      </c>
      <c r="AA19">
        <v>0.118921447461024</v>
      </c>
      <c r="AB19">
        <v>1.41563998148017E-2</v>
      </c>
      <c r="AJ19">
        <v>-1.14815744543709</v>
      </c>
      <c r="AK19">
        <v>0.99393468352060499</v>
      </c>
      <c r="AL19">
        <v>1.0706969761895899</v>
      </c>
      <c r="AM19">
        <v>6.3166614201143903E-2</v>
      </c>
      <c r="AN19">
        <v>-6.1985497162984099E-2</v>
      </c>
      <c r="AO19">
        <v>8.1269665700114499E-2</v>
      </c>
      <c r="AP19">
        <v>1.0750029886250601E-3</v>
      </c>
    </row>
    <row r="20" spans="1:42" x14ac:dyDescent="0.2">
      <c r="A20">
        <v>56</v>
      </c>
      <c r="B20">
        <v>726</v>
      </c>
      <c r="C20">
        <v>280</v>
      </c>
      <c r="D20">
        <v>0.273332832907971</v>
      </c>
      <c r="E20">
        <v>0.69945314305457695</v>
      </c>
      <c r="F20">
        <v>3.6051832541781499</v>
      </c>
      <c r="G20">
        <v>-8.8486644459238466</v>
      </c>
      <c r="H20">
        <v>-7.5371892048867419</v>
      </c>
      <c r="I20">
        <v>1.31259094333894</v>
      </c>
      <c r="J20">
        <v>0.77861541260967704</v>
      </c>
      <c r="K20">
        <v>0.19401320092229901</v>
      </c>
      <c r="L20">
        <v>4.3970254783487291E-5</v>
      </c>
      <c r="M20">
        <v>9.1315395784593239E-7</v>
      </c>
      <c r="N20" s="1">
        <v>1.4261783287656599E-9</v>
      </c>
      <c r="O20" s="1">
        <v>1.91647912833293E-13</v>
      </c>
      <c r="P20" s="1">
        <v>-3.8014601406381099E-12</v>
      </c>
      <c r="Q20">
        <v>48.816100417550402</v>
      </c>
      <c r="R20">
        <v>2.05154268044964E-2</v>
      </c>
      <c r="S20">
        <v>3.3368452730827101</v>
      </c>
      <c r="T20">
        <v>0.67005685420717898</v>
      </c>
      <c r="V20">
        <v>32.782453688277002</v>
      </c>
      <c r="X20">
        <v>14.252224699897299</v>
      </c>
      <c r="AA20">
        <v>0.10799233122684999</v>
      </c>
      <c r="AB20">
        <v>1.3811308953894499E-2</v>
      </c>
      <c r="AJ20">
        <v>-1.1568316438183199</v>
      </c>
      <c r="AK20">
        <v>0.994416446416439</v>
      </c>
      <c r="AL20">
        <v>1.0743497521127201</v>
      </c>
      <c r="AM20">
        <v>6.7256970803265995E-2</v>
      </c>
      <c r="AN20">
        <v>-6.6047822588678501E-2</v>
      </c>
      <c r="AO20">
        <v>8.5806923955327699E-2</v>
      </c>
      <c r="AP20">
        <v>1.0493731192432699E-3</v>
      </c>
    </row>
    <row r="21" spans="1:42" x14ac:dyDescent="0.2">
      <c r="A21">
        <v>68</v>
      </c>
      <c r="B21">
        <v>738</v>
      </c>
      <c r="C21">
        <v>270</v>
      </c>
      <c r="D21">
        <v>0.29366612273154402</v>
      </c>
      <c r="E21">
        <v>0.44873503076660698</v>
      </c>
      <c r="F21">
        <v>3.5805290984036602</v>
      </c>
      <c r="G21">
        <v>-5.7341733715858787</v>
      </c>
      <c r="H21">
        <v>-4.8747659012427338</v>
      </c>
      <c r="I21">
        <v>0.84993074256356005</v>
      </c>
      <c r="J21">
        <v>0.50206383682285805</v>
      </c>
      <c r="K21">
        <v>0.12532645830658601</v>
      </c>
      <c r="L21">
        <v>4.4364109138595558E-5</v>
      </c>
      <c r="M21">
        <v>9.1300925814854481E-7</v>
      </c>
      <c r="N21" s="1">
        <v>6.5204378055009697E-10</v>
      </c>
      <c r="O21" s="1">
        <v>1.2430791767869199E-13</v>
      </c>
      <c r="P21" s="1">
        <v>-6.6918772743169401E-13</v>
      </c>
      <c r="Q21">
        <v>49.798908891461998</v>
      </c>
      <c r="R21">
        <v>1.7412045694250099E-2</v>
      </c>
      <c r="S21">
        <v>2.17940404214196</v>
      </c>
      <c r="T21">
        <v>0.550809721905686</v>
      </c>
      <c r="V21">
        <v>31.902607417174298</v>
      </c>
      <c r="X21">
        <v>15.3234038413362</v>
      </c>
      <c r="AA21">
        <v>0.21142971843720701</v>
      </c>
      <c r="AB21">
        <v>1.6024321848261799E-2</v>
      </c>
      <c r="AJ21">
        <v>-1.0896248154263499</v>
      </c>
      <c r="AK21">
        <v>0.98995484837272196</v>
      </c>
      <c r="AL21">
        <v>1.0403905249409799</v>
      </c>
      <c r="AM21">
        <v>4.1904851525804601E-2</v>
      </c>
      <c r="AN21">
        <v>-4.0883642233953597E-2</v>
      </c>
      <c r="AO21">
        <v>5.7046684525132903E-2</v>
      </c>
      <c r="AP21">
        <v>1.2115482956570501E-3</v>
      </c>
    </row>
    <row r="22" spans="1:42" x14ac:dyDescent="0.2">
      <c r="A22">
        <v>69</v>
      </c>
      <c r="B22">
        <v>736</v>
      </c>
      <c r="C22">
        <v>270</v>
      </c>
      <c r="D22">
        <v>0.29212753307238798</v>
      </c>
      <c r="E22">
        <v>0.56077201267427601</v>
      </c>
      <c r="F22">
        <v>3.5861968272410101</v>
      </c>
      <c r="G22">
        <v>-7.1494889048903811</v>
      </c>
      <c r="H22">
        <v>-6.0794288432189294</v>
      </c>
      <c r="I22">
        <v>1.06035778791205</v>
      </c>
      <c r="J22">
        <v>0.62677955315227996</v>
      </c>
      <c r="K22">
        <v>0.156369557971445</v>
      </c>
      <c r="L22">
        <v>4.4304540752669674E-5</v>
      </c>
      <c r="M22">
        <v>9.1314455625205895E-7</v>
      </c>
      <c r="N22" s="1">
        <v>8.7846392790467501E-10</v>
      </c>
      <c r="O22" s="1">
        <v>1.5555530261573799E-13</v>
      </c>
      <c r="P22" s="1">
        <v>-1.38400779948551E-12</v>
      </c>
      <c r="Q22">
        <v>49.573166693345499</v>
      </c>
      <c r="R22">
        <v>1.8033786175781E-2</v>
      </c>
      <c r="S22">
        <v>2.4371643744946598</v>
      </c>
      <c r="T22">
        <v>0.58299749068531204</v>
      </c>
      <c r="V22">
        <v>32.118412537602502</v>
      </c>
      <c r="X22">
        <v>15.0769224410936</v>
      </c>
      <c r="AA22">
        <v>0.17788924763788799</v>
      </c>
      <c r="AB22">
        <v>1.5413428964580899E-2</v>
      </c>
      <c r="AJ22">
        <v>-1.10580889965939</v>
      </c>
      <c r="AK22">
        <v>0.99139218432187703</v>
      </c>
      <c r="AL22">
        <v>1.0486688940652</v>
      </c>
      <c r="AM22">
        <v>4.7453251924447902E-2</v>
      </c>
      <c r="AN22">
        <v>-4.6394325024458997E-2</v>
      </c>
      <c r="AO22">
        <v>6.3522153418334101E-2</v>
      </c>
      <c r="AP22">
        <v>1.1667409539931699E-3</v>
      </c>
    </row>
    <row r="23" spans="1:42" x14ac:dyDescent="0.2">
      <c r="A23">
        <v>70</v>
      </c>
      <c r="B23">
        <v>734</v>
      </c>
      <c r="C23">
        <v>270</v>
      </c>
      <c r="D23">
        <v>0.29058283274586499</v>
      </c>
      <c r="E23">
        <v>0.60914327908773702</v>
      </c>
      <c r="F23">
        <v>3.5900827749612398</v>
      </c>
      <c r="G23">
        <v>-7.7552772101766072</v>
      </c>
      <c r="H23">
        <v>-6.5969282623236172</v>
      </c>
      <c r="I23">
        <v>1.15012555016928</v>
      </c>
      <c r="J23">
        <v>0.68040751892670703</v>
      </c>
      <c r="K23">
        <v>0.16967388143141399</v>
      </c>
      <c r="L23">
        <v>4.4244186995753102E-5</v>
      </c>
      <c r="M23">
        <v>9.1305294190778984E-7</v>
      </c>
      <c r="N23" s="1">
        <v>1.0120406161995001E-9</v>
      </c>
      <c r="O23" s="1">
        <v>1.69196652699479E-13</v>
      </c>
      <c r="P23" s="1">
        <v>-1.9685554035087499E-12</v>
      </c>
      <c r="Q23">
        <v>49.4017582392039</v>
      </c>
      <c r="R23">
        <v>1.87921660052273E-2</v>
      </c>
      <c r="S23">
        <v>2.65191081220572</v>
      </c>
      <c r="T23">
        <v>0.60512669162370902</v>
      </c>
      <c r="V23">
        <v>32.241061673321298</v>
      </c>
      <c r="X23">
        <v>14.9106152852222</v>
      </c>
      <c r="AA23">
        <v>0.155786533917389</v>
      </c>
      <c r="AB23">
        <v>1.4948598500348499E-2</v>
      </c>
      <c r="AJ23">
        <v>-1.1168177429695101</v>
      </c>
      <c r="AK23">
        <v>0.99234661691418002</v>
      </c>
      <c r="AL23">
        <v>1.05340369356359</v>
      </c>
      <c r="AM23">
        <v>5.2144798898087201E-2</v>
      </c>
      <c r="AN23">
        <v>-5.1040575123510103E-2</v>
      </c>
      <c r="AO23">
        <v>6.8830868732893902E-2</v>
      </c>
      <c r="AP23">
        <v>1.13233998426653E-3</v>
      </c>
    </row>
    <row r="24" spans="1:42" x14ac:dyDescent="0.2">
      <c r="A24">
        <v>71</v>
      </c>
      <c r="B24">
        <v>732</v>
      </c>
      <c r="C24">
        <v>270</v>
      </c>
      <c r="D24">
        <v>0.28903198527583002</v>
      </c>
      <c r="E24">
        <v>0.63992797272373803</v>
      </c>
      <c r="F24">
        <v>3.5936285424351602</v>
      </c>
      <c r="G24">
        <v>-8.1367044565008797</v>
      </c>
      <c r="H24">
        <v>-6.9239938390707856</v>
      </c>
      <c r="I24">
        <v>1.20649715707117</v>
      </c>
      <c r="J24">
        <v>0.71433930043049498</v>
      </c>
      <c r="K24">
        <v>0.178072932460098</v>
      </c>
      <c r="L24">
        <v>4.418005073154381E-5</v>
      </c>
      <c r="M24">
        <v>9.129478766271073E-7</v>
      </c>
      <c r="N24" s="1">
        <v>1.1224486700909101E-9</v>
      </c>
      <c r="O24" s="1">
        <v>1.77726466908926E-13</v>
      </c>
      <c r="P24" s="1">
        <v>-2.49601711068096E-12</v>
      </c>
      <c r="Q24">
        <v>49.244763661899498</v>
      </c>
      <c r="R24">
        <v>1.9423102320269E-2</v>
      </c>
      <c r="S24">
        <v>2.8499589526060198</v>
      </c>
      <c r="T24">
        <v>0.62425454708457895</v>
      </c>
      <c r="V24">
        <v>32.351082717542702</v>
      </c>
      <c r="X24">
        <v>14.757166109352401</v>
      </c>
      <c r="AA24">
        <v>0.13881116794856199</v>
      </c>
      <c r="AB24">
        <v>1.4539741245855E-2</v>
      </c>
      <c r="AJ24">
        <v>-1.12670693395914</v>
      </c>
      <c r="AK24">
        <v>0.99308380344180402</v>
      </c>
      <c r="AL24">
        <v>1.05766407310805</v>
      </c>
      <c r="AM24">
        <v>5.6492796968783399E-2</v>
      </c>
      <c r="AN24">
        <v>-5.5350780725211997E-2</v>
      </c>
      <c r="AO24">
        <v>7.3714978035559695E-2</v>
      </c>
      <c r="AP24">
        <v>1.1020631301569899E-3</v>
      </c>
    </row>
    <row r="25" spans="1:42" x14ac:dyDescent="0.2">
      <c r="A25">
        <v>72</v>
      </c>
      <c r="B25">
        <v>730</v>
      </c>
      <c r="C25">
        <v>270</v>
      </c>
      <c r="D25">
        <v>0.28747495389523398</v>
      </c>
      <c r="E25">
        <v>0.66286774302748597</v>
      </c>
      <c r="F25">
        <v>3.5969608111084099</v>
      </c>
      <c r="G25">
        <v>-8.418152723697732</v>
      </c>
      <c r="H25">
        <v>-7.1662728697292151</v>
      </c>
      <c r="I25">
        <v>1.2479488152006299</v>
      </c>
      <c r="J25">
        <v>0.73947715762084498</v>
      </c>
      <c r="K25">
        <v>0.18428550596947399</v>
      </c>
      <c r="L25">
        <v>4.4112173727368924E-5</v>
      </c>
      <c r="M25">
        <v>9.1282883368138523E-7</v>
      </c>
      <c r="N25" s="1">
        <v>1.2237488736979299E-9</v>
      </c>
      <c r="O25" s="1">
        <v>1.8387416244579701E-13</v>
      </c>
      <c r="P25" s="1">
        <v>-2.9859870144720799E-12</v>
      </c>
      <c r="Q25">
        <v>49.096552212707898</v>
      </c>
      <c r="R25">
        <v>1.9967668911734401E-2</v>
      </c>
      <c r="S25">
        <v>3.0381561842772</v>
      </c>
      <c r="T25">
        <v>0.64143421589155902</v>
      </c>
      <c r="V25">
        <v>32.452939316313703</v>
      </c>
      <c r="X25">
        <v>14.6117587447114</v>
      </c>
      <c r="AA25">
        <v>0.12502432228676699</v>
      </c>
      <c r="AB25">
        <v>1.41673348995244E-2</v>
      </c>
      <c r="AJ25">
        <v>-1.1359005335372001</v>
      </c>
      <c r="AK25">
        <v>0.99368578342444003</v>
      </c>
      <c r="AL25">
        <v>1.0616181955766699</v>
      </c>
      <c r="AM25">
        <v>6.0641402099254497E-2</v>
      </c>
      <c r="AN25">
        <v>-5.9466676498067098E-2</v>
      </c>
      <c r="AO25">
        <v>7.8347361297597604E-2</v>
      </c>
      <c r="AP25">
        <v>1.0744676373031601E-3</v>
      </c>
    </row>
    <row r="26" spans="1:42" x14ac:dyDescent="0.2">
      <c r="A26">
        <v>73</v>
      </c>
      <c r="B26">
        <v>728</v>
      </c>
      <c r="C26">
        <v>270</v>
      </c>
      <c r="D26">
        <v>0.28591170154322698</v>
      </c>
      <c r="E26">
        <v>0.68155685581496195</v>
      </c>
      <c r="F26">
        <v>3.6001449640902501</v>
      </c>
      <c r="G26">
        <v>-8.6454654342836275</v>
      </c>
      <c r="H26">
        <v>-7.3626953470703986</v>
      </c>
      <c r="I26">
        <v>1.2812965961276701</v>
      </c>
      <c r="J26">
        <v>0.75984285075493097</v>
      </c>
      <c r="K26">
        <v>0.18931372558970999</v>
      </c>
      <c r="L26">
        <v>4.4040555527516856E-5</v>
      </c>
      <c r="M26">
        <v>9.1269601483870249E-7</v>
      </c>
      <c r="N26" s="1">
        <v>1.3212599389299099E-9</v>
      </c>
      <c r="O26" s="1">
        <v>1.88656918059151E-13</v>
      </c>
      <c r="P26" s="1">
        <v>-3.44813345399548E-12</v>
      </c>
      <c r="Q26">
        <v>48.954190664175997</v>
      </c>
      <c r="R26">
        <v>2.0447793089490299E-2</v>
      </c>
      <c r="S26">
        <v>3.22007183349614</v>
      </c>
      <c r="T26">
        <v>0.65721929661993395</v>
      </c>
      <c r="V26">
        <v>32.548916195686097</v>
      </c>
      <c r="X26">
        <v>14.471883946428299</v>
      </c>
      <c r="AA26">
        <v>0.11344927435488</v>
      </c>
      <c r="AB26">
        <v>1.38209961489205E-2</v>
      </c>
      <c r="AJ26">
        <v>-1.1446167324037999</v>
      </c>
      <c r="AK26">
        <v>0.99419391930520795</v>
      </c>
      <c r="AL26">
        <v>1.0653522073905299</v>
      </c>
      <c r="AM26">
        <v>6.4665700503482595E-2</v>
      </c>
      <c r="AN26">
        <v>-6.3462057015160903E-2</v>
      </c>
      <c r="AO26">
        <v>8.2818176206243793E-2</v>
      </c>
      <c r="AP26">
        <v>1.04878601349652E-3</v>
      </c>
    </row>
    <row r="27" spans="1:42" x14ac:dyDescent="0.2">
      <c r="A27">
        <v>84</v>
      </c>
      <c r="B27">
        <v>740</v>
      </c>
      <c r="C27">
        <v>260</v>
      </c>
      <c r="D27">
        <v>0.30605586537038199</v>
      </c>
      <c r="E27">
        <v>0.39155555595130398</v>
      </c>
      <c r="F27">
        <v>3.5790580766992401</v>
      </c>
      <c r="G27">
        <v>-5.0064127524767281</v>
      </c>
      <c r="H27">
        <v>-4.2540729654931768</v>
      </c>
      <c r="I27">
        <v>0.74257492669748004</v>
      </c>
      <c r="J27">
        <v>0.43816816709392797</v>
      </c>
      <c r="K27">
        <v>0.109401844720109</v>
      </c>
      <c r="L27">
        <v>4.4380500385221904E-5</v>
      </c>
      <c r="M27">
        <v>9.1310093434889932E-7</v>
      </c>
      <c r="N27" s="1">
        <v>5.5551600477938395E-10</v>
      </c>
      <c r="O27" s="1">
        <v>1.08123023946287E-13</v>
      </c>
      <c r="P27" s="1">
        <v>-4.2876384830259401E-13</v>
      </c>
      <c r="Q27">
        <v>49.852131904574499</v>
      </c>
      <c r="R27">
        <v>1.5911738844384599E-2</v>
      </c>
      <c r="S27">
        <v>2.0963177838525602</v>
      </c>
      <c r="T27">
        <v>0.55119563487091505</v>
      </c>
      <c r="V27">
        <v>31.886646594292699</v>
      </c>
      <c r="X27">
        <v>15.360111646301499</v>
      </c>
      <c r="AA27">
        <v>0.221746354540241</v>
      </c>
      <c r="AB27">
        <v>1.5938342723025498E-2</v>
      </c>
      <c r="AJ27">
        <v>-1.0866576879229199</v>
      </c>
      <c r="AK27">
        <v>0.98953100274216399</v>
      </c>
      <c r="AL27">
        <v>1.039801862807</v>
      </c>
      <c r="AM27">
        <v>3.9946547212185997E-2</v>
      </c>
      <c r="AN27">
        <v>-3.9013391463765097E-2</v>
      </c>
      <c r="AO27">
        <v>5.51866979221248E-2</v>
      </c>
      <c r="AP27">
        <v>1.2049687032048299E-3</v>
      </c>
    </row>
    <row r="28" spans="1:42" x14ac:dyDescent="0.2">
      <c r="A28">
        <v>85</v>
      </c>
      <c r="B28">
        <v>738</v>
      </c>
      <c r="C28">
        <v>260</v>
      </c>
      <c r="D28">
        <v>0.30454482519902998</v>
      </c>
      <c r="E28">
        <v>0.52920436638881496</v>
      </c>
      <c r="F28">
        <v>3.58101177319584</v>
      </c>
      <c r="G28">
        <v>-6.7659773568643917</v>
      </c>
      <c r="H28">
        <v>-5.7523403743470096</v>
      </c>
      <c r="I28">
        <v>1.0024595584407601</v>
      </c>
      <c r="J28">
        <v>0.59234129022493798</v>
      </c>
      <c r="K28">
        <v>0.147780683199634</v>
      </c>
      <c r="L28">
        <v>4.4338183751906806E-5</v>
      </c>
      <c r="M28">
        <v>9.1251266517705714E-7</v>
      </c>
      <c r="N28" s="1">
        <v>7.8881222510290703E-10</v>
      </c>
      <c r="O28" s="1">
        <v>1.4768632881160199E-13</v>
      </c>
      <c r="P28" s="1">
        <v>-1.05532376965793E-12</v>
      </c>
      <c r="Q28">
        <v>49.709530936474799</v>
      </c>
      <c r="R28">
        <v>1.7862828250022701E-2</v>
      </c>
      <c r="S28">
        <v>2.3292655582876298</v>
      </c>
      <c r="T28">
        <v>0.56948651117321802</v>
      </c>
      <c r="V28">
        <v>31.870064356432401</v>
      </c>
      <c r="X28">
        <v>15.3000905504078</v>
      </c>
      <c r="AA28">
        <v>0.18825141452017799</v>
      </c>
      <c r="AB28">
        <v>1.5447844453765999E-2</v>
      </c>
      <c r="AJ28">
        <v>-1.0931385377587901</v>
      </c>
      <c r="AK28">
        <v>0.99096803894197205</v>
      </c>
      <c r="AL28">
        <v>1.0391902872329299</v>
      </c>
      <c r="AM28">
        <v>4.5103542628818202E-2</v>
      </c>
      <c r="AN28">
        <v>-4.4056035199404597E-2</v>
      </c>
      <c r="AO28">
        <v>6.0764897651112898E-2</v>
      </c>
      <c r="AP28">
        <v>1.16780650336013E-3</v>
      </c>
    </row>
    <row r="29" spans="1:42" x14ac:dyDescent="0.2">
      <c r="A29">
        <v>86</v>
      </c>
      <c r="B29">
        <v>736</v>
      </c>
      <c r="C29">
        <v>260</v>
      </c>
      <c r="D29">
        <v>0.30302779566962401</v>
      </c>
      <c r="E29">
        <v>0.58598195274738996</v>
      </c>
      <c r="F29">
        <v>3.5849846936941101</v>
      </c>
      <c r="G29">
        <v>-7.4810251268267249</v>
      </c>
      <c r="H29">
        <v>-6.3625119284835652</v>
      </c>
      <c r="I29">
        <v>1.10837159821945</v>
      </c>
      <c r="J29">
        <v>0.65547784127686404</v>
      </c>
      <c r="K29">
        <v>0.16345452012057801</v>
      </c>
      <c r="L29">
        <v>4.4285213104994412E-5</v>
      </c>
      <c r="M29">
        <v>9.1246231957999676E-7</v>
      </c>
      <c r="N29" s="1">
        <v>9.2618485492424403E-10</v>
      </c>
      <c r="O29" s="1">
        <v>1.6392246261463301E-13</v>
      </c>
      <c r="P29" s="1">
        <v>-1.6332693465196501E-12</v>
      </c>
      <c r="Q29">
        <v>49.536106012199902</v>
      </c>
      <c r="R29">
        <v>1.86645613732557E-2</v>
      </c>
      <c r="S29">
        <v>2.54491877868844</v>
      </c>
      <c r="T29">
        <v>0.59222421489522103</v>
      </c>
      <c r="V29">
        <v>31.997967121283001</v>
      </c>
      <c r="X29">
        <v>15.1309215416081</v>
      </c>
      <c r="AA29">
        <v>0.16422865875161999</v>
      </c>
      <c r="AB29">
        <v>1.4969111200249701E-2</v>
      </c>
      <c r="AJ29">
        <v>-1.10443337502914</v>
      </c>
      <c r="AK29">
        <v>0.99200204840776696</v>
      </c>
      <c r="AL29">
        <v>1.04410829295449</v>
      </c>
      <c r="AM29">
        <v>4.9802167109772401E-2</v>
      </c>
      <c r="AN29">
        <v>-4.8706860530300898E-2</v>
      </c>
      <c r="AO29">
        <v>6.6095300557785105E-2</v>
      </c>
      <c r="AP29">
        <v>1.1324265296328399E-3</v>
      </c>
    </row>
    <row r="30" spans="1:42" x14ac:dyDescent="0.2">
      <c r="A30">
        <v>87</v>
      </c>
      <c r="B30">
        <v>734</v>
      </c>
      <c r="C30">
        <v>260</v>
      </c>
      <c r="D30">
        <v>0.30150474110112602</v>
      </c>
      <c r="E30">
        <v>0.61993694001612298</v>
      </c>
      <c r="F30">
        <v>3.5885738725489702</v>
      </c>
      <c r="G30">
        <v>-7.9040751731635215</v>
      </c>
      <c r="H30">
        <v>-6.7248092669739581</v>
      </c>
      <c r="I30">
        <v>1.1708940139895301</v>
      </c>
      <c r="J30">
        <v>0.69302715122120895</v>
      </c>
      <c r="K30">
        <v>0.17275301053668399</v>
      </c>
      <c r="L30">
        <v>4.4228077663377862E-5</v>
      </c>
      <c r="M30">
        <v>9.1239391019349946E-7</v>
      </c>
      <c r="N30" s="1">
        <v>1.03425409433263E-9</v>
      </c>
      <c r="O30" s="1">
        <v>1.7355584477184101E-13</v>
      </c>
      <c r="P30" s="1">
        <v>-2.1556918141980999E-12</v>
      </c>
      <c r="Q30">
        <v>49.378926982138402</v>
      </c>
      <c r="R30">
        <v>1.9323224213095701E-2</v>
      </c>
      <c r="S30">
        <v>2.7417462934750301</v>
      </c>
      <c r="T30">
        <v>0.61161601783730002</v>
      </c>
      <c r="V30">
        <v>32.111528713303201</v>
      </c>
      <c r="X30">
        <v>14.9762648636067</v>
      </c>
      <c r="AA30">
        <v>0.146039951490395</v>
      </c>
      <c r="AB30">
        <v>1.45539539357633E-2</v>
      </c>
      <c r="AJ30">
        <v>-1.11446209065032</v>
      </c>
      <c r="AK30">
        <v>0.99278918637950497</v>
      </c>
      <c r="AL30">
        <v>1.0484888252520801</v>
      </c>
      <c r="AM30">
        <v>5.41129749666375E-2</v>
      </c>
      <c r="AN30">
        <v>-5.2978285119663203E-2</v>
      </c>
      <c r="AO30">
        <v>7.0947660418256397E-2</v>
      </c>
      <c r="AP30">
        <v>1.1017287535100399E-3</v>
      </c>
    </row>
    <row r="31" spans="1:42" x14ac:dyDescent="0.2">
      <c r="A31">
        <v>88</v>
      </c>
      <c r="B31">
        <v>732</v>
      </c>
      <c r="C31">
        <v>260</v>
      </c>
      <c r="D31">
        <v>0.29997562552852802</v>
      </c>
      <c r="E31">
        <v>0.64439624727956901</v>
      </c>
      <c r="F31">
        <v>3.59193038017799</v>
      </c>
      <c r="G31">
        <v>-8.2057638334365528</v>
      </c>
      <c r="H31">
        <v>-6.9841644758800436</v>
      </c>
      <c r="I31">
        <v>1.21534035472965</v>
      </c>
      <c r="J31">
        <v>0.719922834896629</v>
      </c>
      <c r="K31">
        <v>0.17940109608907101</v>
      </c>
      <c r="L31">
        <v>4.4166985884263452E-5</v>
      </c>
      <c r="M31">
        <v>9.1230838534891358E-7</v>
      </c>
      <c r="N31" s="1">
        <v>1.1314311772198399E-9</v>
      </c>
      <c r="O31" s="1">
        <v>1.8032990019517299E-13</v>
      </c>
      <c r="P31" s="1">
        <v>-2.6420191551467202E-12</v>
      </c>
      <c r="Q31">
        <v>49.231331754577297</v>
      </c>
      <c r="R31">
        <v>1.9888000030900198E-2</v>
      </c>
      <c r="S31">
        <v>2.9277973032830298</v>
      </c>
      <c r="T31">
        <v>0.62890714021025895</v>
      </c>
      <c r="V31">
        <v>32.216154382608501</v>
      </c>
      <c r="X31">
        <v>14.830362707850499</v>
      </c>
      <c r="AA31">
        <v>0.13138008892942299</v>
      </c>
      <c r="AB31">
        <v>1.4178622509894099E-2</v>
      </c>
      <c r="AJ31">
        <v>-1.1237295864646999</v>
      </c>
      <c r="AK31">
        <v>0.99342690964027902</v>
      </c>
      <c r="AL31">
        <v>1.0525350621837299</v>
      </c>
      <c r="AM31">
        <v>5.8205196934419598E-2</v>
      </c>
      <c r="AN31">
        <v>-5.7036643067085502E-2</v>
      </c>
      <c r="AO31">
        <v>7.5525101586446097E-2</v>
      </c>
      <c r="AP31">
        <v>1.0739591869130701E-3</v>
      </c>
    </row>
    <row r="32" spans="1:42" x14ac:dyDescent="0.2">
      <c r="A32">
        <v>89</v>
      </c>
      <c r="B32">
        <v>730</v>
      </c>
      <c r="C32">
        <v>260</v>
      </c>
      <c r="D32">
        <v>0.29844041269999899</v>
      </c>
      <c r="E32">
        <v>0.66389684726686504</v>
      </c>
      <c r="F32">
        <v>3.5951288741212801</v>
      </c>
      <c r="G32">
        <v>-8.4441214837028316</v>
      </c>
      <c r="H32">
        <v>-7.1898556326282357</v>
      </c>
      <c r="I32">
        <v>1.2503273200165399</v>
      </c>
      <c r="J32">
        <v>0.74124808128511799</v>
      </c>
      <c r="K32">
        <v>0.18466566026207701</v>
      </c>
      <c r="L32">
        <v>4.4102015574557586E-5</v>
      </c>
      <c r="M32">
        <v>9.1220666420176045E-7</v>
      </c>
      <c r="N32" s="1">
        <v>1.22414494149227E-9</v>
      </c>
      <c r="O32" s="1">
        <v>1.8553176062368101E-13</v>
      </c>
      <c r="P32" s="1">
        <v>-3.1019692025183602E-12</v>
      </c>
      <c r="Q32">
        <v>49.090000943018403</v>
      </c>
      <c r="R32">
        <v>2.0383990958243E-2</v>
      </c>
      <c r="S32">
        <v>3.1070854390511098</v>
      </c>
      <c r="T32">
        <v>0.64472390029769899</v>
      </c>
      <c r="V32">
        <v>32.314495145010397</v>
      </c>
      <c r="X32">
        <v>14.6903494112233</v>
      </c>
      <c r="AA32">
        <v>0.11913006574598101</v>
      </c>
      <c r="AB32">
        <v>1.3831104694801401E-2</v>
      </c>
      <c r="AJ32">
        <v>-1.1324848326419199</v>
      </c>
      <c r="AK32">
        <v>0.99396255523346</v>
      </c>
      <c r="AL32">
        <v>1.05634671326359</v>
      </c>
      <c r="AM32">
        <v>6.2163148506133498E-2</v>
      </c>
      <c r="AN32">
        <v>-6.0964772571818399E-2</v>
      </c>
      <c r="AO32">
        <v>7.9928957590076399E-2</v>
      </c>
      <c r="AP32">
        <v>1.0482306204815401E-3</v>
      </c>
    </row>
    <row r="33" spans="1:42" x14ac:dyDescent="0.2">
      <c r="A33">
        <v>90</v>
      </c>
      <c r="B33">
        <v>728</v>
      </c>
      <c r="C33">
        <v>260</v>
      </c>
      <c r="D33">
        <v>0.29689906607401501</v>
      </c>
      <c r="E33">
        <v>0.68045453365000597</v>
      </c>
      <c r="F33">
        <v>3.5982123574832801</v>
      </c>
      <c r="G33">
        <v>-8.6449059085701361</v>
      </c>
      <c r="H33">
        <v>-7.3637515216101104</v>
      </c>
      <c r="I33">
        <v>1.2796827517954501</v>
      </c>
      <c r="J33">
        <v>0.75926084064056099</v>
      </c>
      <c r="K33">
        <v>0.18910905362070901</v>
      </c>
      <c r="L33">
        <v>4.4033199060905261E-5</v>
      </c>
      <c r="M33">
        <v>9.1208960832231892E-7</v>
      </c>
      <c r="N33" s="1">
        <v>1.31529932854796E-9</v>
      </c>
      <c r="O33" s="1">
        <v>1.8973886277050801E-13</v>
      </c>
      <c r="P33" s="1">
        <v>-3.5409007206529801E-12</v>
      </c>
      <c r="Q33">
        <v>48.953007694425501</v>
      </c>
      <c r="R33">
        <v>2.0826143806458499E-2</v>
      </c>
      <c r="S33">
        <v>3.2819447123123502</v>
      </c>
      <c r="T33">
        <v>0.65943316240611904</v>
      </c>
      <c r="V33">
        <v>32.408066311089499</v>
      </c>
      <c r="X33">
        <v>14.554569225876101</v>
      </c>
      <c r="AA33">
        <v>0.10864836055864099</v>
      </c>
      <c r="AB33">
        <v>1.35043895251624E-2</v>
      </c>
      <c r="AJ33">
        <v>-1.14087127107829</v>
      </c>
      <c r="AK33">
        <v>0.99442326773721601</v>
      </c>
      <c r="AL33">
        <v>1.05998076795434</v>
      </c>
      <c r="AM33">
        <v>6.6035828097351201E-2</v>
      </c>
      <c r="AN33">
        <v>-6.4810793143589202E-2</v>
      </c>
      <c r="AO33">
        <v>8.4218175133713005E-2</v>
      </c>
      <c r="AP33">
        <v>1.02402529925764E-3</v>
      </c>
    </row>
    <row r="34" spans="1:42" x14ac:dyDescent="0.2">
      <c r="A34">
        <v>100</v>
      </c>
      <c r="B34">
        <v>742</v>
      </c>
      <c r="C34">
        <v>250</v>
      </c>
      <c r="D34">
        <v>0.318396788651924</v>
      </c>
      <c r="E34">
        <v>0.31068614123454202</v>
      </c>
      <c r="F34">
        <v>3.57827793405048</v>
      </c>
      <c r="G34">
        <v>-3.9731264059916946</v>
      </c>
      <c r="H34">
        <v>-3.3742878857629326</v>
      </c>
      <c r="I34">
        <v>0.58990151231715704</v>
      </c>
      <c r="J34">
        <v>0.34765740510048199</v>
      </c>
      <c r="K34">
        <v>8.6825603533500897E-2</v>
      </c>
      <c r="L34">
        <v>4.4393732419665756E-5</v>
      </c>
      <c r="M34">
        <v>9.1331964154481466E-7</v>
      </c>
      <c r="N34" s="1">
        <v>4.3280205100937797E-10</v>
      </c>
      <c r="O34" s="1">
        <v>8.5379205243684797E-14</v>
      </c>
      <c r="P34" s="1">
        <v>-2.2438039666868899E-13</v>
      </c>
      <c r="Q34">
        <v>49.889055385605502</v>
      </c>
      <c r="R34">
        <v>1.4273896756265E-2</v>
      </c>
      <c r="S34">
        <v>2.01962866335561</v>
      </c>
      <c r="T34">
        <v>0.554070498448614</v>
      </c>
      <c r="V34">
        <v>31.913131158517999</v>
      </c>
      <c r="X34">
        <v>15.362322727418899</v>
      </c>
      <c r="AA34">
        <v>0.23168206152550599</v>
      </c>
      <c r="AB34">
        <v>1.5835608371397001E-2</v>
      </c>
      <c r="AJ34">
        <v>-1.08551817183337</v>
      </c>
      <c r="AK34">
        <v>0.98912191548220096</v>
      </c>
      <c r="AL34">
        <v>1.0408343144585299</v>
      </c>
      <c r="AM34">
        <v>3.81042473654623E-2</v>
      </c>
      <c r="AN34">
        <v>-3.7267008295500698E-2</v>
      </c>
      <c r="AO34">
        <v>5.3527306829763803E-2</v>
      </c>
      <c r="AP34">
        <v>1.1973959929161E-3</v>
      </c>
    </row>
    <row r="35" spans="1:42" x14ac:dyDescent="0.2">
      <c r="A35">
        <v>101</v>
      </c>
      <c r="B35">
        <v>740</v>
      </c>
      <c r="C35">
        <v>250</v>
      </c>
      <c r="D35">
        <v>0.31691309282929903</v>
      </c>
      <c r="E35">
        <v>0.48628430977994103</v>
      </c>
      <c r="F35">
        <v>3.5733063209631499</v>
      </c>
      <c r="G35">
        <v>-6.2440008281696349</v>
      </c>
      <c r="H35">
        <v>-5.3087406709842719</v>
      </c>
      <c r="I35">
        <v>0.92312111452930201</v>
      </c>
      <c r="J35">
        <v>0.54548957775086604</v>
      </c>
      <c r="K35">
        <v>0.136088055739052</v>
      </c>
      <c r="L35">
        <v>4.4365964230464001E-5</v>
      </c>
      <c r="M35">
        <v>9.1133110167623004E-7</v>
      </c>
      <c r="N35" s="1">
        <v>6.8099519394673896E-10</v>
      </c>
      <c r="O35" s="1">
        <v>1.3712349157290399E-13</v>
      </c>
      <c r="P35" s="1">
        <v>-6.9989722312972605E-13</v>
      </c>
      <c r="Q35">
        <v>49.902656533336703</v>
      </c>
      <c r="R35">
        <v>1.8563354702727401E-2</v>
      </c>
      <c r="S35">
        <v>2.2035410538005999</v>
      </c>
      <c r="T35">
        <v>0.54623837937370401</v>
      </c>
      <c r="V35">
        <v>31.4640118363216</v>
      </c>
      <c r="X35">
        <v>15.647874671608299</v>
      </c>
      <c r="AA35">
        <v>0.20152636209546601</v>
      </c>
      <c r="AB35">
        <v>1.5587808760785001E-2</v>
      </c>
      <c r="AJ35">
        <v>-1.0738122589803401</v>
      </c>
      <c r="AK35">
        <v>0.99042356421181799</v>
      </c>
      <c r="AL35">
        <v>1.02374110632654</v>
      </c>
      <c r="AM35">
        <v>4.2479488691321003E-2</v>
      </c>
      <c r="AN35">
        <v>-4.1393245020295198E-2</v>
      </c>
      <c r="AO35">
        <v>5.7385494625476402E-2</v>
      </c>
      <c r="AP35">
        <v>1.17585014548265E-3</v>
      </c>
    </row>
    <row r="36" spans="1:42" x14ac:dyDescent="0.2">
      <c r="A36">
        <v>102</v>
      </c>
      <c r="B36">
        <v>738</v>
      </c>
      <c r="C36">
        <v>250</v>
      </c>
      <c r="D36">
        <v>0.31542352766652099</v>
      </c>
      <c r="E36">
        <v>0.56212958744951103</v>
      </c>
      <c r="F36">
        <v>3.5799247924419002</v>
      </c>
      <c r="G36">
        <v>-7.1963143413535988</v>
      </c>
      <c r="H36">
        <v>-6.1192874681082179</v>
      </c>
      <c r="I36">
        <v>1.0651504457749901</v>
      </c>
      <c r="J36">
        <v>0.62967985418234096</v>
      </c>
      <c r="K36">
        <v>0.15702273652125401</v>
      </c>
      <c r="L36">
        <v>4.4317408220957874E-5</v>
      </c>
      <c r="M36">
        <v>9.1183280265059762E-7</v>
      </c>
      <c r="N36" s="1">
        <v>8.4725496429333602E-10</v>
      </c>
      <c r="O36" s="1">
        <v>1.58269239920322E-13</v>
      </c>
      <c r="P36" s="1">
        <v>-1.3178060935844801E-12</v>
      </c>
      <c r="Q36">
        <v>49.667508738023102</v>
      </c>
      <c r="R36">
        <v>1.85425655848389E-2</v>
      </c>
      <c r="S36">
        <v>2.4424560084103599</v>
      </c>
      <c r="T36">
        <v>0.57976358499042502</v>
      </c>
      <c r="V36">
        <v>31.754554380918002</v>
      </c>
      <c r="X36">
        <v>15.349231987877101</v>
      </c>
      <c r="AA36">
        <v>0.17295380219665701</v>
      </c>
      <c r="AB36">
        <v>1.49889319993552E-2</v>
      </c>
      <c r="AJ36">
        <v>-1.09217173794385</v>
      </c>
      <c r="AK36">
        <v>0.99164658949362805</v>
      </c>
      <c r="AL36">
        <v>1.0348286634442501</v>
      </c>
      <c r="AM36">
        <v>4.75634058608672E-2</v>
      </c>
      <c r="AN36">
        <v>-4.6476662484996503E-2</v>
      </c>
      <c r="AO36">
        <v>6.3477278739806201E-2</v>
      </c>
      <c r="AP36">
        <v>1.1324628902944799E-3</v>
      </c>
    </row>
    <row r="37" spans="1:42" x14ac:dyDescent="0.2">
      <c r="A37">
        <v>103</v>
      </c>
      <c r="B37">
        <v>736</v>
      </c>
      <c r="C37">
        <v>250</v>
      </c>
      <c r="D37">
        <v>0.31392805826685999</v>
      </c>
      <c r="E37">
        <v>0.59987623803239498</v>
      </c>
      <c r="F37">
        <v>3.5835572594993201</v>
      </c>
      <c r="G37">
        <v>-7.6691857467900775</v>
      </c>
      <c r="H37">
        <v>-6.5237772751598131</v>
      </c>
      <c r="I37">
        <v>1.1350230110788899</v>
      </c>
      <c r="J37">
        <v>0.67155042622208105</v>
      </c>
      <c r="K37">
        <v>0.167396861440468</v>
      </c>
      <c r="L37">
        <v>4.4267235245561178E-5</v>
      </c>
      <c r="M37">
        <v>9.1180298590403003E-7</v>
      </c>
      <c r="N37" s="1">
        <v>9.5367027476963409E-10</v>
      </c>
      <c r="O37" s="1">
        <v>1.6918098395307001E-13</v>
      </c>
      <c r="P37" s="1">
        <v>-1.8315239718858299E-12</v>
      </c>
      <c r="Q37">
        <v>49.510119956868799</v>
      </c>
      <c r="R37">
        <v>1.92300988700576E-2</v>
      </c>
      <c r="S37">
        <v>2.6381158888193199</v>
      </c>
      <c r="T37">
        <v>0.59942627195901299</v>
      </c>
      <c r="V37">
        <v>31.871646447469299</v>
      </c>
      <c r="X37">
        <v>15.193398461681699</v>
      </c>
      <c r="AA37">
        <v>0.15349587466012299</v>
      </c>
      <c r="AB37">
        <v>1.45669996714937E-2</v>
      </c>
      <c r="AJ37">
        <v>-1.1023425127800299</v>
      </c>
      <c r="AK37">
        <v>0.99248590720908603</v>
      </c>
      <c r="AL37">
        <v>1.0393282508883399</v>
      </c>
      <c r="AM37">
        <v>5.1838282098973003E-2</v>
      </c>
      <c r="AN37">
        <v>-5.0710501806421199E-2</v>
      </c>
      <c r="AO37">
        <v>6.82992653432207E-2</v>
      </c>
      <c r="AP37">
        <v>1.10130904683339E-3</v>
      </c>
    </row>
    <row r="38" spans="1:42" x14ac:dyDescent="0.2">
      <c r="A38">
        <v>104</v>
      </c>
      <c r="B38">
        <v>734</v>
      </c>
      <c r="C38">
        <v>250</v>
      </c>
      <c r="D38">
        <v>0.31242664945638698</v>
      </c>
      <c r="E38">
        <v>0.62608627129203698</v>
      </c>
      <c r="F38">
        <v>3.58693615895961</v>
      </c>
      <c r="G38">
        <v>-7.9941938622907278</v>
      </c>
      <c r="H38">
        <v>-6.8028243800946884</v>
      </c>
      <c r="I38">
        <v>1.18291166379987</v>
      </c>
      <c r="J38">
        <v>0.70046546905407503</v>
      </c>
      <c r="K38">
        <v>0.17454625439267099</v>
      </c>
      <c r="L38">
        <v>4.421287179284257E-5</v>
      </c>
      <c r="M38">
        <v>9.1175255068119134E-7</v>
      </c>
      <c r="N38" s="1">
        <v>1.0469856630681599E-9</v>
      </c>
      <c r="O38" s="1">
        <v>1.7664351428802201E-13</v>
      </c>
      <c r="P38" s="1">
        <v>-2.3113737013553801E-12</v>
      </c>
      <c r="Q38">
        <v>49.363184780182003</v>
      </c>
      <c r="R38">
        <v>1.98154738493861E-2</v>
      </c>
      <c r="S38">
        <v>2.8220002957405201</v>
      </c>
      <c r="T38">
        <v>0.61682197844347098</v>
      </c>
      <c r="V38">
        <v>31.978954522016799</v>
      </c>
      <c r="X38">
        <v>15.0471016186426</v>
      </c>
      <c r="AA38">
        <v>0.13793260672329999</v>
      </c>
      <c r="AB38">
        <v>1.4188724401808199E-2</v>
      </c>
      <c r="AJ38">
        <v>-1.11168077445074</v>
      </c>
      <c r="AK38">
        <v>0.99316054806493104</v>
      </c>
      <c r="AL38">
        <v>1.04346274541453</v>
      </c>
      <c r="AM38">
        <v>5.5873892928673702E-2</v>
      </c>
      <c r="AN38">
        <v>-5.4711074516795903E-2</v>
      </c>
      <c r="AO38">
        <v>7.2821298861379294E-2</v>
      </c>
      <c r="AP38">
        <v>1.0733636980197699E-3</v>
      </c>
    </row>
    <row r="39" spans="1:42" x14ac:dyDescent="0.2">
      <c r="A39">
        <v>105</v>
      </c>
      <c r="B39">
        <v>732</v>
      </c>
      <c r="C39">
        <v>250</v>
      </c>
      <c r="D39">
        <v>0.31091926578122597</v>
      </c>
      <c r="E39">
        <v>0.64650838433129298</v>
      </c>
      <c r="F39">
        <v>3.5901465663572898</v>
      </c>
      <c r="G39">
        <v>-8.2450735087864153</v>
      </c>
      <c r="H39">
        <v>-7.0190409484848626</v>
      </c>
      <c r="I39">
        <v>1.21975084345774</v>
      </c>
      <c r="J39">
        <v>0.72287395406576604</v>
      </c>
      <c r="K39">
        <v>0.18007854899006701</v>
      </c>
      <c r="L39">
        <v>4.4154494021427693E-5</v>
      </c>
      <c r="M39">
        <v>9.1168337884247606E-7</v>
      </c>
      <c r="N39" s="1">
        <v>1.1350209881876301E-9</v>
      </c>
      <c r="O39" s="1">
        <v>1.82291521221588E-13</v>
      </c>
      <c r="P39" s="1">
        <v>-2.76661605631711E-12</v>
      </c>
      <c r="Q39">
        <v>49.222951133547397</v>
      </c>
      <c r="R39">
        <v>2.0327427740420002E-2</v>
      </c>
      <c r="S39">
        <v>2.9986170377709298</v>
      </c>
      <c r="T39">
        <v>0.63265879974005501</v>
      </c>
      <c r="V39">
        <v>32.079545300889599</v>
      </c>
      <c r="X39">
        <v>14.9070717158798</v>
      </c>
      <c r="AA39">
        <v>0.124988405418702</v>
      </c>
      <c r="AB39">
        <v>1.3840179012994501E-2</v>
      </c>
      <c r="AJ39">
        <v>-1.12046992969027</v>
      </c>
      <c r="AK39">
        <v>0.99372442173071096</v>
      </c>
      <c r="AL39">
        <v>1.04734722077486</v>
      </c>
      <c r="AM39">
        <v>5.9764799318790501E-2</v>
      </c>
      <c r="AN39">
        <v>-5.8571251956202698E-2</v>
      </c>
      <c r="AO39">
        <v>7.7157140879818606E-2</v>
      </c>
      <c r="AP39">
        <v>1.0475989422861699E-3</v>
      </c>
    </row>
    <row r="40" spans="1:42" x14ac:dyDescent="0.2">
      <c r="A40">
        <v>106</v>
      </c>
      <c r="B40">
        <v>730</v>
      </c>
      <c r="C40">
        <v>250</v>
      </c>
      <c r="D40">
        <v>0.30940587150476501</v>
      </c>
      <c r="E40">
        <v>0.66357632993431603</v>
      </c>
      <c r="F40">
        <v>3.5932362284914401</v>
      </c>
      <c r="G40">
        <v>-8.4530105652102296</v>
      </c>
      <c r="H40">
        <v>-7.1989034140740902</v>
      </c>
      <c r="I40">
        <v>1.2501691184131301</v>
      </c>
      <c r="J40">
        <v>0.741505563381053</v>
      </c>
      <c r="K40">
        <v>0.18467372800950099</v>
      </c>
      <c r="L40">
        <v>4.4092184736611131E-5</v>
      </c>
      <c r="M40">
        <v>9.1159682781709183E-7</v>
      </c>
      <c r="N40" s="1">
        <v>1.22114853320577E-9</v>
      </c>
      <c r="O40" s="1">
        <v>1.8682361029185099E-13</v>
      </c>
      <c r="P40" s="1">
        <v>-3.2024753891394498E-12</v>
      </c>
      <c r="Q40">
        <v>49.087298789409097</v>
      </c>
      <c r="R40">
        <v>2.07826050355518E-2</v>
      </c>
      <c r="S40">
        <v>3.1705183566755202</v>
      </c>
      <c r="T40">
        <v>0.64734058277304296</v>
      </c>
      <c r="V40">
        <v>32.175127651335004</v>
      </c>
      <c r="X40">
        <v>14.7714715656954</v>
      </c>
      <c r="AA40">
        <v>0.113946961617197</v>
      </c>
      <c r="AB40">
        <v>1.35134874590683E-2</v>
      </c>
      <c r="AJ40">
        <v>-1.1288691914650599</v>
      </c>
      <c r="AK40">
        <v>0.99420780319659596</v>
      </c>
      <c r="AL40">
        <v>1.05104578617133</v>
      </c>
      <c r="AM40">
        <v>6.3564503597971694E-2</v>
      </c>
      <c r="AN40">
        <v>-6.2343558623133698E-2</v>
      </c>
      <c r="AO40">
        <v>8.1371223541598203E-2</v>
      </c>
      <c r="AP40">
        <v>1.0234335806929E-3</v>
      </c>
    </row>
    <row r="41" spans="1:42" x14ac:dyDescent="0.2">
      <c r="A41">
        <v>115</v>
      </c>
      <c r="B41">
        <v>744</v>
      </c>
      <c r="C41">
        <v>240</v>
      </c>
      <c r="D41">
        <v>0.33068918055350899</v>
      </c>
      <c r="E41">
        <v>0.18751774084282699</v>
      </c>
      <c r="F41">
        <v>3.5784347693605798</v>
      </c>
      <c r="G41">
        <v>-2.397144829750161</v>
      </c>
      <c r="H41">
        <v>-2.0346191182067304</v>
      </c>
      <c r="I41">
        <v>0.35641322473915299</v>
      </c>
      <c r="J41">
        <v>0.209762373451686</v>
      </c>
      <c r="K41">
        <v>5.2402168246407303E-2</v>
      </c>
      <c r="L41">
        <v>4.4403688274616664E-5</v>
      </c>
      <c r="M41">
        <v>9.1370890710167746E-7</v>
      </c>
      <c r="N41" s="1">
        <v>2.5848080177667597E-10</v>
      </c>
      <c r="O41" s="1">
        <v>5.1185763402686002E-14</v>
      </c>
      <c r="P41" s="1">
        <v>-7.3318477081687304E-14</v>
      </c>
      <c r="Q41">
        <v>49.903662192615997</v>
      </c>
      <c r="R41">
        <v>1.24684735940286E-2</v>
      </c>
      <c r="S41">
        <v>1.9521220650533999</v>
      </c>
      <c r="T41">
        <v>0.56057032611387803</v>
      </c>
      <c r="V41">
        <v>31.996730059420599</v>
      </c>
      <c r="X41">
        <v>15.3184680624523</v>
      </c>
      <c r="AA41">
        <v>0.240268700401956</v>
      </c>
      <c r="AB41">
        <v>1.5710120347594399E-2</v>
      </c>
      <c r="AJ41">
        <v>-1.0868895835261601</v>
      </c>
      <c r="AK41">
        <v>0.988767367917888</v>
      </c>
      <c r="AL41">
        <v>1.04404873893739</v>
      </c>
      <c r="AM41">
        <v>3.6426274016183799E-2</v>
      </c>
      <c r="AN41">
        <v>-3.5694590592044599E-2</v>
      </c>
      <c r="AO41">
        <v>5.2153330560589801E-2</v>
      </c>
      <c r="AP41">
        <v>1.1884626861513601E-3</v>
      </c>
    </row>
    <row r="42" spans="1:42" x14ac:dyDescent="0.2">
      <c r="A42">
        <v>116</v>
      </c>
      <c r="B42">
        <v>742</v>
      </c>
      <c r="C42">
        <v>240</v>
      </c>
      <c r="D42">
        <v>0.32923262572033701</v>
      </c>
      <c r="E42">
        <v>0.45594081851302798</v>
      </c>
      <c r="F42">
        <v>3.57085289847618</v>
      </c>
      <c r="G42">
        <v>-5.8616716373663769</v>
      </c>
      <c r="H42">
        <v>-4.9817888691944185</v>
      </c>
      <c r="I42">
        <v>0.86675148320145701</v>
      </c>
      <c r="J42">
        <v>0.51173344998161496</v>
      </c>
      <c r="K42">
        <v>0.127684010368389</v>
      </c>
      <c r="L42">
        <v>4.4379086495615496E-5</v>
      </c>
      <c r="M42">
        <v>9.1114171675079049E-7</v>
      </c>
      <c r="N42" s="1">
        <v>6.2163964688093996E-10</v>
      </c>
      <c r="O42" s="1">
        <v>1.2851074825473701E-13</v>
      </c>
      <c r="P42" s="1">
        <v>-4.8590457478570801E-13</v>
      </c>
      <c r="Q42">
        <v>49.971203894887402</v>
      </c>
      <c r="R42">
        <v>1.7501252075198301E-2</v>
      </c>
      <c r="S42">
        <v>2.1278838161665599</v>
      </c>
      <c r="T42">
        <v>0.54413560436294695</v>
      </c>
      <c r="V42">
        <v>31.378260476006901</v>
      </c>
      <c r="X42">
        <v>15.735588038329301</v>
      </c>
      <c r="AA42">
        <v>0.20991205734982199</v>
      </c>
      <c r="AB42">
        <v>1.5514860821715199E-2</v>
      </c>
      <c r="AJ42">
        <v>-1.06841244161892</v>
      </c>
      <c r="AK42">
        <v>0.990083840509005</v>
      </c>
      <c r="AL42">
        <v>1.02050545450177</v>
      </c>
      <c r="AM42">
        <v>4.07295759931482E-2</v>
      </c>
      <c r="AN42">
        <v>-3.9705928711605602E-2</v>
      </c>
      <c r="AO42">
        <v>5.5629662702668899E-2</v>
      </c>
      <c r="AP42">
        <v>1.1698366239360899E-3</v>
      </c>
    </row>
    <row r="43" spans="1:42" x14ac:dyDescent="0.2">
      <c r="A43">
        <v>117</v>
      </c>
      <c r="B43">
        <v>740</v>
      </c>
      <c r="C43">
        <v>240</v>
      </c>
      <c r="D43">
        <v>0.32777032028821201</v>
      </c>
      <c r="E43">
        <v>0.53765465776960497</v>
      </c>
      <c r="F43">
        <v>3.5749204260377501</v>
      </c>
      <c r="G43">
        <v>-6.9019091196366711</v>
      </c>
      <c r="H43">
        <v>-5.867904651977133</v>
      </c>
      <c r="I43">
        <v>1.0205837908103801</v>
      </c>
      <c r="J43">
        <v>0.60308988107303696</v>
      </c>
      <c r="K43">
        <v>0.15039625885197999</v>
      </c>
      <c r="L43">
        <v>4.434091580161465E-5</v>
      </c>
      <c r="M43">
        <v>9.1116346543444858E-7</v>
      </c>
      <c r="N43" s="1">
        <v>7.7521738313261203E-10</v>
      </c>
      <c r="O43" s="1">
        <v>1.5227068088717099E-13</v>
      </c>
      <c r="P43" s="1">
        <v>-1.0264578812027201E-12</v>
      </c>
      <c r="Q43">
        <v>49.795180272433001</v>
      </c>
      <c r="R43">
        <v>1.8431683668665599E-2</v>
      </c>
      <c r="S43">
        <v>2.34546289912132</v>
      </c>
      <c r="T43">
        <v>0.567873381030784</v>
      </c>
      <c r="V43">
        <v>31.511440362310399</v>
      </c>
      <c r="X43">
        <v>15.564778256377</v>
      </c>
      <c r="AA43">
        <v>0.181827154431312</v>
      </c>
      <c r="AB43">
        <v>1.5005990627386501E-2</v>
      </c>
      <c r="AJ43">
        <v>-1.0800853999315201</v>
      </c>
      <c r="AK43">
        <v>0.99128602738792304</v>
      </c>
      <c r="AL43">
        <v>1.02558830692889</v>
      </c>
      <c r="AM43">
        <v>4.54481800318099E-2</v>
      </c>
      <c r="AN43">
        <v>-4.4369321339730802E-2</v>
      </c>
      <c r="AO43">
        <v>6.09999099666566E-2</v>
      </c>
      <c r="AP43">
        <v>1.1322969559696601E-3</v>
      </c>
    </row>
    <row r="44" spans="1:42" x14ac:dyDescent="0.2">
      <c r="A44">
        <v>118</v>
      </c>
      <c r="B44">
        <v>738</v>
      </c>
      <c r="C44">
        <v>240</v>
      </c>
      <c r="D44">
        <v>0.326302230134007</v>
      </c>
      <c r="E44">
        <v>0.57983741203733596</v>
      </c>
      <c r="F44">
        <v>3.5785939872146399</v>
      </c>
      <c r="G44">
        <v>-7.433163392944083</v>
      </c>
      <c r="H44">
        <v>-6.3218532073198848</v>
      </c>
      <c r="I44">
        <v>1.09905571440854</v>
      </c>
      <c r="J44">
        <v>0.65001386705629705</v>
      </c>
      <c r="K44">
        <v>0.16202939313846099</v>
      </c>
      <c r="L44">
        <v>4.4297612936567522E-5</v>
      </c>
      <c r="M44">
        <v>9.1117392564732177E-7</v>
      </c>
      <c r="N44" s="1">
        <v>8.80718138177154E-10</v>
      </c>
      <c r="O44" s="1">
        <v>1.64641836278137E-13</v>
      </c>
      <c r="P44" s="1">
        <v>-1.5272117071127101E-12</v>
      </c>
      <c r="Q44">
        <v>49.637638244808798</v>
      </c>
      <c r="R44">
        <v>1.9148574297008201E-2</v>
      </c>
      <c r="S44">
        <v>2.53991460869356</v>
      </c>
      <c r="T44">
        <v>0.58779828500763498</v>
      </c>
      <c r="V44">
        <v>31.631970152086701</v>
      </c>
      <c r="X44">
        <v>15.407873137000299</v>
      </c>
      <c r="AA44">
        <v>0.161079975630711</v>
      </c>
      <c r="AB44">
        <v>1.4577022475059299E-2</v>
      </c>
      <c r="AJ44">
        <v>-1.0903938253059899</v>
      </c>
      <c r="AK44">
        <v>0.99217824272983102</v>
      </c>
      <c r="AL44">
        <v>1.03020279835915</v>
      </c>
      <c r="AM44">
        <v>4.9686447513119299E-2</v>
      </c>
      <c r="AN44">
        <v>-4.85648741715329E-2</v>
      </c>
      <c r="AO44">
        <v>6.5790543308135302E-2</v>
      </c>
      <c r="AP44">
        <v>1.10066756728023E-3</v>
      </c>
    </row>
    <row r="45" spans="1:42" x14ac:dyDescent="0.2">
      <c r="A45">
        <v>119</v>
      </c>
      <c r="B45">
        <v>736</v>
      </c>
      <c r="C45">
        <v>240</v>
      </c>
      <c r="D45">
        <v>0.32482832086409602</v>
      </c>
      <c r="E45">
        <v>0.60801168759938296</v>
      </c>
      <c r="F45">
        <v>3.5819920906362501</v>
      </c>
      <c r="G45">
        <v>-7.7843680490722065</v>
      </c>
      <c r="H45">
        <v>-6.6230352373935677</v>
      </c>
      <c r="I45">
        <v>1.15080296455297</v>
      </c>
      <c r="J45">
        <v>0.68119091123411102</v>
      </c>
      <c r="K45">
        <v>0.16974121444567</v>
      </c>
      <c r="L45">
        <v>4.4249866607318007E-5</v>
      </c>
      <c r="M45">
        <v>9.1115984614619935E-7</v>
      </c>
      <c r="N45" s="1">
        <v>9.7046170829657305E-10</v>
      </c>
      <c r="O45" s="1">
        <v>1.72848948493922E-13</v>
      </c>
      <c r="P45" s="1">
        <v>-1.9975787415987701E-12</v>
      </c>
      <c r="Q45">
        <v>49.491457670529897</v>
      </c>
      <c r="R45">
        <v>1.9754468015548799E-2</v>
      </c>
      <c r="S45">
        <v>2.7215573810698701</v>
      </c>
      <c r="T45">
        <v>0.60528158702028201</v>
      </c>
      <c r="V45">
        <v>31.741816968532</v>
      </c>
      <c r="X45">
        <v>15.261331661415401</v>
      </c>
      <c r="AA45">
        <v>0.144604312981405</v>
      </c>
      <c r="AB45">
        <v>1.4195950435402499E-2</v>
      </c>
      <c r="AJ45">
        <v>-1.09979533820037</v>
      </c>
      <c r="AK45">
        <v>0.99289007225761305</v>
      </c>
      <c r="AL45">
        <v>1.03441960687086</v>
      </c>
      <c r="AM45">
        <v>5.3664108919524098E-2</v>
      </c>
      <c r="AN45">
        <v>-5.2506331566369198E-2</v>
      </c>
      <c r="AO45">
        <v>7.0255324924813595E-2</v>
      </c>
      <c r="AP45">
        <v>1.07255679392753E-3</v>
      </c>
    </row>
    <row r="46" spans="1:42" x14ac:dyDescent="0.2">
      <c r="A46">
        <v>120</v>
      </c>
      <c r="B46">
        <v>734</v>
      </c>
      <c r="C46">
        <v>240</v>
      </c>
      <c r="D46">
        <v>0.32334855781164801</v>
      </c>
      <c r="E46">
        <v>0.629449024199635</v>
      </c>
      <c r="F46">
        <v>3.5852110547032301</v>
      </c>
      <c r="G46">
        <v>-8.0490494199696965</v>
      </c>
      <c r="H46">
        <v>-6.850865756345951</v>
      </c>
      <c r="I46">
        <v>1.1896774697152801</v>
      </c>
      <c r="J46">
        <v>0.70478847710104597</v>
      </c>
      <c r="K46">
        <v>0.175568192386859</v>
      </c>
      <c r="L46">
        <v>4.4197970885645795E-5</v>
      </c>
      <c r="M46">
        <v>9.1112435869672018E-7</v>
      </c>
      <c r="N46" s="1">
        <v>1.0539757780142E-9</v>
      </c>
      <c r="O46" s="1">
        <v>1.7896430041561601E-13</v>
      </c>
      <c r="P46" s="1">
        <v>-2.4455727460158999E-12</v>
      </c>
      <c r="Q46">
        <v>49.352420297403</v>
      </c>
      <c r="R46">
        <v>2.0282130262913999E-2</v>
      </c>
      <c r="S46">
        <v>2.8954264328783199</v>
      </c>
      <c r="T46">
        <v>0.62111997662684804</v>
      </c>
      <c r="V46">
        <v>31.844501387877099</v>
      </c>
      <c r="X46">
        <v>15.121441922838899</v>
      </c>
      <c r="AA46">
        <v>0.13096120292617999</v>
      </c>
      <c r="AB46">
        <v>1.38466491865172E-2</v>
      </c>
      <c r="AJ46">
        <v>-1.1086102804863101</v>
      </c>
      <c r="AK46">
        <v>0.99348228135805305</v>
      </c>
      <c r="AL46">
        <v>1.03837055004995</v>
      </c>
      <c r="AM46">
        <v>5.7486631691168501E-2</v>
      </c>
      <c r="AN46">
        <v>-5.6297236364943999E-2</v>
      </c>
      <c r="AO46">
        <v>7.4521278463951499E-2</v>
      </c>
      <c r="AP46">
        <v>1.04677528813107E-3</v>
      </c>
    </row>
    <row r="47" spans="1:42" x14ac:dyDescent="0.2">
      <c r="A47">
        <v>121</v>
      </c>
      <c r="B47">
        <v>732</v>
      </c>
      <c r="C47">
        <v>240</v>
      </c>
      <c r="D47">
        <v>0.32186290603392398</v>
      </c>
      <c r="E47">
        <v>0.64707696474445398</v>
      </c>
      <c r="F47">
        <v>3.5883035702343502</v>
      </c>
      <c r="G47">
        <v>-8.2648255089784826</v>
      </c>
      <c r="H47">
        <v>-7.0372806062998308</v>
      </c>
      <c r="I47">
        <v>1.22125543717719</v>
      </c>
      <c r="J47">
        <v>0.72409426345417205</v>
      </c>
      <c r="K47">
        <v>0.180329493332748</v>
      </c>
      <c r="L47">
        <v>4.4142069172227264E-5</v>
      </c>
      <c r="M47">
        <v>9.1106943821766051E-7</v>
      </c>
      <c r="N47" s="1">
        <v>1.1351698114014899E-9</v>
      </c>
      <c r="O47" s="1">
        <v>1.8382998352210101E-13</v>
      </c>
      <c r="P47" s="1">
        <v>-2.8760180244703699E-12</v>
      </c>
      <c r="Q47">
        <v>49.218205768626397</v>
      </c>
      <c r="R47">
        <v>2.0750020617013799E-2</v>
      </c>
      <c r="S47">
        <v>3.06429735667481</v>
      </c>
      <c r="T47">
        <v>0.63575584290647302</v>
      </c>
      <c r="V47">
        <v>31.941937186978201</v>
      </c>
      <c r="X47">
        <v>14.9861764144043</v>
      </c>
      <c r="AA47">
        <v>0.11935711333100001</v>
      </c>
      <c r="AB47">
        <v>1.35202964616036E-2</v>
      </c>
      <c r="AJ47">
        <v>-1.1170142575561</v>
      </c>
      <c r="AK47">
        <v>0.99398837393091899</v>
      </c>
      <c r="AL47">
        <v>1.04212725170464</v>
      </c>
      <c r="AM47">
        <v>6.1212112428082499E-2</v>
      </c>
      <c r="AN47">
        <v>-5.99946017328781E-2</v>
      </c>
      <c r="AO47">
        <v>7.8658448721925595E-2</v>
      </c>
      <c r="AP47">
        <v>1.0226725034155799E-3</v>
      </c>
    </row>
    <row r="48" spans="1:42" x14ac:dyDescent="0.2">
      <c r="A48">
        <v>130</v>
      </c>
      <c r="B48">
        <v>744</v>
      </c>
      <c r="C48">
        <v>230</v>
      </c>
      <c r="D48">
        <v>0.34150371135034502</v>
      </c>
      <c r="E48">
        <v>0.42264652841344602</v>
      </c>
      <c r="F48">
        <v>3.56853912003014</v>
      </c>
      <c r="G48">
        <v>-5.440101931245084</v>
      </c>
      <c r="H48">
        <v>-4.6217153647508642</v>
      </c>
      <c r="I48">
        <v>0.80458788427883798</v>
      </c>
      <c r="J48">
        <v>0.47461313304868902</v>
      </c>
      <c r="K48">
        <v>0.11843684886096301</v>
      </c>
      <c r="L48">
        <v>4.4389474298601924E-5</v>
      </c>
      <c r="M48">
        <v>9.1094962999312545E-7</v>
      </c>
      <c r="N48" s="1">
        <v>5.6249210152030599E-10</v>
      </c>
      <c r="O48" s="1">
        <v>1.1904001610685999E-13</v>
      </c>
      <c r="P48" s="1">
        <v>-3.0046766827008898E-13</v>
      </c>
      <c r="Q48">
        <v>50.0340136321282</v>
      </c>
      <c r="R48">
        <v>1.6476911852547502E-2</v>
      </c>
      <c r="S48">
        <v>2.0586014854770598</v>
      </c>
      <c r="T48">
        <v>0.54275689114097103</v>
      </c>
      <c r="V48">
        <v>31.2983235818187</v>
      </c>
      <c r="X48">
        <v>15.8165717098606</v>
      </c>
      <c r="AA48">
        <v>0.21782135208633099</v>
      </c>
      <c r="AB48">
        <v>1.5434435635319399E-2</v>
      </c>
      <c r="AJ48">
        <v>-1.06341877848113</v>
      </c>
      <c r="AK48">
        <v>0.98976448527702698</v>
      </c>
      <c r="AL48">
        <v>1.01749472909092</v>
      </c>
      <c r="AM48">
        <v>3.9119287191611798E-2</v>
      </c>
      <c r="AN48">
        <v>-3.81559426054403E-2</v>
      </c>
      <c r="AO48">
        <v>5.403291689952E-2</v>
      </c>
      <c r="AP48">
        <v>1.16330262749317E-3</v>
      </c>
    </row>
    <row r="49" spans="1:42" x14ac:dyDescent="0.2">
      <c r="A49">
        <v>131</v>
      </c>
      <c r="B49">
        <v>742</v>
      </c>
      <c r="C49">
        <v>230</v>
      </c>
      <c r="D49">
        <v>0.34006846278875003</v>
      </c>
      <c r="E49">
        <v>0.51280287974217698</v>
      </c>
      <c r="F49">
        <v>3.5699924483342902</v>
      </c>
      <c r="G49">
        <v>-6.6008623156371611</v>
      </c>
      <c r="H49">
        <v>-5.6109577777123052</v>
      </c>
      <c r="I49">
        <v>0.97513129874881299</v>
      </c>
      <c r="J49">
        <v>0.57598376821655295</v>
      </c>
      <c r="K49">
        <v>0.143642567082023</v>
      </c>
      <c r="L49">
        <v>4.4356018852948493E-5</v>
      </c>
      <c r="M49">
        <v>9.1045446959258374E-7</v>
      </c>
      <c r="N49" s="1">
        <v>7.1011762376700602E-10</v>
      </c>
      <c r="O49" s="1">
        <v>1.46014340463007E-13</v>
      </c>
      <c r="P49" s="1">
        <v>-7.6330109259379397E-13</v>
      </c>
      <c r="Q49">
        <v>49.918206689827898</v>
      </c>
      <c r="R49">
        <v>1.8338900510724801E-2</v>
      </c>
      <c r="S49">
        <v>2.2550096074553898</v>
      </c>
      <c r="T49">
        <v>0.55670672155179901</v>
      </c>
      <c r="V49">
        <v>31.269405373802499</v>
      </c>
      <c r="X49">
        <v>15.776656111486201</v>
      </c>
      <c r="AA49">
        <v>0.19065883363010599</v>
      </c>
      <c r="AB49">
        <v>1.5017761735303699E-2</v>
      </c>
      <c r="AJ49">
        <v>-1.06823833480606</v>
      </c>
      <c r="AK49">
        <v>0.99092843508433903</v>
      </c>
      <c r="AL49">
        <v>1.01641659015333</v>
      </c>
      <c r="AM49">
        <v>4.3478735500983898E-2</v>
      </c>
      <c r="AN49">
        <v>-4.2406672846139602E-2</v>
      </c>
      <c r="AO49">
        <v>5.8689502927827798E-2</v>
      </c>
      <c r="AP49">
        <v>1.13174398571688E-3</v>
      </c>
    </row>
    <row r="50" spans="1:42" x14ac:dyDescent="0.2">
      <c r="A50">
        <v>132</v>
      </c>
      <c r="B50">
        <v>740</v>
      </c>
      <c r="C50">
        <v>230</v>
      </c>
      <c r="D50">
        <v>0.33862754774713</v>
      </c>
      <c r="E50">
        <v>0.55999603788541097</v>
      </c>
      <c r="F50">
        <v>3.5737017233703501</v>
      </c>
      <c r="G50">
        <v>-7.1982255618741577</v>
      </c>
      <c r="H50">
        <v>-6.1209183819409443</v>
      </c>
      <c r="I50">
        <v>1.0633244632415799</v>
      </c>
      <c r="J50">
        <v>0.62861704270361696</v>
      </c>
      <c r="K50">
        <v>0.15669915433157</v>
      </c>
      <c r="L50">
        <v>4.4319427813029218E-5</v>
      </c>
      <c r="M50">
        <v>9.105065042379236E-7</v>
      </c>
      <c r="N50" s="1">
        <v>8.1539407250461299E-10</v>
      </c>
      <c r="O50" s="1">
        <v>1.60005430386313E-13</v>
      </c>
      <c r="P50" s="1">
        <v>-1.2462049364358599E-12</v>
      </c>
      <c r="Q50">
        <v>49.760695221510503</v>
      </c>
      <c r="R50">
        <v>1.9084573450305099E-2</v>
      </c>
      <c r="S50">
        <v>2.4480669322276198</v>
      </c>
      <c r="T50">
        <v>0.57686091871969603</v>
      </c>
      <c r="V50">
        <v>31.393152111494299</v>
      </c>
      <c r="X50">
        <v>15.618900255448001</v>
      </c>
      <c r="AA50">
        <v>0.16865809535579601</v>
      </c>
      <c r="AB50">
        <v>1.45818917935956E-2</v>
      </c>
      <c r="AJ50">
        <v>-1.07866925790296</v>
      </c>
      <c r="AK50">
        <v>0.991871926967547</v>
      </c>
      <c r="AL50">
        <v>1.02113712704918</v>
      </c>
      <c r="AM50">
        <v>4.7676702372606697E-2</v>
      </c>
      <c r="AN50">
        <v>-4.6560285604045799E-2</v>
      </c>
      <c r="AO50">
        <v>6.3444138641512202E-2</v>
      </c>
      <c r="AP50">
        <v>1.0996484761544799E-3</v>
      </c>
    </row>
    <row r="51" spans="1:42" x14ac:dyDescent="0.2">
      <c r="A51">
        <v>133</v>
      </c>
      <c r="B51">
        <v>738</v>
      </c>
      <c r="C51">
        <v>230</v>
      </c>
      <c r="D51">
        <v>0.33718093260149401</v>
      </c>
      <c r="E51">
        <v>0.59029333050141797</v>
      </c>
      <c r="F51">
        <v>3.5771139917912</v>
      </c>
      <c r="G51">
        <v>-7.5778220837048442</v>
      </c>
      <c r="H51">
        <v>-6.4460980132909524</v>
      </c>
      <c r="I51">
        <v>1.11924449430241</v>
      </c>
      <c r="J51">
        <v>0.66223807334331197</v>
      </c>
      <c r="K51">
        <v>0.16501943518043499</v>
      </c>
      <c r="L51">
        <v>4.4278128052202297E-5</v>
      </c>
      <c r="M51">
        <v>9.105296578751787E-7</v>
      </c>
      <c r="N51" s="1">
        <v>9.0184280900523101E-10</v>
      </c>
      <c r="O51" s="1">
        <v>1.68996422025115E-13</v>
      </c>
      <c r="P51" s="1">
        <v>-1.70392974700374E-12</v>
      </c>
      <c r="Q51">
        <v>49.615435445672396</v>
      </c>
      <c r="R51">
        <v>1.9710228708012999E-2</v>
      </c>
      <c r="S51">
        <v>2.6273145151522499</v>
      </c>
      <c r="T51">
        <v>0.59440060155519703</v>
      </c>
      <c r="V51">
        <v>31.5053160328799</v>
      </c>
      <c r="X51">
        <v>15.4723327647348</v>
      </c>
      <c r="AA51">
        <v>0.151291987137988</v>
      </c>
      <c r="AB51">
        <v>1.41984241592789E-2</v>
      </c>
      <c r="AJ51">
        <v>-1.0881203654573499</v>
      </c>
      <c r="AK51">
        <v>0.99261991614204104</v>
      </c>
      <c r="AL51">
        <v>1.02542746253914</v>
      </c>
      <c r="AM51">
        <v>5.1593474594318199E-2</v>
      </c>
      <c r="AN51">
        <v>-5.04397357403975E-2</v>
      </c>
      <c r="AO51">
        <v>6.7847846760266797E-2</v>
      </c>
      <c r="AP51">
        <v>1.0714011619832901E-3</v>
      </c>
    </row>
    <row r="52" spans="1:42" x14ac:dyDescent="0.2">
      <c r="A52">
        <v>134</v>
      </c>
      <c r="B52">
        <v>736</v>
      </c>
      <c r="C52">
        <v>230</v>
      </c>
      <c r="D52">
        <v>0.335728583461332</v>
      </c>
      <c r="E52">
        <v>0.612805940774939</v>
      </c>
      <c r="F52">
        <v>3.58033695275435</v>
      </c>
      <c r="G52">
        <v>-7.8571621391460571</v>
      </c>
      <c r="H52">
        <v>-6.6862713010109731</v>
      </c>
      <c r="I52">
        <v>1.1602743280335699</v>
      </c>
      <c r="J52">
        <v>0.68709314322741299</v>
      </c>
      <c r="K52">
        <v>0.17115873418101199</v>
      </c>
      <c r="L52">
        <v>4.4232546665911695E-5</v>
      </c>
      <c r="M52">
        <v>9.1052861446281503E-7</v>
      </c>
      <c r="N52" s="1">
        <v>9.8101040065944392E-10</v>
      </c>
      <c r="O52" s="1">
        <v>1.7558939015782101E-13</v>
      </c>
      <c r="P52" s="1">
        <v>-2.14212769553177E-12</v>
      </c>
      <c r="Q52">
        <v>49.477737502928598</v>
      </c>
      <c r="R52">
        <v>2.02528689515994E-2</v>
      </c>
      <c r="S52">
        <v>2.7983141128693498</v>
      </c>
      <c r="T52">
        <v>0.61021288162825504</v>
      </c>
      <c r="V52">
        <v>31.609883933024701</v>
      </c>
      <c r="X52">
        <v>15.332784551167901</v>
      </c>
      <c r="AA52">
        <v>0.136965341558941</v>
      </c>
      <c r="AB52">
        <v>1.3848807870483299E-2</v>
      </c>
      <c r="AJ52">
        <v>-1.0969490241794599</v>
      </c>
      <c r="AK52">
        <v>0.99323972336111599</v>
      </c>
      <c r="AL52">
        <v>1.02943657518598</v>
      </c>
      <c r="AM52">
        <v>5.5345367822443502E-2</v>
      </c>
      <c r="AN52">
        <v>-5.4159167612377102E-2</v>
      </c>
      <c r="AO52">
        <v>7.2040890820094003E-2</v>
      </c>
      <c r="AP52">
        <v>1.0456346022010899E-3</v>
      </c>
    </row>
    <row r="53" spans="1:42" x14ac:dyDescent="0.2">
      <c r="A53">
        <v>135</v>
      </c>
      <c r="B53">
        <v>734</v>
      </c>
      <c r="C53">
        <v>230</v>
      </c>
      <c r="D53">
        <v>0.33427046616690598</v>
      </c>
      <c r="E53">
        <v>0.631022285640367</v>
      </c>
      <c r="F53">
        <v>3.5834281525751801</v>
      </c>
      <c r="G53">
        <v>-8.0811949857512211</v>
      </c>
      <c r="H53">
        <v>-6.8795957645884993</v>
      </c>
      <c r="I53">
        <v>1.19306877939008</v>
      </c>
      <c r="J53">
        <v>0.70710471042235601</v>
      </c>
      <c r="K53">
        <v>0.176094582833171</v>
      </c>
      <c r="L53">
        <v>4.4182895985570823E-5</v>
      </c>
      <c r="M53">
        <v>9.1050608802519633E-7</v>
      </c>
      <c r="N53" s="1">
        <v>1.0573996830561899E-9</v>
      </c>
      <c r="O53" s="1">
        <v>1.8078982981048799E-13</v>
      </c>
      <c r="P53" s="1">
        <v>-2.5648694488591901E-12</v>
      </c>
      <c r="Q53">
        <v>49.345086214044599</v>
      </c>
      <c r="R53">
        <v>2.0732802957792801E-2</v>
      </c>
      <c r="S53">
        <v>2.9640553612382399</v>
      </c>
      <c r="T53">
        <v>0.62477807651700501</v>
      </c>
      <c r="V53">
        <v>31.708974979509101</v>
      </c>
      <c r="X53">
        <v>15.1980393880619</v>
      </c>
      <c r="AA53">
        <v>0.124809950413463</v>
      </c>
      <c r="AB53">
        <v>1.3523227257686199E-2</v>
      </c>
      <c r="AJ53">
        <v>-1.10534687260556</v>
      </c>
      <c r="AK53">
        <v>0.99376797070221601</v>
      </c>
      <c r="AL53">
        <v>1.0332435918629499</v>
      </c>
      <c r="AM53">
        <v>5.8994860016122398E-2</v>
      </c>
      <c r="AN53">
        <v>-5.7779868380181398E-2</v>
      </c>
      <c r="AO53">
        <v>7.6098692899190801E-2</v>
      </c>
      <c r="AP53">
        <v>1.0216255052595E-3</v>
      </c>
    </row>
    <row r="54" spans="1:42" x14ac:dyDescent="0.2">
      <c r="A54">
        <v>136</v>
      </c>
      <c r="B54">
        <v>732</v>
      </c>
      <c r="C54">
        <v>230</v>
      </c>
      <c r="D54">
        <v>0.33280654628662198</v>
      </c>
      <c r="E54">
        <v>0.64659834471636901</v>
      </c>
      <c r="F54">
        <v>3.58642229208751</v>
      </c>
      <c r="G54">
        <v>-8.2712393297148648</v>
      </c>
      <c r="H54">
        <v>-7.0441657972583149</v>
      </c>
      <c r="I54">
        <v>1.2207864820738601</v>
      </c>
      <c r="J54">
        <v>0.72413438625101001</v>
      </c>
      <c r="K54">
        <v>0.180290632852387</v>
      </c>
      <c r="L54">
        <v>4.4129285854916063E-5</v>
      </c>
      <c r="M54">
        <v>9.1046390908474793E-7</v>
      </c>
      <c r="N54" s="1">
        <v>1.1331800217494801E-9</v>
      </c>
      <c r="O54" s="1">
        <v>1.8507908532549399E-13</v>
      </c>
      <c r="P54" s="1">
        <v>-2.9747465465615702E-12</v>
      </c>
      <c r="Q54">
        <v>49.215955158681297</v>
      </c>
      <c r="R54">
        <v>2.1162661941939401E-2</v>
      </c>
      <c r="S54">
        <v>3.12635863264103</v>
      </c>
      <c r="T54">
        <v>0.63839031567134696</v>
      </c>
      <c r="V54">
        <v>31.803857604651601</v>
      </c>
      <c r="X54">
        <v>15.0667653937401</v>
      </c>
      <c r="AA54">
        <v>0.114294446024646</v>
      </c>
      <c r="AB54">
        <v>1.32157866478873E-2</v>
      </c>
      <c r="AJ54">
        <v>-1.1134298840178001</v>
      </c>
      <c r="AK54">
        <v>0.99422706377040304</v>
      </c>
      <c r="AL54">
        <v>1.0368958384020399</v>
      </c>
      <c r="AM54">
        <v>6.25799765583403E-2</v>
      </c>
      <c r="AN54">
        <v>-6.1339123440119499E-2</v>
      </c>
      <c r="AO54">
        <v>8.0067189165451594E-2</v>
      </c>
      <c r="AP54">
        <v>9.9893956168618705E-4</v>
      </c>
    </row>
    <row r="55" spans="1:42" x14ac:dyDescent="0.2">
      <c r="A55">
        <v>144</v>
      </c>
      <c r="B55">
        <v>746</v>
      </c>
      <c r="C55">
        <v>220</v>
      </c>
      <c r="D55">
        <v>0.35372663494088302</v>
      </c>
      <c r="E55">
        <v>0.38747508029833</v>
      </c>
      <c r="F55">
        <v>3.56630853581381</v>
      </c>
      <c r="G55">
        <v>-4.9932676734440395</v>
      </c>
      <c r="H55">
        <v>-4.2404588293328693</v>
      </c>
      <c r="I55">
        <v>0.73866343924954103</v>
      </c>
      <c r="J55">
        <v>0.43534409504016602</v>
      </c>
      <c r="K55">
        <v>0.10864878246152899</v>
      </c>
      <c r="L55">
        <v>4.4397304207478525E-5</v>
      </c>
      <c r="M55">
        <v>9.1073722850716444E-7</v>
      </c>
      <c r="N55" s="1">
        <v>5.0465477931234305E-10</v>
      </c>
      <c r="O55" s="1">
        <v>1.09054429859315E-13</v>
      </c>
      <c r="P55" s="1">
        <v>-1.47396231347383E-13</v>
      </c>
      <c r="Q55">
        <v>50.091641930836701</v>
      </c>
      <c r="R55">
        <v>1.5526984801850399E-2</v>
      </c>
      <c r="S55">
        <v>1.9967862626713</v>
      </c>
      <c r="T55">
        <v>0.54204859161559904</v>
      </c>
      <c r="V55">
        <v>31.219809256727501</v>
      </c>
      <c r="X55">
        <v>15.893926713877599</v>
      </c>
      <c r="AA55">
        <v>0.224914232006697</v>
      </c>
      <c r="AB55">
        <v>1.5346027462636001E-2</v>
      </c>
      <c r="AJ55">
        <v>-1.0587021956845899</v>
      </c>
      <c r="AK55">
        <v>0.98947988393416797</v>
      </c>
      <c r="AL55">
        <v>1.0145418327470199</v>
      </c>
      <c r="AM55">
        <v>3.7674297143213298E-2</v>
      </c>
      <c r="AN55">
        <v>-3.6766849467757601E-2</v>
      </c>
      <c r="AO55">
        <v>5.2616848411790297E-2</v>
      </c>
      <c r="AP55">
        <v>1.15618291615077E-3</v>
      </c>
    </row>
    <row r="56" spans="1:42" x14ac:dyDescent="0.2">
      <c r="A56">
        <v>145</v>
      </c>
      <c r="B56">
        <v>744</v>
      </c>
      <c r="C56">
        <v>220</v>
      </c>
      <c r="D56">
        <v>0.352318242147177</v>
      </c>
      <c r="E56">
        <v>0.48449951102714101</v>
      </c>
      <c r="F56">
        <v>3.5639159160207199</v>
      </c>
      <c r="G56">
        <v>-6.2579580952853986</v>
      </c>
      <c r="H56">
        <v>-5.3190403325867521</v>
      </c>
      <c r="I56">
        <v>0.92308682367266104</v>
      </c>
      <c r="J56">
        <v>0.545104655351075</v>
      </c>
      <c r="K56">
        <v>0.13594583105880501</v>
      </c>
      <c r="L56">
        <v>4.4361108702040131E-5</v>
      </c>
      <c r="M56">
        <v>9.094444462414171E-7</v>
      </c>
      <c r="N56" s="1">
        <v>6.4359528672797897E-10</v>
      </c>
      <c r="O56" s="1">
        <v>1.3896712161740699E-13</v>
      </c>
      <c r="P56" s="1">
        <v>-5.0953655188191596E-13</v>
      </c>
      <c r="Q56">
        <v>50.064636905462002</v>
      </c>
      <c r="R56">
        <v>1.8714605758559499E-2</v>
      </c>
      <c r="S56">
        <v>2.1615087352907199</v>
      </c>
      <c r="T56">
        <v>0.54158310887318994</v>
      </c>
      <c r="V56">
        <v>30.952201196171</v>
      </c>
      <c r="X56">
        <v>16.045842093755201</v>
      </c>
      <c r="AA56">
        <v>0.20044029721700499</v>
      </c>
      <c r="AB56">
        <v>1.5073057472172E-2</v>
      </c>
      <c r="AJ56">
        <v>-1.0534084121177201</v>
      </c>
      <c r="AK56">
        <v>0.99053272658990899</v>
      </c>
      <c r="AL56">
        <v>1.0044296138395701</v>
      </c>
      <c r="AM56">
        <v>4.1497956608866397E-2</v>
      </c>
      <c r="AN56">
        <v>-4.0405753514920401E-2</v>
      </c>
      <c r="AO56">
        <v>5.6219849970120597E-2</v>
      </c>
      <c r="AP56">
        <v>1.1340186241704899E-3</v>
      </c>
    </row>
    <row r="57" spans="1:42" x14ac:dyDescent="0.2">
      <c r="A57">
        <v>146</v>
      </c>
      <c r="B57">
        <v>742</v>
      </c>
      <c r="C57">
        <v>220</v>
      </c>
      <c r="D57">
        <v>0.35090429985716198</v>
      </c>
      <c r="E57">
        <v>0.54064431246867195</v>
      </c>
      <c r="F57">
        <v>3.5689007536556301</v>
      </c>
      <c r="G57">
        <v>-6.968115122632085</v>
      </c>
      <c r="H57">
        <v>-5.9241492910780957</v>
      </c>
      <c r="I57">
        <v>1.02838578688271</v>
      </c>
      <c r="J57">
        <v>0.60769152860729103</v>
      </c>
      <c r="K57">
        <v>0.15148762876493199</v>
      </c>
      <c r="L57">
        <v>4.433302485661893E-5</v>
      </c>
      <c r="M57">
        <v>9.0980156990461809E-7</v>
      </c>
      <c r="N57" s="1">
        <v>7.5771049785052198E-10</v>
      </c>
      <c r="O57" s="1">
        <v>1.5537555773272299E-13</v>
      </c>
      <c r="P57" s="1">
        <v>-9.9155542216512406E-13</v>
      </c>
      <c r="Q57">
        <v>49.878410302311103</v>
      </c>
      <c r="R57">
        <v>1.90452859781601E-2</v>
      </c>
      <c r="S57">
        <v>2.3635888667908</v>
      </c>
      <c r="T57">
        <v>0.56676124934480199</v>
      </c>
      <c r="V57">
        <v>31.155972256570401</v>
      </c>
      <c r="X57">
        <v>15.8255867197455</v>
      </c>
      <c r="AA57">
        <v>0.17605617049853101</v>
      </c>
      <c r="AB57">
        <v>1.45791487606379E-2</v>
      </c>
      <c r="AJ57">
        <v>-1.0672304912977</v>
      </c>
      <c r="AK57">
        <v>0.99157434100450004</v>
      </c>
      <c r="AL57">
        <v>1.0121604170196601</v>
      </c>
      <c r="AM57">
        <v>4.5830064728685803E-2</v>
      </c>
      <c r="AN57">
        <v>-4.4717333466194602E-2</v>
      </c>
      <c r="AO57">
        <v>6.1284929369559801E-2</v>
      </c>
      <c r="AP57">
        <v>1.0980726414972701E-3</v>
      </c>
    </row>
    <row r="58" spans="1:42" x14ac:dyDescent="0.2">
      <c r="A58">
        <v>147</v>
      </c>
      <c r="B58">
        <v>740</v>
      </c>
      <c r="C58">
        <v>220</v>
      </c>
      <c r="D58">
        <v>0.34948477520604299</v>
      </c>
      <c r="E58">
        <v>0.57311301503358303</v>
      </c>
      <c r="F58">
        <v>3.5723197235553501</v>
      </c>
      <c r="G58">
        <v>-7.3768909813050891</v>
      </c>
      <c r="H58">
        <v>-6.2739921747285088</v>
      </c>
      <c r="I58">
        <v>1.0885839279243701</v>
      </c>
      <c r="J58">
        <v>0.64381495837352398</v>
      </c>
      <c r="K58">
        <v>0.16043161289695201</v>
      </c>
      <c r="L58">
        <v>4.4297934809200073E-5</v>
      </c>
      <c r="M58">
        <v>9.0986233285501593E-7</v>
      </c>
      <c r="N58" s="1">
        <v>8.4106926704637102E-10</v>
      </c>
      <c r="O58" s="1">
        <v>1.6515662447546101E-13</v>
      </c>
      <c r="P58" s="1">
        <v>-1.43340200589415E-12</v>
      </c>
      <c r="Q58">
        <v>49.734332376082897</v>
      </c>
      <c r="R58">
        <v>1.9689021768495098E-2</v>
      </c>
      <c r="S58">
        <v>2.54018328111166</v>
      </c>
      <c r="T58">
        <v>0.58430720525675195</v>
      </c>
      <c r="V58">
        <v>31.270129400643899</v>
      </c>
      <c r="X58">
        <v>15.6793015162648</v>
      </c>
      <c r="AA58">
        <v>0.157863146525616</v>
      </c>
      <c r="AB58">
        <v>1.41940523456479E-2</v>
      </c>
      <c r="AJ58">
        <v>-1.0767094265633601</v>
      </c>
      <c r="AK58">
        <v>0.99235571908418496</v>
      </c>
      <c r="AL58">
        <v>1.0165117780734301</v>
      </c>
      <c r="AM58">
        <v>4.9680877788379901E-2</v>
      </c>
      <c r="AN58">
        <v>-4.8529808076101397E-2</v>
      </c>
      <c r="AO58">
        <v>6.5621115341251202E-2</v>
      </c>
      <c r="AP58">
        <v>1.0697443522179901E-3</v>
      </c>
    </row>
    <row r="59" spans="1:42" x14ac:dyDescent="0.2">
      <c r="A59">
        <v>148</v>
      </c>
      <c r="B59">
        <v>738</v>
      </c>
      <c r="C59">
        <v>220</v>
      </c>
      <c r="D59">
        <v>0.34805963506898102</v>
      </c>
      <c r="E59">
        <v>0.59670347785814304</v>
      </c>
      <c r="F59">
        <v>3.57554061967434</v>
      </c>
      <c r="G59">
        <v>-7.671012031403019</v>
      </c>
      <c r="H59">
        <v>-6.5266124813915152</v>
      </c>
      <c r="I59">
        <v>1.1317802007728801</v>
      </c>
      <c r="J59">
        <v>0.66993156882987104</v>
      </c>
      <c r="K59">
        <v>0.166884827031412</v>
      </c>
      <c r="L59">
        <v>4.4258440022748804E-5</v>
      </c>
      <c r="M59">
        <v>9.0989604628069297E-7</v>
      </c>
      <c r="N59" s="1">
        <v>9.1605556845681697E-10</v>
      </c>
      <c r="O59" s="1">
        <v>1.7221952631741099E-13</v>
      </c>
      <c r="P59" s="1">
        <v>-1.8592953126233801E-12</v>
      </c>
      <c r="Q59">
        <v>49.5981732578025</v>
      </c>
      <c r="R59">
        <v>2.0245288480413799E-2</v>
      </c>
      <c r="S59">
        <v>2.7081325031351802</v>
      </c>
      <c r="T59">
        <v>0.60005395791993399</v>
      </c>
      <c r="V59">
        <v>31.3763041283887</v>
      </c>
      <c r="X59">
        <v>15.5403513286644</v>
      </c>
      <c r="AA59">
        <v>0.142894745815658</v>
      </c>
      <c r="AB59">
        <v>1.3844789793038E-2</v>
      </c>
      <c r="AJ59">
        <v>-1.08553472542979</v>
      </c>
      <c r="AK59">
        <v>0.99300128169122104</v>
      </c>
      <c r="AL59">
        <v>1.02056837104578</v>
      </c>
      <c r="AM59">
        <v>5.3358710050817999E-2</v>
      </c>
      <c r="AN59">
        <v>-5.2174417386530197E-2</v>
      </c>
      <c r="AO59">
        <v>6.9736739042465398E-2</v>
      </c>
      <c r="AP59">
        <v>1.04404098602795E-3</v>
      </c>
    </row>
    <row r="60" spans="1:42" x14ac:dyDescent="0.2">
      <c r="A60">
        <v>149</v>
      </c>
      <c r="B60">
        <v>736</v>
      </c>
      <c r="C60">
        <v>220</v>
      </c>
      <c r="D60">
        <v>0.34662884605856398</v>
      </c>
      <c r="E60">
        <v>0.61550319984951496</v>
      </c>
      <c r="F60">
        <v>3.57862531895967</v>
      </c>
      <c r="G60">
        <v>-7.903291558752084</v>
      </c>
      <c r="H60">
        <v>-6.7268400872153142</v>
      </c>
      <c r="I60">
        <v>1.1657845429686</v>
      </c>
      <c r="J60">
        <v>0.69064306802940001</v>
      </c>
      <c r="K60">
        <v>0.17199431205847601</v>
      </c>
      <c r="L60">
        <v>4.4214826231612079E-5</v>
      </c>
      <c r="M60">
        <v>9.0990626356574381E-7</v>
      </c>
      <c r="N60" s="1">
        <v>9.8778845534061499E-10</v>
      </c>
      <c r="O60" s="1">
        <v>1.77744867397981E-13</v>
      </c>
      <c r="P60" s="1">
        <v>-2.2721309711168399E-12</v>
      </c>
      <c r="Q60">
        <v>49.467246333203903</v>
      </c>
      <c r="R60">
        <v>2.07361417083789E-2</v>
      </c>
      <c r="S60">
        <v>2.8706097389769298</v>
      </c>
      <c r="T60">
        <v>0.61451583005009802</v>
      </c>
      <c r="V60">
        <v>31.4768044999932</v>
      </c>
      <c r="X60">
        <v>15.4063490562989</v>
      </c>
      <c r="AA60">
        <v>0.13021783251019001</v>
      </c>
      <c r="AB60">
        <v>1.35205672582618E-2</v>
      </c>
      <c r="AJ60">
        <v>-1.0939122330326201</v>
      </c>
      <c r="AK60">
        <v>0.99355035639478095</v>
      </c>
      <c r="AL60">
        <v>1.0244161840635899</v>
      </c>
      <c r="AM60">
        <v>5.6929765694798899E-2</v>
      </c>
      <c r="AN60">
        <v>-5.5716073672663999E-2</v>
      </c>
      <c r="AO60">
        <v>7.3711832849070902E-2</v>
      </c>
      <c r="AP60">
        <v>1.02016770303799E-3</v>
      </c>
    </row>
    <row r="61" spans="1:42" x14ac:dyDescent="0.2">
      <c r="A61">
        <v>150</v>
      </c>
      <c r="B61">
        <v>734</v>
      </c>
      <c r="C61">
        <v>220</v>
      </c>
      <c r="D61">
        <v>0.345192374522167</v>
      </c>
      <c r="E61">
        <v>0.63139956845217904</v>
      </c>
      <c r="F61">
        <v>3.58161068084814</v>
      </c>
      <c r="G61">
        <v>-8.098094495116877</v>
      </c>
      <c r="H61">
        <v>-6.8953532341324015</v>
      </c>
      <c r="I61">
        <v>1.1942027115965601</v>
      </c>
      <c r="J61">
        <v>0.70807387447257197</v>
      </c>
      <c r="K61">
        <v>0.176289280079615</v>
      </c>
      <c r="L61">
        <v>4.416724385106642E-5</v>
      </c>
      <c r="M61">
        <v>9.0989525612376031E-7</v>
      </c>
      <c r="N61" s="1">
        <v>1.0586686184362E-9</v>
      </c>
      <c r="O61" s="1">
        <v>1.82282290566548E-13</v>
      </c>
      <c r="P61" s="1">
        <v>-2.6740231309634901E-12</v>
      </c>
      <c r="Q61">
        <v>49.339942827374799</v>
      </c>
      <c r="R61">
        <v>2.1175103583265301E-2</v>
      </c>
      <c r="S61">
        <v>3.0295218080827002</v>
      </c>
      <c r="T61">
        <v>0.62800358205411999</v>
      </c>
      <c r="V61">
        <v>31.5729961833053</v>
      </c>
      <c r="X61">
        <v>15.2758808960312</v>
      </c>
      <c r="AA61">
        <v>0.11926457744670101</v>
      </c>
      <c r="AB61">
        <v>1.32150221217796E-2</v>
      </c>
      <c r="AJ61">
        <v>-1.10196512722385</v>
      </c>
      <c r="AK61">
        <v>0.99402686089528502</v>
      </c>
      <c r="AL61">
        <v>1.0281060490810501</v>
      </c>
      <c r="AM61">
        <v>6.0433810402717503E-2</v>
      </c>
      <c r="AN61">
        <v>-5.9193751222995902E-2</v>
      </c>
      <c r="AO61">
        <v>7.7594501938854699E-2</v>
      </c>
      <c r="AP61">
        <v>9.9765612893621194E-4</v>
      </c>
    </row>
    <row r="62" spans="1:42" x14ac:dyDescent="0.2">
      <c r="A62">
        <v>157</v>
      </c>
      <c r="B62">
        <v>748</v>
      </c>
      <c r="C62">
        <v>210</v>
      </c>
      <c r="D62">
        <v>0.36590167947901903</v>
      </c>
      <c r="E62">
        <v>0.353167032320991</v>
      </c>
      <c r="F62">
        <v>3.5640499722628598</v>
      </c>
      <c r="G62">
        <v>-4.5568017962703236</v>
      </c>
      <c r="H62">
        <v>-3.8683342655916464</v>
      </c>
      <c r="I62">
        <v>0.67420803082669201</v>
      </c>
      <c r="J62">
        <v>0.39702108643314299</v>
      </c>
      <c r="K62">
        <v>9.9091492843676507E-2</v>
      </c>
      <c r="L62">
        <v>4.4402503248623573E-5</v>
      </c>
      <c r="M62">
        <v>9.1047349641112544E-7</v>
      </c>
      <c r="N62" s="1">
        <v>4.5114617303135301E-10</v>
      </c>
      <c r="O62" s="1">
        <v>9.9366994862848796E-14</v>
      </c>
      <c r="P62" s="1">
        <v>-2.78776408879386E-14</v>
      </c>
      <c r="Q62">
        <v>50.145721020083798</v>
      </c>
      <c r="R62">
        <v>1.4704675584526801E-2</v>
      </c>
      <c r="S62">
        <v>1.94345711471628</v>
      </c>
      <c r="T62">
        <v>0.54179550433313095</v>
      </c>
      <c r="V62">
        <v>31.1347001243238</v>
      </c>
      <c r="X62">
        <v>15.9735039090454</v>
      </c>
      <c r="AA62">
        <v>0.23086781597283601</v>
      </c>
      <c r="AB62">
        <v>1.5249835940070599E-2</v>
      </c>
      <c r="AJ62">
        <v>-1.0539921008789901</v>
      </c>
      <c r="AK62">
        <v>0.98924386787198004</v>
      </c>
      <c r="AL62">
        <v>1.0113431327406801</v>
      </c>
      <c r="AM62">
        <v>3.6420836609501003E-2</v>
      </c>
      <c r="AN62">
        <v>-3.5561815094945E-2</v>
      </c>
      <c r="AO62">
        <v>5.1397634608468898E-2</v>
      </c>
      <c r="AP62">
        <v>1.1484441432963899E-3</v>
      </c>
    </row>
    <row r="63" spans="1:42" x14ac:dyDescent="0.2">
      <c r="A63">
        <v>158</v>
      </c>
      <c r="B63">
        <v>746</v>
      </c>
      <c r="C63">
        <v>210</v>
      </c>
      <c r="D63">
        <v>0.36451994308983099</v>
      </c>
      <c r="E63">
        <v>0.46620240207319702</v>
      </c>
      <c r="F63">
        <v>3.5610514568279301</v>
      </c>
      <c r="G63">
        <v>-6.0312466209266438</v>
      </c>
      <c r="H63">
        <v>-5.1246541826917564</v>
      </c>
      <c r="I63">
        <v>0.889557413761358</v>
      </c>
      <c r="J63">
        <v>0.524905376946179</v>
      </c>
      <c r="K63">
        <v>0.13091706416634399</v>
      </c>
      <c r="L63">
        <v>4.436442093663199E-5</v>
      </c>
      <c r="M63">
        <v>9.0905035648081637E-7</v>
      </c>
      <c r="N63" s="1">
        <v>6.0567704992656499E-10</v>
      </c>
      <c r="O63" s="1">
        <v>1.3388855908135101E-13</v>
      </c>
      <c r="P63" s="1">
        <v>-3.4374686945748801E-13</v>
      </c>
      <c r="Q63">
        <v>50.132390398976902</v>
      </c>
      <c r="R63">
        <v>1.80410657725775E-2</v>
      </c>
      <c r="S63">
        <v>2.10372866157218</v>
      </c>
      <c r="T63">
        <v>0.53954275058234602</v>
      </c>
      <c r="V63">
        <v>30.828705395469498</v>
      </c>
      <c r="X63">
        <v>16.1560759809846</v>
      </c>
      <c r="AA63">
        <v>0.206527695716024</v>
      </c>
      <c r="AB63">
        <v>1.49880509257011E-2</v>
      </c>
      <c r="AJ63">
        <v>-1.04711977213172</v>
      </c>
      <c r="AK63">
        <v>0.990292163744528</v>
      </c>
      <c r="AL63">
        <v>0.99979137842186405</v>
      </c>
      <c r="AM63">
        <v>4.0164730948859501E-2</v>
      </c>
      <c r="AN63">
        <v>-3.9112500074973203E-2</v>
      </c>
      <c r="AO63">
        <v>5.4857086781585497E-2</v>
      </c>
      <c r="AP63">
        <v>1.1269123098635099E-3</v>
      </c>
    </row>
    <row r="64" spans="1:42" x14ac:dyDescent="0.2">
      <c r="A64">
        <v>159</v>
      </c>
      <c r="B64">
        <v>744</v>
      </c>
      <c r="C64">
        <v>210</v>
      </c>
      <c r="D64">
        <v>0.36313277294401303</v>
      </c>
      <c r="E64">
        <v>0.52221938963525405</v>
      </c>
      <c r="F64">
        <v>3.56421401386612</v>
      </c>
      <c r="G64">
        <v>-6.7484872869892731</v>
      </c>
      <c r="H64">
        <v>-5.7363453652459802</v>
      </c>
      <c r="I64">
        <v>0.995076362132716</v>
      </c>
      <c r="J64">
        <v>0.58773354406825795</v>
      </c>
      <c r="K64">
        <v>0.146517405409334</v>
      </c>
      <c r="L64">
        <v>4.433887400092134E-5</v>
      </c>
      <c r="M64">
        <v>9.0906115494369743E-7</v>
      </c>
      <c r="N64" s="1">
        <v>7.0773364697297403E-10</v>
      </c>
      <c r="O64" s="1">
        <v>1.5090129203222E-13</v>
      </c>
      <c r="P64" s="1">
        <v>-7.6571001349799996E-13</v>
      </c>
      <c r="Q64">
        <v>49.989805186229098</v>
      </c>
      <c r="R64">
        <v>1.9039317154960201E-2</v>
      </c>
      <c r="S64">
        <v>2.2875926911170299</v>
      </c>
      <c r="T64">
        <v>0.55766549108269303</v>
      </c>
      <c r="V64">
        <v>30.9213397254846</v>
      </c>
      <c r="X64">
        <v>16.026932620938801</v>
      </c>
      <c r="AA64">
        <v>0.18305899237898099</v>
      </c>
      <c r="AB64">
        <v>1.45659756137123E-2</v>
      </c>
      <c r="AJ64">
        <v>-1.05614782497779</v>
      </c>
      <c r="AK64">
        <v>0.99129455655302801</v>
      </c>
      <c r="AL64">
        <v>1.0033063788338501</v>
      </c>
      <c r="AM64">
        <v>4.4169431756382001E-2</v>
      </c>
      <c r="AN64">
        <v>-4.3058413001269703E-2</v>
      </c>
      <c r="AO64">
        <v>5.9340135385017603E-2</v>
      </c>
      <c r="AP64">
        <v>1.09573545077492E-3</v>
      </c>
    </row>
    <row r="65" spans="1:42" x14ac:dyDescent="0.2">
      <c r="A65">
        <v>160</v>
      </c>
      <c r="B65">
        <v>742</v>
      </c>
      <c r="C65">
        <v>210</v>
      </c>
      <c r="D65">
        <v>0.361740136925575</v>
      </c>
      <c r="E65">
        <v>0.55672490055368895</v>
      </c>
      <c r="F65">
        <v>3.5676292625575599</v>
      </c>
      <c r="G65">
        <v>-7.1848665388129334</v>
      </c>
      <c r="H65">
        <v>-6.1095089822158268</v>
      </c>
      <c r="I65">
        <v>1.0593090248703201</v>
      </c>
      <c r="J65">
        <v>0.62621180732973802</v>
      </c>
      <c r="K65">
        <v>0.156048978069706</v>
      </c>
      <c r="L65">
        <v>4.4309682352086874E-5</v>
      </c>
      <c r="M65">
        <v>9.091592601585573E-7</v>
      </c>
      <c r="N65" s="1">
        <v>7.88060314840617E-10</v>
      </c>
      <c r="O65" s="1">
        <v>1.61424155778441E-13</v>
      </c>
      <c r="P65" s="1">
        <v>-1.1885437688945901E-12</v>
      </c>
      <c r="Q65">
        <v>49.847286324610302</v>
      </c>
      <c r="R65">
        <v>1.9698267783849199E-2</v>
      </c>
      <c r="S65">
        <v>2.4611486155415601</v>
      </c>
      <c r="T65">
        <v>0.57514422094596196</v>
      </c>
      <c r="V65">
        <v>31.037040294497</v>
      </c>
      <c r="X65">
        <v>15.881347658896299</v>
      </c>
      <c r="AA65">
        <v>0.16415410987957199</v>
      </c>
      <c r="AB65">
        <v>1.41805078453678E-2</v>
      </c>
      <c r="AJ65">
        <v>-1.0656228785905699</v>
      </c>
      <c r="AK65">
        <v>0.99210440011170598</v>
      </c>
      <c r="AL65">
        <v>1.0077017096561101</v>
      </c>
      <c r="AM65">
        <v>4.7946624730584503E-2</v>
      </c>
      <c r="AN65">
        <v>-4.67964217643876E-2</v>
      </c>
      <c r="AO65">
        <v>6.3599148296899305E-2</v>
      </c>
      <c r="AP65">
        <v>1.06741755965639E-3</v>
      </c>
    </row>
    <row r="66" spans="1:42" x14ac:dyDescent="0.2">
      <c r="A66">
        <v>161</v>
      </c>
      <c r="B66">
        <v>740</v>
      </c>
      <c r="C66">
        <v>210</v>
      </c>
      <c r="D66">
        <v>0.36034200266496003</v>
      </c>
      <c r="E66">
        <v>0.58130923100769605</v>
      </c>
      <c r="F66">
        <v>3.5708402540247399</v>
      </c>
      <c r="G66">
        <v>-7.4927718797514444</v>
      </c>
      <c r="H66">
        <v>-6.3737297687071131</v>
      </c>
      <c r="I66">
        <v>1.10451770324664</v>
      </c>
      <c r="J66">
        <v>0.65349653372972405</v>
      </c>
      <c r="K66">
        <v>0.16279340145571999</v>
      </c>
      <c r="L66">
        <v>4.4275983131529269E-5</v>
      </c>
      <c r="M66">
        <v>9.092275125846651E-7</v>
      </c>
      <c r="N66" s="1">
        <v>8.5898881294070103E-10</v>
      </c>
      <c r="O66" s="1">
        <v>1.68922715407301E-13</v>
      </c>
      <c r="P66" s="1">
        <v>-1.59974725839951E-12</v>
      </c>
      <c r="Q66">
        <v>49.712932657220897</v>
      </c>
      <c r="R66">
        <v>2.0266035185727199E-2</v>
      </c>
      <c r="S66">
        <v>2.6257954534299701</v>
      </c>
      <c r="T66">
        <v>0.59077183816310197</v>
      </c>
      <c r="V66">
        <v>31.144466383783801</v>
      </c>
      <c r="X66">
        <v>15.743316714542599</v>
      </c>
      <c r="AA66">
        <v>0.148618358525025</v>
      </c>
      <c r="AB66">
        <v>1.38325591486805E-2</v>
      </c>
      <c r="AJ66">
        <v>-1.0744217470031401</v>
      </c>
      <c r="AK66">
        <v>0.99277251408665801</v>
      </c>
      <c r="AL66">
        <v>1.01179227394008</v>
      </c>
      <c r="AM66">
        <v>5.1545541038896102E-2</v>
      </c>
      <c r="AN66">
        <v>-5.0361480227170199E-2</v>
      </c>
      <c r="AO66">
        <v>6.7631051361111402E-2</v>
      </c>
      <c r="AP66">
        <v>1.0418468035616299E-3</v>
      </c>
    </row>
    <row r="67" spans="1:42" x14ac:dyDescent="0.2">
      <c r="A67">
        <v>162</v>
      </c>
      <c r="B67">
        <v>738</v>
      </c>
      <c r="C67">
        <v>210</v>
      </c>
      <c r="D67">
        <v>0.35893833753646798</v>
      </c>
      <c r="E67">
        <v>0.60063956422077802</v>
      </c>
      <c r="F67">
        <v>3.5739120941796898</v>
      </c>
      <c r="G67">
        <v>-7.7326706365310205</v>
      </c>
      <c r="H67">
        <v>-6.5803294611417567</v>
      </c>
      <c r="I67">
        <v>1.1396342534631501</v>
      </c>
      <c r="J67">
        <v>0.67484838463115304</v>
      </c>
      <c r="K67">
        <v>0.16806220981174899</v>
      </c>
      <c r="L67">
        <v>4.4238133721440664E-5</v>
      </c>
      <c r="M67">
        <v>9.0927035308823876E-7</v>
      </c>
      <c r="N67" s="1">
        <v>9.2621499378004402E-10</v>
      </c>
      <c r="O67" s="1">
        <v>1.7474783256465399E-13</v>
      </c>
      <c r="P67" s="1">
        <v>-2.0006118056388601E-12</v>
      </c>
      <c r="Q67">
        <v>49.583933369977501</v>
      </c>
      <c r="R67">
        <v>2.0766125404673499E-2</v>
      </c>
      <c r="S67">
        <v>2.78483211931119</v>
      </c>
      <c r="T67">
        <v>0.60508831170917299</v>
      </c>
      <c r="V67">
        <v>31.246075447450501</v>
      </c>
      <c r="X67">
        <v>15.610321757279999</v>
      </c>
      <c r="AA67">
        <v>0.13547239882126699</v>
      </c>
      <c r="AB67">
        <v>1.3510470045525001E-2</v>
      </c>
      <c r="AJ67">
        <v>-1.0827607377392801</v>
      </c>
      <c r="AK67">
        <v>0.99334014278341798</v>
      </c>
      <c r="AL67">
        <v>1.01566942964077</v>
      </c>
      <c r="AM67">
        <v>5.5034886860139298E-2</v>
      </c>
      <c r="AN67">
        <v>-5.38209191729895E-2</v>
      </c>
      <c r="AO67">
        <v>7.1519032482471004E-2</v>
      </c>
      <c r="AP67">
        <v>1.0181651454639E-3</v>
      </c>
    </row>
    <row r="68" spans="1:42" x14ac:dyDescent="0.2">
      <c r="A68">
        <v>163</v>
      </c>
      <c r="B68">
        <v>736</v>
      </c>
      <c r="C68">
        <v>210</v>
      </c>
      <c r="D68">
        <v>0.35752910865580001</v>
      </c>
      <c r="E68">
        <v>0.616822284445254</v>
      </c>
      <c r="F68">
        <v>3.5768832494646601</v>
      </c>
      <c r="G68">
        <v>-7.9318293788055056</v>
      </c>
      <c r="H68">
        <v>-6.7524465257141104</v>
      </c>
      <c r="I68">
        <v>1.1686893455793399</v>
      </c>
      <c r="J68">
        <v>0.692641198709951</v>
      </c>
      <c r="K68">
        <v>0.17244685985699201</v>
      </c>
      <c r="L68">
        <v>4.4196325291938231E-5</v>
      </c>
      <c r="M68">
        <v>9.0929051735292436E-7</v>
      </c>
      <c r="N68" s="1">
        <v>9.9234890671689109E-10</v>
      </c>
      <c r="O68" s="1">
        <v>1.7951413310566401E-13</v>
      </c>
      <c r="P68" s="1">
        <v>-2.3925950269546101E-12</v>
      </c>
      <c r="Q68">
        <v>49.458621390751503</v>
      </c>
      <c r="R68">
        <v>2.1212798665428301E-2</v>
      </c>
      <c r="S68">
        <v>2.94022249480328</v>
      </c>
      <c r="T68">
        <v>0.61841675105585003</v>
      </c>
      <c r="V68">
        <v>31.343310836752799</v>
      </c>
      <c r="X68">
        <v>15.480887817992301</v>
      </c>
      <c r="AA68">
        <v>0.124120434146333</v>
      </c>
      <c r="AB68">
        <v>1.3207475832356701E-2</v>
      </c>
      <c r="AJ68">
        <v>-1.0907683889425901</v>
      </c>
      <c r="AK68">
        <v>0.993832356690868</v>
      </c>
      <c r="AL68">
        <v>1.0193867733703701</v>
      </c>
      <c r="AM68">
        <v>5.8455546898243997E-2</v>
      </c>
      <c r="AN68">
        <v>-5.7214789579937003E-2</v>
      </c>
      <c r="AO68">
        <v>7.5312626603808802E-2</v>
      </c>
      <c r="AP68">
        <v>9.9587495923575994E-4</v>
      </c>
    </row>
    <row r="69" spans="1:42" x14ac:dyDescent="0.2">
      <c r="A69">
        <v>169</v>
      </c>
      <c r="B69">
        <v>750</v>
      </c>
      <c r="C69">
        <v>200</v>
      </c>
      <c r="D69">
        <v>0.37802912573913899</v>
      </c>
      <c r="E69">
        <v>0.32449440089216902</v>
      </c>
      <c r="F69">
        <v>3.5616012652025</v>
      </c>
      <c r="G69">
        <v>-4.1927591925303016</v>
      </c>
      <c r="H69">
        <v>-3.5580329053359137</v>
      </c>
      <c r="I69">
        <v>0.62036484112240298</v>
      </c>
      <c r="J69">
        <v>0.365029631852472</v>
      </c>
      <c r="K69">
        <v>9.1109132305892501E-2</v>
      </c>
      <c r="L69">
        <v>4.4404579571231113E-5</v>
      </c>
      <c r="M69">
        <v>9.101151128628362E-7</v>
      </c>
      <c r="N69" s="1">
        <v>4.0729974140244798E-10</v>
      </c>
      <c r="O69" s="1">
        <v>9.1354733215960704E-14</v>
      </c>
      <c r="P69" s="1">
        <v>6.1756419279607104E-14</v>
      </c>
      <c r="Q69">
        <v>50.198936224271101</v>
      </c>
      <c r="R69">
        <v>1.4076019815485801E-2</v>
      </c>
      <c r="S69">
        <v>1.8994390724753301</v>
      </c>
      <c r="T69">
        <v>0.54162082607906203</v>
      </c>
      <c r="V69">
        <v>31.0316650255008</v>
      </c>
      <c r="X69">
        <v>16.063642338196701</v>
      </c>
      <c r="AA69">
        <v>0.23547397271022399</v>
      </c>
      <c r="AB69">
        <v>1.51465209511318E-2</v>
      </c>
      <c r="AJ69">
        <v>-1.04888230693741</v>
      </c>
      <c r="AK69">
        <v>0.98906565978985195</v>
      </c>
      <c r="AL69">
        <v>1.00747115686289</v>
      </c>
      <c r="AM69">
        <v>3.5382953754288099E-2</v>
      </c>
      <c r="AN69">
        <v>-3.4561085580099397E-2</v>
      </c>
      <c r="AO69">
        <v>5.03835526927114E-2</v>
      </c>
      <c r="AP69">
        <v>1.14006941776628E-3</v>
      </c>
    </row>
    <row r="70" spans="1:42" x14ac:dyDescent="0.2">
      <c r="A70">
        <v>170</v>
      </c>
      <c r="B70">
        <v>748</v>
      </c>
      <c r="C70">
        <v>200</v>
      </c>
      <c r="D70">
        <v>0.37667384811242399</v>
      </c>
      <c r="E70">
        <v>0.44994208454442802</v>
      </c>
      <c r="F70">
        <v>3.5581620414110802</v>
      </c>
      <c r="G70">
        <v>-5.830540468835645</v>
      </c>
      <c r="H70">
        <v>-4.9525286476471004</v>
      </c>
      <c r="I70">
        <v>0.85982649090588403</v>
      </c>
      <c r="J70">
        <v>0.50698825778742096</v>
      </c>
      <c r="K70">
        <v>0.12645351147807499</v>
      </c>
      <c r="L70">
        <v>4.4364060144855233E-5</v>
      </c>
      <c r="M70">
        <v>9.0860326517737681E-7</v>
      </c>
      <c r="N70" s="1">
        <v>5.7328433646605003E-10</v>
      </c>
      <c r="O70" s="1">
        <v>1.29431190578255E-13</v>
      </c>
      <c r="P70" s="1">
        <v>-2.0300133864703799E-13</v>
      </c>
      <c r="Q70">
        <v>50.196429858839799</v>
      </c>
      <c r="R70">
        <v>1.74932867717188E-2</v>
      </c>
      <c r="S70">
        <v>2.0545643914402798</v>
      </c>
      <c r="T70">
        <v>0.53799680878214295</v>
      </c>
      <c r="V70">
        <v>30.698693893819701</v>
      </c>
      <c r="X70">
        <v>16.2681955509373</v>
      </c>
      <c r="AA70">
        <v>0.211732407109154</v>
      </c>
      <c r="AB70">
        <v>1.4893802299741601E-2</v>
      </c>
      <c r="AJ70">
        <v>-1.0408391858708399</v>
      </c>
      <c r="AK70">
        <v>0.99008956709708895</v>
      </c>
      <c r="AL70">
        <v>0.99491595078672901</v>
      </c>
      <c r="AM70">
        <v>3.9025502571428103E-2</v>
      </c>
      <c r="AN70">
        <v>-3.8005895915609399E-2</v>
      </c>
      <c r="AO70">
        <v>5.3694976669951801E-2</v>
      </c>
      <c r="AP70">
        <v>1.11908466125893E-3</v>
      </c>
    </row>
    <row r="71" spans="1:42" x14ac:dyDescent="0.2">
      <c r="A71">
        <v>171</v>
      </c>
      <c r="B71">
        <v>746</v>
      </c>
      <c r="C71">
        <v>200</v>
      </c>
      <c r="D71">
        <v>0.37531325123877901</v>
      </c>
      <c r="E71">
        <v>0.49982735213155299</v>
      </c>
      <c r="F71">
        <v>3.55757847489263</v>
      </c>
      <c r="G71">
        <v>-6.4838358534433702</v>
      </c>
      <c r="H71">
        <v>-5.5112277317173088</v>
      </c>
      <c r="I71">
        <v>0.95433265145077795</v>
      </c>
      <c r="J71">
        <v>0.56356936806645097</v>
      </c>
      <c r="K71">
        <v>0.140496507851914</v>
      </c>
      <c r="L71">
        <v>4.4330758077066321E-5</v>
      </c>
      <c r="M71">
        <v>9.0783768028711411E-7</v>
      </c>
      <c r="N71" s="1">
        <v>6.5334309999795996E-10</v>
      </c>
      <c r="O71" s="1">
        <v>1.45750415357693E-13</v>
      </c>
      <c r="P71" s="1">
        <v>-5.3454000139444704E-13</v>
      </c>
      <c r="Q71">
        <v>50.142664714525303</v>
      </c>
      <c r="R71">
        <v>1.98595664347389E-2</v>
      </c>
      <c r="S71">
        <v>2.2028016514169</v>
      </c>
      <c r="T71">
        <v>0.54167461234494196</v>
      </c>
      <c r="V71">
        <v>30.5612091434406</v>
      </c>
      <c r="X71">
        <v>16.325744371570298</v>
      </c>
      <c r="AA71">
        <v>0.19141955132861699</v>
      </c>
      <c r="AB71">
        <v>1.46263889383717E-2</v>
      </c>
      <c r="AJ71">
        <v>-1.0399989040169899</v>
      </c>
      <c r="AK71">
        <v>0.99095955409358105</v>
      </c>
      <c r="AL71">
        <v>0.98975038956661299</v>
      </c>
      <c r="AM71">
        <v>4.2405743474384201E-2</v>
      </c>
      <c r="AN71">
        <v>-4.1249046333261701E-2</v>
      </c>
      <c r="AO71">
        <v>5.7034058942255599E-2</v>
      </c>
      <c r="AP71">
        <v>1.0982042734249001E-3</v>
      </c>
    </row>
    <row r="72" spans="1:42" x14ac:dyDescent="0.2">
      <c r="A72">
        <v>172</v>
      </c>
      <c r="B72">
        <v>744</v>
      </c>
      <c r="C72">
        <v>200</v>
      </c>
      <c r="D72">
        <v>0.373947303740848</v>
      </c>
      <c r="E72">
        <v>0.54145788050958799</v>
      </c>
      <c r="F72">
        <v>3.5630646006061499</v>
      </c>
      <c r="G72">
        <v>-7.0060408218913999</v>
      </c>
      <c r="H72">
        <v>-5.9562877178753286</v>
      </c>
      <c r="I72">
        <v>1.0320533884049199</v>
      </c>
      <c r="J72">
        <v>0.60980421196867696</v>
      </c>
      <c r="K72">
        <v>0.15196409304997499</v>
      </c>
      <c r="L72">
        <v>4.4313874891777529E-5</v>
      </c>
      <c r="M72">
        <v>9.0842292807071392E-7</v>
      </c>
      <c r="N72" s="1">
        <v>7.4272964022733201E-10</v>
      </c>
      <c r="O72" s="1">
        <v>1.57918326390156E-13</v>
      </c>
      <c r="P72" s="1">
        <v>-9.7135749924984491E-13</v>
      </c>
      <c r="Q72">
        <v>49.9533594952971</v>
      </c>
      <c r="R72">
        <v>1.9746634412522401E-2</v>
      </c>
      <c r="S72">
        <v>2.39126952975742</v>
      </c>
      <c r="T72">
        <v>0.56706897905540099</v>
      </c>
      <c r="V72">
        <v>30.806932323065801</v>
      </c>
      <c r="X72">
        <v>16.077496740387001</v>
      </c>
      <c r="AA72">
        <v>0.169971058278444</v>
      </c>
      <c r="AB72">
        <v>1.4155239746092301E-2</v>
      </c>
      <c r="AJ72">
        <v>-1.05492759634856</v>
      </c>
      <c r="AK72">
        <v>0.99187410602964599</v>
      </c>
      <c r="AL72">
        <v>0.999029876130204</v>
      </c>
      <c r="AM72">
        <v>4.6412455941303402E-2</v>
      </c>
      <c r="AN72">
        <v>-4.52608129785501E-2</v>
      </c>
      <c r="AO72">
        <v>6.1807734813583197E-2</v>
      </c>
      <c r="AP72">
        <v>1.06423641237803E-3</v>
      </c>
    </row>
    <row r="73" spans="1:42" x14ac:dyDescent="0.2">
      <c r="A73">
        <v>173</v>
      </c>
      <c r="B73">
        <v>742</v>
      </c>
      <c r="C73">
        <v>200</v>
      </c>
      <c r="D73">
        <v>0.37257597399398801</v>
      </c>
      <c r="E73">
        <v>0.56683580231401298</v>
      </c>
      <c r="F73">
        <v>3.5662558967511102</v>
      </c>
      <c r="G73">
        <v>-7.3252170667820637</v>
      </c>
      <c r="H73">
        <v>-6.2299744293152246</v>
      </c>
      <c r="I73">
        <v>1.0788973427245601</v>
      </c>
      <c r="J73">
        <v>0.63803218854529098</v>
      </c>
      <c r="K73">
        <v>0.158944231352103</v>
      </c>
      <c r="L73">
        <v>4.428561396377419E-5</v>
      </c>
      <c r="M73">
        <v>9.0852488095083673E-7</v>
      </c>
      <c r="N73" s="1">
        <v>8.0964973650257198E-10</v>
      </c>
      <c r="O73" s="1">
        <v>1.65782773177524E-13</v>
      </c>
      <c r="P73" s="1">
        <v>-1.3657411521750501E-12</v>
      </c>
      <c r="Q73">
        <v>49.8211516472211</v>
      </c>
      <c r="R73">
        <v>2.03228666659989E-2</v>
      </c>
      <c r="S73">
        <v>2.5522845124058202</v>
      </c>
      <c r="T73">
        <v>0.58250791189883</v>
      </c>
      <c r="V73">
        <v>30.9151667882442</v>
      </c>
      <c r="X73">
        <v>15.940776516061</v>
      </c>
      <c r="AA73">
        <v>0.15397984485923799</v>
      </c>
      <c r="AB73">
        <v>1.38099126436486E-2</v>
      </c>
      <c r="AJ73">
        <v>-1.0636703169905899</v>
      </c>
      <c r="AK73">
        <v>0.99256000827540902</v>
      </c>
      <c r="AL73">
        <v>1.0031377925279501</v>
      </c>
      <c r="AM73">
        <v>4.9926058595080702E-2</v>
      </c>
      <c r="AN73">
        <v>-4.8740102210967001E-2</v>
      </c>
      <c r="AO73">
        <v>6.5747666867498E-2</v>
      </c>
      <c r="AP73">
        <v>1.03889293562818E-3</v>
      </c>
    </row>
    <row r="74" spans="1:42" x14ac:dyDescent="0.2">
      <c r="A74">
        <v>174</v>
      </c>
      <c r="B74">
        <v>740</v>
      </c>
      <c r="C74">
        <v>200</v>
      </c>
      <c r="D74">
        <v>0.37119923012387401</v>
      </c>
      <c r="E74">
        <v>0.58658175491824205</v>
      </c>
      <c r="F74">
        <v>3.5693072437399498</v>
      </c>
      <c r="G74">
        <v>-7.5712957500375673</v>
      </c>
      <c r="H74">
        <v>-6.4417256684837829</v>
      </c>
      <c r="I74">
        <v>1.1149090278377101</v>
      </c>
      <c r="J74">
        <v>0.65989449798969102</v>
      </c>
      <c r="K74">
        <v>0.16434050499491801</v>
      </c>
      <c r="L74">
        <v>4.425319762242889E-5</v>
      </c>
      <c r="M74">
        <v>9.0859969582087554E-7</v>
      </c>
      <c r="N74" s="1">
        <v>8.7250166325346305E-10</v>
      </c>
      <c r="O74" s="1">
        <v>1.7186292810421899E-13</v>
      </c>
      <c r="P74" s="1">
        <v>-1.75277923037066E-12</v>
      </c>
      <c r="Q74">
        <v>49.694329380446703</v>
      </c>
      <c r="R74">
        <v>2.08298583369084E-2</v>
      </c>
      <c r="S74">
        <v>2.7076577428500102</v>
      </c>
      <c r="T74">
        <v>0.59662632551559602</v>
      </c>
      <c r="V74">
        <v>31.017524166553098</v>
      </c>
      <c r="X74">
        <v>15.8090978783701</v>
      </c>
      <c r="AA74">
        <v>0.14044369356526701</v>
      </c>
      <c r="AB74">
        <v>1.34909543621389E-2</v>
      </c>
      <c r="AJ74">
        <v>-1.07194823290368</v>
      </c>
      <c r="AK74">
        <v>0.99314282194667403</v>
      </c>
      <c r="AL74">
        <v>1.0070307402671099</v>
      </c>
      <c r="AM74">
        <v>5.3329519914434298E-2</v>
      </c>
      <c r="AN74">
        <v>-5.2113287242509701E-2</v>
      </c>
      <c r="AO74">
        <v>6.9542963254369594E-2</v>
      </c>
      <c r="AP74">
        <v>1.01547476360421E-3</v>
      </c>
    </row>
    <row r="75" spans="1:42" x14ac:dyDescent="0.2">
      <c r="A75">
        <v>175</v>
      </c>
      <c r="B75">
        <v>738</v>
      </c>
      <c r="C75">
        <v>200</v>
      </c>
      <c r="D75">
        <v>0.36981704000395799</v>
      </c>
      <c r="E75">
        <v>0.60297957365498001</v>
      </c>
      <c r="F75">
        <v>3.57225787739252</v>
      </c>
      <c r="G75">
        <v>-7.7739208388069194</v>
      </c>
      <c r="H75">
        <v>-6.6166940940837193</v>
      </c>
      <c r="I75">
        <v>1.14446594938752</v>
      </c>
      <c r="J75">
        <v>0.67796808502565797</v>
      </c>
      <c r="K75">
        <v>0.16879508544750099</v>
      </c>
      <c r="L75">
        <v>4.4216853882053279E-5</v>
      </c>
      <c r="M75">
        <v>9.0865055623890647E-7</v>
      </c>
      <c r="N75" s="1">
        <v>9.3405347384476407E-10</v>
      </c>
      <c r="O75" s="1">
        <v>1.76826561317153E-13</v>
      </c>
      <c r="P75" s="1">
        <v>-2.1331220574494598E-12</v>
      </c>
      <c r="Q75">
        <v>49.571203021931503</v>
      </c>
      <c r="R75">
        <v>2.1282350310213201E-2</v>
      </c>
      <c r="S75">
        <v>2.85936777711288</v>
      </c>
      <c r="T75">
        <v>0.60975317055294198</v>
      </c>
      <c r="V75">
        <v>31.1154941034433</v>
      </c>
      <c r="X75">
        <v>15.680956571275701</v>
      </c>
      <c r="AA75">
        <v>0.128751687510302</v>
      </c>
      <c r="AB75">
        <v>1.31913178630742E-2</v>
      </c>
      <c r="AJ75">
        <v>-1.0798924538096299</v>
      </c>
      <c r="AK75">
        <v>0.99364822897427396</v>
      </c>
      <c r="AL75">
        <v>1.0107639053120501</v>
      </c>
      <c r="AM75">
        <v>5.6663954711821098E-2</v>
      </c>
      <c r="AN75">
        <v>-5.5420621996532603E-2</v>
      </c>
      <c r="AO75">
        <v>7.3243522951768503E-2</v>
      </c>
      <c r="AP75">
        <v>9.9346385624640298E-4</v>
      </c>
    </row>
    <row r="76" spans="1:42" x14ac:dyDescent="0.2">
      <c r="A76">
        <v>181</v>
      </c>
      <c r="B76">
        <v>752</v>
      </c>
      <c r="C76">
        <v>190</v>
      </c>
      <c r="D76">
        <v>0.39010925230454402</v>
      </c>
      <c r="E76">
        <v>0.30719343291720502</v>
      </c>
      <c r="F76">
        <v>3.55879227225918</v>
      </c>
      <c r="G76">
        <v>-3.9759308088810976</v>
      </c>
      <c r="H76">
        <v>-3.3729655214054688</v>
      </c>
      <c r="I76">
        <v>0.588172742989445</v>
      </c>
      <c r="J76">
        <v>0.34584971396448599</v>
      </c>
      <c r="K76">
        <v>8.6319574005985403E-2</v>
      </c>
      <c r="L76">
        <v>4.4402532389264726E-5</v>
      </c>
      <c r="M76">
        <v>9.096166261012737E-7</v>
      </c>
      <c r="N76" s="1">
        <v>3.7943854827743601E-10</v>
      </c>
      <c r="O76" s="1">
        <v>8.6658199282096504E-14</v>
      </c>
      <c r="P76" s="1">
        <v>1.3078654133926101E-13</v>
      </c>
      <c r="Q76">
        <v>50.254198148259299</v>
      </c>
      <c r="R76">
        <v>1.3705604057054699E-2</v>
      </c>
      <c r="S76">
        <v>1.8653594109792999</v>
      </c>
      <c r="T76">
        <v>0.54111836750894104</v>
      </c>
      <c r="V76">
        <v>30.898923203326099</v>
      </c>
      <c r="X76">
        <v>16.1729581827449</v>
      </c>
      <c r="AA76">
        <v>0.23870079903771799</v>
      </c>
      <c r="AB76">
        <v>1.50362840864533E-2</v>
      </c>
      <c r="AJ76">
        <v>-1.0429399917108</v>
      </c>
      <c r="AK76">
        <v>0.98894721115567996</v>
      </c>
      <c r="AL76">
        <v>1.00248404160622</v>
      </c>
      <c r="AM76">
        <v>3.4580619209264099E-2</v>
      </c>
      <c r="AN76">
        <v>-3.3780919284736297E-2</v>
      </c>
      <c r="AO76">
        <v>4.9578031462898402E-2</v>
      </c>
      <c r="AP76">
        <v>1.1310075614746199E-3</v>
      </c>
    </row>
    <row r="77" spans="1:42" x14ac:dyDescent="0.2">
      <c r="A77">
        <v>182</v>
      </c>
      <c r="B77">
        <v>750</v>
      </c>
      <c r="C77">
        <v>190</v>
      </c>
      <c r="D77">
        <v>0.38878023750183299</v>
      </c>
      <c r="E77">
        <v>0.43706549000143302</v>
      </c>
      <c r="F77">
        <v>3.5551986867548999</v>
      </c>
      <c r="G77">
        <v>-5.673620195827648</v>
      </c>
      <c r="H77">
        <v>-4.817759507846656</v>
      </c>
      <c r="I77">
        <v>0.83649580997995698</v>
      </c>
      <c r="J77">
        <v>0.492885227998477</v>
      </c>
      <c r="K77">
        <v>0.122937008170526</v>
      </c>
      <c r="L77">
        <v>4.4359707906911923E-5</v>
      </c>
      <c r="M77">
        <v>9.0808709436607104E-7</v>
      </c>
      <c r="N77" s="1">
        <v>5.4772399563281298E-10</v>
      </c>
      <c r="O77" s="1">
        <v>1.2601313260644499E-13</v>
      </c>
      <c r="P77" s="1">
        <v>-8.6433551506024296E-14</v>
      </c>
      <c r="Q77">
        <v>50.257196857961702</v>
      </c>
      <c r="R77">
        <v>1.7103614541835298E-2</v>
      </c>
      <c r="S77">
        <v>2.0150067669112701</v>
      </c>
      <c r="T77">
        <v>0.53692722773688495</v>
      </c>
      <c r="V77">
        <v>30.558296065436299</v>
      </c>
      <c r="X77">
        <v>16.384845423198399</v>
      </c>
      <c r="AA77">
        <v>0.21583486741342001</v>
      </c>
      <c r="AB77">
        <v>1.47891768001153E-2</v>
      </c>
      <c r="AJ77">
        <v>-1.0344534140692301</v>
      </c>
      <c r="AK77">
        <v>0.98993427965404002</v>
      </c>
      <c r="AL77">
        <v>0.98965890538485202</v>
      </c>
      <c r="AM77">
        <v>3.8103085198216598E-2</v>
      </c>
      <c r="AN77">
        <v>-3.7106902363759298E-2</v>
      </c>
      <c r="AO77">
        <v>5.2753615990660398E-2</v>
      </c>
      <c r="AP77">
        <v>1.11043020522968E-3</v>
      </c>
    </row>
    <row r="78" spans="1:42" x14ac:dyDescent="0.2">
      <c r="A78">
        <v>183</v>
      </c>
      <c r="B78">
        <v>748</v>
      </c>
      <c r="C78">
        <v>190</v>
      </c>
      <c r="D78">
        <v>0.38744601674582602</v>
      </c>
      <c r="E78">
        <v>0.48856870357194199</v>
      </c>
      <c r="F78">
        <v>3.5544993639615998</v>
      </c>
      <c r="G78">
        <v>-6.349218747153115</v>
      </c>
      <c r="H78">
        <v>-5.3951806460984608</v>
      </c>
      <c r="I78">
        <v>0.93427811884116396</v>
      </c>
      <c r="J78">
        <v>0.55133737330340205</v>
      </c>
      <c r="K78">
        <v>0.137450778167369</v>
      </c>
      <c r="L78">
        <v>4.4326414865524735E-5</v>
      </c>
      <c r="M78">
        <v>9.073145161728571E-7</v>
      </c>
      <c r="N78" s="1">
        <v>6.2735714325040505E-10</v>
      </c>
      <c r="O78" s="1">
        <v>1.42847342203773E-13</v>
      </c>
      <c r="P78" s="1">
        <v>-3.93593731571765E-13</v>
      </c>
      <c r="Q78">
        <v>50.207668225170501</v>
      </c>
      <c r="R78">
        <v>1.9463322511296299E-2</v>
      </c>
      <c r="S78">
        <v>2.1590198605272599</v>
      </c>
      <c r="T78">
        <v>0.54021904299183798</v>
      </c>
      <c r="V78">
        <v>30.4151711027373</v>
      </c>
      <c r="X78">
        <v>16.4483070876854</v>
      </c>
      <c r="AA78">
        <v>0.19562300304712299</v>
      </c>
      <c r="AB78">
        <v>1.45283553291431E-2</v>
      </c>
      <c r="AJ78">
        <v>-1.03329739367976</v>
      </c>
      <c r="AK78">
        <v>0.99079935865936197</v>
      </c>
      <c r="AL78">
        <v>0.98428796539825603</v>
      </c>
      <c r="AM78">
        <v>4.1389154564974703E-2</v>
      </c>
      <c r="AN78">
        <v>-4.0256379603127099E-2</v>
      </c>
      <c r="AO78">
        <v>5.5987262711138797E-2</v>
      </c>
      <c r="AP78">
        <v>1.0900319491635E-3</v>
      </c>
    </row>
    <row r="79" spans="1:42" x14ac:dyDescent="0.2">
      <c r="A79">
        <v>184</v>
      </c>
      <c r="B79">
        <v>746</v>
      </c>
      <c r="C79">
        <v>190</v>
      </c>
      <c r="D79">
        <v>0.38610655938772698</v>
      </c>
      <c r="E79">
        <v>0.52770043216871398</v>
      </c>
      <c r="F79">
        <v>3.5586494073730299</v>
      </c>
      <c r="G79">
        <v>-6.8455221668003823</v>
      </c>
      <c r="H79">
        <v>-5.8186584628032483</v>
      </c>
      <c r="I79">
        <v>1.0075687622009799</v>
      </c>
      <c r="J79">
        <v>0.59503643993181998</v>
      </c>
      <c r="K79">
        <v>0.14828671548126901</v>
      </c>
      <c r="L79">
        <v>4.4311111720734961E-5</v>
      </c>
      <c r="M79">
        <v>9.0765693630338536E-7</v>
      </c>
      <c r="N79" s="1">
        <v>7.0498627968492001E-10</v>
      </c>
      <c r="O79" s="1">
        <v>1.54778737587798E-13</v>
      </c>
      <c r="P79" s="1">
        <v>-7.83194275538832E-13</v>
      </c>
      <c r="Q79">
        <v>50.051547960464902</v>
      </c>
      <c r="R79">
        <v>1.9844055451321198E-2</v>
      </c>
      <c r="S79">
        <v>2.3316704942455502</v>
      </c>
      <c r="T79">
        <v>0.56025142283823204</v>
      </c>
      <c r="V79">
        <v>30.580773854283201</v>
      </c>
      <c r="X79">
        <v>16.266701277852199</v>
      </c>
      <c r="AA79">
        <v>0.17509540721126499</v>
      </c>
      <c r="AB79">
        <v>1.4115527653170401E-2</v>
      </c>
      <c r="AJ79">
        <v>-1.04469590489608</v>
      </c>
      <c r="AK79">
        <v>0.991673979206673</v>
      </c>
      <c r="AL79">
        <v>0.99053175084436595</v>
      </c>
      <c r="AM79">
        <v>4.51013724114439E-2</v>
      </c>
      <c r="AN79">
        <v>-4.3945406272449597E-2</v>
      </c>
      <c r="AO79">
        <v>6.0274203714728303E-2</v>
      </c>
      <c r="AP79">
        <v>1.0600049913240101E-3</v>
      </c>
    </row>
    <row r="80" spans="1:42" x14ac:dyDescent="0.2">
      <c r="A80">
        <v>185</v>
      </c>
      <c r="B80">
        <v>744</v>
      </c>
      <c r="C80">
        <v>190</v>
      </c>
      <c r="D80">
        <v>0.38476183453767998</v>
      </c>
      <c r="E80">
        <v>0.55353439082252998</v>
      </c>
      <c r="F80">
        <v>3.5618093042211099</v>
      </c>
      <c r="G80">
        <v>-7.1716500948156616</v>
      </c>
      <c r="H80">
        <v>-6.0981438469803244</v>
      </c>
      <c r="I80">
        <v>1.0554060343462901</v>
      </c>
      <c r="J80">
        <v>0.62382705880747802</v>
      </c>
      <c r="K80">
        <v>0.15540820508457101</v>
      </c>
      <c r="L80">
        <v>4.4287864476138478E-5</v>
      </c>
      <c r="M80">
        <v>9.0779104885231742E-7</v>
      </c>
      <c r="N80" s="1">
        <v>7.6784958106993505E-10</v>
      </c>
      <c r="O80" s="1">
        <v>1.6289740369393E-13</v>
      </c>
      <c r="P80" s="1">
        <v>-1.15905663636923E-12</v>
      </c>
      <c r="Q80">
        <v>49.921897735248997</v>
      </c>
      <c r="R80">
        <v>2.0424725761022899E-2</v>
      </c>
      <c r="S80">
        <v>2.4886507147316301</v>
      </c>
      <c r="T80">
        <v>0.57541594061136803</v>
      </c>
      <c r="V80">
        <v>30.6892855548192</v>
      </c>
      <c r="X80">
        <v>16.1317508776675</v>
      </c>
      <c r="AA80">
        <v>0.15879994345151599</v>
      </c>
      <c r="AB80">
        <v>1.37745077085698E-2</v>
      </c>
      <c r="AJ80">
        <v>-1.0533461521649801</v>
      </c>
      <c r="AK80">
        <v>0.99237127732230701</v>
      </c>
      <c r="AL80">
        <v>0.99463730136495399</v>
      </c>
      <c r="AM80">
        <v>4.8521820745090302E-2</v>
      </c>
      <c r="AN80">
        <v>-4.7331321980624501E-2</v>
      </c>
      <c r="AO80">
        <v>6.4112063836693503E-2</v>
      </c>
      <c r="AP80">
        <v>1.0350108765667201E-3</v>
      </c>
    </row>
    <row r="81" spans="1:42" x14ac:dyDescent="0.2">
      <c r="A81">
        <v>186</v>
      </c>
      <c r="B81">
        <v>742</v>
      </c>
      <c r="C81">
        <v>190</v>
      </c>
      <c r="D81">
        <v>0.38341181106240502</v>
      </c>
      <c r="E81">
        <v>0.57350789412069703</v>
      </c>
      <c r="F81">
        <v>3.5648312612220101</v>
      </c>
      <c r="G81">
        <v>-7.421507776538947</v>
      </c>
      <c r="H81">
        <v>-6.3130098690089929</v>
      </c>
      <c r="I81">
        <v>1.0919547924247199</v>
      </c>
      <c r="J81">
        <v>0.64598705057940198</v>
      </c>
      <c r="K81">
        <v>0.160879394309423</v>
      </c>
      <c r="L81">
        <v>4.4260491710232677E-5</v>
      </c>
      <c r="M81">
        <v>9.0789660837065749E-7</v>
      </c>
      <c r="N81" s="1">
        <v>8.2642725885587397E-10</v>
      </c>
      <c r="O81" s="1">
        <v>1.6916494960449999E-13</v>
      </c>
      <c r="P81" s="1">
        <v>-1.5307158330056199E-12</v>
      </c>
      <c r="Q81">
        <v>49.7975471178272</v>
      </c>
      <c r="R81">
        <v>2.09355617018856E-2</v>
      </c>
      <c r="S81">
        <v>2.6400929486735398</v>
      </c>
      <c r="T81">
        <v>0.58927268808161304</v>
      </c>
      <c r="V81">
        <v>30.7919704614926</v>
      </c>
      <c r="X81">
        <v>16.001740280601801</v>
      </c>
      <c r="AA81">
        <v>0.14498102308071001</v>
      </c>
      <c r="AB81">
        <v>1.34599185404664E-2</v>
      </c>
      <c r="AJ81">
        <v>-1.0615360053682199</v>
      </c>
      <c r="AK81">
        <v>0.99296472505047695</v>
      </c>
      <c r="AL81">
        <v>0.99853039512337705</v>
      </c>
      <c r="AM81">
        <v>5.1834365606428401E-2</v>
      </c>
      <c r="AN81">
        <v>-5.0613400714796301E-2</v>
      </c>
      <c r="AO81">
        <v>6.7807974851718397E-2</v>
      </c>
      <c r="AP81">
        <v>1.0119454510175601E-3</v>
      </c>
    </row>
    <row r="82" spans="1:42" x14ac:dyDescent="0.2">
      <c r="A82">
        <v>187</v>
      </c>
      <c r="B82">
        <v>740</v>
      </c>
      <c r="C82">
        <v>190</v>
      </c>
      <c r="D82">
        <v>0.382056457582788</v>
      </c>
      <c r="E82">
        <v>0.59000582672391899</v>
      </c>
      <c r="F82">
        <v>3.5677541801051</v>
      </c>
      <c r="G82">
        <v>-7.6261341688564528</v>
      </c>
      <c r="H82">
        <v>-6.4895884926643443</v>
      </c>
      <c r="I82">
        <v>1.1217940839876701</v>
      </c>
      <c r="J82">
        <v>0.66421061001260395</v>
      </c>
      <c r="K82">
        <v>0.165371770850686</v>
      </c>
      <c r="L82">
        <v>4.422924970989168E-5</v>
      </c>
      <c r="M82">
        <v>9.0797717698554214E-7</v>
      </c>
      <c r="N82" s="1">
        <v>8.8355963399240801E-10</v>
      </c>
      <c r="O82" s="1">
        <v>1.7428018958118099E-13</v>
      </c>
      <c r="P82" s="1">
        <v>-1.8979374244311502E-12</v>
      </c>
      <c r="Q82">
        <v>49.676830239709197</v>
      </c>
      <c r="R82">
        <v>2.1391420089519799E-2</v>
      </c>
      <c r="S82">
        <v>2.7879364439514802</v>
      </c>
      <c r="T82">
        <v>0.60214783387733894</v>
      </c>
      <c r="V82">
        <v>30.890321712153</v>
      </c>
      <c r="X82">
        <v>15.8751784254593</v>
      </c>
      <c r="AA82">
        <v>0.13302931413503599</v>
      </c>
      <c r="AB82">
        <v>1.31646106250226E-2</v>
      </c>
      <c r="AJ82">
        <v>-1.06939548816432</v>
      </c>
      <c r="AK82">
        <v>0.99347991342022601</v>
      </c>
      <c r="AL82">
        <v>1.0022662172179</v>
      </c>
      <c r="AM82">
        <v>5.5079226960881897E-2</v>
      </c>
      <c r="AN82">
        <v>-5.3830995776890399E-2</v>
      </c>
      <c r="AO82">
        <v>7.1410842843893499E-2</v>
      </c>
      <c r="AP82">
        <v>9.9028349831260104E-4</v>
      </c>
    </row>
    <row r="83" spans="1:42" x14ac:dyDescent="0.2">
      <c r="A83">
        <v>193</v>
      </c>
      <c r="B83">
        <v>754</v>
      </c>
      <c r="C83">
        <v>180</v>
      </c>
      <c r="D83">
        <v>0.402142335588766</v>
      </c>
      <c r="E83">
        <v>0.305097083061459</v>
      </c>
      <c r="F83">
        <v>3.5555212701985899</v>
      </c>
      <c r="G83">
        <v>-3.956846445307634</v>
      </c>
      <c r="H83">
        <v>-3.3558775648623267</v>
      </c>
      <c r="I83">
        <v>0.58508385381424899</v>
      </c>
      <c r="J83">
        <v>0.34383337119762902</v>
      </c>
      <c r="K83">
        <v>8.5809382050024294E-2</v>
      </c>
      <c r="L83">
        <v>4.4395021529164618E-5</v>
      </c>
      <c r="M83">
        <v>9.0894820778635273E-7</v>
      </c>
      <c r="N83" s="1">
        <v>3.7149058580878199E-10</v>
      </c>
      <c r="O83" s="1">
        <v>8.63887447830719E-14</v>
      </c>
      <c r="P83" s="1">
        <v>1.9086898199634899E-13</v>
      </c>
      <c r="Q83">
        <v>50.313089759793101</v>
      </c>
      <c r="R83">
        <v>1.3635586545027299E-2</v>
      </c>
      <c r="S83">
        <v>1.8418543928293301</v>
      </c>
      <c r="T83">
        <v>0.54010667870917595</v>
      </c>
      <c r="V83">
        <v>30.729221013708401</v>
      </c>
      <c r="X83">
        <v>16.306558517415102</v>
      </c>
      <c r="AA83">
        <v>0.24061635737361001</v>
      </c>
      <c r="AB83">
        <v>1.4917693626071401E-2</v>
      </c>
      <c r="AJ83">
        <v>-1.0359061962529601</v>
      </c>
      <c r="AK83">
        <v>0.98888615099599297</v>
      </c>
      <c r="AL83">
        <v>0.996114096363102</v>
      </c>
      <c r="AM83">
        <v>3.4030923160097599E-2</v>
      </c>
      <c r="AN83">
        <v>-3.32359982434745E-2</v>
      </c>
      <c r="AO83">
        <v>4.8989909187997602E-2</v>
      </c>
      <c r="AP83">
        <v>1.1211147892521999E-3</v>
      </c>
    </row>
    <row r="84" spans="1:42" x14ac:dyDescent="0.2">
      <c r="A84">
        <v>194</v>
      </c>
      <c r="B84">
        <v>752</v>
      </c>
      <c r="C84">
        <v>180</v>
      </c>
      <c r="D84">
        <v>0.40083938935765601</v>
      </c>
      <c r="E84">
        <v>0.42877057940530999</v>
      </c>
      <c r="F84">
        <v>3.5521213235534899</v>
      </c>
      <c r="G84">
        <v>-5.5764166856630828</v>
      </c>
      <c r="H84">
        <v>-4.7338498699521425</v>
      </c>
      <c r="I84">
        <v>0.82189612808949097</v>
      </c>
      <c r="J84">
        <v>0.483962973905887</v>
      </c>
      <c r="K84">
        <v>0.120708314933447</v>
      </c>
      <c r="L84">
        <v>4.4350917200979576E-5</v>
      </c>
      <c r="M84">
        <v>9.0748788079036631E-7</v>
      </c>
      <c r="N84" s="1">
        <v>5.3013048900550403E-10</v>
      </c>
      <c r="O84" s="1">
        <v>1.2400961907289501E-13</v>
      </c>
      <c r="P84" s="1">
        <v>7.9720839636327298E-15</v>
      </c>
      <c r="Q84">
        <v>50.3149598940091</v>
      </c>
      <c r="R84">
        <v>1.6901420539150201E-2</v>
      </c>
      <c r="S84">
        <v>1.9860406352668101</v>
      </c>
      <c r="T84">
        <v>0.536348802577995</v>
      </c>
      <c r="V84">
        <v>30.4042303680088</v>
      </c>
      <c r="X84">
        <v>16.5082029419126</v>
      </c>
      <c r="AA84">
        <v>0.21864314743065499</v>
      </c>
      <c r="AB84">
        <v>1.4672790254758599E-2</v>
      </c>
      <c r="AJ84">
        <v>-1.02787156571019</v>
      </c>
      <c r="AK84">
        <v>0.98983445832206696</v>
      </c>
      <c r="AL84">
        <v>0.98389897593777398</v>
      </c>
      <c r="AM84">
        <v>3.7419672530630603E-2</v>
      </c>
      <c r="AN84">
        <v>-3.6436036444965902E-2</v>
      </c>
      <c r="AO84">
        <v>5.20536658459992E-2</v>
      </c>
      <c r="AP84">
        <v>1.1008295186855201E-3</v>
      </c>
    </row>
    <row r="85" spans="1:42" x14ac:dyDescent="0.2">
      <c r="A85">
        <v>195</v>
      </c>
      <c r="B85">
        <v>750</v>
      </c>
      <c r="C85">
        <v>180</v>
      </c>
      <c r="D85">
        <v>0.39953134926452799</v>
      </c>
      <c r="E85">
        <v>0.47962669017078202</v>
      </c>
      <c r="F85">
        <v>3.5514056794934401</v>
      </c>
      <c r="G85">
        <v>-6.2446368895311037</v>
      </c>
      <c r="H85">
        <v>-5.3047645463414872</v>
      </c>
      <c r="I85">
        <v>0.91860660039057396</v>
      </c>
      <c r="J85">
        <v>0.54171872782688202</v>
      </c>
      <c r="K85">
        <v>0.13505263364876799</v>
      </c>
      <c r="L85">
        <v>4.4317866157535407E-5</v>
      </c>
      <c r="M85">
        <v>9.0673543723084226E-7</v>
      </c>
      <c r="N85" s="1">
        <v>6.0701523385278405E-10</v>
      </c>
      <c r="O85" s="1">
        <v>1.40680294088641E-13</v>
      </c>
      <c r="P85" s="1">
        <v>-2.7609229364971101E-13</v>
      </c>
      <c r="Q85">
        <v>50.267994024289301</v>
      </c>
      <c r="R85">
        <v>1.9213115500835501E-2</v>
      </c>
      <c r="S85">
        <v>2.1253587135107601</v>
      </c>
      <c r="T85">
        <v>0.53945965020110997</v>
      </c>
      <c r="V85">
        <v>30.262429472284499</v>
      </c>
      <c r="X85">
        <v>16.572355115465601</v>
      </c>
      <c r="AA85">
        <v>0.198771327422403</v>
      </c>
      <c r="AB85">
        <v>1.44185813252804E-2</v>
      </c>
      <c r="AJ85">
        <v>-1.02664507681438</v>
      </c>
      <c r="AK85">
        <v>0.99068429578058304</v>
      </c>
      <c r="AL85">
        <v>0.97858530013072897</v>
      </c>
      <c r="AM85">
        <v>4.0597939535884503E-2</v>
      </c>
      <c r="AN85">
        <v>-3.9480594145182998E-2</v>
      </c>
      <c r="AO85">
        <v>5.5177178827011703E-2</v>
      </c>
      <c r="AP85">
        <v>1.08095668536256E-3</v>
      </c>
    </row>
    <row r="86" spans="1:42" x14ac:dyDescent="0.2">
      <c r="A86">
        <v>196</v>
      </c>
      <c r="B86">
        <v>748</v>
      </c>
      <c r="C86">
        <v>180</v>
      </c>
      <c r="D86">
        <v>0.39821818537923098</v>
      </c>
      <c r="E86">
        <v>0.51586036383229095</v>
      </c>
      <c r="F86">
        <v>3.5544084337884398</v>
      </c>
      <c r="G86">
        <v>-6.7087209374882253</v>
      </c>
      <c r="H86">
        <v>-5.7012043275799469</v>
      </c>
      <c r="I86">
        <v>0.98664898389881694</v>
      </c>
      <c r="J86">
        <v>0.58237626668783304</v>
      </c>
      <c r="K86">
        <v>0.14513255115210899</v>
      </c>
      <c r="L86">
        <v>4.4302066354725192E-5</v>
      </c>
      <c r="M86">
        <v>9.0686593938437218E-7</v>
      </c>
      <c r="N86" s="1">
        <v>6.7471375384360204E-10</v>
      </c>
      <c r="O86" s="1">
        <v>1.5215331210191999E-13</v>
      </c>
      <c r="P86" s="1">
        <v>-6.24705780147295E-13</v>
      </c>
      <c r="Q86">
        <v>50.140800461498898</v>
      </c>
      <c r="R86">
        <v>2.00016540851191E-2</v>
      </c>
      <c r="S86">
        <v>2.2835234726840001</v>
      </c>
      <c r="T86">
        <v>0.55487019659633596</v>
      </c>
      <c r="V86">
        <v>30.359590296930801</v>
      </c>
      <c r="X86">
        <v>16.447861102927099</v>
      </c>
      <c r="AA86">
        <v>0.179294221312014</v>
      </c>
      <c r="AB86">
        <v>1.4058593965644E-2</v>
      </c>
      <c r="AJ86">
        <v>-1.03500363010622</v>
      </c>
      <c r="AK86">
        <v>0.99151371553150303</v>
      </c>
      <c r="AL86">
        <v>0.98224462086878594</v>
      </c>
      <c r="AM86">
        <v>4.40372763650747E-2</v>
      </c>
      <c r="AN86">
        <v>-4.2873460118069501E-2</v>
      </c>
      <c r="AO86">
        <v>5.90269533727917E-2</v>
      </c>
      <c r="AP86">
        <v>1.0545240861359001E-3</v>
      </c>
    </row>
    <row r="87" spans="1:42" x14ac:dyDescent="0.2">
      <c r="A87">
        <v>197</v>
      </c>
      <c r="B87">
        <v>746</v>
      </c>
      <c r="C87">
        <v>180</v>
      </c>
      <c r="D87">
        <v>0.396899867536674</v>
      </c>
      <c r="E87">
        <v>0.54167649364940296</v>
      </c>
      <c r="F87">
        <v>3.55752366994402</v>
      </c>
      <c r="G87">
        <v>-7.0356689885924464</v>
      </c>
      <c r="H87">
        <v>-5.9812841557094316</v>
      </c>
      <c r="I87">
        <v>1.03457276444391</v>
      </c>
      <c r="J87">
        <v>0.61119356326026997</v>
      </c>
      <c r="K87">
        <v>0.15226223179505199</v>
      </c>
      <c r="L87">
        <v>4.4283343597264847E-5</v>
      </c>
      <c r="M87">
        <v>9.0702991957257719E-7</v>
      </c>
      <c r="N87" s="1">
        <v>7.3337148283345197E-10</v>
      </c>
      <c r="O87" s="1">
        <v>1.6037265886013401E-13</v>
      </c>
      <c r="P87" s="1">
        <v>-9.8095804536659705E-13</v>
      </c>
      <c r="Q87">
        <v>50.014175669838302</v>
      </c>
      <c r="R87">
        <v>2.0581762773578999E-2</v>
      </c>
      <c r="S87">
        <v>2.4360116354831902</v>
      </c>
      <c r="T87">
        <v>0.56966050360027998</v>
      </c>
      <c r="V87">
        <v>30.467772103290301</v>
      </c>
      <c r="X87">
        <v>16.315192156246599</v>
      </c>
      <c r="AA87">
        <v>0.16288224409295801</v>
      </c>
      <c r="AB87">
        <v>1.3723924674736101E-2</v>
      </c>
      <c r="AJ87">
        <v>-1.04351955373685</v>
      </c>
      <c r="AK87">
        <v>0.992214512354888</v>
      </c>
      <c r="AL87">
        <v>0.98632547250757396</v>
      </c>
      <c r="AM87">
        <v>4.7355699061125502E-2</v>
      </c>
      <c r="AN87">
        <v>-4.6157423036897197E-2</v>
      </c>
      <c r="AO87">
        <v>6.2751265540331697E-2</v>
      </c>
      <c r="AP87">
        <v>1.03002730982795E-3</v>
      </c>
    </row>
    <row r="88" spans="1:42" x14ac:dyDescent="0.2">
      <c r="A88">
        <v>198</v>
      </c>
      <c r="B88">
        <v>744</v>
      </c>
      <c r="C88">
        <v>180</v>
      </c>
      <c r="D88">
        <v>0.39557636533451601</v>
      </c>
      <c r="E88">
        <v>0.56161461113905398</v>
      </c>
      <c r="F88">
        <v>3.5605062671738201</v>
      </c>
      <c r="G88">
        <v>-7.2859094551496266</v>
      </c>
      <c r="H88">
        <v>-6.196384043122567</v>
      </c>
      <c r="I88">
        <v>1.07115510202728</v>
      </c>
      <c r="J88">
        <v>0.63335317833585303</v>
      </c>
      <c r="K88">
        <v>0.15773448183952701</v>
      </c>
      <c r="L88">
        <v>4.426056951934643E-5</v>
      </c>
      <c r="M88">
        <v>9.0716437874737034E-7</v>
      </c>
      <c r="N88" s="1">
        <v>7.87735675747931E-10</v>
      </c>
      <c r="O88" s="1">
        <v>1.66736422826026E-13</v>
      </c>
      <c r="P88" s="1">
        <v>-1.3360931051068099E-12</v>
      </c>
      <c r="Q88">
        <v>49.892628404540403</v>
      </c>
      <c r="R88">
        <v>2.10926475808744E-2</v>
      </c>
      <c r="S88">
        <v>2.5832206199466801</v>
      </c>
      <c r="T88">
        <v>0.58318196008407697</v>
      </c>
      <c r="V88">
        <v>30.570309789841701</v>
      </c>
      <c r="X88">
        <v>16.187235189003498</v>
      </c>
      <c r="AA88">
        <v>0.14891621258201099</v>
      </c>
      <c r="AB88">
        <v>1.34151764206067E-2</v>
      </c>
      <c r="AJ88">
        <v>-1.05159045777577</v>
      </c>
      <c r="AK88">
        <v>0.992812881177911</v>
      </c>
      <c r="AL88">
        <v>0.99020123494676204</v>
      </c>
      <c r="AM88">
        <v>5.0571657379188499E-2</v>
      </c>
      <c r="AN88">
        <v>-4.9342947157567499E-2</v>
      </c>
      <c r="AO88">
        <v>6.6340210717672501E-2</v>
      </c>
      <c r="AP88">
        <v>1.00742071180951E-3</v>
      </c>
    </row>
    <row r="89" spans="1:42" x14ac:dyDescent="0.2">
      <c r="A89">
        <v>199</v>
      </c>
      <c r="B89">
        <v>742</v>
      </c>
      <c r="C89">
        <v>180</v>
      </c>
      <c r="D89">
        <v>0.39424764813081797</v>
      </c>
      <c r="E89">
        <v>0.57805183929265602</v>
      </c>
      <c r="F89">
        <v>3.5633935165610202</v>
      </c>
      <c r="G89">
        <v>-7.4904628699241691</v>
      </c>
      <c r="H89">
        <v>-6.3728148995142071</v>
      </c>
      <c r="I89">
        <v>1.1009683006550299</v>
      </c>
      <c r="J89">
        <v>0.65154374461951403</v>
      </c>
      <c r="K89">
        <v>0.16221947887768601</v>
      </c>
      <c r="L89">
        <v>4.4234015763208762E-5</v>
      </c>
      <c r="M89">
        <v>9.0727313041180203E-7</v>
      </c>
      <c r="N89" s="1">
        <v>8.4060197286940596E-10</v>
      </c>
      <c r="O89" s="1">
        <v>1.7194272661184201E-13</v>
      </c>
      <c r="P89" s="1">
        <v>-1.68902896707301E-12</v>
      </c>
      <c r="Q89">
        <v>49.774569786251298</v>
      </c>
      <c r="R89">
        <v>2.15488312810065E-2</v>
      </c>
      <c r="S89">
        <v>2.7269896142425201</v>
      </c>
      <c r="T89">
        <v>0.59574787926371497</v>
      </c>
      <c r="V89">
        <v>30.6686491252567</v>
      </c>
      <c r="X89">
        <v>16.062562061919799</v>
      </c>
      <c r="AA89">
        <v>0.13680737222984299</v>
      </c>
      <c r="AB89">
        <v>1.3125329554960499E-2</v>
      </c>
      <c r="AJ89">
        <v>-1.0593410679462301</v>
      </c>
      <c r="AK89">
        <v>0.99333352486015802</v>
      </c>
      <c r="AL89">
        <v>0.99392521418690605</v>
      </c>
      <c r="AM89">
        <v>5.3723217929996299E-2</v>
      </c>
      <c r="AN89">
        <v>-5.2467252942241402E-2</v>
      </c>
      <c r="AO89">
        <v>6.9840174941257605E-2</v>
      </c>
      <c r="AP89">
        <v>9.8618897015873008E-4</v>
      </c>
    </row>
    <row r="90" spans="1:42" x14ac:dyDescent="0.2">
      <c r="A90">
        <v>200</v>
      </c>
      <c r="B90">
        <v>740</v>
      </c>
      <c r="C90">
        <v>180</v>
      </c>
      <c r="D90">
        <v>0.39291368504170499</v>
      </c>
      <c r="E90">
        <v>0.59222587179687702</v>
      </c>
      <c r="F90">
        <v>3.56620958327705</v>
      </c>
      <c r="G90">
        <v>-7.6654682672469763</v>
      </c>
      <c r="H90">
        <v>-6.5242635127389734</v>
      </c>
      <c r="I90">
        <v>1.12639269062626</v>
      </c>
      <c r="J90">
        <v>0.66716488511743799</v>
      </c>
      <c r="K90">
        <v>0.166065919000944</v>
      </c>
      <c r="L90">
        <v>4.4203834266883756E-5</v>
      </c>
      <c r="M90">
        <v>9.0735867284612619E-7</v>
      </c>
      <c r="N90" s="1">
        <v>8.9344941887145201E-10</v>
      </c>
      <c r="O90" s="1">
        <v>1.76357270282265E-13</v>
      </c>
      <c r="P90" s="1">
        <v>-2.0395341267930701E-12</v>
      </c>
      <c r="Q90">
        <v>49.658965011337997</v>
      </c>
      <c r="R90">
        <v>2.19599747056353E-2</v>
      </c>
      <c r="S90">
        <v>2.8685234450228698</v>
      </c>
      <c r="T90">
        <v>0.60756389337974004</v>
      </c>
      <c r="V90">
        <v>30.763719848815999</v>
      </c>
      <c r="X90">
        <v>15.9402579070657</v>
      </c>
      <c r="AA90">
        <v>0.12615997232824799</v>
      </c>
      <c r="AB90">
        <v>1.2849947343604701E-2</v>
      </c>
      <c r="AJ90">
        <v>-1.0668528357419</v>
      </c>
      <c r="AK90">
        <v>0.99379303075507497</v>
      </c>
      <c r="AL90">
        <v>0.99753164621982504</v>
      </c>
      <c r="AM90">
        <v>5.6835321670960698E-2</v>
      </c>
      <c r="AN90">
        <v>-5.5554718947915097E-2</v>
      </c>
      <c r="AO90">
        <v>7.32815495505105E-2</v>
      </c>
      <c r="AP90">
        <v>9.6600649344715699E-4</v>
      </c>
    </row>
    <row r="91" spans="1:42" x14ac:dyDescent="0.2">
      <c r="A91">
        <v>207</v>
      </c>
      <c r="B91">
        <v>756</v>
      </c>
      <c r="C91">
        <v>170</v>
      </c>
      <c r="D91">
        <v>0.41412864985667802</v>
      </c>
      <c r="E91">
        <v>0.31755516103187797</v>
      </c>
      <c r="F91">
        <v>3.5518135900585199</v>
      </c>
      <c r="G91">
        <v>-4.1281844461957755</v>
      </c>
      <c r="H91">
        <v>-3.500417509206887</v>
      </c>
      <c r="I91">
        <v>0.60998584947664203</v>
      </c>
      <c r="J91">
        <v>0.358292863945809</v>
      </c>
      <c r="K91">
        <v>8.9406482907974205E-2</v>
      </c>
      <c r="L91">
        <v>4.4380862973051558E-5</v>
      </c>
      <c r="M91">
        <v>9.0810982035316274E-7</v>
      </c>
      <c r="N91" s="1">
        <v>3.8217775671402002E-10</v>
      </c>
      <c r="O91" s="1">
        <v>9.0411841431503804E-14</v>
      </c>
      <c r="P91" s="1">
        <v>2.4955682436705202E-13</v>
      </c>
      <c r="Q91">
        <v>50.374638000246399</v>
      </c>
      <c r="R91">
        <v>1.38720330350115E-2</v>
      </c>
      <c r="S91">
        <v>1.82983946489037</v>
      </c>
      <c r="T91">
        <v>0.53882526153505805</v>
      </c>
      <c r="V91">
        <v>30.5236111424691</v>
      </c>
      <c r="X91">
        <v>16.4632272768301</v>
      </c>
      <c r="AA91">
        <v>0.24119950992740599</v>
      </c>
      <c r="AB91">
        <v>1.47873110664965E-2</v>
      </c>
      <c r="AJ91">
        <v>-1.02785412735544</v>
      </c>
      <c r="AK91">
        <v>0.98888342820080899</v>
      </c>
      <c r="AL91">
        <v>0.988409086549354</v>
      </c>
      <c r="AM91">
        <v>3.3751449524638301E-2</v>
      </c>
      <c r="AN91">
        <v>-3.2943590311372999E-2</v>
      </c>
      <c r="AO91">
        <v>4.8643605371202901E-2</v>
      </c>
      <c r="AP91">
        <v>1.1101480208102401E-3</v>
      </c>
    </row>
    <row r="92" spans="1:42" x14ac:dyDescent="0.2">
      <c r="A92">
        <v>208</v>
      </c>
      <c r="B92">
        <v>754</v>
      </c>
      <c r="C92">
        <v>170</v>
      </c>
      <c r="D92">
        <v>0.412851579613494</v>
      </c>
      <c r="E92">
        <v>0.42567251175298498</v>
      </c>
      <c r="F92">
        <v>3.54891514134518</v>
      </c>
      <c r="G92">
        <v>-5.5473215551681729</v>
      </c>
      <c r="H92">
        <v>-4.7078817725004267</v>
      </c>
      <c r="I92">
        <v>0.81725140696855003</v>
      </c>
      <c r="J92">
        <v>0.48093145704038098</v>
      </c>
      <c r="K92">
        <v>0.119944404078266</v>
      </c>
      <c r="L92">
        <v>4.4337233339630088E-5</v>
      </c>
      <c r="M92">
        <v>9.0679814788590127E-7</v>
      </c>
      <c r="N92" s="1">
        <v>5.2100291162629002E-10</v>
      </c>
      <c r="O92" s="1">
        <v>1.23627544612485E-13</v>
      </c>
      <c r="P92" s="1">
        <v>8.25013866524957E-14</v>
      </c>
      <c r="Q92">
        <v>50.369498111202198</v>
      </c>
      <c r="R92">
        <v>1.69080724060202E-2</v>
      </c>
      <c r="S92">
        <v>1.9686559093532201</v>
      </c>
      <c r="T92">
        <v>0.536353360307677</v>
      </c>
      <c r="V92">
        <v>30.2348999728469</v>
      </c>
      <c r="X92">
        <v>16.6391500695124</v>
      </c>
      <c r="AA92">
        <v>0.21999158484801201</v>
      </c>
      <c r="AB92">
        <v>1.4542919523388501E-2</v>
      </c>
      <c r="AJ92">
        <v>-1.02106708511324</v>
      </c>
      <c r="AK92">
        <v>0.98979706703891202</v>
      </c>
      <c r="AL92">
        <v>0.97757906711290199</v>
      </c>
      <c r="AM92">
        <v>3.6996452639378799E-2</v>
      </c>
      <c r="AN92">
        <v>-3.6013274514725802E-2</v>
      </c>
      <c r="AO92">
        <v>5.1617623935833197E-2</v>
      </c>
      <c r="AP92">
        <v>1.09014890094687E-3</v>
      </c>
    </row>
    <row r="93" spans="1:42" x14ac:dyDescent="0.2">
      <c r="A93">
        <v>209</v>
      </c>
      <c r="B93">
        <v>752</v>
      </c>
      <c r="C93">
        <v>170</v>
      </c>
      <c r="D93">
        <v>0.41156952641076899</v>
      </c>
      <c r="E93">
        <v>0.473438715907809</v>
      </c>
      <c r="F93">
        <v>3.5482884266094099</v>
      </c>
      <c r="G93">
        <v>-6.1760111671056617</v>
      </c>
      <c r="H93">
        <v>-5.2449904287772</v>
      </c>
      <c r="I93">
        <v>0.90818001105054103</v>
      </c>
      <c r="J93">
        <v>0.535216917209692</v>
      </c>
      <c r="K93">
        <v>0.13342734833994399</v>
      </c>
      <c r="L93">
        <v>4.4304926758996782E-5</v>
      </c>
      <c r="M93">
        <v>9.0609503427367654E-7</v>
      </c>
      <c r="N93" s="1">
        <v>5.9263426742591903E-10</v>
      </c>
      <c r="O93" s="1">
        <v>1.3940385606631201E-13</v>
      </c>
      <c r="P93" s="1">
        <v>-1.8172863452492701E-13</v>
      </c>
      <c r="Q93">
        <v>50.323287756628297</v>
      </c>
      <c r="R93">
        <v>1.9129569463050299E-2</v>
      </c>
      <c r="S93">
        <v>2.1028631390844601</v>
      </c>
      <c r="T93">
        <v>0.53949590638414602</v>
      </c>
      <c r="V93">
        <v>30.1017721691308</v>
      </c>
      <c r="X93">
        <v>16.698481810153599</v>
      </c>
      <c r="AA93">
        <v>0.20067404226180799</v>
      </c>
      <c r="AB93">
        <v>1.4295606893647299E-2</v>
      </c>
      <c r="AJ93">
        <v>-1.02003087285036</v>
      </c>
      <c r="AK93">
        <v>0.99062232318934496</v>
      </c>
      <c r="AL93">
        <v>0.97259840843950196</v>
      </c>
      <c r="AM93">
        <v>4.0054404801960201E-2</v>
      </c>
      <c r="AN93">
        <v>-3.89428229780985E-2</v>
      </c>
      <c r="AO93">
        <v>5.46276938399834E-2</v>
      </c>
      <c r="AP93">
        <v>1.0708655576760801E-3</v>
      </c>
    </row>
    <row r="94" spans="1:42" x14ac:dyDescent="0.2">
      <c r="A94">
        <v>210</v>
      </c>
      <c r="B94">
        <v>750</v>
      </c>
      <c r="C94">
        <v>170</v>
      </c>
      <c r="D94">
        <v>0.41028246102722199</v>
      </c>
      <c r="E94">
        <v>0.50192492033349601</v>
      </c>
      <c r="F94">
        <v>3.54854153366822</v>
      </c>
      <c r="G94">
        <v>-6.5503684483656848</v>
      </c>
      <c r="H94">
        <v>-5.5662392501189748</v>
      </c>
      <c r="I94">
        <v>0.96186209084367902</v>
      </c>
      <c r="J94">
        <v>0.56757908642011301</v>
      </c>
      <c r="K94">
        <v>0.141445412311305</v>
      </c>
      <c r="L94">
        <v>4.427703706600443E-5</v>
      </c>
      <c r="M94">
        <v>9.0564420875892164E-7</v>
      </c>
      <c r="N94" s="1">
        <v>6.4364751514404796E-10</v>
      </c>
      <c r="O94" s="1">
        <v>1.49370651843E-13</v>
      </c>
      <c r="P94" s="1">
        <v>-4.6817229714110803E-13</v>
      </c>
      <c r="Q94">
        <v>50.262893561536202</v>
      </c>
      <c r="R94">
        <v>2.0965483629802599E-2</v>
      </c>
      <c r="S94">
        <v>2.2315852434991301</v>
      </c>
      <c r="T94">
        <v>0.54412011263481497</v>
      </c>
      <c r="V94">
        <v>30.0313817910647</v>
      </c>
      <c r="X94">
        <v>16.710958415265502</v>
      </c>
      <c r="AA94">
        <v>0.18403755774578301</v>
      </c>
      <c r="AB94">
        <v>1.40578346239004E-2</v>
      </c>
      <c r="AJ94">
        <v>-1.0211342527168701</v>
      </c>
      <c r="AK94">
        <v>0.99133194397922098</v>
      </c>
      <c r="AL94">
        <v>0.96997160093804102</v>
      </c>
      <c r="AM94">
        <v>4.2964471029743601E-2</v>
      </c>
      <c r="AN94">
        <v>-4.1746650363209598E-2</v>
      </c>
      <c r="AO94">
        <v>5.7560215313304103E-2</v>
      </c>
      <c r="AP94">
        <v>1.0526718197753099E-3</v>
      </c>
    </row>
    <row r="95" spans="1:42" x14ac:dyDescent="0.2">
      <c r="A95">
        <v>211</v>
      </c>
      <c r="B95">
        <v>748</v>
      </c>
      <c r="C95">
        <v>170</v>
      </c>
      <c r="D95">
        <v>0.40899035401263301</v>
      </c>
      <c r="E95">
        <v>0.53152237665531998</v>
      </c>
      <c r="F95">
        <v>3.55342321610153</v>
      </c>
      <c r="G95">
        <v>-6.9207592394749495</v>
      </c>
      <c r="H95">
        <v>-5.8823430661250784</v>
      </c>
      <c r="I95">
        <v>1.0169085573616701</v>
      </c>
      <c r="J95">
        <v>0.60043242351133896</v>
      </c>
      <c r="K95">
        <v>0.14958037484723</v>
      </c>
      <c r="L95">
        <v>4.4272714210173959E-5</v>
      </c>
      <c r="M95">
        <v>9.0624631974356225E-7</v>
      </c>
      <c r="N95" s="1">
        <v>7.0595986027957299E-10</v>
      </c>
      <c r="O95" s="1">
        <v>1.5831330785973901E-13</v>
      </c>
      <c r="P95" s="1">
        <v>-8.3220927444351195E-13</v>
      </c>
      <c r="Q95">
        <v>50.096936792598299</v>
      </c>
      <c r="R95">
        <v>2.08052997873889E-2</v>
      </c>
      <c r="S95">
        <v>2.3955456196703202</v>
      </c>
      <c r="T95">
        <v>0.56541434456959805</v>
      </c>
      <c r="V95">
        <v>30.251623056105402</v>
      </c>
      <c r="X95">
        <v>16.489996433723899</v>
      </c>
      <c r="AA95">
        <v>0.16602268707333301</v>
      </c>
      <c r="AB95">
        <v>1.36557664716231E-2</v>
      </c>
      <c r="AJ95">
        <v>-1.0342640270335599</v>
      </c>
      <c r="AK95">
        <v>0.99209818148306095</v>
      </c>
      <c r="AL95">
        <v>0.97823846154412897</v>
      </c>
      <c r="AM95">
        <v>4.6451783867257498E-2</v>
      </c>
      <c r="AN95">
        <v>-4.5241841226031698E-2</v>
      </c>
      <c r="AO95">
        <v>6.1693669953035601E-2</v>
      </c>
      <c r="AP95">
        <v>1.02377141211074E-3</v>
      </c>
    </row>
    <row r="96" spans="1:42" x14ac:dyDescent="0.2">
      <c r="A96">
        <v>212</v>
      </c>
      <c r="B96">
        <v>746</v>
      </c>
      <c r="C96">
        <v>170</v>
      </c>
      <c r="D96">
        <v>0.40769317568562202</v>
      </c>
      <c r="E96">
        <v>0.55110008364504204</v>
      </c>
      <c r="F96">
        <v>3.5563558256480499</v>
      </c>
      <c r="G96">
        <v>-7.1671472807189289</v>
      </c>
      <c r="H96">
        <v>-6.094085253879876</v>
      </c>
      <c r="I96">
        <v>1.05289901078256</v>
      </c>
      <c r="J96">
        <v>0.62222239647047395</v>
      </c>
      <c r="K96">
        <v>0.15496202029914</v>
      </c>
      <c r="L96">
        <v>4.4254044693836563E-5</v>
      </c>
      <c r="M96">
        <v>9.0640721790627871E-7</v>
      </c>
      <c r="N96" s="1">
        <v>7.5613883839848304E-10</v>
      </c>
      <c r="O96" s="1">
        <v>1.6466233318674499E-13</v>
      </c>
      <c r="P96" s="1">
        <v>-1.17017535630248E-12</v>
      </c>
      <c r="Q96">
        <v>49.978544364673702</v>
      </c>
      <c r="R96">
        <v>2.1311758286507498E-2</v>
      </c>
      <c r="S96">
        <v>2.5382046291226201</v>
      </c>
      <c r="T96">
        <v>0.57851946652748798</v>
      </c>
      <c r="V96">
        <v>30.353500641661899</v>
      </c>
      <c r="X96">
        <v>16.364494880254199</v>
      </c>
      <c r="AA96">
        <v>0.152069740957088</v>
      </c>
      <c r="AB96">
        <v>1.33545185163706E-2</v>
      </c>
      <c r="AJ96">
        <v>-1.04218246839616</v>
      </c>
      <c r="AK96">
        <v>0.99269475708933796</v>
      </c>
      <c r="AL96">
        <v>0.98207819042986999</v>
      </c>
      <c r="AM96">
        <v>4.9565277499243797E-2</v>
      </c>
      <c r="AN96">
        <v>-4.8325192899608703E-2</v>
      </c>
      <c r="AO96">
        <v>6.5167693132451396E-2</v>
      </c>
      <c r="AP96">
        <v>1.0017431448725599E-3</v>
      </c>
    </row>
    <row r="97" spans="1:42" x14ac:dyDescent="0.2">
      <c r="A97">
        <v>213</v>
      </c>
      <c r="B97">
        <v>744</v>
      </c>
      <c r="C97">
        <v>170</v>
      </c>
      <c r="D97">
        <v>0.40639089613134799</v>
      </c>
      <c r="E97">
        <v>0.56727506615374501</v>
      </c>
      <c r="F97">
        <v>3.5591989496979499</v>
      </c>
      <c r="G97">
        <v>-7.3690042521178007</v>
      </c>
      <c r="H97">
        <v>-6.2681450561822745</v>
      </c>
      <c r="I97">
        <v>1.0822977888566301</v>
      </c>
      <c r="J97">
        <v>0.64015038527846202</v>
      </c>
      <c r="K97">
        <v>0.15938279207513401</v>
      </c>
      <c r="L97">
        <v>4.4231720391904194E-5</v>
      </c>
      <c r="M97">
        <v>9.0654208689325767E-7</v>
      </c>
      <c r="N97" s="1">
        <v>8.0488188186818805E-10</v>
      </c>
      <c r="O97" s="1">
        <v>1.6988588082716701E-13</v>
      </c>
      <c r="P97" s="1">
        <v>-1.50804145024085E-12</v>
      </c>
      <c r="Q97">
        <v>49.863407018225402</v>
      </c>
      <c r="R97">
        <v>2.1764653178709101E-2</v>
      </c>
      <c r="S97">
        <v>2.6776817657532499</v>
      </c>
      <c r="T97">
        <v>0.59071265654071903</v>
      </c>
      <c r="V97">
        <v>30.451404901874501</v>
      </c>
      <c r="X97">
        <v>16.242030606211301</v>
      </c>
      <c r="AA97">
        <v>0.139926996851575</v>
      </c>
      <c r="AB97">
        <v>1.3071401364514399E-2</v>
      </c>
      <c r="AJ97">
        <v>-1.0497980117002701</v>
      </c>
      <c r="AK97">
        <v>0.99321568669397198</v>
      </c>
      <c r="AL97">
        <v>0.98577488074727104</v>
      </c>
      <c r="AM97">
        <v>5.2619695593229397E-2</v>
      </c>
      <c r="AN97">
        <v>-5.1352578016411098E-2</v>
      </c>
      <c r="AO97">
        <v>6.8559294110947896E-2</v>
      </c>
      <c r="AP97">
        <v>9.8103257126817898E-4</v>
      </c>
    </row>
    <row r="98" spans="1:42" x14ac:dyDescent="0.2">
      <c r="A98">
        <v>214</v>
      </c>
      <c r="B98">
        <v>742</v>
      </c>
      <c r="C98">
        <v>170</v>
      </c>
      <c r="D98">
        <v>0.40508348519923099</v>
      </c>
      <c r="E98">
        <v>0.58123206527418803</v>
      </c>
      <c r="F98">
        <v>3.5619751732159202</v>
      </c>
      <c r="G98">
        <v>-7.5418199503174277</v>
      </c>
      <c r="H98">
        <v>-6.4176553694681484</v>
      </c>
      <c r="I98">
        <v>1.1073876578330999</v>
      </c>
      <c r="J98">
        <v>0.65555774184131599</v>
      </c>
      <c r="K98">
        <v>0.16317689961590101</v>
      </c>
      <c r="L98">
        <v>4.4205895252979823E-5</v>
      </c>
      <c r="M98">
        <v>9.0665348215858602E-7</v>
      </c>
      <c r="N98" s="1">
        <v>8.5359440495078898E-10</v>
      </c>
      <c r="O98" s="1">
        <v>1.7433470573817699E-13</v>
      </c>
      <c r="P98" s="1">
        <v>-1.8451761696736599E-12</v>
      </c>
      <c r="Q98">
        <v>49.750562407301899</v>
      </c>
      <c r="R98">
        <v>2.2173209628865299E-2</v>
      </c>
      <c r="S98">
        <v>2.8150920723277899</v>
      </c>
      <c r="T98">
        <v>0.60218673206513096</v>
      </c>
      <c r="V98">
        <v>30.546212850804899</v>
      </c>
      <c r="X98">
        <v>16.121751667692202</v>
      </c>
      <c r="AA98">
        <v>0.129218873220384</v>
      </c>
      <c r="AB98">
        <v>1.2802186958718599E-2</v>
      </c>
      <c r="AJ98">
        <v>-1.0571869495208499</v>
      </c>
      <c r="AK98">
        <v>0.99367669389600199</v>
      </c>
      <c r="AL98">
        <v>0.98936074432226095</v>
      </c>
      <c r="AM98">
        <v>5.5638073932676203E-2</v>
      </c>
      <c r="AN98">
        <v>-5.4346496004933097E-2</v>
      </c>
      <c r="AO98">
        <v>7.1896603742929194E-2</v>
      </c>
      <c r="AP98">
        <v>9.6132963191768801E-4</v>
      </c>
    </row>
    <row r="99" spans="1:42" x14ac:dyDescent="0.2">
      <c r="A99">
        <v>222</v>
      </c>
      <c r="B99">
        <v>758</v>
      </c>
      <c r="C99">
        <v>160</v>
      </c>
      <c r="D99">
        <v>0.426068467245311</v>
      </c>
      <c r="E99">
        <v>0.33988346509258299</v>
      </c>
      <c r="F99">
        <v>3.54781287220999</v>
      </c>
      <c r="G99">
        <v>-4.430026393099749</v>
      </c>
      <c r="H99">
        <v>-3.7556563423122724</v>
      </c>
      <c r="I99">
        <v>0.65399801269211799</v>
      </c>
      <c r="J99">
        <v>0.38398281728314898</v>
      </c>
      <c r="K99">
        <v>9.58008433181156E-2</v>
      </c>
      <c r="L99">
        <v>4.4359581830157723E-5</v>
      </c>
      <c r="M99">
        <v>9.0713099456435746E-7</v>
      </c>
      <c r="N99" s="1">
        <v>4.0587638408686801E-10</v>
      </c>
      <c r="O99" s="1">
        <v>9.7456199131209901E-14</v>
      </c>
      <c r="P99" s="1">
        <v>3.0599600021834799E-13</v>
      </c>
      <c r="Q99">
        <v>50.435480209853601</v>
      </c>
      <c r="R99">
        <v>1.43890782900888E-2</v>
      </c>
      <c r="S99">
        <v>1.83054577304546</v>
      </c>
      <c r="T99">
        <v>0.53788803592239498</v>
      </c>
      <c r="V99">
        <v>30.290898900631198</v>
      </c>
      <c r="X99">
        <v>16.635923066134598</v>
      </c>
      <c r="AA99">
        <v>0.24023430325676501</v>
      </c>
      <c r="AB99">
        <v>1.4640632865728699E-2</v>
      </c>
      <c r="AJ99">
        <v>-1.01916931170696</v>
      </c>
      <c r="AK99">
        <v>0.98894762878256304</v>
      </c>
      <c r="AL99">
        <v>0.97970814162123598</v>
      </c>
      <c r="AM99">
        <v>3.3761623840564102E-2</v>
      </c>
      <c r="AN99">
        <v>-3.2924649233619603E-2</v>
      </c>
      <c r="AO99">
        <v>4.8578736254795002E-2</v>
      </c>
      <c r="AP99">
        <v>1.09783044142373E-3</v>
      </c>
    </row>
    <row r="100" spans="1:42" x14ac:dyDescent="0.2">
      <c r="A100">
        <v>223</v>
      </c>
      <c r="B100">
        <v>756</v>
      </c>
      <c r="C100">
        <v>160</v>
      </c>
      <c r="D100">
        <v>0.424817082058009</v>
      </c>
      <c r="E100">
        <v>0.42753068721065202</v>
      </c>
      <c r="F100">
        <v>3.5456008871972999</v>
      </c>
      <c r="G100">
        <v>-5.5835431274922547</v>
      </c>
      <c r="H100">
        <v>-4.737432669237915</v>
      </c>
      <c r="I100">
        <v>0.82214493344443496</v>
      </c>
      <c r="J100">
        <v>0.48353218515583801</v>
      </c>
      <c r="K100">
        <v>0.12058060137406</v>
      </c>
      <c r="L100">
        <v>4.4318356545417199E-5</v>
      </c>
      <c r="M100">
        <v>9.0601997022760231E-7</v>
      </c>
      <c r="N100" s="1">
        <v>5.1992648396659596E-10</v>
      </c>
      <c r="O100" s="1">
        <v>1.2482519752926999E-13</v>
      </c>
      <c r="P100" s="1">
        <v>1.3856731699279701E-13</v>
      </c>
      <c r="Q100">
        <v>50.419896828095503</v>
      </c>
      <c r="R100">
        <v>1.71340872138642E-2</v>
      </c>
      <c r="S100">
        <v>1.9638676971278199</v>
      </c>
      <c r="T100">
        <v>0.537134040120815</v>
      </c>
      <c r="V100">
        <v>30.0510855840628</v>
      </c>
      <c r="X100">
        <v>16.7767523252035</v>
      </c>
      <c r="AA100">
        <v>0.219731846570522</v>
      </c>
      <c r="AB100">
        <v>1.4397591605051401E-2</v>
      </c>
      <c r="AJ100">
        <v>-1.01410435062951</v>
      </c>
      <c r="AK100">
        <v>0.98982819424629398</v>
      </c>
      <c r="AL100">
        <v>0.97073168689803002</v>
      </c>
      <c r="AM100">
        <v>3.6853698313044199E-2</v>
      </c>
      <c r="AN100">
        <v>-3.5858304894558601E-2</v>
      </c>
      <c r="AO100">
        <v>5.1470825352664597E-2</v>
      </c>
      <c r="AP100">
        <v>1.07825071403859E-3</v>
      </c>
    </row>
    <row r="101" spans="1:42" x14ac:dyDescent="0.2">
      <c r="A101">
        <v>224</v>
      </c>
      <c r="B101">
        <v>754</v>
      </c>
      <c r="C101">
        <v>160</v>
      </c>
      <c r="D101">
        <v>0.42356082363822201</v>
      </c>
      <c r="E101">
        <v>0.470172796845922</v>
      </c>
      <c r="F101">
        <v>3.54515235256022</v>
      </c>
      <c r="G101">
        <v>-6.1457443250342676</v>
      </c>
      <c r="H101">
        <v>-5.2178719337244015</v>
      </c>
      <c r="I101">
        <v>0.90334653294053102</v>
      </c>
      <c r="J101">
        <v>0.53203034159861096</v>
      </c>
      <c r="K101">
        <v>0.132624144208181</v>
      </c>
      <c r="L101">
        <v>4.428744214636253E-5</v>
      </c>
      <c r="M101">
        <v>9.0539172793427522E-7</v>
      </c>
      <c r="N101" s="1">
        <v>5.8425149090790397E-10</v>
      </c>
      <c r="O101" s="1">
        <v>1.39092749197511E-13</v>
      </c>
      <c r="P101" s="1">
        <v>-1.10111486631149E-13</v>
      </c>
      <c r="Q101">
        <v>50.372910731528201</v>
      </c>
      <c r="R101">
        <v>1.9229578853673299E-2</v>
      </c>
      <c r="S101">
        <v>2.0926135278132301</v>
      </c>
      <c r="T101">
        <v>0.54046780868717703</v>
      </c>
      <c r="V101">
        <v>29.9328951390771</v>
      </c>
      <c r="X101">
        <v>16.826563450874101</v>
      </c>
      <c r="AA101">
        <v>0.201161847449564</v>
      </c>
      <c r="AB101">
        <v>1.41579157167624E-2</v>
      </c>
      <c r="AJ101">
        <v>-1.01347852479883</v>
      </c>
      <c r="AK101">
        <v>0.99062044592596299</v>
      </c>
      <c r="AL101">
        <v>0.96631764685833099</v>
      </c>
      <c r="AM101">
        <v>3.9781049636982202E-2</v>
      </c>
      <c r="AN101">
        <v>-3.8664608809059801E-2</v>
      </c>
      <c r="AO101">
        <v>5.4364343798104398E-2</v>
      </c>
      <c r="AP101">
        <v>1.05964738851476E-3</v>
      </c>
    </row>
    <row r="102" spans="1:42" x14ac:dyDescent="0.2">
      <c r="A102">
        <v>225</v>
      </c>
      <c r="B102">
        <v>752</v>
      </c>
      <c r="C102">
        <v>160</v>
      </c>
      <c r="D102">
        <v>0.42229966346388498</v>
      </c>
      <c r="E102">
        <v>0.496678716346308</v>
      </c>
      <c r="F102">
        <v>3.5454513316738301</v>
      </c>
      <c r="G102">
        <v>-6.4945792954852699</v>
      </c>
      <c r="H102">
        <v>-5.5172920793950322</v>
      </c>
      <c r="I102">
        <v>0.95331143353678705</v>
      </c>
      <c r="J102">
        <v>0.562159556514505</v>
      </c>
      <c r="K102">
        <v>0.140088995696867</v>
      </c>
      <c r="L102">
        <v>4.4260774961767297E-5</v>
      </c>
      <c r="M102">
        <v>9.0497998835965056E-7</v>
      </c>
      <c r="N102" s="1">
        <v>6.3141213325974402E-10</v>
      </c>
      <c r="O102" s="1">
        <v>1.4847460113692E-13</v>
      </c>
      <c r="P102" s="1">
        <v>-3.8085288876334101E-13</v>
      </c>
      <c r="Q102">
        <v>50.313952154004198</v>
      </c>
      <c r="R102">
        <v>2.09938422467821E-2</v>
      </c>
      <c r="S102">
        <v>2.2165352876528499</v>
      </c>
      <c r="T102">
        <v>0.54496559927816302</v>
      </c>
      <c r="V102">
        <v>29.868212511326799</v>
      </c>
      <c r="X102">
        <v>16.836377617071602</v>
      </c>
      <c r="AA102">
        <v>0.18503463551701599</v>
      </c>
      <c r="AB102">
        <v>1.3928352902433499E-2</v>
      </c>
      <c r="AJ102">
        <v>-1.01466251855638</v>
      </c>
      <c r="AK102">
        <v>0.99130754110234298</v>
      </c>
      <c r="AL102">
        <v>0.96390749657450603</v>
      </c>
      <c r="AM102">
        <v>4.2580261255688402E-2</v>
      </c>
      <c r="AN102">
        <v>-4.1361796965981003E-2</v>
      </c>
      <c r="AO102">
        <v>5.7186898942524197E-2</v>
      </c>
      <c r="AP102">
        <v>1.04211764730556E-3</v>
      </c>
    </row>
    <row r="103" spans="1:42" x14ac:dyDescent="0.2">
      <c r="A103">
        <v>226</v>
      </c>
      <c r="B103">
        <v>750</v>
      </c>
      <c r="C103">
        <v>160</v>
      </c>
      <c r="D103">
        <v>0.42103357278991599</v>
      </c>
      <c r="E103">
        <v>0.52328014750149399</v>
      </c>
      <c r="F103">
        <v>3.5495327422144398</v>
      </c>
      <c r="G103">
        <v>-6.8297563179836125</v>
      </c>
      <c r="H103">
        <v>-5.8037130649642625</v>
      </c>
      <c r="I103">
        <v>1.00282778968807</v>
      </c>
      <c r="J103">
        <v>0.59178618927219195</v>
      </c>
      <c r="K103">
        <v>0.14742226245109499</v>
      </c>
      <c r="L103">
        <v>4.4256664143017984E-5</v>
      </c>
      <c r="M103">
        <v>9.0544585264026917E-7</v>
      </c>
      <c r="N103" s="1">
        <v>6.8530197997328499E-10</v>
      </c>
      <c r="O103" s="1">
        <v>1.56810184912546E-13</v>
      </c>
      <c r="P103" s="1">
        <v>-7.1316290243678202E-13</v>
      </c>
      <c r="Q103">
        <v>50.169087999467401</v>
      </c>
      <c r="R103">
        <v>2.1107750628950601E-2</v>
      </c>
      <c r="S103">
        <v>2.3684882460431802</v>
      </c>
      <c r="T103">
        <v>0.56285515634122996</v>
      </c>
      <c r="V103">
        <v>30.041856110276399</v>
      </c>
      <c r="X103">
        <v>16.655014665384702</v>
      </c>
      <c r="AA103">
        <v>0.16802228336051001</v>
      </c>
      <c r="AB103">
        <v>1.35677884975192E-2</v>
      </c>
      <c r="AJ103">
        <v>-1.0256546880050901</v>
      </c>
      <c r="AK103">
        <v>0.99203049724593295</v>
      </c>
      <c r="AL103">
        <v>0.97041296357735196</v>
      </c>
      <c r="AM103">
        <v>4.5835350742911202E-2</v>
      </c>
      <c r="AN103">
        <v>-4.4609135999913702E-2</v>
      </c>
      <c r="AO103">
        <v>6.0968928103671202E-2</v>
      </c>
      <c r="AP103">
        <v>1.01608433513759E-3</v>
      </c>
    </row>
    <row r="104" spans="1:42" x14ac:dyDescent="0.2">
      <c r="A104">
        <v>227</v>
      </c>
      <c r="B104">
        <v>748</v>
      </c>
      <c r="C104">
        <v>160</v>
      </c>
      <c r="D104">
        <v>0.41976252264603803</v>
      </c>
      <c r="E104">
        <v>0.54214031922541495</v>
      </c>
      <c r="F104">
        <v>3.5524047236349001</v>
      </c>
      <c r="G104">
        <v>-7.0676014732631938</v>
      </c>
      <c r="H104">
        <v>-6.0081219408235684</v>
      </c>
      <c r="I104">
        <v>1.03753565337083</v>
      </c>
      <c r="J104">
        <v>0.61279970085379498</v>
      </c>
      <c r="K104">
        <v>0.15261220536568901</v>
      </c>
      <c r="L104">
        <v>4.4241566207313489E-5</v>
      </c>
      <c r="M104">
        <v>9.0563016178286564E-7</v>
      </c>
      <c r="N104" s="1">
        <v>7.3131435633120098E-10</v>
      </c>
      <c r="O104" s="1">
        <v>1.63022688074908E-13</v>
      </c>
      <c r="P104" s="1">
        <v>-1.0338691678767401E-12</v>
      </c>
      <c r="Q104">
        <v>50.054195229509098</v>
      </c>
      <c r="R104">
        <v>2.1604773322200101E-2</v>
      </c>
      <c r="S104">
        <v>2.50629625252957</v>
      </c>
      <c r="T104">
        <v>0.57545984025442998</v>
      </c>
      <c r="V104">
        <v>30.142548460168399</v>
      </c>
      <c r="X104">
        <v>16.5323598378613</v>
      </c>
      <c r="AA104">
        <v>0.154259809677149</v>
      </c>
      <c r="AB104">
        <v>1.3275796677719401E-2</v>
      </c>
      <c r="AJ104">
        <v>-1.0333865620540099</v>
      </c>
      <c r="AK104">
        <v>0.99261787668769297</v>
      </c>
      <c r="AL104">
        <v>0.97419770006805695</v>
      </c>
      <c r="AM104">
        <v>4.88409264244321E-2</v>
      </c>
      <c r="AN104">
        <v>-4.75851521063941E-2</v>
      </c>
      <c r="AO104">
        <v>6.4320450352511299E-2</v>
      </c>
      <c r="AP104">
        <v>9.9476062771581891E-4</v>
      </c>
    </row>
    <row r="105" spans="1:42" x14ac:dyDescent="0.2">
      <c r="A105">
        <v>228</v>
      </c>
      <c r="B105">
        <v>746</v>
      </c>
      <c r="C105">
        <v>160</v>
      </c>
      <c r="D105">
        <v>0.41848648383456999</v>
      </c>
      <c r="E105">
        <v>0.55782507023697403</v>
      </c>
      <c r="F105">
        <v>3.5551951863681701</v>
      </c>
      <c r="G105">
        <v>-7.2637701518917375</v>
      </c>
      <c r="H105">
        <v>-6.1772761142891861</v>
      </c>
      <c r="I105">
        <v>1.06607863180351</v>
      </c>
      <c r="J105">
        <v>0.63020486934209397</v>
      </c>
      <c r="K105">
        <v>0.15690420384677201</v>
      </c>
      <c r="L105">
        <v>4.4222975284992114E-5</v>
      </c>
      <c r="M105">
        <v>9.0578856972954769E-7</v>
      </c>
      <c r="N105" s="1">
        <v>7.76073759209525E-10</v>
      </c>
      <c r="O105" s="1">
        <v>1.68180719934254E-13</v>
      </c>
      <c r="P105" s="1">
        <v>-1.35631017068767E-12</v>
      </c>
      <c r="Q105">
        <v>49.942239324732498</v>
      </c>
      <c r="R105">
        <v>2.20502644719873E-2</v>
      </c>
      <c r="S105">
        <v>2.6412741850338701</v>
      </c>
      <c r="T105">
        <v>0.58721346434242105</v>
      </c>
      <c r="V105">
        <v>30.239581538511501</v>
      </c>
      <c r="X105">
        <v>16.412417571670499</v>
      </c>
      <c r="AA105">
        <v>0.14222289099709901</v>
      </c>
      <c r="AB105">
        <v>1.30007602399467E-2</v>
      </c>
      <c r="AJ105">
        <v>-1.0408400850586501</v>
      </c>
      <c r="AK105">
        <v>0.993133257736044</v>
      </c>
      <c r="AL105">
        <v>0.97785134804741403</v>
      </c>
      <c r="AM105">
        <v>5.1794655227081203E-2</v>
      </c>
      <c r="AN105">
        <v>-5.05123080638257E-2</v>
      </c>
      <c r="AO105">
        <v>6.7598464187473797E-2</v>
      </c>
      <c r="AP105">
        <v>9.7466792446183599E-4</v>
      </c>
    </row>
    <row r="106" spans="1:42" x14ac:dyDescent="0.2">
      <c r="A106">
        <v>229</v>
      </c>
      <c r="B106">
        <v>744</v>
      </c>
      <c r="C106">
        <v>160</v>
      </c>
      <c r="D106">
        <v>0.41720542692818402</v>
      </c>
      <c r="E106">
        <v>0.57141115836567402</v>
      </c>
      <c r="F106">
        <v>3.55792447576958</v>
      </c>
      <c r="G106">
        <v>-7.4323776351825197</v>
      </c>
      <c r="H106">
        <v>-6.3231394294364769</v>
      </c>
      <c r="I106">
        <v>1.0905355215514301</v>
      </c>
      <c r="J106">
        <v>0.64522224935025396</v>
      </c>
      <c r="K106">
        <v>0.160602385536044</v>
      </c>
      <c r="L106">
        <v>4.4201037435890494E-5</v>
      </c>
      <c r="M106">
        <v>9.0592357710416214E-7</v>
      </c>
      <c r="N106" s="1">
        <v>8.2085557083761799E-10</v>
      </c>
      <c r="O106" s="1">
        <v>1.72603695269833E-13</v>
      </c>
      <c r="P106" s="1">
        <v>-1.67955754659255E-12</v>
      </c>
      <c r="Q106">
        <v>49.832356976603499</v>
      </c>
      <c r="R106">
        <v>2.2452748153977999E-2</v>
      </c>
      <c r="S106">
        <v>2.7744180951186999</v>
      </c>
      <c r="T106">
        <v>0.59829071941822798</v>
      </c>
      <c r="V106">
        <v>30.333751787676899</v>
      </c>
      <c r="X106">
        <v>16.2944242586711</v>
      </c>
      <c r="AA106">
        <v>0.131566617176711</v>
      </c>
      <c r="AB106">
        <v>1.2738797180739499E-2</v>
      </c>
      <c r="AJ106">
        <v>-1.0480841997950801</v>
      </c>
      <c r="AK106">
        <v>0.99359106196841396</v>
      </c>
      <c r="AL106">
        <v>0.981403082513572</v>
      </c>
      <c r="AM106">
        <v>5.4717072087485802E-2</v>
      </c>
      <c r="AN106">
        <v>-5.3410643891884303E-2</v>
      </c>
      <c r="AO106">
        <v>7.0828105371649394E-2</v>
      </c>
      <c r="AP106">
        <v>9.5552174585010203E-4</v>
      </c>
    </row>
    <row r="107" spans="1:42" x14ac:dyDescent="0.2">
      <c r="A107">
        <v>237</v>
      </c>
      <c r="B107">
        <v>762</v>
      </c>
      <c r="C107">
        <v>150</v>
      </c>
      <c r="D107">
        <v>0.439183210162781</v>
      </c>
      <c r="E107">
        <v>0.18260748445132299</v>
      </c>
      <c r="F107">
        <v>3.5487683139954398</v>
      </c>
      <c r="G107">
        <v>-2.3777795869552492</v>
      </c>
      <c r="H107">
        <v>-2.0133541812415516</v>
      </c>
      <c r="I107">
        <v>0.35205081941138699</v>
      </c>
      <c r="J107">
        <v>0.20618065029367899</v>
      </c>
      <c r="K107">
        <v>5.14565810710058E-2</v>
      </c>
      <c r="L107">
        <v>4.4390522719111079E-5</v>
      </c>
      <c r="M107">
        <v>9.0786772223093796E-7</v>
      </c>
      <c r="N107" s="1">
        <v>2.1514021221715599E-10</v>
      </c>
      <c r="O107" s="1">
        <v>5.1552392158793103E-14</v>
      </c>
      <c r="P107" s="1">
        <v>2.6979275446516899E-13</v>
      </c>
      <c r="Q107">
        <v>50.4488321623651</v>
      </c>
      <c r="R107">
        <v>1.16211609813747E-2</v>
      </c>
      <c r="S107">
        <v>1.72072510609829</v>
      </c>
      <c r="T107">
        <v>0.54737853556475802</v>
      </c>
      <c r="V107">
        <v>30.4694485956365</v>
      </c>
      <c r="X107">
        <v>16.533225751877101</v>
      </c>
      <c r="AA107">
        <v>0.25407003629790698</v>
      </c>
      <c r="AB107">
        <v>1.4698651178811001E-2</v>
      </c>
      <c r="AJ107">
        <v>-1.02291109836289</v>
      </c>
      <c r="AK107">
        <v>0.988358729760063</v>
      </c>
      <c r="AL107">
        <v>0.98643546491591905</v>
      </c>
      <c r="AM107">
        <v>3.1067973639251002E-2</v>
      </c>
      <c r="AN107">
        <v>-3.0391348154716599E-2</v>
      </c>
      <c r="AO107">
        <v>4.6337032029219002E-2</v>
      </c>
      <c r="AP107">
        <v>1.10324617315822E-3</v>
      </c>
    </row>
    <row r="108" spans="1:42" x14ac:dyDescent="0.2">
      <c r="A108">
        <v>238</v>
      </c>
      <c r="B108">
        <v>760</v>
      </c>
      <c r="C108">
        <v>150</v>
      </c>
      <c r="D108">
        <v>0.43796205778444602</v>
      </c>
      <c r="E108">
        <v>0.36628025464019598</v>
      </c>
      <c r="F108">
        <v>3.5437163569352599</v>
      </c>
      <c r="G108">
        <v>-4.7872116293409714</v>
      </c>
      <c r="H108">
        <v>-4.05778321976321</v>
      </c>
      <c r="I108">
        <v>0.70602372315516604</v>
      </c>
      <c r="J108">
        <v>0.41436687929022598</v>
      </c>
      <c r="K108">
        <v>0.10336048874886999</v>
      </c>
      <c r="L108">
        <v>4.4331604988968698E-5</v>
      </c>
      <c r="M108">
        <v>9.0605774494733215E-7</v>
      </c>
      <c r="N108" s="1">
        <v>4.3607298116815099E-10</v>
      </c>
      <c r="O108" s="1">
        <v>1.05908664485029E-13</v>
      </c>
      <c r="P108" s="1">
        <v>3.5264678594563098E-13</v>
      </c>
      <c r="Q108">
        <v>50.491206755189303</v>
      </c>
      <c r="R108">
        <v>1.51460855609186E-2</v>
      </c>
      <c r="S108">
        <v>1.8452862270055199</v>
      </c>
      <c r="T108">
        <v>0.53803986126412695</v>
      </c>
      <c r="V108">
        <v>30.0435063477432</v>
      </c>
      <c r="X108">
        <v>16.8149366217209</v>
      </c>
      <c r="AA108">
        <v>0.237404446777882</v>
      </c>
      <c r="AB108">
        <v>1.44736547380192E-2</v>
      </c>
      <c r="AJ108">
        <v>-1.01037759862823</v>
      </c>
      <c r="AK108">
        <v>0.98909116396615804</v>
      </c>
      <c r="AL108">
        <v>0.97048303936351299</v>
      </c>
      <c r="AM108">
        <v>3.4080664556349602E-2</v>
      </c>
      <c r="AN108">
        <v>-3.3200766235002697E-2</v>
      </c>
      <c r="AO108">
        <v>4.8839554079419603E-2</v>
      </c>
      <c r="AP108">
        <v>1.0839428977928701E-3</v>
      </c>
    </row>
    <row r="109" spans="1:42" x14ac:dyDescent="0.2">
      <c r="A109">
        <v>239</v>
      </c>
      <c r="B109">
        <v>758</v>
      </c>
      <c r="C109">
        <v>150</v>
      </c>
      <c r="D109">
        <v>0.43673616835572199</v>
      </c>
      <c r="E109">
        <v>0.43333694898573</v>
      </c>
      <c r="F109">
        <v>3.5422328654169699</v>
      </c>
      <c r="G109">
        <v>-5.6721511574962484</v>
      </c>
      <c r="H109">
        <v>-4.8114747017159631</v>
      </c>
      <c r="I109">
        <v>0.83467628936651606</v>
      </c>
      <c r="J109">
        <v>0.49063375318903502</v>
      </c>
      <c r="K109">
        <v>0.122334404724326</v>
      </c>
      <c r="L109">
        <v>4.4294265155819427E-5</v>
      </c>
      <c r="M109">
        <v>9.051650227592942E-7</v>
      </c>
      <c r="N109" s="1">
        <v>5.2568114824439202E-10</v>
      </c>
      <c r="O109" s="1">
        <v>1.2733454081196301E-13</v>
      </c>
      <c r="P109" s="1">
        <v>1.76000837141429E-13</v>
      </c>
      <c r="Q109">
        <v>50.464578712520598</v>
      </c>
      <c r="R109">
        <v>1.7580123408453999E-2</v>
      </c>
      <c r="S109">
        <v>1.97273124788377</v>
      </c>
      <c r="T109">
        <v>0.53897156673040503</v>
      </c>
      <c r="V109">
        <v>29.855821190125301</v>
      </c>
      <c r="X109">
        <v>16.918348614618498</v>
      </c>
      <c r="AA109">
        <v>0.217733673287415</v>
      </c>
      <c r="AB109">
        <v>1.4234871425440001E-2</v>
      </c>
      <c r="AJ109">
        <v>-1.0071332409742599</v>
      </c>
      <c r="AK109">
        <v>0.98993300760899905</v>
      </c>
      <c r="AL109">
        <v>0.96347345671576401</v>
      </c>
      <c r="AM109">
        <v>3.7011274786157101E-2</v>
      </c>
      <c r="AN109">
        <v>-3.5990975920708997E-2</v>
      </c>
      <c r="AO109">
        <v>5.1641464204285698E-2</v>
      </c>
      <c r="AP109">
        <v>1.0650135797672701E-3</v>
      </c>
    </row>
    <row r="110" spans="1:42" x14ac:dyDescent="0.2">
      <c r="A110">
        <v>240</v>
      </c>
      <c r="B110">
        <v>756</v>
      </c>
      <c r="C110">
        <v>150</v>
      </c>
      <c r="D110">
        <v>0.43550551425934297</v>
      </c>
      <c r="E110">
        <v>0.46966937422010502</v>
      </c>
      <c r="F110">
        <v>3.5420190066970498</v>
      </c>
      <c r="G110">
        <v>-6.1519191862084002</v>
      </c>
      <c r="H110">
        <v>-5.2217483291560827</v>
      </c>
      <c r="I110">
        <v>0.90382437647798297</v>
      </c>
      <c r="J110">
        <v>0.53198489651281899</v>
      </c>
      <c r="K110">
        <v>0.132599337646715</v>
      </c>
      <c r="L110">
        <v>4.4265353699258667E-5</v>
      </c>
      <c r="M110">
        <v>9.0462878716685767E-7</v>
      </c>
      <c r="N110" s="1">
        <v>5.8156324483467698E-10</v>
      </c>
      <c r="O110" s="1">
        <v>1.39723564034686E-13</v>
      </c>
      <c r="P110" s="1">
        <v>-6.1148899459909504E-14</v>
      </c>
      <c r="Q110">
        <v>50.4158728847123</v>
      </c>
      <c r="R110">
        <v>1.95255704920567E-2</v>
      </c>
      <c r="S110">
        <v>2.0957418135547501</v>
      </c>
      <c r="T110">
        <v>0.54256025370566097</v>
      </c>
      <c r="V110">
        <v>29.7566083469743</v>
      </c>
      <c r="X110">
        <v>16.955591984003501</v>
      </c>
      <c r="AA110">
        <v>0.200095111636624</v>
      </c>
      <c r="AB110">
        <v>1.40040349206691E-2</v>
      </c>
      <c r="AJ110">
        <v>-1.00705408406465</v>
      </c>
      <c r="AK110">
        <v>0.99068434713884701</v>
      </c>
      <c r="AL110">
        <v>0.95977512742266302</v>
      </c>
      <c r="AM110">
        <v>3.9800861086206799E-2</v>
      </c>
      <c r="AN110">
        <v>-3.8668240255414502E-2</v>
      </c>
      <c r="AO110">
        <v>5.4414787522776301E-2</v>
      </c>
      <c r="AP110">
        <v>1.04720114957302E-3</v>
      </c>
    </row>
    <row r="111" spans="1:42" x14ac:dyDescent="0.2">
      <c r="A111">
        <v>241</v>
      </c>
      <c r="B111">
        <v>754</v>
      </c>
      <c r="C111">
        <v>150</v>
      </c>
      <c r="D111">
        <v>0.43427006766295001</v>
      </c>
      <c r="E111">
        <v>0.49345953827940098</v>
      </c>
      <c r="F111">
        <v>3.5424009640729199</v>
      </c>
      <c r="G111">
        <v>-6.4653720825461098</v>
      </c>
      <c r="H111">
        <v>-5.4909808399640303</v>
      </c>
      <c r="I111">
        <v>0.94863578112454805</v>
      </c>
      <c r="J111">
        <v>0.55903855356249799</v>
      </c>
      <c r="K111">
        <v>0.13930087059146401</v>
      </c>
      <c r="L111">
        <v>4.4240151179322333E-5</v>
      </c>
      <c r="M111">
        <v>9.0426707134257607E-7</v>
      </c>
      <c r="N111" s="1">
        <v>6.2422301281045202E-10</v>
      </c>
      <c r="O111" s="1">
        <v>1.4828468879648601E-13</v>
      </c>
      <c r="P111" s="1">
        <v>-3.1783196469176002E-13</v>
      </c>
      <c r="Q111">
        <v>50.357759159751097</v>
      </c>
      <c r="R111">
        <v>2.1200473566210101E-2</v>
      </c>
      <c r="S111">
        <v>2.2146175919129698</v>
      </c>
      <c r="T111">
        <v>0.54695741395810504</v>
      </c>
      <c r="V111">
        <v>29.7003261015033</v>
      </c>
      <c r="X111">
        <v>16.960690824352501</v>
      </c>
      <c r="AA111">
        <v>0.18466489114661999</v>
      </c>
      <c r="AB111">
        <v>1.37835438090216E-2</v>
      </c>
      <c r="AJ111">
        <v>-1.00840579648829</v>
      </c>
      <c r="AK111">
        <v>0.99134096779133996</v>
      </c>
      <c r="AL111">
        <v>0.95768155412718603</v>
      </c>
      <c r="AM111">
        <v>4.2483306773065298E-2</v>
      </c>
      <c r="AN111">
        <v>-4.1253886931995602E-2</v>
      </c>
      <c r="AO111">
        <v>5.7123440946684798E-2</v>
      </c>
      <c r="AP111">
        <v>1.0304137820128601E-3</v>
      </c>
    </row>
    <row r="112" spans="1:42" x14ac:dyDescent="0.2">
      <c r="A112">
        <v>242</v>
      </c>
      <c r="B112">
        <v>752</v>
      </c>
      <c r="C112">
        <v>150</v>
      </c>
      <c r="D112">
        <v>0.43302980051699702</v>
      </c>
      <c r="E112">
        <v>0.51706568096950101</v>
      </c>
      <c r="F112">
        <v>3.5458772907461502</v>
      </c>
      <c r="G112">
        <v>-6.7643110068818171</v>
      </c>
      <c r="H112">
        <v>-5.7467775387646727</v>
      </c>
      <c r="I112">
        <v>0.99257032445704996</v>
      </c>
      <c r="J112">
        <v>0.58539341803203504</v>
      </c>
      <c r="K112">
        <v>0.145821651053439</v>
      </c>
      <c r="L112">
        <v>4.4235872381424823E-5</v>
      </c>
      <c r="M112">
        <v>9.0463469563208516E-7</v>
      </c>
      <c r="N112" s="1">
        <v>6.7101060843242198E-10</v>
      </c>
      <c r="O112" s="1">
        <v>1.55927533972657E-13</v>
      </c>
      <c r="P112" s="1">
        <v>-6.2392811762504797E-13</v>
      </c>
      <c r="Q112">
        <v>50.229493272374398</v>
      </c>
      <c r="R112">
        <v>2.1502535014290301E-2</v>
      </c>
      <c r="S112">
        <v>2.3561393527993402</v>
      </c>
      <c r="T112">
        <v>0.56216286562926099</v>
      </c>
      <c r="V112">
        <v>29.839485854474098</v>
      </c>
      <c r="X112">
        <v>16.809056401436699</v>
      </c>
      <c r="AA112">
        <v>0.16870168146339001</v>
      </c>
      <c r="AB112">
        <v>1.3458036808382199E-2</v>
      </c>
      <c r="AJ112">
        <v>-1.0177669502636799</v>
      </c>
      <c r="AK112">
        <v>0.99201881146836401</v>
      </c>
      <c r="AL112">
        <v>0.96288536739353003</v>
      </c>
      <c r="AM112">
        <v>4.5533065109812601E-2</v>
      </c>
      <c r="AN112">
        <v>-4.4285199932600897E-2</v>
      </c>
      <c r="AO112">
        <v>6.06080769698581E-2</v>
      </c>
      <c r="AP112">
        <v>1.00682925472009E-3</v>
      </c>
    </row>
    <row r="113" spans="1:42" x14ac:dyDescent="0.2">
      <c r="A113">
        <v>243</v>
      </c>
      <c r="B113">
        <v>750</v>
      </c>
      <c r="C113">
        <v>150</v>
      </c>
      <c r="D113">
        <v>0.43178468455260599</v>
      </c>
      <c r="E113">
        <v>0.53486290367224698</v>
      </c>
      <c r="F113">
        <v>3.5486788103000899</v>
      </c>
      <c r="G113">
        <v>-6.9890377769872245</v>
      </c>
      <c r="H113">
        <v>-5.939978052132318</v>
      </c>
      <c r="I113">
        <v>1.02532348615052</v>
      </c>
      <c r="J113">
        <v>0.60523561506115398</v>
      </c>
      <c r="K113">
        <v>0.15072170017748501</v>
      </c>
      <c r="L113">
        <v>4.422378879077998E-5</v>
      </c>
      <c r="M113">
        <v>9.0483892410542686E-7</v>
      </c>
      <c r="N113" s="1">
        <v>7.1290134441325999E-10</v>
      </c>
      <c r="O113" s="1">
        <v>1.6188414722113501E-13</v>
      </c>
      <c r="P113" s="1">
        <v>-9.278286329344159E-13</v>
      </c>
      <c r="Q113">
        <v>50.1184052640277</v>
      </c>
      <c r="R113">
        <v>2.19848012976771E-2</v>
      </c>
      <c r="S113">
        <v>2.4888479846506901</v>
      </c>
      <c r="T113">
        <v>0.57418567759352601</v>
      </c>
      <c r="V113">
        <v>29.938489593471299</v>
      </c>
      <c r="X113">
        <v>16.689595863042001</v>
      </c>
      <c r="AA113">
        <v>0.15531379398061201</v>
      </c>
      <c r="AB113">
        <v>1.3177021936301801E-2</v>
      </c>
      <c r="AJ113">
        <v>-1.0252801831762499</v>
      </c>
      <c r="AK113">
        <v>0.99258934447547997</v>
      </c>
      <c r="AL113">
        <v>0.96659715050484796</v>
      </c>
      <c r="AM113">
        <v>4.8426462275614597E-2</v>
      </c>
      <c r="AN113">
        <v>-4.71499267081339E-2</v>
      </c>
      <c r="AO113">
        <v>6.3830819190950405E-2</v>
      </c>
      <c r="AP113">
        <v>9.8633343749541798E-4</v>
      </c>
    </row>
    <row r="114" spans="1:42" x14ac:dyDescent="0.2">
      <c r="A114">
        <v>244</v>
      </c>
      <c r="B114">
        <v>748</v>
      </c>
      <c r="C114">
        <v>150</v>
      </c>
      <c r="D114">
        <v>0.43053469127944</v>
      </c>
      <c r="E114">
        <v>0.54982595728318395</v>
      </c>
      <c r="F114">
        <v>3.5514085598245599</v>
      </c>
      <c r="G114">
        <v>-7.1764550194325256</v>
      </c>
      <c r="H114">
        <v>-6.1016333892680619</v>
      </c>
      <c r="I114">
        <v>1.05255998645102</v>
      </c>
      <c r="J114">
        <v>0.62185296023111003</v>
      </c>
      <c r="K114">
        <v>0.15481912261605399</v>
      </c>
      <c r="L114">
        <v>4.4208408868536678E-5</v>
      </c>
      <c r="M114">
        <v>9.0501784597487897E-7</v>
      </c>
      <c r="N114" s="1">
        <v>7.5382919228321203E-10</v>
      </c>
      <c r="O114" s="1">
        <v>1.6689199596430699E-13</v>
      </c>
      <c r="P114" s="1">
        <v>-1.2349356681631801E-12</v>
      </c>
      <c r="Q114">
        <v>50.009865518421996</v>
      </c>
      <c r="R114">
        <v>2.24184024280864E-2</v>
      </c>
      <c r="S114">
        <v>2.6191546773535901</v>
      </c>
      <c r="T114">
        <v>0.58543329786666898</v>
      </c>
      <c r="V114">
        <v>30.0342259191296</v>
      </c>
      <c r="X114">
        <v>16.572458564306899</v>
      </c>
      <c r="AA114">
        <v>0.14353220329369101</v>
      </c>
      <c r="AB114">
        <v>1.2911417199213999E-2</v>
      </c>
      <c r="AJ114">
        <v>-1.0325457586914399</v>
      </c>
      <c r="AK114">
        <v>0.99309296210563502</v>
      </c>
      <c r="AL114">
        <v>0.97019256428338796</v>
      </c>
      <c r="AM114">
        <v>5.12767778875639E-2</v>
      </c>
      <c r="AN114">
        <v>-4.9974388315583297E-2</v>
      </c>
      <c r="AO114">
        <v>6.6990887702106205E-2</v>
      </c>
      <c r="AP114">
        <v>9.6695502833500104E-4</v>
      </c>
    </row>
    <row r="115" spans="1:42" x14ac:dyDescent="0.2">
      <c r="A115">
        <v>254</v>
      </c>
      <c r="B115">
        <v>764</v>
      </c>
      <c r="C115">
        <v>140</v>
      </c>
      <c r="D115">
        <v>0.45100564045702202</v>
      </c>
      <c r="E115">
        <v>0.28643940294576098</v>
      </c>
      <c r="F115">
        <v>3.5425504715848901</v>
      </c>
      <c r="G115">
        <v>-3.7453525034611923</v>
      </c>
      <c r="H115">
        <v>-3.1714142530758695</v>
      </c>
      <c r="I115">
        <v>0.55338017681658702</v>
      </c>
      <c r="J115">
        <v>0.32408897503565598</v>
      </c>
      <c r="K115">
        <v>8.0856830479428904E-2</v>
      </c>
      <c r="L115">
        <v>4.4345300305346681E-5</v>
      </c>
      <c r="M115">
        <v>9.0617039272646878E-7</v>
      </c>
      <c r="N115" s="1">
        <v>3.3635736922842302E-10</v>
      </c>
      <c r="O115" s="1">
        <v>8.2015687339321097E-14</v>
      </c>
      <c r="P115" s="1">
        <v>4.3031378892779E-13</v>
      </c>
      <c r="Q115">
        <v>50.536452365746797</v>
      </c>
      <c r="R115">
        <v>1.32884274052911E-2</v>
      </c>
      <c r="S115">
        <v>1.7521849984540101</v>
      </c>
      <c r="T115">
        <v>0.54274854031276598</v>
      </c>
      <c r="V115">
        <v>30.070297195999601</v>
      </c>
      <c r="X115">
        <v>16.8192401184419</v>
      </c>
      <c r="AA115">
        <v>0.25127028907097199</v>
      </c>
      <c r="AB115">
        <v>1.4518064568533299E-2</v>
      </c>
      <c r="AJ115">
        <v>-1.0087437439258</v>
      </c>
      <c r="AK115">
        <v>0.98851194517363505</v>
      </c>
      <c r="AL115">
        <v>0.97152268652608598</v>
      </c>
      <c r="AM115">
        <v>3.1843167324376802E-2</v>
      </c>
      <c r="AN115">
        <v>-3.1071049523423901E-2</v>
      </c>
      <c r="AO115">
        <v>4.6849530615359999E-2</v>
      </c>
      <c r="AP115">
        <v>1.0874638097720299E-3</v>
      </c>
    </row>
    <row r="116" spans="1:42" x14ac:dyDescent="0.2">
      <c r="A116">
        <v>255</v>
      </c>
      <c r="B116">
        <v>762</v>
      </c>
      <c r="C116">
        <v>140</v>
      </c>
      <c r="D116">
        <v>0.44980968941699401</v>
      </c>
      <c r="E116">
        <v>0.392321485651696</v>
      </c>
      <c r="F116">
        <v>3.5397069525620202</v>
      </c>
      <c r="G116">
        <v>-5.1417766992619338</v>
      </c>
      <c r="H116">
        <v>-4.3576013586246134</v>
      </c>
      <c r="I116">
        <v>0.75754754444990502</v>
      </c>
      <c r="J116">
        <v>0.44443320616304499</v>
      </c>
      <c r="K116">
        <v>0.110834453504049</v>
      </c>
      <c r="L116">
        <v>4.4297985085078924E-5</v>
      </c>
      <c r="M116">
        <v>9.0493689352629133E-7</v>
      </c>
      <c r="N116" s="1">
        <v>4.6798071467229301E-10</v>
      </c>
      <c r="O116" s="1">
        <v>1.1451206447094301E-13</v>
      </c>
      <c r="P116" s="1">
        <v>3.8042477996788998E-13</v>
      </c>
      <c r="Q116">
        <v>50.537744848639299</v>
      </c>
      <c r="R116">
        <v>1.6105400938712201E-2</v>
      </c>
      <c r="S116">
        <v>1.87523302632763</v>
      </c>
      <c r="T116">
        <v>0.53992161788529902</v>
      </c>
      <c r="V116">
        <v>29.793076232269801</v>
      </c>
      <c r="X116">
        <v>16.991162520766899</v>
      </c>
      <c r="AA116">
        <v>0.232472353525013</v>
      </c>
      <c r="AB116">
        <v>1.42839996471819E-2</v>
      </c>
      <c r="AJ116">
        <v>-1.0019628617439</v>
      </c>
      <c r="AK116">
        <v>0.98932304817027705</v>
      </c>
      <c r="AL116">
        <v>0.96117206694450297</v>
      </c>
      <c r="AM116">
        <v>3.4725798949057703E-2</v>
      </c>
      <c r="AN116">
        <v>-3.3791357519862002E-2</v>
      </c>
      <c r="AO116">
        <v>4.9464923385185197E-2</v>
      </c>
      <c r="AP116">
        <v>1.06838181474269E-3</v>
      </c>
    </row>
    <row r="117" spans="1:42" x14ac:dyDescent="0.2">
      <c r="A117">
        <v>256</v>
      </c>
      <c r="B117">
        <v>760</v>
      </c>
      <c r="C117">
        <v>140</v>
      </c>
      <c r="D117">
        <v>0.44860910806756099</v>
      </c>
      <c r="E117">
        <v>0.44170471510917297</v>
      </c>
      <c r="F117">
        <v>3.53888610552726</v>
      </c>
      <c r="G117">
        <v>-5.7950880177296087</v>
      </c>
      <c r="H117">
        <v>-4.9146368771273066</v>
      </c>
      <c r="I117">
        <v>0.85220068780167502</v>
      </c>
      <c r="J117">
        <v>0.500669131010546</v>
      </c>
      <c r="K117">
        <v>0.124814617350722</v>
      </c>
      <c r="L117">
        <v>4.4265229945302197E-5</v>
      </c>
      <c r="M117">
        <v>9.042516544291515E-7</v>
      </c>
      <c r="N117" s="1">
        <v>5.3665651982352204E-10</v>
      </c>
      <c r="O117" s="1">
        <v>1.3077061160719601E-13</v>
      </c>
      <c r="P117" s="1">
        <v>1.93174894004373E-13</v>
      </c>
      <c r="Q117">
        <v>50.501537579303701</v>
      </c>
      <c r="R117">
        <v>1.8241335485727601E-2</v>
      </c>
      <c r="S117">
        <v>1.99635901898722</v>
      </c>
      <c r="T117">
        <v>0.54219033955712503</v>
      </c>
      <c r="V117">
        <v>29.653539805164101</v>
      </c>
      <c r="X117">
        <v>17.060175088426998</v>
      </c>
      <c r="AA117">
        <v>0.21390361541162101</v>
      </c>
      <c r="AB117">
        <v>1.4053217663343E-2</v>
      </c>
      <c r="AJ117">
        <v>-1.00035534289011</v>
      </c>
      <c r="AK117">
        <v>0.99011501209997899</v>
      </c>
      <c r="AL117">
        <v>0.95597239566329595</v>
      </c>
      <c r="AM117">
        <v>3.7489640150507701E-2</v>
      </c>
      <c r="AN117">
        <v>-3.64320431995757E-2</v>
      </c>
      <c r="AO117">
        <v>5.2159984778579999E-2</v>
      </c>
      <c r="AP117">
        <v>1.0503533973283299E-3</v>
      </c>
    </row>
    <row r="118" spans="1:42" x14ac:dyDescent="0.2">
      <c r="A118">
        <v>257</v>
      </c>
      <c r="B118">
        <v>758</v>
      </c>
      <c r="C118">
        <v>140</v>
      </c>
      <c r="D118">
        <v>0.44740386946613198</v>
      </c>
      <c r="E118">
        <v>0.47148692541903398</v>
      </c>
      <c r="F118">
        <v>3.5389256035490901</v>
      </c>
      <c r="G118">
        <v>-6.1888574083931367</v>
      </c>
      <c r="H118">
        <v>-5.2517639587182554</v>
      </c>
      <c r="I118">
        <v>0.90878480305957698</v>
      </c>
      <c r="J118">
        <v>0.53458415912427304</v>
      </c>
      <c r="K118">
        <v>0.133228832204382</v>
      </c>
      <c r="L118">
        <v>4.4238735012057341E-5</v>
      </c>
      <c r="M118">
        <v>9.0381417736125617E-7</v>
      </c>
      <c r="N118" s="1">
        <v>5.8397141285098404E-10</v>
      </c>
      <c r="O118" s="1">
        <v>1.4118693722891001E-13</v>
      </c>
      <c r="P118" s="1">
        <v>-3.5296118593767402E-14</v>
      </c>
      <c r="Q118">
        <v>50.4508368400789</v>
      </c>
      <c r="R118">
        <v>2.0026346878523501E-2</v>
      </c>
      <c r="S118">
        <v>2.1134645263310299</v>
      </c>
      <c r="T118">
        <v>0.54599642557026595</v>
      </c>
      <c r="V118">
        <v>29.574751417572699</v>
      </c>
      <c r="X118">
        <v>17.0837180798829</v>
      </c>
      <c r="AA118">
        <v>0.19737368971354899</v>
      </c>
      <c r="AB118">
        <v>1.3832673971930101E-2</v>
      </c>
      <c r="AJ118">
        <v>-1.00086265378315</v>
      </c>
      <c r="AK118">
        <v>0.99081798274150801</v>
      </c>
      <c r="AL118">
        <v>0.95304121681957998</v>
      </c>
      <c r="AM118">
        <v>4.0138158090898997E-2</v>
      </c>
      <c r="AN118">
        <v>-3.8977546067091098E-2</v>
      </c>
      <c r="AO118">
        <v>5.4809396684233597E-2</v>
      </c>
      <c r="AP118">
        <v>1.03344551402075E-3</v>
      </c>
    </row>
    <row r="119" spans="1:42" x14ac:dyDescent="0.2">
      <c r="A119">
        <v>258</v>
      </c>
      <c r="B119">
        <v>756</v>
      </c>
      <c r="C119">
        <v>140</v>
      </c>
      <c r="D119">
        <v>0.44619394646067401</v>
      </c>
      <c r="E119">
        <v>0.49214587331070497</v>
      </c>
      <c r="F119">
        <v>3.5394137369816701</v>
      </c>
      <c r="G119">
        <v>-6.4612526087963928</v>
      </c>
      <c r="H119">
        <v>-5.4860113364367793</v>
      </c>
      <c r="I119">
        <v>0.94761820177778999</v>
      </c>
      <c r="J119">
        <v>0.55808210018188797</v>
      </c>
      <c r="K119">
        <v>0.13904728576049299</v>
      </c>
      <c r="L119">
        <v>4.421519366928472E-5</v>
      </c>
      <c r="M119">
        <v>9.0350937330593382E-7</v>
      </c>
      <c r="N119" s="1">
        <v>6.2182070255048305E-10</v>
      </c>
      <c r="O119" s="1">
        <v>1.4878691373164601E-13</v>
      </c>
      <c r="P119" s="1">
        <v>-2.7960317228181302E-13</v>
      </c>
      <c r="Q119">
        <v>50.393195409853497</v>
      </c>
      <c r="R119">
        <v>2.16001294686105E-2</v>
      </c>
      <c r="S119">
        <v>2.22714648939658</v>
      </c>
      <c r="T119">
        <v>0.55028426551271203</v>
      </c>
      <c r="V119">
        <v>29.528578133941199</v>
      </c>
      <c r="X119">
        <v>17.082762130827199</v>
      </c>
      <c r="AA119">
        <v>0.18281127193969701</v>
      </c>
      <c r="AB119">
        <v>1.3622169060330499E-2</v>
      </c>
      <c r="AJ119">
        <v>-1.0024344171597701</v>
      </c>
      <c r="AK119">
        <v>0.99143695660551401</v>
      </c>
      <c r="AL119">
        <v>0.95132691961188698</v>
      </c>
      <c r="AM119">
        <v>4.27006784696074E-2</v>
      </c>
      <c r="AN119">
        <v>-4.1449156850901198E-2</v>
      </c>
      <c r="AO119">
        <v>5.7401542841287803E-2</v>
      </c>
      <c r="AP119">
        <v>1.01747648237542E-3</v>
      </c>
    </row>
    <row r="120" spans="1:42" x14ac:dyDescent="0.2">
      <c r="A120">
        <v>259</v>
      </c>
      <c r="B120">
        <v>754</v>
      </c>
      <c r="C120">
        <v>140</v>
      </c>
      <c r="D120">
        <v>0.44497931168767801</v>
      </c>
      <c r="E120">
        <v>0.51287736162729003</v>
      </c>
      <c r="F120">
        <v>3.5424821388061698</v>
      </c>
      <c r="G120">
        <v>-6.7245413474184499</v>
      </c>
      <c r="H120">
        <v>-5.7116159839853236</v>
      </c>
      <c r="I120">
        <v>0.98615135416748001</v>
      </c>
      <c r="J120">
        <v>0.58125936650827403</v>
      </c>
      <c r="K120">
        <v>0.144779095992882</v>
      </c>
      <c r="L120">
        <v>4.4210972860337583E-5</v>
      </c>
      <c r="M120">
        <v>9.038193666325663E-7</v>
      </c>
      <c r="N120" s="1">
        <v>6.6262034929394804E-10</v>
      </c>
      <c r="O120" s="1">
        <v>1.5569456512077399E-13</v>
      </c>
      <c r="P120" s="1">
        <v>-5.6459657956641097E-13</v>
      </c>
      <c r="Q120">
        <v>50.2769587570574</v>
      </c>
      <c r="R120">
        <v>2.2004045578316998E-2</v>
      </c>
      <c r="S120">
        <v>2.3598910257721699</v>
      </c>
      <c r="T120">
        <v>0.563518839221264</v>
      </c>
      <c r="V120">
        <v>29.645509897447301</v>
      </c>
      <c r="X120">
        <v>16.9508768832108</v>
      </c>
      <c r="AA120">
        <v>0.16791559102369799</v>
      </c>
      <c r="AB120">
        <v>1.33249606888977E-2</v>
      </c>
      <c r="AJ120">
        <v>-1.0106761438476599</v>
      </c>
      <c r="AK120">
        <v>0.992069021836404</v>
      </c>
      <c r="AL120">
        <v>0.955691316808438</v>
      </c>
      <c r="AM120">
        <v>4.5573643578111001E-2</v>
      </c>
      <c r="AN120">
        <v>-4.4297921703741298E-2</v>
      </c>
      <c r="AO120">
        <v>6.06441838265298E-2</v>
      </c>
      <c r="AP120">
        <v>9.9589950192308704E-4</v>
      </c>
    </row>
    <row r="121" spans="1:42" x14ac:dyDescent="0.2">
      <c r="A121">
        <v>260</v>
      </c>
      <c r="B121">
        <v>752</v>
      </c>
      <c r="C121">
        <v>140</v>
      </c>
      <c r="D121">
        <v>0.443759937570114</v>
      </c>
      <c r="E121">
        <v>0.52932536155125798</v>
      </c>
      <c r="F121">
        <v>3.5452050443740899</v>
      </c>
      <c r="G121">
        <v>-6.9323142841472878</v>
      </c>
      <c r="H121">
        <v>-5.8903642725527998</v>
      </c>
      <c r="I121">
        <v>1.01638785699116</v>
      </c>
      <c r="J121">
        <v>0.599601266514598</v>
      </c>
      <c r="K121">
        <v>0.149307403923292</v>
      </c>
      <c r="L121">
        <v>4.4201339709348067E-5</v>
      </c>
      <c r="M121">
        <v>9.0403971087886687E-7</v>
      </c>
      <c r="N121" s="1">
        <v>7.0050071288618098E-10</v>
      </c>
      <c r="O121" s="1">
        <v>1.6129287360541E-13</v>
      </c>
      <c r="P121" s="1">
        <v>-8.5261565918961398E-13</v>
      </c>
      <c r="Q121">
        <v>50.169906237570103</v>
      </c>
      <c r="R121">
        <v>2.2466190303156001E-2</v>
      </c>
      <c r="S121">
        <v>2.4873425438384098</v>
      </c>
      <c r="T121">
        <v>0.57488724527442303</v>
      </c>
      <c r="V121">
        <v>29.742380992705002</v>
      </c>
      <c r="X121">
        <v>16.834879442868299</v>
      </c>
      <c r="AA121">
        <v>0.155080891523461</v>
      </c>
      <c r="AB121">
        <v>1.3056455916907701E-2</v>
      </c>
      <c r="AJ121">
        <v>-1.0179435266708401</v>
      </c>
      <c r="AK121">
        <v>0.992615323601169</v>
      </c>
      <c r="AL121">
        <v>0.95931455232794705</v>
      </c>
      <c r="AM121">
        <v>4.8352576268888399E-2</v>
      </c>
      <c r="AN121">
        <v>-4.7049381031408197E-2</v>
      </c>
      <c r="AO121">
        <v>6.3734114633179101E-2</v>
      </c>
      <c r="AP121">
        <v>9.76340871066347E-4</v>
      </c>
    </row>
    <row r="122" spans="1:42" x14ac:dyDescent="0.2">
      <c r="A122">
        <v>261</v>
      </c>
      <c r="B122">
        <v>750</v>
      </c>
      <c r="C122">
        <v>140</v>
      </c>
      <c r="D122">
        <v>0.44253579631530099</v>
      </c>
      <c r="E122">
        <v>0.54335956841721</v>
      </c>
      <c r="F122">
        <v>3.5478671626246601</v>
      </c>
      <c r="G122">
        <v>-7.1082100783802558</v>
      </c>
      <c r="H122">
        <v>-6.04217847791615</v>
      </c>
      <c r="I122">
        <v>1.0419113526502499</v>
      </c>
      <c r="J122">
        <v>0.61519255187335897</v>
      </c>
      <c r="K122">
        <v>0.15315104639240201</v>
      </c>
      <c r="L122">
        <v>4.4188635508943522E-5</v>
      </c>
      <c r="M122">
        <v>9.042357780808595E-7</v>
      </c>
      <c r="N122" s="1">
        <v>7.3778243484616302E-10</v>
      </c>
      <c r="O122" s="1">
        <v>1.66072564877987E-13</v>
      </c>
      <c r="P122" s="1">
        <v>-1.14490541206596E-12</v>
      </c>
      <c r="Q122">
        <v>50.064966237928303</v>
      </c>
      <c r="R122">
        <v>2.2883216168463599E-2</v>
      </c>
      <c r="S122">
        <v>2.6128695782810798</v>
      </c>
      <c r="T122">
        <v>0.58556723824869195</v>
      </c>
      <c r="V122">
        <v>29.8364333491315</v>
      </c>
      <c r="X122">
        <v>16.720773673241801</v>
      </c>
      <c r="AA122">
        <v>0.143705175964943</v>
      </c>
      <c r="AB122">
        <v>1.2801531035022601E-2</v>
      </c>
      <c r="AJ122">
        <v>-1.0249983441541399</v>
      </c>
      <c r="AK122">
        <v>0.99310094894594803</v>
      </c>
      <c r="AL122">
        <v>0.96283811792167295</v>
      </c>
      <c r="AM122">
        <v>5.1098163897893699E-2</v>
      </c>
      <c r="AN122">
        <v>-4.9770102409509402E-2</v>
      </c>
      <c r="AO122">
        <v>6.6773450394239806E-2</v>
      </c>
      <c r="AP122">
        <v>9.5776540389367801E-4</v>
      </c>
    </row>
    <row r="123" spans="1:42" x14ac:dyDescent="0.2">
      <c r="A123">
        <v>271</v>
      </c>
      <c r="B123">
        <v>768</v>
      </c>
      <c r="C123">
        <v>130</v>
      </c>
      <c r="D123">
        <v>0.46394899870335798</v>
      </c>
      <c r="E123">
        <v>0.20040549969982899</v>
      </c>
      <c r="F123">
        <v>3.5414608629305699</v>
      </c>
      <c r="G123">
        <v>-2.62185877013609</v>
      </c>
      <c r="H123">
        <v>-2.2178381401446146</v>
      </c>
      <c r="I123">
        <v>0.38805227872206299</v>
      </c>
      <c r="J123">
        <v>0.22680058178137</v>
      </c>
      <c r="K123">
        <v>5.6588370578234501E-2</v>
      </c>
      <c r="L123">
        <v>4.4355346482394253E-5</v>
      </c>
      <c r="M123">
        <v>9.0617362510067552E-7</v>
      </c>
      <c r="N123" s="1">
        <v>2.3365512480000303E-10</v>
      </c>
      <c r="O123" s="1">
        <v>5.6945124250876303E-14</v>
      </c>
      <c r="P123" s="1">
        <v>3.8529772268790002E-13</v>
      </c>
      <c r="Q123">
        <v>50.565959495264302</v>
      </c>
      <c r="R123">
        <v>1.1841103188572399E-2</v>
      </c>
      <c r="S123">
        <v>1.68857271163334</v>
      </c>
      <c r="T123">
        <v>0.55015527331979797</v>
      </c>
      <c r="V123">
        <v>30.085700349486402</v>
      </c>
      <c r="X123">
        <v>16.823662367302699</v>
      </c>
      <c r="AA123">
        <v>0.259579876638864</v>
      </c>
      <c r="AB123">
        <v>1.45288231659062E-2</v>
      </c>
      <c r="AJ123">
        <v>-1.00763690647604</v>
      </c>
      <c r="AK123">
        <v>0.988165750456384</v>
      </c>
      <c r="AL123">
        <v>0.97213846651263802</v>
      </c>
      <c r="AM123">
        <v>3.0248538380899099E-2</v>
      </c>
      <c r="AN123">
        <v>-2.9560433055449E-2</v>
      </c>
      <c r="AO123">
        <v>4.5556182251115497E-2</v>
      </c>
      <c r="AP123">
        <v>1.0884019304581E-3</v>
      </c>
    </row>
    <row r="124" spans="1:42" x14ac:dyDescent="0.2">
      <c r="A124">
        <v>272</v>
      </c>
      <c r="B124">
        <v>766</v>
      </c>
      <c r="C124">
        <v>130</v>
      </c>
      <c r="D124">
        <v>0.46278256267141699</v>
      </c>
      <c r="E124">
        <v>0.352553372011771</v>
      </c>
      <c r="F124">
        <v>3.5373119558955799</v>
      </c>
      <c r="G124">
        <v>-4.6266732585086565</v>
      </c>
      <c r="H124">
        <v>-3.9175103667706002</v>
      </c>
      <c r="I124">
        <v>0.68244516358375196</v>
      </c>
      <c r="J124">
        <v>0.39961765101168001</v>
      </c>
      <c r="K124">
        <v>9.9667028638561306E-2</v>
      </c>
      <c r="L124">
        <v>4.4297100878289723E-5</v>
      </c>
      <c r="M124">
        <v>9.0462780384978712E-7</v>
      </c>
      <c r="N124" s="1">
        <v>4.1638098971536201E-10</v>
      </c>
      <c r="O124" s="1">
        <v>1.0235101090922499E-13</v>
      </c>
      <c r="P124" s="1">
        <v>5.0720789084559702E-13</v>
      </c>
      <c r="Q124">
        <v>50.595705682440197</v>
      </c>
      <c r="R124">
        <v>1.4956122184791301E-2</v>
      </c>
      <c r="S124">
        <v>1.8036176995455</v>
      </c>
      <c r="T124">
        <v>0.54316457254163897</v>
      </c>
      <c r="V124">
        <v>29.7248182268976</v>
      </c>
      <c r="X124">
        <v>17.059398621574999</v>
      </c>
      <c r="AA124">
        <v>0.24403861290557999</v>
      </c>
      <c r="AB124">
        <v>1.43004619095209E-2</v>
      </c>
      <c r="AJ124">
        <v>-0.99735807510508001</v>
      </c>
      <c r="AK124">
        <v>0.98884722231442601</v>
      </c>
      <c r="AL124">
        <v>0.95867226363274005</v>
      </c>
      <c r="AM124">
        <v>3.3006496132461899E-2</v>
      </c>
      <c r="AN124">
        <v>-3.2139005666689299E-2</v>
      </c>
      <c r="AO124">
        <v>4.7901817609057998E-2</v>
      </c>
      <c r="AP124">
        <v>1.0692810830831101E-3</v>
      </c>
    </row>
    <row r="125" spans="1:42" x14ac:dyDescent="0.2">
      <c r="A125">
        <v>273</v>
      </c>
      <c r="B125">
        <v>764</v>
      </c>
      <c r="C125">
        <v>130</v>
      </c>
      <c r="D125">
        <v>0.461611628019092</v>
      </c>
      <c r="E125">
        <v>0.41565628354998002</v>
      </c>
      <c r="F125">
        <v>3.5359181927668302</v>
      </c>
      <c r="G125">
        <v>-5.4623871224689475</v>
      </c>
      <c r="H125">
        <v>-4.6285131782651874</v>
      </c>
      <c r="I125">
        <v>0.80400515277805495</v>
      </c>
      <c r="J125">
        <v>0.47149580458205798</v>
      </c>
      <c r="K125">
        <v>0.11755257358619201</v>
      </c>
      <c r="L125">
        <v>4.4259928258835477E-5</v>
      </c>
      <c r="M125">
        <v>9.0380599509643488E-7</v>
      </c>
      <c r="N125" s="1">
        <v>4.9906806430196004E-10</v>
      </c>
      <c r="O125" s="1">
        <v>1.2257667647926401E-13</v>
      </c>
      <c r="P125" s="1">
        <v>3.82485817262228E-13</v>
      </c>
      <c r="Q125">
        <v>50.5720057902451</v>
      </c>
      <c r="R125">
        <v>1.7243078868979099E-2</v>
      </c>
      <c r="S125">
        <v>1.92142832259296</v>
      </c>
      <c r="T125">
        <v>0.54397388040303096</v>
      </c>
      <c r="V125">
        <v>29.548101892959</v>
      </c>
      <c r="X125">
        <v>17.157793775287601</v>
      </c>
      <c r="AA125">
        <v>0.22538213389876899</v>
      </c>
      <c r="AB125">
        <v>1.4071125744399801E-2</v>
      </c>
      <c r="AJ125">
        <v>-0.99427385406739799</v>
      </c>
      <c r="AK125">
        <v>0.98964482093689599</v>
      </c>
      <c r="AL125">
        <v>0.95209219702309</v>
      </c>
      <c r="AM125">
        <v>3.57139659110704E-2</v>
      </c>
      <c r="AN125">
        <v>-3.4714750822643602E-2</v>
      </c>
      <c r="AO125">
        <v>5.0486460295658099E-2</v>
      </c>
      <c r="AP125">
        <v>1.0511607233269799E-3</v>
      </c>
    </row>
    <row r="126" spans="1:42" x14ac:dyDescent="0.2">
      <c r="A126">
        <v>274</v>
      </c>
      <c r="B126">
        <v>762</v>
      </c>
      <c r="C126">
        <v>130</v>
      </c>
      <c r="D126">
        <v>0.46043616867121101</v>
      </c>
      <c r="E126">
        <v>0.45130203711665601</v>
      </c>
      <c r="F126">
        <v>3.5356404730984399</v>
      </c>
      <c r="G126">
        <v>-5.9348310746754462</v>
      </c>
      <c r="H126">
        <v>-5.0320139150027483</v>
      </c>
      <c r="I126">
        <v>0.87216071069187795</v>
      </c>
      <c r="J126">
        <v>0.51212574787015397</v>
      </c>
      <c r="K126">
        <v>0.12764364492104499</v>
      </c>
      <c r="L126">
        <v>4.4231717070481441E-5</v>
      </c>
      <c r="M126">
        <v>9.0330065868366618E-7</v>
      </c>
      <c r="N126" s="1">
        <v>5.5130149117566102E-10</v>
      </c>
      <c r="O126" s="1">
        <v>1.34756308540025E-13</v>
      </c>
      <c r="P126" s="1">
        <v>1.87693698752963E-13</v>
      </c>
      <c r="Q126">
        <v>50.528613572542604</v>
      </c>
      <c r="R126">
        <v>1.9113030667547701E-2</v>
      </c>
      <c r="S126">
        <v>2.0359685446047702</v>
      </c>
      <c r="T126">
        <v>0.54711166838853897</v>
      </c>
      <c r="V126">
        <v>29.448988589358201</v>
      </c>
      <c r="X126">
        <v>17.198141982018502</v>
      </c>
      <c r="AA126">
        <v>0.20821089297906101</v>
      </c>
      <c r="AB126">
        <v>1.3851719440547101E-2</v>
      </c>
      <c r="AJ126">
        <v>-0.99398239711175895</v>
      </c>
      <c r="AK126">
        <v>0.99037504736925996</v>
      </c>
      <c r="AL126">
        <v>0.94840702921623499</v>
      </c>
      <c r="AM126">
        <v>3.8311618704714098E-2</v>
      </c>
      <c r="AN126">
        <v>-3.7204615985010701E-2</v>
      </c>
      <c r="AO126">
        <v>5.3059083522830397E-2</v>
      </c>
      <c r="AP126">
        <v>1.0342342837295201E-3</v>
      </c>
    </row>
    <row r="127" spans="1:42" x14ac:dyDescent="0.2">
      <c r="A127">
        <v>275</v>
      </c>
      <c r="B127">
        <v>760</v>
      </c>
      <c r="C127">
        <v>130</v>
      </c>
      <c r="D127">
        <v>0.45925615835067601</v>
      </c>
      <c r="E127">
        <v>0.47502864606999801</v>
      </c>
      <c r="F127">
        <v>3.5359204668745101</v>
      </c>
      <c r="G127">
        <v>-6.2487583059849703</v>
      </c>
      <c r="H127">
        <v>-5.3012639631422642</v>
      </c>
      <c r="I127">
        <v>0.91709271920118496</v>
      </c>
      <c r="J127">
        <v>0.53915210826791904</v>
      </c>
      <c r="K127">
        <v>0.13434370216191199</v>
      </c>
      <c r="L127">
        <v>4.4207779756753827E-5</v>
      </c>
      <c r="M127">
        <v>9.029593086447805E-7</v>
      </c>
      <c r="N127" s="1">
        <v>5.9071594848800995E-10</v>
      </c>
      <c r="O127" s="1">
        <v>1.43324093756291E-13</v>
      </c>
      <c r="P127" s="1">
        <v>-3.3592722071355398E-14</v>
      </c>
      <c r="Q127">
        <v>50.476174318414003</v>
      </c>
      <c r="R127">
        <v>2.07393490325734E-2</v>
      </c>
      <c r="S127">
        <v>2.1471406810079401</v>
      </c>
      <c r="T127">
        <v>0.551024011007064</v>
      </c>
      <c r="V127">
        <v>29.389864282552001</v>
      </c>
      <c r="X127">
        <v>17.208466802437801</v>
      </c>
      <c r="AA127">
        <v>0.192947707899533</v>
      </c>
      <c r="AB127">
        <v>1.36428476488851E-2</v>
      </c>
      <c r="AJ127">
        <v>-0.99503649258785298</v>
      </c>
      <c r="AK127">
        <v>0.991023157539763</v>
      </c>
      <c r="AL127">
        <v>0.94621196035129995</v>
      </c>
      <c r="AM127">
        <v>4.0820116296860998E-2</v>
      </c>
      <c r="AN127">
        <v>-3.9619288522742498E-2</v>
      </c>
      <c r="AO127">
        <v>5.5582221126976299E-2</v>
      </c>
      <c r="AP127">
        <v>1.01832579569473E-3</v>
      </c>
    </row>
    <row r="128" spans="1:42" x14ac:dyDescent="0.2">
      <c r="A128">
        <v>276</v>
      </c>
      <c r="B128">
        <v>758</v>
      </c>
      <c r="C128">
        <v>130</v>
      </c>
      <c r="D128">
        <v>0.45807157057654202</v>
      </c>
      <c r="E128">
        <v>0.492479587145221</v>
      </c>
      <c r="F128">
        <v>3.5365228911564199</v>
      </c>
      <c r="G128">
        <v>-6.4788870103330032</v>
      </c>
      <c r="H128">
        <v>-5.4995257502504256</v>
      </c>
      <c r="I128">
        <v>0.94977574560692102</v>
      </c>
      <c r="J128">
        <v>0.55899923912177596</v>
      </c>
      <c r="K128">
        <v>0.13925530876011999</v>
      </c>
      <c r="L128">
        <v>4.4185991778977532E-5</v>
      </c>
      <c r="M128">
        <v>9.0271363419230153E-7</v>
      </c>
      <c r="N128" s="1">
        <v>6.23810670285078E-10</v>
      </c>
      <c r="O128" s="1">
        <v>1.4992464054031199E-13</v>
      </c>
      <c r="P128" s="1">
        <v>-2.6698258010701402E-13</v>
      </c>
      <c r="Q128">
        <v>50.418862505223998</v>
      </c>
      <c r="R128">
        <v>2.2206892312874701E-2</v>
      </c>
      <c r="S128">
        <v>2.2556014454038702</v>
      </c>
      <c r="T128">
        <v>0.55516133810897295</v>
      </c>
      <c r="V128">
        <v>29.354426284889801</v>
      </c>
      <c r="X128">
        <v>17.200899393110799</v>
      </c>
      <c r="AA128">
        <v>0.179398973710992</v>
      </c>
      <c r="AB128">
        <v>1.34431672385122E-2</v>
      </c>
      <c r="AJ128">
        <v>-0.99684337726463601</v>
      </c>
      <c r="AK128">
        <v>0.99159843614165799</v>
      </c>
      <c r="AL128">
        <v>0.94489903277692799</v>
      </c>
      <c r="AM128">
        <v>4.3262807366051197E-2</v>
      </c>
      <c r="AN128">
        <v>-4.1977241463251103E-2</v>
      </c>
      <c r="AO128">
        <v>5.8057103753618201E-2</v>
      </c>
      <c r="AP128">
        <v>1.0032386896315899E-3</v>
      </c>
    </row>
    <row r="129" spans="1:42" x14ac:dyDescent="0.2">
      <c r="A129">
        <v>277</v>
      </c>
      <c r="B129">
        <v>756</v>
      </c>
      <c r="C129">
        <v>130</v>
      </c>
      <c r="D129">
        <v>0.45688237866200498</v>
      </c>
      <c r="E129">
        <v>0.50620246270523495</v>
      </c>
      <c r="F129">
        <v>3.5373319449498002</v>
      </c>
      <c r="G129">
        <v>-6.6590628867339632</v>
      </c>
      <c r="H129">
        <v>-5.6554684231713424</v>
      </c>
      <c r="I129">
        <v>0.97516830740185501</v>
      </c>
      <c r="J129">
        <v>0.57457267435977999</v>
      </c>
      <c r="K129">
        <v>0.14310290088209901</v>
      </c>
      <c r="L129">
        <v>4.4165245016761323E-5</v>
      </c>
      <c r="M129">
        <v>9.0252829856292189E-7</v>
      </c>
      <c r="N129" s="1">
        <v>6.5357327831852801E-10</v>
      </c>
      <c r="O129" s="1">
        <v>1.5531373516738701E-13</v>
      </c>
      <c r="P129" s="1">
        <v>-5.0679180654243898E-13</v>
      </c>
      <c r="Q129">
        <v>50.358583333074101</v>
      </c>
      <c r="R129">
        <v>2.35628795532574E-2</v>
      </c>
      <c r="S129">
        <v>2.3620041660842799</v>
      </c>
      <c r="T129">
        <v>0.55930161003851098</v>
      </c>
      <c r="V129">
        <v>29.3344414114719</v>
      </c>
      <c r="X129">
        <v>17.181551752852901</v>
      </c>
      <c r="AA129">
        <v>0.167303681721961</v>
      </c>
      <c r="AB129">
        <v>1.32511652030064E-2</v>
      </c>
      <c r="AJ129">
        <v>-0.99911896402714595</v>
      </c>
      <c r="AK129">
        <v>0.99211235601381498</v>
      </c>
      <c r="AL129">
        <v>0.94416149945698402</v>
      </c>
      <c r="AM129">
        <v>4.56581316129498E-2</v>
      </c>
      <c r="AN129">
        <v>-4.4294203194399098E-2</v>
      </c>
      <c r="AO129">
        <v>6.0492368894884498E-2</v>
      </c>
      <c r="AP129">
        <v>9.88811242911508E-4</v>
      </c>
    </row>
    <row r="130" spans="1:42" x14ac:dyDescent="0.2">
      <c r="A130">
        <v>278</v>
      </c>
      <c r="B130">
        <v>754</v>
      </c>
      <c r="C130">
        <v>130</v>
      </c>
      <c r="D130">
        <v>0.45568855571240902</v>
      </c>
      <c r="E130">
        <v>0.52550580124136403</v>
      </c>
      <c r="F130">
        <v>3.5420119323477599</v>
      </c>
      <c r="G130">
        <v>-6.8972452084984894</v>
      </c>
      <c r="H130">
        <v>-5.8591028859470589</v>
      </c>
      <c r="I130">
        <v>1.0107017695092499</v>
      </c>
      <c r="J130">
        <v>0.59587724159077404</v>
      </c>
      <c r="K130">
        <v>0.14836364509168701</v>
      </c>
      <c r="L130">
        <v>4.4174783570172845E-5</v>
      </c>
      <c r="M130">
        <v>9.0323901727877301E-7</v>
      </c>
      <c r="N130" s="1">
        <v>6.9368725429263896E-10</v>
      </c>
      <c r="O130" s="1">
        <v>1.6127097706192199E-13</v>
      </c>
      <c r="P130" s="1">
        <v>-8.0890325450106905E-13</v>
      </c>
      <c r="Q130">
        <v>50.207301409309999</v>
      </c>
      <c r="R130">
        <v>2.30646005898778E-2</v>
      </c>
      <c r="S130">
        <v>2.50344649639421</v>
      </c>
      <c r="T130">
        <v>0.57776439377459698</v>
      </c>
      <c r="V130">
        <v>29.555302912026399</v>
      </c>
      <c r="X130">
        <v>16.966763180817601</v>
      </c>
      <c r="AA130">
        <v>0.15344433688492301</v>
      </c>
      <c r="AB130">
        <v>1.29126702022101E-2</v>
      </c>
      <c r="AJ130">
        <v>-1.0114604938181699</v>
      </c>
      <c r="AK130">
        <v>0.99270053729749896</v>
      </c>
      <c r="AL130">
        <v>0.95238871768562405</v>
      </c>
      <c r="AM130">
        <v>4.8654004043635499E-2</v>
      </c>
      <c r="AN130">
        <v>-4.7317348461768501E-2</v>
      </c>
      <c r="AO130">
        <v>6.4069897756441896E-2</v>
      </c>
      <c r="AP130">
        <v>9.6468549674439102E-4</v>
      </c>
    </row>
    <row r="131" spans="1:42" x14ac:dyDescent="0.2">
      <c r="A131">
        <v>279</v>
      </c>
      <c r="B131">
        <v>752</v>
      </c>
      <c r="C131">
        <v>130</v>
      </c>
      <c r="D131">
        <v>0.45449007462322599</v>
      </c>
      <c r="E131">
        <v>0.53845439753434399</v>
      </c>
      <c r="F131">
        <v>3.5446012814002201</v>
      </c>
      <c r="G131">
        <v>-7.0594889002773185</v>
      </c>
      <c r="H131">
        <v>-5.9992782697579745</v>
      </c>
      <c r="I131">
        <v>1.0342004882400999</v>
      </c>
      <c r="J131">
        <v>0.61026073352307098</v>
      </c>
      <c r="K131">
        <v>0.15190831204621</v>
      </c>
      <c r="L131">
        <v>4.416422131045002E-5</v>
      </c>
      <c r="M131">
        <v>9.0344864708387211E-7</v>
      </c>
      <c r="N131" s="1">
        <v>7.2756205133170004E-10</v>
      </c>
      <c r="O131" s="1">
        <v>1.6575942456782099E-13</v>
      </c>
      <c r="P131" s="1">
        <v>-1.0872625268519699E-12</v>
      </c>
      <c r="Q131">
        <v>50.106068516257103</v>
      </c>
      <c r="R131">
        <v>2.3460352687899502E-2</v>
      </c>
      <c r="S131">
        <v>2.6241762991781501</v>
      </c>
      <c r="T131">
        <v>0.58782438594331898</v>
      </c>
      <c r="V131">
        <v>29.647350968468601</v>
      </c>
      <c r="X131">
        <v>16.855833565068</v>
      </c>
      <c r="AA131">
        <v>0.14261644937319601</v>
      </c>
      <c r="AB131">
        <v>1.26694630236208E-2</v>
      </c>
      <c r="AJ131">
        <v>-1.0182869714151499</v>
      </c>
      <c r="AK131">
        <v>0.99316232928381498</v>
      </c>
      <c r="AL131">
        <v>0.95582942835475704</v>
      </c>
      <c r="AM131">
        <v>5.1295517786176102E-2</v>
      </c>
      <c r="AN131">
        <v>-4.9935251950409203E-2</v>
      </c>
      <c r="AO131">
        <v>6.6987961906212201E-2</v>
      </c>
      <c r="AP131">
        <v>9.4698603459991704E-4</v>
      </c>
    </row>
    <row r="132" spans="1:42" x14ac:dyDescent="0.2">
      <c r="A132">
        <v>290</v>
      </c>
      <c r="B132">
        <v>772</v>
      </c>
      <c r="C132">
        <v>120</v>
      </c>
      <c r="D132">
        <v>0.47679328326077502</v>
      </c>
      <c r="E132">
        <v>0.149719602287672</v>
      </c>
      <c r="F132">
        <v>3.5392803318452102</v>
      </c>
      <c r="G132">
        <v>-1.9614625004636648</v>
      </c>
      <c r="H132">
        <v>-1.6577174872081741</v>
      </c>
      <c r="I132">
        <v>0.29062336818207002</v>
      </c>
      <c r="J132">
        <v>0.16955416373556401</v>
      </c>
      <c r="K132">
        <v>4.2302272849242199E-2</v>
      </c>
      <c r="L132">
        <v>4.4352221501804933E-5</v>
      </c>
      <c r="M132">
        <v>9.0576520460936584E-7</v>
      </c>
      <c r="N132" s="1">
        <v>1.7417933963563001E-10</v>
      </c>
      <c r="O132" s="1">
        <v>4.2417222859945097E-14</v>
      </c>
      <c r="P132" s="1">
        <v>3.3554414437515298E-13</v>
      </c>
      <c r="Q132">
        <v>50.602130507165498</v>
      </c>
      <c r="R132">
        <v>1.11611515821026E-2</v>
      </c>
      <c r="S132">
        <v>1.6535349093020699</v>
      </c>
      <c r="T132">
        <v>0.55702231715231998</v>
      </c>
      <c r="V132">
        <v>30.011577823010199</v>
      </c>
      <c r="X132">
        <v>16.885991911522801</v>
      </c>
      <c r="AA132">
        <v>0.264075070294093</v>
      </c>
      <c r="AB132">
        <v>1.45063099707425E-2</v>
      </c>
      <c r="AJ132">
        <v>-1.0039971805496199</v>
      </c>
      <c r="AK132">
        <v>0.98798543839587305</v>
      </c>
      <c r="AL132">
        <v>0.96941344736282298</v>
      </c>
      <c r="AM132">
        <v>2.93220512291976E-2</v>
      </c>
      <c r="AN132">
        <v>-2.8673679651707602E-2</v>
      </c>
      <c r="AO132">
        <v>4.48635775685833E-2</v>
      </c>
      <c r="AP132">
        <v>1.08634564484976E-3</v>
      </c>
    </row>
    <row r="133" spans="1:42" x14ac:dyDescent="0.2">
      <c r="A133">
        <v>291</v>
      </c>
      <c r="B133">
        <v>770</v>
      </c>
      <c r="C133">
        <v>120</v>
      </c>
      <c r="D133">
        <v>0.47565594593299199</v>
      </c>
      <c r="E133">
        <v>0.325423869136369</v>
      </c>
      <c r="F133">
        <v>3.5346114506865498</v>
      </c>
      <c r="G133">
        <v>-4.2777404658135492</v>
      </c>
      <c r="H133">
        <v>-3.6189541530875449</v>
      </c>
      <c r="I133">
        <v>0.63153555358865499</v>
      </c>
      <c r="J133">
        <v>0.36915528903280298</v>
      </c>
      <c r="K133">
        <v>9.2067791234354504E-2</v>
      </c>
      <c r="L133">
        <v>4.428782252844369E-5</v>
      </c>
      <c r="M133">
        <v>9.0411266192571969E-7</v>
      </c>
      <c r="N133" s="1">
        <v>3.8305062173358699E-10</v>
      </c>
      <c r="O133" s="1">
        <v>9.4231392585559795E-14</v>
      </c>
      <c r="P133" s="1">
        <v>5.8664497956341504E-13</v>
      </c>
      <c r="Q133">
        <v>50.645404253185099</v>
      </c>
      <c r="R133">
        <v>1.43227608820993E-2</v>
      </c>
      <c r="S133">
        <v>1.7605869267635601</v>
      </c>
      <c r="T133">
        <v>0.54799756175887804</v>
      </c>
      <c r="V133">
        <v>29.619884171167001</v>
      </c>
      <c r="X133">
        <v>17.1458471490668</v>
      </c>
      <c r="AA133">
        <v>0.25167773886483202</v>
      </c>
      <c r="AB133">
        <v>1.42794383115305E-2</v>
      </c>
      <c r="AJ133">
        <v>-0.99224098913225001</v>
      </c>
      <c r="AK133">
        <v>0.98853883174720003</v>
      </c>
      <c r="AL133">
        <v>0.95481473733160305</v>
      </c>
      <c r="AM133">
        <v>3.1925051207904898E-2</v>
      </c>
      <c r="AN133">
        <v>-3.1094708740900201E-2</v>
      </c>
      <c r="AO133">
        <v>4.69898974195571E-2</v>
      </c>
      <c r="AP133">
        <v>1.06718016688517E-3</v>
      </c>
    </row>
    <row r="134" spans="1:42" x14ac:dyDescent="0.2">
      <c r="A134">
        <v>292</v>
      </c>
      <c r="B134">
        <v>768</v>
      </c>
      <c r="C134">
        <v>120</v>
      </c>
      <c r="D134">
        <v>0.474514239062578</v>
      </c>
      <c r="E134">
        <v>0.39638968385836898</v>
      </c>
      <c r="F134">
        <v>3.53290808939636</v>
      </c>
      <c r="G134">
        <v>-5.2187225572542841</v>
      </c>
      <c r="H134">
        <v>-4.4183589732052901</v>
      </c>
      <c r="I134">
        <v>0.76873033093117504</v>
      </c>
      <c r="J134">
        <v>0.450024338245674</v>
      </c>
      <c r="K134">
        <v>0.11219926299472301</v>
      </c>
      <c r="L134">
        <v>4.4247799679328532E-5</v>
      </c>
      <c r="M134">
        <v>9.032286877690485E-7</v>
      </c>
      <c r="N134" s="1">
        <v>4.7359897875633695E-10</v>
      </c>
      <c r="O134" s="1">
        <v>1.1666465772622799E-13</v>
      </c>
      <c r="P134" s="1">
        <v>5.1732699393991495E-13</v>
      </c>
      <c r="Q134">
        <v>50.629729138805402</v>
      </c>
      <c r="R134">
        <v>1.6654510004729201E-2</v>
      </c>
      <c r="S134">
        <v>1.8739502751227499</v>
      </c>
      <c r="T134">
        <v>0.54785383802785304</v>
      </c>
      <c r="V134">
        <v>29.4244513323723</v>
      </c>
      <c r="X134">
        <v>17.2597686411839</v>
      </c>
      <c r="AA134">
        <v>0.23353978742190001</v>
      </c>
      <c r="AB134">
        <v>1.40524770609848E-2</v>
      </c>
      <c r="AJ134">
        <v>-0.98832870533509898</v>
      </c>
      <c r="AK134">
        <v>0.989315792807415</v>
      </c>
      <c r="AL134">
        <v>0.94754608160339004</v>
      </c>
      <c r="AM134">
        <v>3.4542895820798399E-2</v>
      </c>
      <c r="AN134">
        <v>-3.35783595200351E-2</v>
      </c>
      <c r="AO134">
        <v>4.9453149141597597E-2</v>
      </c>
      <c r="AP134">
        <v>1.04914548193267E-3</v>
      </c>
    </row>
    <row r="135" spans="1:42" x14ac:dyDescent="0.2">
      <c r="A135">
        <v>293</v>
      </c>
      <c r="B135">
        <v>766</v>
      </c>
      <c r="C135">
        <v>120</v>
      </c>
      <c r="D135">
        <v>0.47336813742000999</v>
      </c>
      <c r="E135">
        <v>0.43552622903416</v>
      </c>
      <c r="F135">
        <v>3.5324327485416598</v>
      </c>
      <c r="G135">
        <v>-5.738445412930063</v>
      </c>
      <c r="H135">
        <v>-4.8615179371685224</v>
      </c>
      <c r="I135">
        <v>0.84388921306985298</v>
      </c>
      <c r="J135">
        <v>0.49466714528015798</v>
      </c>
      <c r="K135">
        <v>0.123293565663483</v>
      </c>
      <c r="L135">
        <v>4.4218431865590024E-5</v>
      </c>
      <c r="M135">
        <v>9.0269050384737337E-7</v>
      </c>
      <c r="N135" s="1">
        <v>5.28439806736774E-10</v>
      </c>
      <c r="O135" s="1">
        <v>1.29862249251246E-13</v>
      </c>
      <c r="P135" s="1">
        <v>3.5503318396572298E-13</v>
      </c>
      <c r="Q135">
        <v>50.591804506914499</v>
      </c>
      <c r="R135">
        <v>1.8552244501804298E-2</v>
      </c>
      <c r="S135">
        <v>1.98499828784118</v>
      </c>
      <c r="T135">
        <v>0.55046432121448996</v>
      </c>
      <c r="V135">
        <v>29.313674443086899</v>
      </c>
      <c r="X135">
        <v>17.310417548840601</v>
      </c>
      <c r="AA135">
        <v>0.21625282096561799</v>
      </c>
      <c r="AB135">
        <v>1.3835826634778199E-2</v>
      </c>
      <c r="AJ135">
        <v>-0.98752235910466102</v>
      </c>
      <c r="AK135">
        <v>0.99005094168416397</v>
      </c>
      <c r="AL135">
        <v>0.943431415111886</v>
      </c>
      <c r="AM135">
        <v>3.7066447542278898E-2</v>
      </c>
      <c r="AN135">
        <v>-3.5992628049200497E-2</v>
      </c>
      <c r="AO135">
        <v>5.1933811217338602E-2</v>
      </c>
      <c r="AP135">
        <v>1.0323715981929199E-3</v>
      </c>
    </row>
    <row r="136" spans="1:42" x14ac:dyDescent="0.2">
      <c r="A136">
        <v>294</v>
      </c>
      <c r="B136">
        <v>764</v>
      </c>
      <c r="C136">
        <v>120</v>
      </c>
      <c r="D136">
        <v>0.47221761558116099</v>
      </c>
      <c r="E136">
        <v>0.46111969229847</v>
      </c>
      <c r="F136">
        <v>3.5325692746478499</v>
      </c>
      <c r="G136">
        <v>-6.0779603673272282</v>
      </c>
      <c r="H136">
        <v>-5.1521930158299201</v>
      </c>
      <c r="I136">
        <v>0.892607001395467</v>
      </c>
      <c r="J136">
        <v>0.52385141968540105</v>
      </c>
      <c r="K136">
        <v>0.13053380031575901</v>
      </c>
      <c r="L136">
        <v>4.4194238048733948E-5</v>
      </c>
      <c r="M136">
        <v>9.0233164519138788E-7</v>
      </c>
      <c r="N136" s="1">
        <v>5.6840501786170001E-10</v>
      </c>
      <c r="O136" s="1">
        <v>1.3900259092744399E-13</v>
      </c>
      <c r="P136" s="1">
        <v>1.5705455311037101E-13</v>
      </c>
      <c r="Q136">
        <v>50.5436565005677</v>
      </c>
      <c r="R136">
        <v>2.0195647602732601E-2</v>
      </c>
      <c r="S136">
        <v>2.0929847271784898</v>
      </c>
      <c r="T136">
        <v>0.55402769190686596</v>
      </c>
      <c r="V136">
        <v>29.246406781510402</v>
      </c>
      <c r="X136">
        <v>17.3283957710577</v>
      </c>
      <c r="AA136">
        <v>0.200702770826478</v>
      </c>
      <c r="AB136">
        <v>1.36301093494498E-2</v>
      </c>
      <c r="AJ136">
        <v>-0.988207092017517</v>
      </c>
      <c r="AK136">
        <v>0.99071072633518198</v>
      </c>
      <c r="AL136">
        <v>0.94093581205919197</v>
      </c>
      <c r="AM136">
        <v>3.9505148663051E-2</v>
      </c>
      <c r="AN136">
        <v>-3.8336618259118001E-2</v>
      </c>
      <c r="AO136">
        <v>5.4375358658364598E-2</v>
      </c>
      <c r="AP136">
        <v>1.0166645608436101E-3</v>
      </c>
    </row>
    <row r="137" spans="1:42" x14ac:dyDescent="0.2">
      <c r="A137">
        <v>295</v>
      </c>
      <c r="B137">
        <v>762</v>
      </c>
      <c r="C137">
        <v>120</v>
      </c>
      <c r="D137">
        <v>0.47106264792542502</v>
      </c>
      <c r="E137">
        <v>0.47968808206100899</v>
      </c>
      <c r="F137">
        <v>3.5330574782593902</v>
      </c>
      <c r="G137">
        <v>-6.3236116637065782</v>
      </c>
      <c r="H137">
        <v>-5.3634206353968814</v>
      </c>
      <c r="I137">
        <v>0.92758636749234002</v>
      </c>
      <c r="J137">
        <v>0.54499831942501697</v>
      </c>
      <c r="K137">
        <v>0.13577137791070701</v>
      </c>
      <c r="L137">
        <v>4.4172744633235812E-5</v>
      </c>
      <c r="M137">
        <v>9.0207723319083007E-7</v>
      </c>
      <c r="N137" s="1">
        <v>6.0103300164546E-10</v>
      </c>
      <c r="O137" s="1">
        <v>1.4597003309109899E-13</v>
      </c>
      <c r="P137" s="1">
        <v>-5.7565818558294505E-14</v>
      </c>
      <c r="Q137">
        <v>50.490024361551598</v>
      </c>
      <c r="R137">
        <v>2.1673703761137E-2</v>
      </c>
      <c r="S137">
        <v>2.1983642420892999</v>
      </c>
      <c r="T137">
        <v>0.55790225940262494</v>
      </c>
      <c r="V137">
        <v>29.2047688412983</v>
      </c>
      <c r="X137">
        <v>17.327006764702102</v>
      </c>
      <c r="AA137">
        <v>0.18682590323951101</v>
      </c>
      <c r="AB137">
        <v>1.3433923955257301E-2</v>
      </c>
      <c r="AJ137">
        <v>-0.98972089534964802</v>
      </c>
      <c r="AK137">
        <v>0.991299218195131</v>
      </c>
      <c r="AL137">
        <v>0.93939335801768797</v>
      </c>
      <c r="AM137">
        <v>4.1879084509694901E-2</v>
      </c>
      <c r="AN137">
        <v>-4.0625303764298598E-2</v>
      </c>
      <c r="AO137">
        <v>5.6772723551153197E-2</v>
      </c>
      <c r="AP137">
        <v>1.0018148402785301E-3</v>
      </c>
    </row>
    <row r="138" spans="1:42" x14ac:dyDescent="0.2">
      <c r="A138">
        <v>296</v>
      </c>
      <c r="B138">
        <v>760</v>
      </c>
      <c r="C138">
        <v>120</v>
      </c>
      <c r="D138">
        <v>0.46990320863379098</v>
      </c>
      <c r="E138">
        <v>0.49412785780436103</v>
      </c>
      <c r="F138">
        <v>3.5337697241722998</v>
      </c>
      <c r="G138">
        <v>-6.5139065507103284</v>
      </c>
      <c r="H138">
        <v>-5.5277884418897578</v>
      </c>
      <c r="I138">
        <v>0.95447718997296804</v>
      </c>
      <c r="J138">
        <v>0.56141196484357303</v>
      </c>
      <c r="K138">
        <v>0.13983023693489199</v>
      </c>
      <c r="L138">
        <v>4.4152674681708972E-5</v>
      </c>
      <c r="M138">
        <v>9.0188867547127325E-7</v>
      </c>
      <c r="N138" s="1">
        <v>6.29733870073765E-10</v>
      </c>
      <c r="O138" s="1">
        <v>1.5161696332900999E-13</v>
      </c>
      <c r="P138" s="1">
        <v>-2.81204658079741E-13</v>
      </c>
      <c r="Q138">
        <v>50.433075236610399</v>
      </c>
      <c r="R138">
        <v>2.30359420004572E-2</v>
      </c>
      <c r="S138">
        <v>2.3017118097760898</v>
      </c>
      <c r="T138">
        <v>0.56182627130354701</v>
      </c>
      <c r="V138">
        <v>29.179764441849802</v>
      </c>
      <c r="X138">
        <v>17.312937467324399</v>
      </c>
      <c r="AA138">
        <v>0.174403138927087</v>
      </c>
      <c r="AB138">
        <v>1.3245692208000899E-2</v>
      </c>
      <c r="AJ138">
        <v>-0.99174761042301096</v>
      </c>
      <c r="AK138">
        <v>0.99182623189913999</v>
      </c>
      <c r="AL138">
        <v>0.93846931746139495</v>
      </c>
      <c r="AM138">
        <v>4.4205491258746898E-2</v>
      </c>
      <c r="AN138">
        <v>-4.2873077760195499E-2</v>
      </c>
      <c r="AO138">
        <v>5.9131995856677201E-2</v>
      </c>
      <c r="AP138">
        <v>9.8765170724657509E-4</v>
      </c>
    </row>
    <row r="139" spans="1:42" x14ac:dyDescent="0.2">
      <c r="A139">
        <v>297</v>
      </c>
      <c r="B139">
        <v>758</v>
      </c>
      <c r="C139">
        <v>120</v>
      </c>
      <c r="D139">
        <v>0.46873927168695301</v>
      </c>
      <c r="E139">
        <v>0.50592731676429403</v>
      </c>
      <c r="F139">
        <v>3.53463622735647</v>
      </c>
      <c r="G139">
        <v>-6.66868613068538</v>
      </c>
      <c r="H139">
        <v>-5.6620933719708253</v>
      </c>
      <c r="I139">
        <v>0.97618460817005703</v>
      </c>
      <c r="J139">
        <v>0.57479273544055798</v>
      </c>
      <c r="K139">
        <v>0.14313419662500099</v>
      </c>
      <c r="L139">
        <v>4.4133293632658707E-5</v>
      </c>
      <c r="M139">
        <v>9.0174392675912583E-7</v>
      </c>
      <c r="N139" s="1">
        <v>6.5629575669526004E-10</v>
      </c>
      <c r="O139" s="1">
        <v>1.5638813891080799E-13</v>
      </c>
      <c r="P139" s="1">
        <v>-5.1041460871082696E-13</v>
      </c>
      <c r="Q139">
        <v>50.3739073099687</v>
      </c>
      <c r="R139">
        <v>2.43125462396367E-2</v>
      </c>
      <c r="S139">
        <v>2.4035331485653502</v>
      </c>
      <c r="T139">
        <v>0.56568495943293595</v>
      </c>
      <c r="V139">
        <v>29.1663540155993</v>
      </c>
      <c r="X139">
        <v>17.289926148500101</v>
      </c>
      <c r="AA139">
        <v>0.16321783633813</v>
      </c>
      <c r="AB139">
        <v>1.30640353557349E-2</v>
      </c>
      <c r="AJ139">
        <v>-0.99411883116080302</v>
      </c>
      <c r="AK139">
        <v>0.99230116334391805</v>
      </c>
      <c r="AL139">
        <v>0.93797629884681499</v>
      </c>
      <c r="AM139">
        <v>4.64978172629519E-2</v>
      </c>
      <c r="AN139">
        <v>-4.50916566882828E-2</v>
      </c>
      <c r="AO139">
        <v>6.14611658387995E-2</v>
      </c>
      <c r="AP139">
        <v>9.7404255660058696E-4</v>
      </c>
    </row>
    <row r="140" spans="1:42" x14ac:dyDescent="0.2">
      <c r="A140">
        <v>298</v>
      </c>
      <c r="B140">
        <v>756</v>
      </c>
      <c r="C140">
        <v>120</v>
      </c>
      <c r="D140">
        <v>0.46757081086333502</v>
      </c>
      <c r="E140">
        <v>0.52331045323012904</v>
      </c>
      <c r="F140">
        <v>3.5391305489501299</v>
      </c>
      <c r="G140">
        <v>-6.8826849234722705</v>
      </c>
      <c r="H140">
        <v>-5.8451998445688238</v>
      </c>
      <c r="I140">
        <v>1.0080989932502</v>
      </c>
      <c r="J140">
        <v>0.59396155673096496</v>
      </c>
      <c r="K140">
        <v>0.14786412820667699</v>
      </c>
      <c r="L140">
        <v>4.4144586650688588E-5</v>
      </c>
      <c r="M140">
        <v>9.0244343167816849E-7</v>
      </c>
      <c r="N140" s="1">
        <v>6.9203894330959797E-10</v>
      </c>
      <c r="O140" s="1">
        <v>1.61818055306275E-13</v>
      </c>
      <c r="P140" s="1">
        <v>-7.97706586976129E-13</v>
      </c>
      <c r="Q140">
        <v>50.229001500360297</v>
      </c>
      <c r="R140">
        <v>2.3797180751067199E-2</v>
      </c>
      <c r="S140">
        <v>2.5390986170785101</v>
      </c>
      <c r="T140">
        <v>0.58303182928085495</v>
      </c>
      <c r="V140">
        <v>29.378382269027</v>
      </c>
      <c r="X140">
        <v>17.083612596864999</v>
      </c>
      <c r="AA140">
        <v>0.15033145761455799</v>
      </c>
      <c r="AB140">
        <v>1.2744549022599401E-2</v>
      </c>
      <c r="AJ140">
        <v>-1.00592137045344</v>
      </c>
      <c r="AK140">
        <v>0.99284786562407501</v>
      </c>
      <c r="AL140">
        <v>0.94586021752004401</v>
      </c>
      <c r="AM140">
        <v>4.9371488438872402E-2</v>
      </c>
      <c r="AN140">
        <v>-4.79935832290206E-2</v>
      </c>
      <c r="AO140">
        <v>6.48840888446644E-2</v>
      </c>
      <c r="AP140">
        <v>9.5129325481044301E-4</v>
      </c>
    </row>
    <row r="141" spans="1:42" x14ac:dyDescent="0.2">
      <c r="A141">
        <v>310</v>
      </c>
      <c r="B141">
        <v>776</v>
      </c>
      <c r="C141">
        <v>110</v>
      </c>
      <c r="D141">
        <v>0.48953962731735601</v>
      </c>
      <c r="E141">
        <v>0.16823545221702299</v>
      </c>
      <c r="F141">
        <v>3.5353295868341901</v>
      </c>
      <c r="G141">
        <v>-2.2098241724910697</v>
      </c>
      <c r="H141">
        <v>-1.8662623499680941</v>
      </c>
      <c r="I141">
        <v>0.32746682793020498</v>
      </c>
      <c r="J141">
        <v>0.19076920002553299</v>
      </c>
      <c r="K141">
        <v>4.7586921695658299E-2</v>
      </c>
      <c r="L141">
        <v>4.4327665289483027E-5</v>
      </c>
      <c r="M141">
        <v>9.0477390538597925E-7</v>
      </c>
      <c r="N141" s="1">
        <v>1.9626833641243399E-10</v>
      </c>
      <c r="O141" s="1">
        <v>4.7794748211022502E-14</v>
      </c>
      <c r="P141" s="1">
        <v>4.1812684724730499E-13</v>
      </c>
      <c r="Q141">
        <v>50.658656933006</v>
      </c>
      <c r="R141">
        <v>1.1423405958241499E-2</v>
      </c>
      <c r="S141">
        <v>1.64468155549062</v>
      </c>
      <c r="T141">
        <v>0.56128071221820897</v>
      </c>
      <c r="V141">
        <v>29.803381884189299</v>
      </c>
      <c r="X141">
        <v>17.038295816193799</v>
      </c>
      <c r="AA141">
        <v>0.26783608534130499</v>
      </c>
      <c r="AB141">
        <v>1.44436076024941E-2</v>
      </c>
      <c r="AJ141">
        <v>-0.99596419398673297</v>
      </c>
      <c r="AK141">
        <v>0.98784697103499897</v>
      </c>
      <c r="AL141">
        <v>0.96170094524273797</v>
      </c>
      <c r="AM141">
        <v>2.9038802839086001E-2</v>
      </c>
      <c r="AN141">
        <v>-2.8375877137563399E-2</v>
      </c>
      <c r="AO141">
        <v>4.46728115319504E-2</v>
      </c>
      <c r="AP141">
        <v>1.08054047552297E-3</v>
      </c>
    </row>
    <row r="142" spans="1:42" x14ac:dyDescent="0.2">
      <c r="A142">
        <v>311</v>
      </c>
      <c r="B142">
        <v>774</v>
      </c>
      <c r="C142">
        <v>110</v>
      </c>
      <c r="D142">
        <v>0.48843097932483898</v>
      </c>
      <c r="E142">
        <v>0.321597781301519</v>
      </c>
      <c r="F142">
        <v>3.5312593765130602</v>
      </c>
      <c r="G142">
        <v>-4.236862142997631</v>
      </c>
      <c r="H142">
        <v>-3.5815759716544329</v>
      </c>
      <c r="I142">
        <v>0.62578061533037099</v>
      </c>
      <c r="J142">
        <v>0.36520956918344299</v>
      </c>
      <c r="K142">
        <v>9.1071696245400499E-2</v>
      </c>
      <c r="L142">
        <v>4.4266092940343565E-5</v>
      </c>
      <c r="M142">
        <v>9.0329274357277324E-7</v>
      </c>
      <c r="N142" s="1">
        <v>3.7976372822577401E-10</v>
      </c>
      <c r="O142" s="1">
        <v>9.3246812105603396E-14</v>
      </c>
      <c r="P142" s="1">
        <v>6.62095839372934E-13</v>
      </c>
      <c r="Q142">
        <v>50.692453588280003</v>
      </c>
      <c r="R142">
        <v>1.4349838745080799E-2</v>
      </c>
      <c r="S142">
        <v>1.74793388064004</v>
      </c>
      <c r="T142">
        <v>0.55385526956694198</v>
      </c>
      <c r="V142">
        <v>29.4536709498303</v>
      </c>
      <c r="X142">
        <v>17.268245764611201</v>
      </c>
      <c r="AA142">
        <v>0.25527588099370602</v>
      </c>
      <c r="AB142">
        <v>1.42148273325669E-2</v>
      </c>
      <c r="AJ142">
        <v>-0.98573950708628899</v>
      </c>
      <c r="AK142">
        <v>0.98840442096132197</v>
      </c>
      <c r="AL142">
        <v>0.94869101379888199</v>
      </c>
      <c r="AM142">
        <v>3.1530437198573201E-2</v>
      </c>
      <c r="AN142">
        <v>-3.0699195870036101E-2</v>
      </c>
      <c r="AO142">
        <v>4.6751336351510402E-2</v>
      </c>
      <c r="AP142">
        <v>1.06149464603761E-3</v>
      </c>
    </row>
    <row r="143" spans="1:42" x14ac:dyDescent="0.2">
      <c r="A143">
        <v>312</v>
      </c>
      <c r="B143">
        <v>772</v>
      </c>
      <c r="C143">
        <v>110</v>
      </c>
      <c r="D143">
        <v>0.48731808831268297</v>
      </c>
      <c r="E143">
        <v>0.38861228141667098</v>
      </c>
      <c r="F143">
        <v>3.5296755419466499</v>
      </c>
      <c r="G143">
        <v>-5.1271998411172772</v>
      </c>
      <c r="H143">
        <v>-4.3374297159223181</v>
      </c>
      <c r="I143">
        <v>0.755652418499696</v>
      </c>
      <c r="J143">
        <v>0.44164397721239601</v>
      </c>
      <c r="K143">
        <v>0.11009858464281</v>
      </c>
      <c r="L143">
        <v>4.4226836113761302E-5</v>
      </c>
      <c r="M143">
        <v>9.0246489050415872E-7</v>
      </c>
      <c r="N143" s="1">
        <v>4.6512899845593102E-10</v>
      </c>
      <c r="O143" s="1">
        <v>1.1447524376945701E-13</v>
      </c>
      <c r="P143" s="1">
        <v>6.1521495195262697E-13</v>
      </c>
      <c r="Q143">
        <v>50.676801718910902</v>
      </c>
      <c r="R143">
        <v>1.6583544128284101E-2</v>
      </c>
      <c r="S143">
        <v>1.8565575512863199</v>
      </c>
      <c r="T143">
        <v>0.55380835030553399</v>
      </c>
      <c r="V143">
        <v>29.268738773811201</v>
      </c>
      <c r="X143">
        <v>17.375855934304699</v>
      </c>
      <c r="AA143">
        <v>0.23766249926171201</v>
      </c>
      <c r="AB143">
        <v>1.3991627991082899E-2</v>
      </c>
      <c r="AJ143">
        <v>-0.98209732794943905</v>
      </c>
      <c r="AK143">
        <v>0.989158401807267</v>
      </c>
      <c r="AL143">
        <v>0.94182326729388099</v>
      </c>
      <c r="AM143">
        <v>3.4036573949554498E-2</v>
      </c>
      <c r="AN143">
        <v>-3.3076869500098603E-2</v>
      </c>
      <c r="AO143">
        <v>4.9112137029168099E-2</v>
      </c>
      <c r="AP143">
        <v>1.0438173696668701E-3</v>
      </c>
    </row>
    <row r="144" spans="1:42" x14ac:dyDescent="0.2">
      <c r="A144">
        <v>313</v>
      </c>
      <c r="B144">
        <v>770</v>
      </c>
      <c r="C144">
        <v>110</v>
      </c>
      <c r="D144">
        <v>0.486200929875856</v>
      </c>
      <c r="E144">
        <v>0.42675144171074297</v>
      </c>
      <c r="F144">
        <v>3.52919924173947</v>
      </c>
      <c r="G144">
        <v>-5.6346446632714651</v>
      </c>
      <c r="H144">
        <v>-4.7697804281764578</v>
      </c>
      <c r="I144">
        <v>0.82908904289412599</v>
      </c>
      <c r="J144">
        <v>0.48518450465116397</v>
      </c>
      <c r="K144">
        <v>0.12092018967464201</v>
      </c>
      <c r="L144">
        <v>4.419787687249734E-5</v>
      </c>
      <c r="M144">
        <v>9.0195076478213743E-7</v>
      </c>
      <c r="N144" s="1">
        <v>5.1776058994326701E-10</v>
      </c>
      <c r="O144" s="1">
        <v>1.27345773133424E-13</v>
      </c>
      <c r="P144" s="1">
        <v>4.7492073304362996E-13</v>
      </c>
      <c r="Q144">
        <v>50.640970899350499</v>
      </c>
      <c r="R144">
        <v>1.8430436494594599E-2</v>
      </c>
      <c r="S144">
        <v>1.96332958295514</v>
      </c>
      <c r="T144">
        <v>0.55623690598333397</v>
      </c>
      <c r="V144">
        <v>29.1601295017255</v>
      </c>
      <c r="X144">
        <v>17.426418551273699</v>
      </c>
      <c r="AA144">
        <v>0.22070414581778899</v>
      </c>
      <c r="AB144">
        <v>1.3779976399227199E-2</v>
      </c>
      <c r="AJ144">
        <v>-0.981260321845565</v>
      </c>
      <c r="AK144">
        <v>0.98987907289218102</v>
      </c>
      <c r="AL144">
        <v>0.93779440964693095</v>
      </c>
      <c r="AM144">
        <v>3.6462976807305598E-2</v>
      </c>
      <c r="AN144">
        <v>-3.5396998018949098E-2</v>
      </c>
      <c r="AO144">
        <v>5.1493418013998697E-2</v>
      </c>
      <c r="AP144">
        <v>1.0274425040969501E-3</v>
      </c>
    </row>
    <row r="145" spans="1:42" x14ac:dyDescent="0.2">
      <c r="A145">
        <v>314</v>
      </c>
      <c r="B145">
        <v>768</v>
      </c>
      <c r="C145">
        <v>110</v>
      </c>
      <c r="D145">
        <v>0.48507947942179502</v>
      </c>
      <c r="E145">
        <v>0.45205375226085898</v>
      </c>
      <c r="F145">
        <v>3.5292978734329501</v>
      </c>
      <c r="G145">
        <v>-5.9709958814235131</v>
      </c>
      <c r="H145">
        <v>-5.057495350121183</v>
      </c>
      <c r="I145">
        <v>0.87739569831660302</v>
      </c>
      <c r="J145">
        <v>0.51406164272530896</v>
      </c>
      <c r="K145">
        <v>0.12808602970685101</v>
      </c>
      <c r="L145">
        <v>4.4174129433269449E-5</v>
      </c>
      <c r="M145">
        <v>9.0160554099667938E-7</v>
      </c>
      <c r="N145" s="1">
        <v>5.5610007805537398E-10</v>
      </c>
      <c r="O145" s="1">
        <v>1.36387029460137E-13</v>
      </c>
      <c r="P145" s="1">
        <v>2.9631716128940302E-13</v>
      </c>
      <c r="Q145">
        <v>50.595429819049997</v>
      </c>
      <c r="R145">
        <v>2.0042333877455801E-2</v>
      </c>
      <c r="S145">
        <v>2.06743585718473</v>
      </c>
      <c r="T145">
        <v>0.559565233603873</v>
      </c>
      <c r="V145">
        <v>29.092336479825001</v>
      </c>
      <c r="X145">
        <v>17.446293143854199</v>
      </c>
      <c r="AA145">
        <v>0.20531762929922401</v>
      </c>
      <c r="AB145">
        <v>1.3579503305402901E-2</v>
      </c>
      <c r="AJ145">
        <v>-0.98182688069989199</v>
      </c>
      <c r="AK145">
        <v>0.99053133975754204</v>
      </c>
      <c r="AL145">
        <v>0.93528209115313499</v>
      </c>
      <c r="AM145">
        <v>3.8814326083282599E-2</v>
      </c>
      <c r="AN145">
        <v>-3.76555298895642E-2</v>
      </c>
      <c r="AO145">
        <v>5.38425178458641E-2</v>
      </c>
      <c r="AP145">
        <v>1.01213574963227E-3</v>
      </c>
    </row>
    <row r="146" spans="1:42" x14ac:dyDescent="0.2">
      <c r="A146">
        <v>315</v>
      </c>
      <c r="B146">
        <v>766</v>
      </c>
      <c r="C146">
        <v>110</v>
      </c>
      <c r="D146">
        <v>0.483953712168602</v>
      </c>
      <c r="E146">
        <v>0.47053840787578799</v>
      </c>
      <c r="F146">
        <v>3.5297352595460101</v>
      </c>
      <c r="G146">
        <v>-6.2161144023205912</v>
      </c>
      <c r="H146">
        <v>-5.2680621545657296</v>
      </c>
      <c r="I146">
        <v>0.91233435765275595</v>
      </c>
      <c r="J146">
        <v>0.53513354950097902</v>
      </c>
      <c r="K146">
        <v>0.133306997062524</v>
      </c>
      <c r="L146">
        <v>4.4153212357236243E-5</v>
      </c>
      <c r="M146">
        <v>9.0136098812462978E-7</v>
      </c>
      <c r="N146" s="1">
        <v>5.8718292289729803E-10</v>
      </c>
      <c r="O146" s="1">
        <v>1.4333206102070901E-13</v>
      </c>
      <c r="P146" s="1">
        <v>9.8901128382209595E-14</v>
      </c>
      <c r="Q146">
        <v>50.544522277635302</v>
      </c>
      <c r="R146">
        <v>2.1498230405803401E-2</v>
      </c>
      <c r="S146">
        <v>2.16919875524537</v>
      </c>
      <c r="T146">
        <v>0.56320189342986204</v>
      </c>
      <c r="V146">
        <v>29.049165276961201</v>
      </c>
      <c r="X146">
        <v>17.447523207892299</v>
      </c>
      <c r="AA146">
        <v>0.19150178158618</v>
      </c>
      <c r="AB146">
        <v>1.33885768438645E-2</v>
      </c>
      <c r="AJ146">
        <v>-0.98319384241138696</v>
      </c>
      <c r="AK146">
        <v>0.99111660996168205</v>
      </c>
      <c r="AL146">
        <v>0.93368407294962896</v>
      </c>
      <c r="AM146">
        <v>4.11069558982807E-2</v>
      </c>
      <c r="AN146">
        <v>-3.9864263170213299E-2</v>
      </c>
      <c r="AO146">
        <v>5.6152786070198399E-2</v>
      </c>
      <c r="AP146">
        <v>9.9768070181014204E-4</v>
      </c>
    </row>
    <row r="147" spans="1:42" x14ac:dyDescent="0.2">
      <c r="A147">
        <v>316</v>
      </c>
      <c r="B147">
        <v>764</v>
      </c>
      <c r="C147">
        <v>110</v>
      </c>
      <c r="D147">
        <v>0.48282360314323097</v>
      </c>
      <c r="E147">
        <v>0.48495807725540302</v>
      </c>
      <c r="F147">
        <v>3.5303920254280601</v>
      </c>
      <c r="G147">
        <v>-6.4066492489191074</v>
      </c>
      <c r="H147">
        <v>-5.4324660500016346</v>
      </c>
      <c r="I147">
        <v>0.93928862644504096</v>
      </c>
      <c r="J147">
        <v>0.55154236318511896</v>
      </c>
      <c r="K147">
        <v>0.13736663627224199</v>
      </c>
      <c r="L147">
        <v>4.4133868588099868E-5</v>
      </c>
      <c r="M147">
        <v>9.0118094873389875E-7</v>
      </c>
      <c r="N147" s="1">
        <v>6.1428474075593895E-10</v>
      </c>
      <c r="O147" s="1">
        <v>1.4898703386576301E-13</v>
      </c>
      <c r="P147" s="1">
        <v>-1.09154642894593E-13</v>
      </c>
      <c r="Q147">
        <v>50.490302400053203</v>
      </c>
      <c r="R147">
        <v>2.28433888904182E-2</v>
      </c>
      <c r="S147">
        <v>2.2690993786579599</v>
      </c>
      <c r="T147">
        <v>0.56689692794227498</v>
      </c>
      <c r="V147">
        <v>29.022225482125801</v>
      </c>
      <c r="X147">
        <v>17.436349130213301</v>
      </c>
      <c r="AA147">
        <v>0.17907772467410599</v>
      </c>
      <c r="AB147">
        <v>1.32055674428003E-2</v>
      </c>
      <c r="AJ147">
        <v>-0.98506441869594197</v>
      </c>
      <c r="AK147">
        <v>0.99164300931466498</v>
      </c>
      <c r="AL147">
        <v>0.93268861376087497</v>
      </c>
      <c r="AM147">
        <v>4.3355778334064503E-2</v>
      </c>
      <c r="AN147">
        <v>-4.2035512918163299E-2</v>
      </c>
      <c r="AO147">
        <v>5.8428623559479503E-2</v>
      </c>
      <c r="AP147">
        <v>9.8390664502060409E-4</v>
      </c>
    </row>
    <row r="148" spans="1:42" x14ac:dyDescent="0.2">
      <c r="A148">
        <v>317</v>
      </c>
      <c r="B148">
        <v>762</v>
      </c>
      <c r="C148">
        <v>110</v>
      </c>
      <c r="D148">
        <v>0.48168912717963802</v>
      </c>
      <c r="E148">
        <v>0.49675268970307501</v>
      </c>
      <c r="F148">
        <v>3.5312015717854401</v>
      </c>
      <c r="G148">
        <v>-6.5618238488038481</v>
      </c>
      <c r="H148">
        <v>-5.5669653819263525</v>
      </c>
      <c r="I148">
        <v>0.96107662355938295</v>
      </c>
      <c r="J148">
        <v>0.56493421386079901</v>
      </c>
      <c r="K148">
        <v>0.14067525730396199</v>
      </c>
      <c r="L148">
        <v>4.4115365170019494E-5</v>
      </c>
      <c r="M148">
        <v>9.0104438975310855E-7</v>
      </c>
      <c r="N148" s="1">
        <v>6.3915321174090804E-10</v>
      </c>
      <c r="O148" s="1">
        <v>1.53779962931595E-13</v>
      </c>
      <c r="P148" s="1">
        <v>-3.2400280383614398E-13</v>
      </c>
      <c r="Q148">
        <v>50.433837473054098</v>
      </c>
      <c r="R148">
        <v>2.4105910869485998E-2</v>
      </c>
      <c r="S148">
        <v>2.3675810196518401</v>
      </c>
      <c r="T148">
        <v>0.57053742705640598</v>
      </c>
      <c r="V148">
        <v>29.006724855245601</v>
      </c>
      <c r="X148">
        <v>17.4163314610642</v>
      </c>
      <c r="AA148">
        <v>0.167852761159625</v>
      </c>
      <c r="AB148">
        <v>1.30290918986698E-2</v>
      </c>
      <c r="AJ148">
        <v>-0.98727726421019202</v>
      </c>
      <c r="AK148">
        <v>0.99211893284541997</v>
      </c>
      <c r="AL148">
        <v>0.93211777142573105</v>
      </c>
      <c r="AM148">
        <v>4.5572780369851899E-2</v>
      </c>
      <c r="AN148">
        <v>-4.4179654394152799E-2</v>
      </c>
      <c r="AO148">
        <v>6.0676751679790197E-2</v>
      </c>
      <c r="AP148">
        <v>9.7068228355108295E-4</v>
      </c>
    </row>
    <row r="149" spans="1:42" x14ac:dyDescent="0.2">
      <c r="A149">
        <v>318</v>
      </c>
      <c r="B149">
        <v>760</v>
      </c>
      <c r="C149">
        <v>110</v>
      </c>
      <c r="D149">
        <v>0.480550258916906</v>
      </c>
      <c r="E149">
        <v>0.50675159520370605</v>
      </c>
      <c r="F149">
        <v>3.53212388077079</v>
      </c>
      <c r="G149">
        <v>-6.692734469194364</v>
      </c>
      <c r="H149">
        <v>-5.6809475674111969</v>
      </c>
      <c r="I149">
        <v>0.97932236537111195</v>
      </c>
      <c r="J149">
        <v>0.57625840212635904</v>
      </c>
      <c r="K149">
        <v>0.14346937205756199</v>
      </c>
      <c r="L149">
        <v>4.4097238001183609E-5</v>
      </c>
      <c r="M149">
        <v>9.0093816027187954E-7</v>
      </c>
      <c r="N149" s="1">
        <v>6.6281831012243598E-10</v>
      </c>
      <c r="O149" s="1">
        <v>1.57960505741882E-13</v>
      </c>
      <c r="P149" s="1">
        <v>-5.43674941080032E-13</v>
      </c>
      <c r="Q149">
        <v>50.375720003055598</v>
      </c>
      <c r="R149">
        <v>2.53043671950334E-2</v>
      </c>
      <c r="S149">
        <v>2.46501740709185</v>
      </c>
      <c r="T149">
        <v>0.57407161996826095</v>
      </c>
      <c r="V149">
        <v>28.9997162307724</v>
      </c>
      <c r="X149">
        <v>17.389655386050901</v>
      </c>
      <c r="AA149">
        <v>0.15765696540133001</v>
      </c>
      <c r="AB149">
        <v>1.2858020464519299E-2</v>
      </c>
      <c r="AJ149">
        <v>-0.98973791689101898</v>
      </c>
      <c r="AK149">
        <v>0.99255167476533901</v>
      </c>
      <c r="AL149">
        <v>0.93186216657866605</v>
      </c>
      <c r="AM149">
        <v>4.7767422243594398E-2</v>
      </c>
      <c r="AN149">
        <v>-4.6305082903974698E-2</v>
      </c>
      <c r="AO149">
        <v>6.2903830176962702E-2</v>
      </c>
      <c r="AP149">
        <v>9.5790603043092396E-4</v>
      </c>
    </row>
    <row r="150" spans="1:42" x14ac:dyDescent="0.2">
      <c r="A150">
        <v>332</v>
      </c>
      <c r="B150">
        <v>780</v>
      </c>
      <c r="C150">
        <v>100</v>
      </c>
      <c r="D150">
        <v>0.50218914684517901</v>
      </c>
      <c r="E150">
        <v>0.234967333405011</v>
      </c>
      <c r="F150">
        <v>3.5300876057536699</v>
      </c>
      <c r="G150">
        <v>-3.0974252632087422</v>
      </c>
      <c r="H150">
        <v>-2.6143172020333445</v>
      </c>
      <c r="I150">
        <v>0.45872673519954199</v>
      </c>
      <c r="J150">
        <v>0.26690776410476902</v>
      </c>
      <c r="K150">
        <v>6.6561332081968405E-2</v>
      </c>
      <c r="L150">
        <v>4.4282071482119046E-5</v>
      </c>
      <c r="M150">
        <v>9.0330411868102731E-7</v>
      </c>
      <c r="N150" s="1">
        <v>2.7688294250353098E-10</v>
      </c>
      <c r="O150" s="1">
        <v>6.7283862043673703E-14</v>
      </c>
      <c r="P150" s="1">
        <v>6.19487485065323E-13</v>
      </c>
      <c r="Q150">
        <v>50.724670275292702</v>
      </c>
      <c r="R150">
        <v>1.25418314969961E-2</v>
      </c>
      <c r="S150">
        <v>1.66566829500017</v>
      </c>
      <c r="T150">
        <v>0.564945012296177</v>
      </c>
      <c r="V150">
        <v>29.490689310185601</v>
      </c>
      <c r="X150">
        <v>17.257678270211699</v>
      </c>
      <c r="AA150">
        <v>0.26948029766071402</v>
      </c>
      <c r="AB150">
        <v>1.4326707855801901E-2</v>
      </c>
      <c r="AJ150">
        <v>-0.98483984986140105</v>
      </c>
      <c r="AK150">
        <v>0.98780673075352499</v>
      </c>
      <c r="AL150">
        <v>0.95013141091344699</v>
      </c>
      <c r="AM150">
        <v>2.9453754166766901E-2</v>
      </c>
      <c r="AN150">
        <v>-2.8727055330757301E-2</v>
      </c>
      <c r="AO150">
        <v>4.5104880637179101E-2</v>
      </c>
      <c r="AP150">
        <v>1.07012872123958E-3</v>
      </c>
    </row>
    <row r="151" spans="1:42" x14ac:dyDescent="0.2">
      <c r="A151">
        <v>333</v>
      </c>
      <c r="B151">
        <v>778</v>
      </c>
      <c r="C151">
        <v>100</v>
      </c>
      <c r="D151">
        <v>0.501108785615755</v>
      </c>
      <c r="E151">
        <v>0.34000830187724801</v>
      </c>
      <c r="F151">
        <v>3.52731390930483</v>
      </c>
      <c r="G151">
        <v>-4.4917975492185915</v>
      </c>
      <c r="H151">
        <v>-3.7944044831999575</v>
      </c>
      <c r="I151">
        <v>0.66345722876719204</v>
      </c>
      <c r="J151">
        <v>0.38664185687171798</v>
      </c>
      <c r="K151">
        <v>9.6392980783572293E-2</v>
      </c>
      <c r="L151">
        <v>4.4231000044619531E-5</v>
      </c>
      <c r="M151">
        <v>9.0217866677011169E-7</v>
      </c>
      <c r="N151" s="1">
        <v>4.05463241392194E-10</v>
      </c>
      <c r="O151" s="1">
        <v>9.9123001645674504E-14</v>
      </c>
      <c r="P151" s="1">
        <v>7.4901935121836303E-13</v>
      </c>
      <c r="Q151">
        <v>50.734650648430303</v>
      </c>
      <c r="R151">
        <v>1.5059193727265E-2</v>
      </c>
      <c r="S151">
        <v>1.76775105627481</v>
      </c>
      <c r="T151">
        <v>0.56129896381336797</v>
      </c>
      <c r="V151">
        <v>29.228661086720098</v>
      </c>
      <c r="X151">
        <v>17.424028578437301</v>
      </c>
      <c r="AA151">
        <v>0.25445118406332001</v>
      </c>
      <c r="AB151">
        <v>1.4099288533418099E-2</v>
      </c>
      <c r="AJ151">
        <v>-0.97802895687834701</v>
      </c>
      <c r="AK151">
        <v>0.98845981912116399</v>
      </c>
      <c r="AL151">
        <v>0.94040545865969805</v>
      </c>
      <c r="AM151">
        <v>3.1862033190517398E-2</v>
      </c>
      <c r="AN151">
        <v>-3.0990663015613401E-2</v>
      </c>
      <c r="AO151">
        <v>4.7240603093191398E-2</v>
      </c>
      <c r="AP151">
        <v>1.0517058293881699E-3</v>
      </c>
    </row>
    <row r="152" spans="1:42" x14ac:dyDescent="0.2">
      <c r="A152">
        <v>334</v>
      </c>
      <c r="B152">
        <v>776</v>
      </c>
      <c r="C152">
        <v>100</v>
      </c>
      <c r="D152">
        <v>0.50002430539008103</v>
      </c>
      <c r="E152">
        <v>0.39323849320413701</v>
      </c>
      <c r="F152">
        <v>3.52620380909589</v>
      </c>
      <c r="G152">
        <v>-5.2009046193599353</v>
      </c>
      <c r="H152">
        <v>-4.3964842325779898</v>
      </c>
      <c r="I152">
        <v>0.76673534459509496</v>
      </c>
      <c r="J152">
        <v>0.44743403749621702</v>
      </c>
      <c r="K152">
        <v>0.11151893494918499</v>
      </c>
      <c r="L152">
        <v>4.4196198812802615E-5</v>
      </c>
      <c r="M152">
        <v>9.0150692208343019E-7</v>
      </c>
      <c r="N152" s="1">
        <v>4.7447586704401405E-10</v>
      </c>
      <c r="O152" s="1">
        <v>1.1632010281859E-13</v>
      </c>
      <c r="P152" s="1">
        <v>6.8792028471901103E-13</v>
      </c>
      <c r="Q152">
        <v>50.712325243464299</v>
      </c>
      <c r="R152">
        <v>1.7080712276263201E-2</v>
      </c>
      <c r="S152">
        <v>1.87159350002622</v>
      </c>
      <c r="T152">
        <v>0.56219860723769299</v>
      </c>
      <c r="V152">
        <v>29.078344143473799</v>
      </c>
      <c r="X152">
        <v>17.507314514970101</v>
      </c>
      <c r="AA152">
        <v>0.237259992486268</v>
      </c>
      <c r="AB152">
        <v>1.3883286065203899E-2</v>
      </c>
      <c r="AJ152">
        <v>-0.97556686645369295</v>
      </c>
      <c r="AK152">
        <v>0.98919306196254797</v>
      </c>
      <c r="AL152">
        <v>0.93483301825946397</v>
      </c>
      <c r="AM152">
        <v>3.4242828546120201E-2</v>
      </c>
      <c r="AN152">
        <v>-3.3255264889569203E-2</v>
      </c>
      <c r="AO152">
        <v>4.9518443813040297E-2</v>
      </c>
      <c r="AP152">
        <v>1.03477876208935E-3</v>
      </c>
    </row>
    <row r="153" spans="1:42" x14ac:dyDescent="0.2">
      <c r="A153">
        <v>335</v>
      </c>
      <c r="B153">
        <v>774</v>
      </c>
      <c r="C153">
        <v>100</v>
      </c>
      <c r="D153">
        <v>0.49893568256697302</v>
      </c>
      <c r="E153">
        <v>0.425977369199247</v>
      </c>
      <c r="F153">
        <v>3.5259151249891101</v>
      </c>
      <c r="G153">
        <v>-5.6373428277614437</v>
      </c>
      <c r="H153">
        <v>-4.7683950334932037</v>
      </c>
      <c r="I153">
        <v>0.82982170106311404</v>
      </c>
      <c r="J153">
        <v>0.48484247707153499</v>
      </c>
      <c r="K153">
        <v>0.120813279417939</v>
      </c>
      <c r="L153">
        <v>4.4169485639711561E-5</v>
      </c>
      <c r="M153">
        <v>9.0107198072885855E-7</v>
      </c>
      <c r="N153" s="1">
        <v>5.1999536258511103E-10</v>
      </c>
      <c r="O153" s="1">
        <v>1.2755748438628399E-13</v>
      </c>
      <c r="P153" s="1">
        <v>5.5494686621145195E-13</v>
      </c>
      <c r="Q153">
        <v>50.675259139619499</v>
      </c>
      <c r="R153">
        <v>1.8804854535464401E-2</v>
      </c>
      <c r="S153">
        <v>1.9735309513952499</v>
      </c>
      <c r="T153">
        <v>0.56477592554344203</v>
      </c>
      <c r="V153">
        <v>28.985110445789999</v>
      </c>
      <c r="X153">
        <v>17.547836334732398</v>
      </c>
      <c r="AA153">
        <v>0.22100261486432601</v>
      </c>
      <c r="AB153">
        <v>1.3679733519438001E-2</v>
      </c>
      <c r="AJ153">
        <v>-0.97516569787656104</v>
      </c>
      <c r="AK153">
        <v>0.98988278779456496</v>
      </c>
      <c r="AL153">
        <v>0.93137974175022398</v>
      </c>
      <c r="AM153">
        <v>3.6554318650445103E-2</v>
      </c>
      <c r="AN153">
        <v>-3.54676014101123E-2</v>
      </c>
      <c r="AO153">
        <v>5.1797342815417202E-2</v>
      </c>
      <c r="AP153">
        <v>1.0191082760215399E-3</v>
      </c>
    </row>
    <row r="154" spans="1:42" x14ac:dyDescent="0.2">
      <c r="A154">
        <v>336</v>
      </c>
      <c r="B154">
        <v>772</v>
      </c>
      <c r="C154">
        <v>100</v>
      </c>
      <c r="D154">
        <v>0.49784289336458698</v>
      </c>
      <c r="E154">
        <v>0.44868183173649301</v>
      </c>
      <c r="F154">
        <v>3.5260864710330102</v>
      </c>
      <c r="G154">
        <v>-5.9396518787818531</v>
      </c>
      <c r="H154">
        <v>-5.027030802554088</v>
      </c>
      <c r="I154">
        <v>0.87319626486893098</v>
      </c>
      <c r="J154">
        <v>0.510772171239815</v>
      </c>
      <c r="K154">
        <v>0.127246406298438</v>
      </c>
      <c r="L154">
        <v>4.4147136059023358E-5</v>
      </c>
      <c r="M154">
        <v>9.0077312685735028E-7</v>
      </c>
      <c r="N154" s="1">
        <v>5.5425709296395995E-10</v>
      </c>
      <c r="O154" s="1">
        <v>1.35792647127589E-13</v>
      </c>
      <c r="P154" s="1">
        <v>3.8893836393473E-13</v>
      </c>
      <c r="Q154">
        <v>50.630479903157799</v>
      </c>
      <c r="R154">
        <v>2.0337367148733701E-2</v>
      </c>
      <c r="S154">
        <v>2.0731917976052001</v>
      </c>
      <c r="T154">
        <v>0.56799395988429402</v>
      </c>
      <c r="V154">
        <v>28.924711933881401</v>
      </c>
      <c r="X154">
        <v>17.5635829421723</v>
      </c>
      <c r="AA154">
        <v>0.20621500211247101</v>
      </c>
      <c r="AB154">
        <v>1.34870940375922E-2</v>
      </c>
      <c r="AJ154">
        <v>-0.97587887675337703</v>
      </c>
      <c r="AK154">
        <v>0.99050891512275496</v>
      </c>
      <c r="AL154">
        <v>0.92914443141026004</v>
      </c>
      <c r="AM154">
        <v>3.8803509042633098E-2</v>
      </c>
      <c r="AN154">
        <v>-3.7628601570581899E-2</v>
      </c>
      <c r="AO154">
        <v>5.4046184054314397E-2</v>
      </c>
      <c r="AP154">
        <v>1.0044386939955701E-3</v>
      </c>
    </row>
    <row r="155" spans="1:42" x14ac:dyDescent="0.2">
      <c r="A155">
        <v>337</v>
      </c>
      <c r="B155">
        <v>770</v>
      </c>
      <c r="C155">
        <v>100</v>
      </c>
      <c r="D155">
        <v>0.49674591381872402</v>
      </c>
      <c r="E155">
        <v>0.46573063658279101</v>
      </c>
      <c r="F155">
        <v>3.5265435215338501</v>
      </c>
      <c r="G155">
        <v>-6.1660824161860512</v>
      </c>
      <c r="H155">
        <v>-5.2215691999833975</v>
      </c>
      <c r="I155">
        <v>0.90544333624373596</v>
      </c>
      <c r="J155">
        <v>0.53021870841951602</v>
      </c>
      <c r="K155">
        <v>0.13206433827880901</v>
      </c>
      <c r="L155">
        <v>4.4127278998053731E-5</v>
      </c>
      <c r="M155">
        <v>9.005591243282176E-7</v>
      </c>
      <c r="N155" s="1">
        <v>5.8247422633314896E-10</v>
      </c>
      <c r="O155" s="1">
        <v>1.42286185590408E-13</v>
      </c>
      <c r="P155" s="1">
        <v>2.05247964573676E-13</v>
      </c>
      <c r="Q155">
        <v>50.581169842003298</v>
      </c>
      <c r="R155">
        <v>2.1737399350949E-2</v>
      </c>
      <c r="S155">
        <v>2.1708737580775401</v>
      </c>
      <c r="T155">
        <v>0.57142829340967105</v>
      </c>
      <c r="V155">
        <v>28.885138771938401</v>
      </c>
      <c r="X155">
        <v>17.563485540568301</v>
      </c>
      <c r="AA155">
        <v>0.19286285339916101</v>
      </c>
      <c r="AB155">
        <v>1.33035412525455E-2</v>
      </c>
      <c r="AJ155">
        <v>-0.97726288718029697</v>
      </c>
      <c r="AK155">
        <v>0.99107393140382705</v>
      </c>
      <c r="AL155">
        <v>0.92768124564785703</v>
      </c>
      <c r="AM155">
        <v>4.1003713606775703E-2</v>
      </c>
      <c r="AN155">
        <v>-3.9748184881355099E-2</v>
      </c>
      <c r="AO155">
        <v>5.6261617627066503E-2</v>
      </c>
      <c r="AP155">
        <v>9.9056377612608492E-4</v>
      </c>
    </row>
    <row r="156" spans="1:42" x14ac:dyDescent="0.2">
      <c r="A156">
        <v>338</v>
      </c>
      <c r="B156">
        <v>768</v>
      </c>
      <c r="C156">
        <v>100</v>
      </c>
      <c r="D156">
        <v>0.49564471978101199</v>
      </c>
      <c r="E156">
        <v>0.479271404361091</v>
      </c>
      <c r="F156">
        <v>3.5271927855275802</v>
      </c>
      <c r="G156">
        <v>-6.3452942531233845</v>
      </c>
      <c r="H156">
        <v>-5.3762163001889611</v>
      </c>
      <c r="I156">
        <v>0.93077649996102496</v>
      </c>
      <c r="J156">
        <v>0.54563635334003002</v>
      </c>
      <c r="K156">
        <v>0.13587899315500601</v>
      </c>
      <c r="L156">
        <v>4.4108873995576959E-5</v>
      </c>
      <c r="M156">
        <v>9.0040128161483419E-7</v>
      </c>
      <c r="N156" s="1">
        <v>6.0725001452562796E-10</v>
      </c>
      <c r="O156" s="1">
        <v>1.4766616776322099E-13</v>
      </c>
      <c r="P156" s="1">
        <v>1.08442726398395E-14</v>
      </c>
      <c r="Q156">
        <v>50.528929982932603</v>
      </c>
      <c r="R156">
        <v>2.30406609818231E-2</v>
      </c>
      <c r="S156">
        <v>2.2669751463496701</v>
      </c>
      <c r="T156">
        <v>0.57488875423862795</v>
      </c>
      <c r="V156">
        <v>28.859795962402298</v>
      </c>
      <c r="X156">
        <v>17.552452560295102</v>
      </c>
      <c r="AA156">
        <v>0.180789457183957</v>
      </c>
      <c r="AB156">
        <v>1.31274756158103E-2</v>
      </c>
      <c r="AJ156">
        <v>-0.97908608931110697</v>
      </c>
      <c r="AK156">
        <v>0.99158491697017703</v>
      </c>
      <c r="AL156">
        <v>0.92674554075240201</v>
      </c>
      <c r="AM156">
        <v>4.3167053908791303E-2</v>
      </c>
      <c r="AN156">
        <v>-4.1836425065037403E-2</v>
      </c>
      <c r="AO156">
        <v>5.84476770159175E-2</v>
      </c>
      <c r="AP156">
        <v>9.7732572885661094E-4</v>
      </c>
    </row>
    <row r="157" spans="1:42" x14ac:dyDescent="0.2">
      <c r="A157">
        <v>339</v>
      </c>
      <c r="B157">
        <v>766</v>
      </c>
      <c r="C157">
        <v>100</v>
      </c>
      <c r="D157">
        <v>0.49453928691719501</v>
      </c>
      <c r="E157">
        <v>0.49048262263396403</v>
      </c>
      <c r="F157">
        <v>3.5279798172544501</v>
      </c>
      <c r="G157">
        <v>-6.4930536988349052</v>
      </c>
      <c r="H157">
        <v>-5.5042927291668997</v>
      </c>
      <c r="I157">
        <v>0.95150937753741405</v>
      </c>
      <c r="J157">
        <v>0.55837373319460204</v>
      </c>
      <c r="K157">
        <v>0.13902648202099599</v>
      </c>
      <c r="L157">
        <v>4.4091290568847888E-5</v>
      </c>
      <c r="M157">
        <v>9.0028222514181458E-7</v>
      </c>
      <c r="N157" s="1">
        <v>6.3004129972426299E-10</v>
      </c>
      <c r="O157" s="1">
        <v>1.5228201806275E-13</v>
      </c>
      <c r="P157" s="1">
        <v>-1.9078073252505099E-13</v>
      </c>
      <c r="Q157">
        <v>50.474631147581398</v>
      </c>
      <c r="R157">
        <v>2.42701727761966E-2</v>
      </c>
      <c r="S157">
        <v>2.3618652647838299</v>
      </c>
      <c r="T157">
        <v>0.57828589927282603</v>
      </c>
      <c r="V157">
        <v>28.844755109371299</v>
      </c>
      <c r="X157">
        <v>17.533406781461</v>
      </c>
      <c r="AA157">
        <v>0.169828038070545</v>
      </c>
      <c r="AB157">
        <v>1.2957586682754599E-2</v>
      </c>
      <c r="AJ157">
        <v>-0.98121699972811305</v>
      </c>
      <c r="AK157">
        <v>0.99204913104572601</v>
      </c>
      <c r="AL157">
        <v>0.92619166961340105</v>
      </c>
      <c r="AM157">
        <v>4.53034623150083E-2</v>
      </c>
      <c r="AN157">
        <v>-4.3901934784165202E-2</v>
      </c>
      <c r="AO157">
        <v>6.0610067667405898E-2</v>
      </c>
      <c r="AP157">
        <v>9.6460387073726904E-4</v>
      </c>
    </row>
    <row r="158" spans="1:42" x14ac:dyDescent="0.2">
      <c r="A158">
        <v>340</v>
      </c>
      <c r="B158">
        <v>764</v>
      </c>
      <c r="C158">
        <v>100</v>
      </c>
      <c r="D158">
        <v>0.49342959070530001</v>
      </c>
      <c r="E158">
        <v>0.50006691907301304</v>
      </c>
      <c r="F158">
        <v>3.5288708267866502</v>
      </c>
      <c r="G158">
        <v>-6.6187800531461694</v>
      </c>
      <c r="H158">
        <v>-5.6137588226635904</v>
      </c>
      <c r="I158">
        <v>0.969022060919422</v>
      </c>
      <c r="J158">
        <v>0.56923585836281898</v>
      </c>
      <c r="K158">
        <v>0.14170734595246301</v>
      </c>
      <c r="L158">
        <v>4.4074117788728036E-5</v>
      </c>
      <c r="M158">
        <v>9.0019075886214117E-7</v>
      </c>
      <c r="N158" s="1">
        <v>6.5173671732252703E-10</v>
      </c>
      <c r="O158" s="1">
        <v>1.5634452158264999E-13</v>
      </c>
      <c r="P158" s="1">
        <v>-3.9774299811559199E-13</v>
      </c>
      <c r="Q158">
        <v>50.4187743462128</v>
      </c>
      <c r="R158">
        <v>2.54415776725028E-2</v>
      </c>
      <c r="S158">
        <v>2.4558604140851301</v>
      </c>
      <c r="T158">
        <v>0.58157756045860798</v>
      </c>
      <c r="V158">
        <v>28.837523028578399</v>
      </c>
      <c r="X158">
        <v>17.508200584183701</v>
      </c>
      <c r="AA158">
        <v>0.15982967347176599</v>
      </c>
      <c r="AB158">
        <v>1.27928153369806E-2</v>
      </c>
      <c r="AJ158">
        <v>-0.98357608833648302</v>
      </c>
      <c r="AK158">
        <v>0.992472964641539</v>
      </c>
      <c r="AL158">
        <v>0.92592723609366701</v>
      </c>
      <c r="AM158">
        <v>4.7420930314153099E-2</v>
      </c>
      <c r="AN158">
        <v>-4.5951808881408401E-2</v>
      </c>
      <c r="AO158">
        <v>6.2754461532128894E-2</v>
      </c>
      <c r="AP158">
        <v>9.5230463640260505E-4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BCCF6-29ED-46DA-83CF-C6F315B9FF63}">
  <sheetPr codeName="Sheet9"/>
  <dimension ref="A1:AL24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0.30794352246059897</v>
      </c>
      <c r="F2">
        <v>2.52671735635787</v>
      </c>
      <c r="G2">
        <v>-4.8283594906982978</v>
      </c>
      <c r="H2">
        <v>-4.1950239096909367</v>
      </c>
      <c r="I2">
        <v>0.62759310410480296</v>
      </c>
      <c r="J2">
        <v>0.36596247996751502</v>
      </c>
      <c r="K2">
        <v>0.121874938518838</v>
      </c>
      <c r="L2">
        <v>2.8424692294901196E-5</v>
      </c>
      <c r="M2">
        <v>1.7851229146808188E-6</v>
      </c>
      <c r="N2" s="1">
        <v>-3.3933614835455698E-9</v>
      </c>
      <c r="O2" s="1">
        <v>1.1603084950911E-12</v>
      </c>
      <c r="P2" s="1">
        <v>1.2214083944727099E-11</v>
      </c>
      <c r="Q2">
        <v>65.790615185400796</v>
      </c>
      <c r="S2">
        <v>18.909075740657499</v>
      </c>
      <c r="AA2">
        <v>0.24884046130392601</v>
      </c>
      <c r="AB2">
        <v>3.84838164720093</v>
      </c>
      <c r="AC2">
        <v>11.2030869654367</v>
      </c>
      <c r="AJ2">
        <v>0.33886437304347899</v>
      </c>
      <c r="AK2">
        <v>1.2108199399505901E-2</v>
      </c>
      <c r="AL2">
        <v>0.64902742755701404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24.624239258273001</v>
      </c>
      <c r="F3">
        <v>2.5270678571230101</v>
      </c>
      <c r="G3">
        <v>-386.34495595845266</v>
      </c>
      <c r="H3">
        <v>-335.7975165466915</v>
      </c>
      <c r="I3">
        <v>50.188590986209803</v>
      </c>
      <c r="J3">
        <v>29.326945674043799</v>
      </c>
      <c r="K3">
        <v>9.7441939237464599</v>
      </c>
      <c r="L3">
        <v>2.8671076590992572E-5</v>
      </c>
      <c r="M3">
        <v>1.7876321294329031E-6</v>
      </c>
      <c r="N3" s="1">
        <v>-3.1077336476631499E-7</v>
      </c>
      <c r="O3" s="1">
        <v>9.2326239339906504E-11</v>
      </c>
      <c r="P3" s="1">
        <v>1.0896915195053201E-9</v>
      </c>
      <c r="Q3">
        <v>65.852956562744794</v>
      </c>
      <c r="S3">
        <v>18.934483579680499</v>
      </c>
      <c r="AA3">
        <v>0.255255680511348</v>
      </c>
      <c r="AB3">
        <v>4.0539160172440498</v>
      </c>
      <c r="AC3">
        <v>10.903388159819199</v>
      </c>
      <c r="AJ3">
        <v>0.35658880812065302</v>
      </c>
      <c r="AK3">
        <v>1.2407353814500499E-2</v>
      </c>
      <c r="AL3">
        <v>0.63100383806484495</v>
      </c>
    </row>
    <row r="4" spans="1:38" x14ac:dyDescent="0.2">
      <c r="A4">
        <v>15</v>
      </c>
      <c r="B4">
        <v>732</v>
      </c>
      <c r="C4">
        <v>300</v>
      </c>
      <c r="D4">
        <v>0.256201064517732</v>
      </c>
      <c r="E4">
        <v>30.753207171882998</v>
      </c>
      <c r="F4">
        <v>2.5271396629934602</v>
      </c>
      <c r="G4">
        <v>-482.41186775190835</v>
      </c>
      <c r="H4">
        <v>-419.47553460067877</v>
      </c>
      <c r="I4">
        <v>62.613871711913298</v>
      </c>
      <c r="J4">
        <v>36.655924842666202</v>
      </c>
      <c r="K4">
        <v>12.169175935237</v>
      </c>
      <c r="L4">
        <v>2.8758273285121629E-5</v>
      </c>
      <c r="M4">
        <v>1.7882956877426251E-6</v>
      </c>
      <c r="N4" s="1">
        <v>-4.1899406694791002E-7</v>
      </c>
      <c r="O4" s="1">
        <v>1.15057213581742E-10</v>
      </c>
      <c r="P4" s="1">
        <v>1.44835099092923E-9</v>
      </c>
      <c r="Q4">
        <v>65.865568937014103</v>
      </c>
      <c r="S4">
        <v>18.930893262638801</v>
      </c>
      <c r="AA4">
        <v>0.24935070707652399</v>
      </c>
      <c r="AB4">
        <v>4.0726095341570101</v>
      </c>
      <c r="AC4">
        <v>10.8815775591133</v>
      </c>
      <c r="AJ4">
        <v>0.35819907029371201</v>
      </c>
      <c r="AK4">
        <v>1.2119175512758E-2</v>
      </c>
      <c r="AL4">
        <v>0.62968175419352901</v>
      </c>
    </row>
    <row r="5" spans="1:38" x14ac:dyDescent="0.2">
      <c r="A5">
        <v>16</v>
      </c>
      <c r="B5">
        <v>730</v>
      </c>
      <c r="C5">
        <v>300</v>
      </c>
      <c r="D5">
        <v>0.25457857748093798</v>
      </c>
      <c r="E5">
        <v>32.771540153122402</v>
      </c>
      <c r="F5">
        <v>2.5272070875060799</v>
      </c>
      <c r="G5">
        <v>-513.91638243039097</v>
      </c>
      <c r="H5">
        <v>-447.06440132109549</v>
      </c>
      <c r="I5">
        <v>66.642058624627893</v>
      </c>
      <c r="J5">
        <v>39.087332954909797</v>
      </c>
      <c r="K5">
        <v>12.9674929748089</v>
      </c>
      <c r="L5">
        <v>2.8826167840647069E-5</v>
      </c>
      <c r="M5">
        <v>1.7886608862625928E-6</v>
      </c>
      <c r="N5" s="1">
        <v>-4.7806011993471302E-7</v>
      </c>
      <c r="O5" s="1">
        <v>1.2237278356842401E-10</v>
      </c>
      <c r="P5" s="1">
        <v>1.63238763737053E-9</v>
      </c>
      <c r="Q5">
        <v>65.868553246921394</v>
      </c>
      <c r="S5">
        <v>18.925718446835798</v>
      </c>
      <c r="AA5">
        <v>0.244385083134425</v>
      </c>
      <c r="AB5">
        <v>4.0656934563734204</v>
      </c>
      <c r="AC5">
        <v>10.895649766734801</v>
      </c>
      <c r="AJ5">
        <v>0.35760341030088899</v>
      </c>
      <c r="AK5">
        <v>1.1878251191241701E-2</v>
      </c>
      <c r="AL5">
        <v>0.63051833850786798</v>
      </c>
    </row>
    <row r="6" spans="1:38" x14ac:dyDescent="0.2">
      <c r="A6">
        <v>17</v>
      </c>
      <c r="B6">
        <v>728</v>
      </c>
      <c r="C6">
        <v>300</v>
      </c>
      <c r="D6">
        <v>0.25294960795086002</v>
      </c>
      <c r="E6">
        <v>33.817147875669299</v>
      </c>
      <c r="F6">
        <v>2.5272746163616802</v>
      </c>
      <c r="G6">
        <v>-530.1382908756118</v>
      </c>
      <c r="H6">
        <v>-461.3774471099955</v>
      </c>
      <c r="I6">
        <v>68.681859627045199</v>
      </c>
      <c r="J6">
        <v>40.360975408849299</v>
      </c>
      <c r="K6">
        <v>13.3808758481313</v>
      </c>
      <c r="L6">
        <v>2.8892639967361064E-5</v>
      </c>
      <c r="M6">
        <v>1.7889612093373187E-6</v>
      </c>
      <c r="N6" s="1">
        <v>-5.2684823478210103E-7</v>
      </c>
      <c r="O6" s="1">
        <v>1.2603213292379799E-10</v>
      </c>
      <c r="P6" s="1">
        <v>1.77869240373774E-9</v>
      </c>
      <c r="Q6">
        <v>65.869109347203207</v>
      </c>
      <c r="S6">
        <v>18.9202022024405</v>
      </c>
      <c r="AA6">
        <v>0.23970436662810801</v>
      </c>
      <c r="AB6">
        <v>4.0524711441917498</v>
      </c>
      <c r="AC6">
        <v>10.9185129395362</v>
      </c>
      <c r="AJ6">
        <v>0.35646445932888099</v>
      </c>
      <c r="AK6">
        <v>1.16515322211554E-2</v>
      </c>
      <c r="AL6">
        <v>0.63188400844996195</v>
      </c>
    </row>
    <row r="7" spans="1:38" x14ac:dyDescent="0.2">
      <c r="A7">
        <v>18</v>
      </c>
      <c r="B7">
        <v>726</v>
      </c>
      <c r="C7">
        <v>300</v>
      </c>
      <c r="D7">
        <v>0.251314116999449</v>
      </c>
      <c r="E7">
        <v>34.460607374653897</v>
      </c>
      <c r="F7">
        <v>2.5273432931691699</v>
      </c>
      <c r="G7">
        <v>-540.0415486336924</v>
      </c>
      <c r="H7">
        <v>-470.20163510434179</v>
      </c>
      <c r="I7">
        <v>69.899327958115094</v>
      </c>
      <c r="J7">
        <v>41.1572647150225</v>
      </c>
      <c r="K7">
        <v>13.6351114103861</v>
      </c>
      <c r="L7">
        <v>2.8961341864236605E-5</v>
      </c>
      <c r="M7">
        <v>1.7892425969540216E-6</v>
      </c>
      <c r="N7" s="1">
        <v>-5.7245683949099001E-7</v>
      </c>
      <c r="O7" s="1">
        <v>1.28172530047019E-10</v>
      </c>
      <c r="P7" s="1">
        <v>1.91221005695924E-9</v>
      </c>
      <c r="Q7">
        <v>65.868635628185899</v>
      </c>
      <c r="S7">
        <v>18.914584818330599</v>
      </c>
      <c r="AA7">
        <v>0.23518050307655899</v>
      </c>
      <c r="AB7">
        <v>4.03668878400756</v>
      </c>
      <c r="AC7">
        <v>10.9449102663992</v>
      </c>
      <c r="AJ7">
        <v>0.35510478009181401</v>
      </c>
      <c r="AK7">
        <v>1.14325564857242E-2</v>
      </c>
      <c r="AL7">
        <v>0.63346266342246105</v>
      </c>
    </row>
    <row r="8" spans="1:38" x14ac:dyDescent="0.2">
      <c r="A8">
        <v>19</v>
      </c>
      <c r="B8">
        <v>724</v>
      </c>
      <c r="C8">
        <v>300</v>
      </c>
      <c r="D8">
        <v>0.249672065386352</v>
      </c>
      <c r="E8">
        <v>34.894495303573599</v>
      </c>
      <c r="F8">
        <v>2.5274134990363302</v>
      </c>
      <c r="G8">
        <v>-546.6520710729452</v>
      </c>
      <c r="H8">
        <v>-476.16538510030938</v>
      </c>
      <c r="I8">
        <v>70.6881471921333</v>
      </c>
      <c r="J8">
        <v>41.705942277048798</v>
      </c>
      <c r="K8">
        <v>13.8064053693146</v>
      </c>
      <c r="L8">
        <v>2.9033641714172345E-5</v>
      </c>
      <c r="M8">
        <v>1.7895208674914574E-6</v>
      </c>
      <c r="N8" s="1">
        <v>-6.1720573145094904E-7</v>
      </c>
      <c r="O8" s="1">
        <v>1.29516029330004E-10</v>
      </c>
      <c r="P8" s="1">
        <v>2.0411084060718598E-9</v>
      </c>
      <c r="Q8">
        <v>65.867601793500398</v>
      </c>
      <c r="S8">
        <v>18.9089463255896</v>
      </c>
      <c r="AA8">
        <v>0.23076992002213001</v>
      </c>
      <c r="AB8">
        <v>4.0196028970683297</v>
      </c>
      <c r="AC8">
        <v>10.9730790638193</v>
      </c>
      <c r="AJ8">
        <v>0.35363254914687298</v>
      </c>
      <c r="AK8">
        <v>1.12191271731393E-2</v>
      </c>
      <c r="AL8">
        <v>0.63514832367998597</v>
      </c>
    </row>
    <row r="9" spans="1:38" x14ac:dyDescent="0.2">
      <c r="A9">
        <v>32</v>
      </c>
      <c r="B9">
        <v>736</v>
      </c>
      <c r="C9">
        <v>290</v>
      </c>
      <c r="D9">
        <v>0.27032700787792002</v>
      </c>
      <c r="E9">
        <v>20.5924842382191</v>
      </c>
      <c r="F9">
        <v>2.5265763729385999</v>
      </c>
      <c r="G9">
        <v>-323.2952426145992</v>
      </c>
      <c r="H9">
        <v>-280.88176293472588</v>
      </c>
      <c r="I9">
        <v>42.028915106647403</v>
      </c>
      <c r="J9">
        <v>24.512616575548599</v>
      </c>
      <c r="K9">
        <v>8.1503509883092899</v>
      </c>
      <c r="L9">
        <v>2.8613496332296066E-5</v>
      </c>
      <c r="M9">
        <v>1.7881185398142241E-6</v>
      </c>
      <c r="N9" s="1">
        <v>-2.41335305559524E-7</v>
      </c>
      <c r="O9" s="1">
        <v>7.7338822761170404E-11</v>
      </c>
      <c r="P9" s="1">
        <v>8.5871566714957599E-10</v>
      </c>
      <c r="Q9">
        <v>65.8552957924949</v>
      </c>
      <c r="S9">
        <v>18.942272645720799</v>
      </c>
      <c r="AA9">
        <v>0.26113591246540102</v>
      </c>
      <c r="AB9">
        <v>4.0795489145900703</v>
      </c>
      <c r="AC9">
        <v>10.8617467347286</v>
      </c>
      <c r="AJ9">
        <v>0.35879664129450001</v>
      </c>
      <c r="AK9">
        <v>1.2691519353399801E-2</v>
      </c>
      <c r="AL9">
        <v>0.62851183935209898</v>
      </c>
    </row>
    <row r="10" spans="1:38" x14ac:dyDescent="0.2">
      <c r="A10">
        <v>33</v>
      </c>
      <c r="B10">
        <v>734</v>
      </c>
      <c r="C10">
        <v>290</v>
      </c>
      <c r="D10">
        <v>0.268739016035347</v>
      </c>
      <c r="E10">
        <v>29.870454292665499</v>
      </c>
      <c r="F10">
        <v>2.5266511292195002</v>
      </c>
      <c r="G10">
        <v>-468.88568213771532</v>
      </c>
      <c r="H10">
        <v>-407.54595441990733</v>
      </c>
      <c r="I10">
        <v>60.904262242772198</v>
      </c>
      <c r="J10">
        <v>35.586357860395303</v>
      </c>
      <c r="K10">
        <v>11.8221522343263</v>
      </c>
      <c r="L10">
        <v>2.8705405674827471E-5</v>
      </c>
      <c r="M10">
        <v>1.7888964150632049E-6</v>
      </c>
      <c r="N10" s="1">
        <v>-3.7931837028000601E-7</v>
      </c>
      <c r="O10" s="1">
        <v>1.11940271003291E-10</v>
      </c>
      <c r="P10" s="1">
        <v>1.3287224531551501E-9</v>
      </c>
      <c r="Q10">
        <v>65.8718730155814</v>
      </c>
      <c r="S10">
        <v>18.939349687805802</v>
      </c>
      <c r="AA10">
        <v>0.25485637387476001</v>
      </c>
      <c r="AB10">
        <v>4.1088274532184004</v>
      </c>
      <c r="AC10">
        <v>10.8250934695195</v>
      </c>
      <c r="AJ10">
        <v>0.36131788139882398</v>
      </c>
      <c r="AK10">
        <v>1.23844818557213E-2</v>
      </c>
      <c r="AL10">
        <v>0.62629763674545402</v>
      </c>
    </row>
    <row r="11" spans="1:38" x14ac:dyDescent="0.2">
      <c r="A11">
        <v>34</v>
      </c>
      <c r="B11">
        <v>732</v>
      </c>
      <c r="C11">
        <v>290</v>
      </c>
      <c r="D11">
        <v>0.267144704770434</v>
      </c>
      <c r="E11">
        <v>32.413293417886798</v>
      </c>
      <c r="F11">
        <v>2.5267168635709898</v>
      </c>
      <c r="G11">
        <v>-508.64692994915833</v>
      </c>
      <c r="H11">
        <v>-442.29803374931856</v>
      </c>
      <c r="I11">
        <v>66.008950106789698</v>
      </c>
      <c r="J11">
        <v>38.639220254737602</v>
      </c>
      <c r="K11">
        <v>12.8282253881336</v>
      </c>
      <c r="L11">
        <v>2.8768757256217367E-5</v>
      </c>
      <c r="M11">
        <v>1.7892509119367016E-6</v>
      </c>
      <c r="N11" s="1">
        <v>-4.4100199480439302E-7</v>
      </c>
      <c r="O11" s="1">
        <v>1.2125012492622501E-10</v>
      </c>
      <c r="P11" s="1">
        <v>1.5248992046939501E-9</v>
      </c>
      <c r="Q11">
        <v>65.874975801825698</v>
      </c>
      <c r="S11">
        <v>18.934123015665499</v>
      </c>
      <c r="AA11">
        <v>0.24982032308982499</v>
      </c>
      <c r="AB11">
        <v>4.1020394454696003</v>
      </c>
      <c r="AC11">
        <v>10.8390414139492</v>
      </c>
      <c r="AJ11">
        <v>0.36073346931211903</v>
      </c>
      <c r="AK11">
        <v>1.2140181016526801E-2</v>
      </c>
      <c r="AL11">
        <v>0.62712634967135295</v>
      </c>
    </row>
    <row r="12" spans="1:38" x14ac:dyDescent="0.2">
      <c r="A12">
        <v>35</v>
      </c>
      <c r="B12">
        <v>730</v>
      </c>
      <c r="C12">
        <v>290</v>
      </c>
      <c r="D12">
        <v>0.265544036285703</v>
      </c>
      <c r="E12">
        <v>33.642920251696502</v>
      </c>
      <c r="F12">
        <v>2.52678209468458</v>
      </c>
      <c r="G12">
        <v>-527.76744669457366</v>
      </c>
      <c r="H12">
        <v>-459.12482623323751</v>
      </c>
      <c r="I12">
        <v>68.427075174536398</v>
      </c>
      <c r="J12">
        <v>40.129145542781501</v>
      </c>
      <c r="K12">
        <v>13.3145316814096</v>
      </c>
      <c r="L12">
        <v>2.8830033832805549E-5</v>
      </c>
      <c r="M12">
        <v>1.7895334711915234E-6</v>
      </c>
      <c r="N12" s="1">
        <v>-4.8916206265074697E-7</v>
      </c>
      <c r="O12" s="1">
        <v>1.2562056541848901E-10</v>
      </c>
      <c r="P12" s="1">
        <v>1.67129625451522E-9</v>
      </c>
      <c r="Q12">
        <v>65.875453716174903</v>
      </c>
      <c r="S12">
        <v>18.928511547872802</v>
      </c>
      <c r="AA12">
        <v>0.245079289924195</v>
      </c>
      <c r="AB12">
        <v>4.0883932596129897</v>
      </c>
      <c r="AC12">
        <v>10.8625621864149</v>
      </c>
      <c r="AJ12">
        <v>0.35955843865336501</v>
      </c>
      <c r="AK12">
        <v>1.1910616077124099E-2</v>
      </c>
      <c r="AL12">
        <v>0.62853094526951003</v>
      </c>
    </row>
    <row r="13" spans="1:38" x14ac:dyDescent="0.2">
      <c r="A13">
        <v>36</v>
      </c>
      <c r="B13">
        <v>728</v>
      </c>
      <c r="C13">
        <v>290</v>
      </c>
      <c r="D13">
        <v>0.26393697248164799</v>
      </c>
      <c r="E13">
        <v>34.375897104886498</v>
      </c>
      <c r="F13">
        <v>2.5268483103778601</v>
      </c>
      <c r="G13">
        <v>-539.08109753855877</v>
      </c>
      <c r="H13">
        <v>-469.17199687637469</v>
      </c>
      <c r="I13">
        <v>69.828797545007404</v>
      </c>
      <c r="J13">
        <v>41.029271177843498</v>
      </c>
      <c r="K13">
        <v>13.6042583022112</v>
      </c>
      <c r="L13">
        <v>2.8893351916703433E-5</v>
      </c>
      <c r="M13">
        <v>1.7897968125641075E-6</v>
      </c>
      <c r="N13" s="1">
        <v>-5.3339243878752098E-7</v>
      </c>
      <c r="O13" s="1">
        <v>1.28114535686231E-10</v>
      </c>
      <c r="P13" s="1">
        <v>1.8020295616177799E-9</v>
      </c>
      <c r="Q13">
        <v>65.874913441925401</v>
      </c>
      <c r="S13">
        <v>18.922798127081599</v>
      </c>
      <c r="AA13">
        <v>0.240491724880777</v>
      </c>
      <c r="AB13">
        <v>4.0722108120167304</v>
      </c>
      <c r="AC13">
        <v>10.889585894095299</v>
      </c>
      <c r="AJ13">
        <v>0.35816479828981801</v>
      </c>
      <c r="AK13">
        <v>1.1688629007876801E-2</v>
      </c>
      <c r="AL13">
        <v>0.63014657270230401</v>
      </c>
    </row>
    <row r="14" spans="1:38" x14ac:dyDescent="0.2">
      <c r="A14">
        <v>37</v>
      </c>
      <c r="B14">
        <v>726</v>
      </c>
      <c r="C14">
        <v>290</v>
      </c>
      <c r="D14">
        <v>0.26232347495371</v>
      </c>
      <c r="E14">
        <v>34.861513981115401</v>
      </c>
      <c r="F14">
        <v>2.5269159914888299</v>
      </c>
      <c r="G14">
        <v>-546.50655908654073</v>
      </c>
      <c r="H14">
        <v>-475.84250778789868</v>
      </c>
      <c r="I14">
        <v>70.724166840456405</v>
      </c>
      <c r="J14">
        <v>41.636797051315</v>
      </c>
      <c r="K14">
        <v>13.7960716139896</v>
      </c>
      <c r="L14">
        <v>2.8960118428969248E-5</v>
      </c>
      <c r="M14">
        <v>1.7900573656039339E-6</v>
      </c>
      <c r="N14" s="1">
        <v>-5.7658728196195397E-7</v>
      </c>
      <c r="O14" s="1">
        <v>1.29667447074894E-10</v>
      </c>
      <c r="P14" s="1">
        <v>1.9273832629429801E-9</v>
      </c>
      <c r="Q14">
        <v>65.873842304930804</v>
      </c>
      <c r="S14">
        <v>18.9170678189633</v>
      </c>
      <c r="AA14">
        <v>0.23601409718383901</v>
      </c>
      <c r="AB14">
        <v>4.0548010929332996</v>
      </c>
      <c r="AC14">
        <v>10.9182746859886</v>
      </c>
      <c r="AJ14">
        <v>0.35666520433738302</v>
      </c>
      <c r="AK14">
        <v>1.1472020702972799E-2</v>
      </c>
      <c r="AL14">
        <v>0.63186277495964305</v>
      </c>
    </row>
    <row r="15" spans="1:38" x14ac:dyDescent="0.2">
      <c r="A15">
        <v>38</v>
      </c>
      <c r="B15">
        <v>724</v>
      </c>
      <c r="C15">
        <v>290</v>
      </c>
      <c r="D15">
        <v>0.26070350498922301</v>
      </c>
      <c r="E15">
        <v>35.203769579346798</v>
      </c>
      <c r="F15">
        <v>2.5269853465279399</v>
      </c>
      <c r="G15">
        <v>-551.67879201698099</v>
      </c>
      <c r="H15">
        <v>-480.55605210174053</v>
      </c>
      <c r="I15">
        <v>71.326019069588597</v>
      </c>
      <c r="J15">
        <v>42.0757703990461</v>
      </c>
      <c r="K15">
        <v>13.931133248444199</v>
      </c>
      <c r="L15">
        <v>2.9031039676938683E-5</v>
      </c>
      <c r="M15">
        <v>1.7903222310454847E-6</v>
      </c>
      <c r="N15" s="1">
        <v>-6.1988293757088499E-7</v>
      </c>
      <c r="O15" s="1">
        <v>1.3067025538585401E-10</v>
      </c>
      <c r="P15" s="1">
        <v>2.0514137123136798E-9</v>
      </c>
      <c r="Q15">
        <v>65.872440920645005</v>
      </c>
      <c r="S15">
        <v>18.911355048682299</v>
      </c>
      <c r="AA15">
        <v>0.23162799707283699</v>
      </c>
      <c r="AB15">
        <v>4.0367014131891903</v>
      </c>
      <c r="AC15">
        <v>10.9478746204105</v>
      </c>
      <c r="AJ15">
        <v>0.35510589598701697</v>
      </c>
      <c r="AK15">
        <v>1.12598627956752E-2</v>
      </c>
      <c r="AL15">
        <v>0.63363424121730705</v>
      </c>
    </row>
    <row r="16" spans="1:38" x14ac:dyDescent="0.2">
      <c r="A16">
        <v>51</v>
      </c>
      <c r="B16">
        <v>736</v>
      </c>
      <c r="C16">
        <v>280</v>
      </c>
      <c r="D16">
        <v>0.281227270475152</v>
      </c>
      <c r="E16">
        <v>28.657447463390401</v>
      </c>
      <c r="F16">
        <v>2.5261665188931199</v>
      </c>
      <c r="G16">
        <v>-450.15451885851974</v>
      </c>
      <c r="H16">
        <v>-391.1039471600692</v>
      </c>
      <c r="I16">
        <v>58.515158002725499</v>
      </c>
      <c r="J16">
        <v>34.126423349024499</v>
      </c>
      <c r="K16">
        <v>11.344243243294599</v>
      </c>
      <c r="L16">
        <v>2.8657568407536378E-5</v>
      </c>
      <c r="M16">
        <v>1.7895163089484089E-6</v>
      </c>
      <c r="N16" s="1">
        <v>-3.3906542824956102E-7</v>
      </c>
      <c r="O16" s="1">
        <v>1.07559524650568E-10</v>
      </c>
      <c r="P16" s="1">
        <v>1.20444050110359E-9</v>
      </c>
      <c r="Q16">
        <v>65.878321268347506</v>
      </c>
      <c r="S16">
        <v>18.947946770548199</v>
      </c>
      <c r="AA16">
        <v>0.26044444353458002</v>
      </c>
      <c r="AB16">
        <v>4.14573540887225</v>
      </c>
      <c r="AC16">
        <v>10.7675521086974</v>
      </c>
      <c r="AJ16">
        <v>0.36449492973687603</v>
      </c>
      <c r="AK16">
        <v>1.2653649406210599E-2</v>
      </c>
      <c r="AL16">
        <v>0.62285142085691203</v>
      </c>
    </row>
    <row r="17" spans="1:38" x14ac:dyDescent="0.2">
      <c r="A17">
        <v>52</v>
      </c>
      <c r="B17">
        <v>734</v>
      </c>
      <c r="C17">
        <v>280</v>
      </c>
      <c r="D17">
        <v>0.27966092439060802</v>
      </c>
      <c r="E17">
        <v>31.966100266475902</v>
      </c>
      <c r="F17">
        <v>2.5262305029108201</v>
      </c>
      <c r="G17">
        <v>-501.97438393596542</v>
      </c>
      <c r="H17">
        <v>-436.31598439039436</v>
      </c>
      <c r="I17">
        <v>65.1922747808878</v>
      </c>
      <c r="J17">
        <v>38.087727403527097</v>
      </c>
      <c r="K17">
        <v>12.653675200914201</v>
      </c>
      <c r="L17">
        <v>2.8716453447379916E-5</v>
      </c>
      <c r="M17">
        <v>1.789858173169997E-6</v>
      </c>
      <c r="N17" s="1">
        <v>-4.0540775783656499E-7</v>
      </c>
      <c r="O17" s="1">
        <v>1.19775012197995E-10</v>
      </c>
      <c r="P17" s="1">
        <v>1.4205364173521999E-9</v>
      </c>
      <c r="Q17">
        <v>65.881459495149997</v>
      </c>
      <c r="S17">
        <v>18.942652708163202</v>
      </c>
      <c r="AA17">
        <v>0.255344525538101</v>
      </c>
      <c r="AB17">
        <v>4.1388497062194904</v>
      </c>
      <c r="AC17">
        <v>10.781693564929</v>
      </c>
      <c r="AJ17">
        <v>0.36390232939886202</v>
      </c>
      <c r="AK17">
        <v>1.24063069193826E-2</v>
      </c>
      <c r="AL17">
        <v>0.62369136368175404</v>
      </c>
    </row>
    <row r="18" spans="1:38" x14ac:dyDescent="0.2">
      <c r="A18">
        <v>53</v>
      </c>
      <c r="B18">
        <v>732</v>
      </c>
      <c r="C18">
        <v>280</v>
      </c>
      <c r="D18">
        <v>0.27808834502313201</v>
      </c>
      <c r="E18">
        <v>33.430266051316799</v>
      </c>
      <c r="F18">
        <v>2.5262933067326601</v>
      </c>
      <c r="G18">
        <v>-524.79060379203122</v>
      </c>
      <c r="H18">
        <v>-456.34707786731838</v>
      </c>
      <c r="I18">
        <v>68.092847758755099</v>
      </c>
      <c r="J18">
        <v>39.854054207956302</v>
      </c>
      <c r="K18">
        <v>13.232931410705101</v>
      </c>
      <c r="L18">
        <v>2.877263796476513E-5</v>
      </c>
      <c r="M18">
        <v>1.7901212818604758E-6</v>
      </c>
      <c r="N18" s="1">
        <v>-4.53275505228935E-7</v>
      </c>
      <c r="O18" s="1">
        <v>1.2504826222303001E-10</v>
      </c>
      <c r="P18" s="1">
        <v>1.5683505596197001E-9</v>
      </c>
      <c r="Q18">
        <v>65.881784592823806</v>
      </c>
      <c r="S18">
        <v>18.9369301748117</v>
      </c>
      <c r="AA18">
        <v>0.25054751983123302</v>
      </c>
      <c r="AB18">
        <v>4.1245718037935903</v>
      </c>
      <c r="AC18">
        <v>10.8061659087394</v>
      </c>
      <c r="AJ18">
        <v>0.36267335947398999</v>
      </c>
      <c r="AK18">
        <v>1.2174122992740699E-2</v>
      </c>
      <c r="AL18">
        <v>0.62515251753326795</v>
      </c>
    </row>
    <row r="19" spans="1:38" x14ac:dyDescent="0.2">
      <c r="A19">
        <v>54</v>
      </c>
      <c r="B19">
        <v>730</v>
      </c>
      <c r="C19">
        <v>280</v>
      </c>
      <c r="D19">
        <v>0.27650949509046802</v>
      </c>
      <c r="E19">
        <v>34.270543622482698</v>
      </c>
      <c r="F19">
        <v>2.5263569723636601</v>
      </c>
      <c r="G19">
        <v>-537.79558654466109</v>
      </c>
      <c r="H19">
        <v>-467.86041329362979</v>
      </c>
      <c r="I19">
        <v>69.715569208026096</v>
      </c>
      <c r="J19">
        <v>40.879234580129001</v>
      </c>
      <c r="K19">
        <v>13.5652023832638</v>
      </c>
      <c r="L19">
        <v>2.8830742463348716E-5</v>
      </c>
      <c r="M19">
        <v>1.7903658765279649E-6</v>
      </c>
      <c r="N19" s="1">
        <v>-4.9617056755917396E-7</v>
      </c>
      <c r="O19" s="1">
        <v>1.27964111414575E-10</v>
      </c>
      <c r="P19" s="1">
        <v>1.6965121531752501E-9</v>
      </c>
      <c r="Q19">
        <v>65.881134342634098</v>
      </c>
      <c r="S19">
        <v>18.9311105909335</v>
      </c>
      <c r="AA19">
        <v>0.24589803053617501</v>
      </c>
      <c r="AB19">
        <v>4.1078659603763796</v>
      </c>
      <c r="AC19">
        <v>10.8339910755197</v>
      </c>
      <c r="AJ19">
        <v>0.36123516983802501</v>
      </c>
      <c r="AK19">
        <v>1.19492212670843E-2</v>
      </c>
      <c r="AL19">
        <v>0.62681560889488996</v>
      </c>
    </row>
    <row r="20" spans="1:38" x14ac:dyDescent="0.2">
      <c r="A20">
        <v>55</v>
      </c>
      <c r="B20">
        <v>728</v>
      </c>
      <c r="C20">
        <v>280</v>
      </c>
      <c r="D20">
        <v>0.27492433701243602</v>
      </c>
      <c r="E20">
        <v>34.816029673644302</v>
      </c>
      <c r="F20">
        <v>2.5264220718952299</v>
      </c>
      <c r="G20">
        <v>-546.16473478221224</v>
      </c>
      <c r="H20">
        <v>-475.34904428690743</v>
      </c>
      <c r="I20">
        <v>70.734345997407701</v>
      </c>
      <c r="J20">
        <v>41.555370766100303</v>
      </c>
      <c r="K20">
        <v>13.7807653206285</v>
      </c>
      <c r="L20">
        <v>2.889217112578164E-5</v>
      </c>
      <c r="M20">
        <v>1.7906085203373809E-6</v>
      </c>
      <c r="N20" s="1">
        <v>-5.3772871671683396E-7</v>
      </c>
      <c r="O20" s="1">
        <v>1.2975873804704301E-10</v>
      </c>
      <c r="P20" s="1">
        <v>1.8180901421105901E-9</v>
      </c>
      <c r="Q20">
        <v>65.879999557313695</v>
      </c>
      <c r="S20">
        <v>18.925281684547802</v>
      </c>
      <c r="AA20">
        <v>0.241353909725743</v>
      </c>
      <c r="AB20">
        <v>4.0900559162349799</v>
      </c>
      <c r="AC20">
        <v>10.8633089321777</v>
      </c>
      <c r="AJ20">
        <v>0.35970164763698498</v>
      </c>
      <c r="AK20">
        <v>1.1729467884021801E-2</v>
      </c>
      <c r="AL20">
        <v>0.62856888447899195</v>
      </c>
    </row>
    <row r="21" spans="1:38" x14ac:dyDescent="0.2">
      <c r="A21">
        <v>56</v>
      </c>
      <c r="B21">
        <v>726</v>
      </c>
      <c r="C21">
        <v>280</v>
      </c>
      <c r="D21">
        <v>0.273332832907971</v>
      </c>
      <c r="E21">
        <v>35.195885836004997</v>
      </c>
      <c r="F21">
        <v>2.5264888341201601</v>
      </c>
      <c r="G21">
        <v>-551.92945103928207</v>
      </c>
      <c r="H21">
        <v>-480.57641921714497</v>
      </c>
      <c r="I21">
        <v>71.413733495608298</v>
      </c>
      <c r="J21">
        <v>42.036420254468702</v>
      </c>
      <c r="K21">
        <v>13.9307505977012</v>
      </c>
      <c r="L21">
        <v>2.8957606573954003E-5</v>
      </c>
      <c r="M21">
        <v>1.7908559760993718E-6</v>
      </c>
      <c r="N21" s="1">
        <v>-5.7934238271169499E-7</v>
      </c>
      <c r="O21" s="1">
        <v>1.3091771515226299E-10</v>
      </c>
      <c r="P21" s="1">
        <v>1.9380861766151701E-9</v>
      </c>
      <c r="Q21">
        <v>65.878569362633002</v>
      </c>
      <c r="S21">
        <v>18.919476618089501</v>
      </c>
      <c r="AA21">
        <v>0.23689838683529599</v>
      </c>
      <c r="AB21">
        <v>4.0716500676426497</v>
      </c>
      <c r="AC21">
        <v>10.8934055647994</v>
      </c>
      <c r="AJ21">
        <v>0.35811652963825902</v>
      </c>
      <c r="AK21">
        <v>1.15140156363227E-2</v>
      </c>
      <c r="AL21">
        <v>0.63036945472541706</v>
      </c>
    </row>
    <row r="22" spans="1:38" x14ac:dyDescent="0.2">
      <c r="A22">
        <v>68</v>
      </c>
      <c r="B22">
        <v>738</v>
      </c>
      <c r="C22">
        <v>270</v>
      </c>
      <c r="D22">
        <v>0.29366612273154402</v>
      </c>
      <c r="E22">
        <v>15.812808830662799</v>
      </c>
      <c r="F22">
        <v>2.5819606711377898</v>
      </c>
      <c r="G22">
        <v>-255.5391863018607</v>
      </c>
      <c r="H22">
        <v>-222.2821396056317</v>
      </c>
      <c r="I22">
        <v>32.890319632328499</v>
      </c>
      <c r="J22">
        <v>19.464550368688599</v>
      </c>
      <c r="K22">
        <v>6.1243414771668698</v>
      </c>
      <c r="L22">
        <v>3.2058232181637276E-5</v>
      </c>
      <c r="M22">
        <v>1.7974978866130624E-6</v>
      </c>
      <c r="N22" s="1">
        <v>-4.1388728913087101E-7</v>
      </c>
      <c r="O22" s="1">
        <v>5.2079290294891103E-11</v>
      </c>
      <c r="P22" s="1">
        <v>1.3279279773209E-9</v>
      </c>
      <c r="Q22">
        <v>64.528606864561993</v>
      </c>
      <c r="S22">
        <v>21.886783013123299</v>
      </c>
      <c r="AA22">
        <v>2.9999518392806301</v>
      </c>
      <c r="AB22">
        <v>8.8425105135186399</v>
      </c>
      <c r="AC22">
        <v>1.74214776951531</v>
      </c>
      <c r="AJ22">
        <v>0.75924257820681595</v>
      </c>
      <c r="AK22">
        <v>0.14234101010960901</v>
      </c>
      <c r="AL22">
        <v>9.8416411683573499E-2</v>
      </c>
    </row>
    <row r="23" spans="1:38" x14ac:dyDescent="0.2">
      <c r="A23">
        <v>69</v>
      </c>
      <c r="B23">
        <v>736</v>
      </c>
      <c r="C23">
        <v>270</v>
      </c>
      <c r="D23">
        <v>0.29212753307238798</v>
      </c>
      <c r="E23">
        <v>18.3406416258162</v>
      </c>
      <c r="F23">
        <v>2.5819027117964901</v>
      </c>
      <c r="G23">
        <v>-296.31590351327543</v>
      </c>
      <c r="H23">
        <v>-257.86149669713433</v>
      </c>
      <c r="I23">
        <v>38.105739301531997</v>
      </c>
      <c r="J23">
        <v>22.609034376858201</v>
      </c>
      <c r="K23">
        <v>7.1035370705562899</v>
      </c>
      <c r="L23">
        <v>3.2226384346389553E-5</v>
      </c>
      <c r="M23">
        <v>1.798884855261487E-6</v>
      </c>
      <c r="N23" s="1">
        <v>-5.1315391883470103E-7</v>
      </c>
      <c r="O23" s="1">
        <v>6.0164837833849701E-11</v>
      </c>
      <c r="P23" s="1">
        <v>1.6340748577827699E-9</v>
      </c>
      <c r="Q23">
        <v>64.561881050830493</v>
      </c>
      <c r="S23">
        <v>21.865626276250701</v>
      </c>
      <c r="AA23">
        <v>2.9747332382546001</v>
      </c>
      <c r="AB23">
        <v>8.8611951172524392</v>
      </c>
      <c r="AC23">
        <v>1.7365643174116401</v>
      </c>
      <c r="AJ23">
        <v>0.76077664881184903</v>
      </c>
      <c r="AK23">
        <v>0.14113141337500101</v>
      </c>
      <c r="AL23">
        <v>9.8091937813148594E-2</v>
      </c>
    </row>
    <row r="24" spans="1:38" x14ac:dyDescent="0.2">
      <c r="A24">
        <v>70</v>
      </c>
      <c r="B24">
        <v>734</v>
      </c>
      <c r="C24">
        <v>270</v>
      </c>
      <c r="D24">
        <v>0.29058283274586499</v>
      </c>
      <c r="E24">
        <v>19.3794057204193</v>
      </c>
      <c r="F24">
        <v>2.5820023897133302</v>
      </c>
      <c r="G24">
        <v>-313.02709707694072</v>
      </c>
      <c r="H24">
        <v>-272.52169119438975</v>
      </c>
      <c r="I24">
        <v>40.217848267438598</v>
      </c>
      <c r="J24">
        <v>23.926021950530899</v>
      </c>
      <c r="K24">
        <v>7.50557234091906</v>
      </c>
      <c r="L24">
        <v>3.2395492632818128E-5</v>
      </c>
      <c r="M24">
        <v>1.7999275378495469E-6</v>
      </c>
      <c r="N24" s="1">
        <v>-5.7930063627280505E-7</v>
      </c>
      <c r="O24" s="1">
        <v>6.3282074596784506E-11</v>
      </c>
      <c r="P24" s="1">
        <v>1.83156793210261E-9</v>
      </c>
      <c r="Q24">
        <v>64.578566841593002</v>
      </c>
      <c r="S24">
        <v>21.8568841405345</v>
      </c>
      <c r="AA24">
        <v>2.96362748561143</v>
      </c>
      <c r="AB24">
        <v>8.8754598619752993</v>
      </c>
      <c r="AC24">
        <v>1.7254616702855701</v>
      </c>
      <c r="AJ24">
        <v>0.76194750976813597</v>
      </c>
      <c r="AK24">
        <v>0.14059458493431801</v>
      </c>
      <c r="AL24">
        <v>9.7457905297545402E-2</v>
      </c>
    </row>
    <row r="25" spans="1:38" x14ac:dyDescent="0.2">
      <c r="A25">
        <v>71</v>
      </c>
      <c r="B25">
        <v>732</v>
      </c>
      <c r="C25">
        <v>270</v>
      </c>
      <c r="D25">
        <v>0.28903198527583002</v>
      </c>
      <c r="E25">
        <v>19.993089006902199</v>
      </c>
      <c r="F25">
        <v>2.5821473677306499</v>
      </c>
      <c r="G25">
        <v>-322.86801225015216</v>
      </c>
      <c r="H25">
        <v>-281.21122356697259</v>
      </c>
      <c r="I25">
        <v>41.443355402854799</v>
      </c>
      <c r="J25">
        <v>24.723778560718198</v>
      </c>
      <c r="K25">
        <v>7.7428148589649703</v>
      </c>
      <c r="L25">
        <v>3.2572505701524031E-5</v>
      </c>
      <c r="M25">
        <v>1.8008945132940131E-6</v>
      </c>
      <c r="N25" s="1">
        <v>-6.3838922842263905E-7</v>
      </c>
      <c r="O25" s="1">
        <v>6.4961572133032605E-11</v>
      </c>
      <c r="P25" s="1">
        <v>2.0046353483063502E-9</v>
      </c>
      <c r="Q25">
        <v>64.590544521675199</v>
      </c>
      <c r="S25">
        <v>21.851655731216599</v>
      </c>
      <c r="AA25">
        <v>2.9565191664877202</v>
      </c>
      <c r="AB25">
        <v>8.8884445250542701</v>
      </c>
      <c r="AC25">
        <v>1.71283605556611</v>
      </c>
      <c r="AJ25">
        <v>0.76301310767510899</v>
      </c>
      <c r="AK25">
        <v>0.14024833741464199</v>
      </c>
      <c r="AL25">
        <v>9.6738554910247895E-2</v>
      </c>
    </row>
    <row r="26" spans="1:38" x14ac:dyDescent="0.2">
      <c r="A26">
        <v>72</v>
      </c>
      <c r="B26">
        <v>730</v>
      </c>
      <c r="C26">
        <v>270</v>
      </c>
      <c r="D26">
        <v>0.28747495389523398</v>
      </c>
      <c r="E26">
        <v>20.419870645855902</v>
      </c>
      <c r="F26">
        <v>2.5823114099400799</v>
      </c>
      <c r="G26">
        <v>-329.6877593123989</v>
      </c>
      <c r="H26">
        <v>-287.27597608322662</v>
      </c>
      <c r="I26">
        <v>42.278605621464699</v>
      </c>
      <c r="J26">
        <v>25.295323143414599</v>
      </c>
      <c r="K26">
        <v>7.9075941682532198</v>
      </c>
      <c r="L26">
        <v>3.2759578820804935E-5</v>
      </c>
      <c r="M26">
        <v>1.8018499038813267E-6</v>
      </c>
      <c r="N26" s="1">
        <v>-6.9632107348221597E-7</v>
      </c>
      <c r="O26" s="1">
        <v>6.59941957948863E-11</v>
      </c>
      <c r="P26" s="1">
        <v>2.1722797082394499E-9</v>
      </c>
      <c r="Q26">
        <v>64.600586940112194</v>
      </c>
      <c r="S26">
        <v>21.8478619465265</v>
      </c>
      <c r="AA26">
        <v>2.9510459942195002</v>
      </c>
      <c r="AB26">
        <v>8.9008776162973895</v>
      </c>
      <c r="AC26">
        <v>1.69962750284431</v>
      </c>
      <c r="AJ26">
        <v>0.76403328992050701</v>
      </c>
      <c r="AK26">
        <v>0.13998007463908799</v>
      </c>
      <c r="AL26">
        <v>9.5986635440403603E-2</v>
      </c>
    </row>
    <row r="27" spans="1:38" x14ac:dyDescent="0.2">
      <c r="A27">
        <v>73</v>
      </c>
      <c r="B27">
        <v>728</v>
      </c>
      <c r="C27">
        <v>270</v>
      </c>
      <c r="D27">
        <v>0.28591170154322698</v>
      </c>
      <c r="E27">
        <v>20.746254188777499</v>
      </c>
      <c r="F27">
        <v>2.58248528036833</v>
      </c>
      <c r="G27">
        <v>-334.88429495409787</v>
      </c>
      <c r="H27">
        <v>-291.93106624231268</v>
      </c>
      <c r="I27">
        <v>42.9038892391602</v>
      </c>
      <c r="J27">
        <v>25.7472224330931</v>
      </c>
      <c r="K27">
        <v>8.0334452809808692</v>
      </c>
      <c r="L27">
        <v>3.2957944924377415E-5</v>
      </c>
      <c r="M27">
        <v>1.8028176650438119E-6</v>
      </c>
      <c r="N27" s="1">
        <v>-7.5529324083795798E-7</v>
      </c>
      <c r="O27" s="1">
        <v>6.6667069016771406E-11</v>
      </c>
      <c r="P27" s="1">
        <v>2.3415127328706398E-9</v>
      </c>
      <c r="Q27">
        <v>64.609673810937693</v>
      </c>
      <c r="S27">
        <v>21.8447680400457</v>
      </c>
      <c r="AA27">
        <v>2.9463731926121199</v>
      </c>
      <c r="AB27">
        <v>8.9130161426386305</v>
      </c>
      <c r="AC27">
        <v>1.68616881376581</v>
      </c>
      <c r="AJ27">
        <v>0.765029169615558</v>
      </c>
      <c r="AK27">
        <v>0.13975000956568101</v>
      </c>
      <c r="AL27">
        <v>9.5220820818760599E-2</v>
      </c>
    </row>
    <row r="28" spans="1:38" x14ac:dyDescent="0.2">
      <c r="A28">
        <v>83</v>
      </c>
      <c r="B28">
        <v>742</v>
      </c>
      <c r="C28">
        <v>260</v>
      </c>
      <c r="D28">
        <v>0.30756095158350699</v>
      </c>
      <c r="E28">
        <v>1.23123019813028</v>
      </c>
      <c r="F28">
        <v>2.5828139675669401</v>
      </c>
      <c r="G28">
        <v>-19.916382303440571</v>
      </c>
      <c r="H28">
        <v>-17.311188129472573</v>
      </c>
      <c r="I28">
        <v>2.56631450915431</v>
      </c>
      <c r="J28">
        <v>1.51121736710532</v>
      </c>
      <c r="K28">
        <v>0.47670107626455299</v>
      </c>
      <c r="L28">
        <v>3.1683318414602412E-5</v>
      </c>
      <c r="M28">
        <v>1.7930500442791569E-6</v>
      </c>
      <c r="N28" s="1">
        <v>-2.79205290385535E-8</v>
      </c>
      <c r="O28" s="1">
        <v>4.0765051318391301E-12</v>
      </c>
      <c r="P28" s="1">
        <v>9.1143887342860402E-11</v>
      </c>
      <c r="Q28">
        <v>64.353780847943995</v>
      </c>
      <c r="S28">
        <v>22.017688554509</v>
      </c>
      <c r="AA28">
        <v>3.1487435122424898</v>
      </c>
      <c r="AB28">
        <v>8.7961060049060098</v>
      </c>
      <c r="AC28">
        <v>1.6836810803983899</v>
      </c>
      <c r="AJ28">
        <v>0.75542998391678096</v>
      </c>
      <c r="AK28">
        <v>0.14943483209879399</v>
      </c>
      <c r="AL28">
        <v>9.5135183984423097E-2</v>
      </c>
    </row>
    <row r="29" spans="1:38" x14ac:dyDescent="0.2">
      <c r="A29">
        <v>84</v>
      </c>
      <c r="B29">
        <v>740</v>
      </c>
      <c r="C29">
        <v>260</v>
      </c>
      <c r="D29">
        <v>0.30605586537038199</v>
      </c>
      <c r="E29">
        <v>14.619128010185999</v>
      </c>
      <c r="F29">
        <v>2.5812195036061398</v>
      </c>
      <c r="G29">
        <v>-236.35366389640021</v>
      </c>
      <c r="H29">
        <v>-205.50857506765362</v>
      </c>
      <c r="I29">
        <v>30.444740491286101</v>
      </c>
      <c r="J29">
        <v>17.968238450215601</v>
      </c>
      <c r="K29">
        <v>5.6636516149680602</v>
      </c>
      <c r="L29">
        <v>3.1891848942245424E-5</v>
      </c>
      <c r="M29">
        <v>1.7974612398343334E-6</v>
      </c>
      <c r="N29" s="1">
        <v>-3.5515637113166998E-7</v>
      </c>
      <c r="O29" s="1">
        <v>4.8384238816973898E-11</v>
      </c>
      <c r="P29" s="1">
        <v>1.1494307529311799E-9</v>
      </c>
      <c r="Q29">
        <v>64.530676998174798</v>
      </c>
      <c r="S29">
        <v>21.881374632379899</v>
      </c>
      <c r="AA29">
        <v>2.9950068324119798</v>
      </c>
      <c r="AB29">
        <v>8.8329449220224792</v>
      </c>
      <c r="AC29">
        <v>1.7599966150106601</v>
      </c>
      <c r="AJ29">
        <v>0.75845739122287803</v>
      </c>
      <c r="AK29">
        <v>0.14211315243572201</v>
      </c>
      <c r="AL29">
        <v>9.9429456341399797E-2</v>
      </c>
    </row>
    <row r="30" spans="1:38" x14ac:dyDescent="0.2">
      <c r="A30">
        <v>85</v>
      </c>
      <c r="B30">
        <v>738</v>
      </c>
      <c r="C30">
        <v>260</v>
      </c>
      <c r="D30">
        <v>0.30454482519902998</v>
      </c>
      <c r="E30">
        <v>17.9173034068086</v>
      </c>
      <c r="F30">
        <v>2.5811872743538302</v>
      </c>
      <c r="G30">
        <v>-289.6055671745624</v>
      </c>
      <c r="H30">
        <v>-251.9181597062215</v>
      </c>
      <c r="I30">
        <v>37.271826601731597</v>
      </c>
      <c r="J30">
        <v>22.0515848685279</v>
      </c>
      <c r="K30">
        <v>6.94149687813489</v>
      </c>
      <c r="L30">
        <v>3.204794592641066E-5</v>
      </c>
      <c r="M30">
        <v>1.798751819979884E-6</v>
      </c>
      <c r="N30" s="1">
        <v>-4.6520526693361502E-7</v>
      </c>
      <c r="O30" s="1">
        <v>5.9081068769001201E-11</v>
      </c>
      <c r="P30" s="1">
        <v>1.4937665975512499E-9</v>
      </c>
      <c r="Q30">
        <v>64.561037242451306</v>
      </c>
      <c r="S30">
        <v>21.862386386448701</v>
      </c>
      <c r="AA30">
        <v>2.9722571871438701</v>
      </c>
      <c r="AB30">
        <v>8.8508209431923994</v>
      </c>
      <c r="AC30">
        <v>1.75349824076355</v>
      </c>
      <c r="AJ30">
        <v>0.75992519707709005</v>
      </c>
      <c r="AK30">
        <v>0.14102121956268401</v>
      </c>
      <c r="AL30">
        <v>9.9053583360224295E-2</v>
      </c>
    </row>
    <row r="31" spans="1:38" x14ac:dyDescent="0.2">
      <c r="A31">
        <v>86</v>
      </c>
      <c r="B31">
        <v>736</v>
      </c>
      <c r="C31">
        <v>260</v>
      </c>
      <c r="D31">
        <v>0.30302779566962401</v>
      </c>
      <c r="E31">
        <v>19.114097085297701</v>
      </c>
      <c r="F31">
        <v>2.5813188097962301</v>
      </c>
      <c r="G31">
        <v>-308.88082295006603</v>
      </c>
      <c r="H31">
        <v>-268.80151901965604</v>
      </c>
      <c r="I31">
        <v>39.715903414170199</v>
      </c>
      <c r="J31">
        <v>23.557616946225998</v>
      </c>
      <c r="K31">
        <v>7.4047796857787498</v>
      </c>
      <c r="L31">
        <v>3.2204068517520303E-5</v>
      </c>
      <c r="M31">
        <v>1.799683655912426E-6</v>
      </c>
      <c r="N31" s="1">
        <v>-5.30141908408699E-7</v>
      </c>
      <c r="O31" s="1">
        <v>6.2757512672232904E-11</v>
      </c>
      <c r="P31" s="1">
        <v>1.6895742273662301E-9</v>
      </c>
      <c r="Q31">
        <v>64.574228455591395</v>
      </c>
      <c r="S31">
        <v>21.856267048274301</v>
      </c>
      <c r="AA31">
        <v>2.9641306812421799</v>
      </c>
      <c r="AB31">
        <v>8.8641742137980106</v>
      </c>
      <c r="AC31">
        <v>1.7411996010939601</v>
      </c>
      <c r="AJ31">
        <v>0.76102132430255298</v>
      </c>
      <c r="AK31">
        <v>0.14062634208668101</v>
      </c>
      <c r="AL31">
        <v>9.8352333610764897E-2</v>
      </c>
    </row>
    <row r="32" spans="1:38" x14ac:dyDescent="0.2">
      <c r="A32">
        <v>87</v>
      </c>
      <c r="B32">
        <v>734</v>
      </c>
      <c r="C32">
        <v>260</v>
      </c>
      <c r="D32">
        <v>0.30150474110112602</v>
      </c>
      <c r="E32">
        <v>19.781921504632098</v>
      </c>
      <c r="F32">
        <v>2.5814839533435499</v>
      </c>
      <c r="G32">
        <v>-319.60271878917024</v>
      </c>
      <c r="H32">
        <v>-278.25314795200444</v>
      </c>
      <c r="I32">
        <v>41.056020292077399</v>
      </c>
      <c r="J32">
        <v>24.417241366675299</v>
      </c>
      <c r="K32">
        <v>7.6630038621818697</v>
      </c>
      <c r="L32">
        <v>3.2368012063646996E-5</v>
      </c>
      <c r="M32">
        <v>1.8005655324190741E-6</v>
      </c>
      <c r="N32" s="1">
        <v>-5.8605953589310704E-7</v>
      </c>
      <c r="O32" s="1">
        <v>6.4648460435799001E-11</v>
      </c>
      <c r="P32" s="1">
        <v>1.8544487625760199E-9</v>
      </c>
      <c r="Q32">
        <v>64.583949717677797</v>
      </c>
      <c r="S32">
        <v>21.852736091409099</v>
      </c>
      <c r="AA32">
        <v>2.9589492820645802</v>
      </c>
      <c r="AB32">
        <v>8.8765806626463704</v>
      </c>
      <c r="AC32">
        <v>1.7277842462020601</v>
      </c>
      <c r="AJ32">
        <v>0.76203956117828398</v>
      </c>
      <c r="AK32">
        <v>0.140371883041184</v>
      </c>
      <c r="AL32">
        <v>9.7588555780530703E-2</v>
      </c>
    </row>
    <row r="33" spans="1:38" x14ac:dyDescent="0.2">
      <c r="A33">
        <v>88</v>
      </c>
      <c r="B33">
        <v>732</v>
      </c>
      <c r="C33">
        <v>260</v>
      </c>
      <c r="D33">
        <v>0.29997562552852802</v>
      </c>
      <c r="E33">
        <v>20.233116046812</v>
      </c>
      <c r="F33">
        <v>2.5816616493008002</v>
      </c>
      <c r="G33">
        <v>-326.82125729839333</v>
      </c>
      <c r="H33">
        <v>-284.66167176816418</v>
      </c>
      <c r="I33">
        <v>41.943576113245904</v>
      </c>
      <c r="J33">
        <v>25.014166882651502</v>
      </c>
      <c r="K33">
        <v>7.8372454625461296</v>
      </c>
      <c r="L33">
        <v>3.2541591719328299E-5</v>
      </c>
      <c r="M33">
        <v>1.8014489338472923E-6</v>
      </c>
      <c r="N33" s="1">
        <v>-6.4023442195121202E-7</v>
      </c>
      <c r="O33" s="1">
        <v>6.5793354222880298E-11</v>
      </c>
      <c r="P33" s="1">
        <v>2.0120144314545401E-9</v>
      </c>
      <c r="Q33">
        <v>64.5924177509158</v>
      </c>
      <c r="S33">
        <v>21.850128925838401</v>
      </c>
      <c r="AA33">
        <v>2.9548224439828199</v>
      </c>
      <c r="AB33">
        <v>8.8886161971811397</v>
      </c>
      <c r="AC33">
        <v>1.7140146820817601</v>
      </c>
      <c r="AJ33">
        <v>0.76302722143512902</v>
      </c>
      <c r="AK33">
        <v>0.14016773555513201</v>
      </c>
      <c r="AL33">
        <v>9.6805043009737801E-2</v>
      </c>
    </row>
    <row r="34" spans="1:38" x14ac:dyDescent="0.2">
      <c r="A34">
        <v>89</v>
      </c>
      <c r="B34">
        <v>730</v>
      </c>
      <c r="C34">
        <v>260</v>
      </c>
      <c r="D34">
        <v>0.29844041269999899</v>
      </c>
      <c r="E34">
        <v>20.572354604372102</v>
      </c>
      <c r="F34">
        <v>2.5818452387858</v>
      </c>
      <c r="G34">
        <v>-332.22886896924047</v>
      </c>
      <c r="H34">
        <v>-289.49778704184575</v>
      </c>
      <c r="I34">
        <v>42.596901687080397</v>
      </c>
      <c r="J34">
        <v>25.4771272849881</v>
      </c>
      <c r="K34">
        <v>7.9680820117812097</v>
      </c>
      <c r="L34">
        <v>3.2725864423112215E-5</v>
      </c>
      <c r="M34">
        <v>1.8023515781225959E-6</v>
      </c>
      <c r="N34" s="1">
        <v>-6.9518363765363105E-7</v>
      </c>
      <c r="O34" s="1">
        <v>6.6540169799115005E-11</v>
      </c>
      <c r="P34" s="1">
        <v>2.1703741903494698E-9</v>
      </c>
      <c r="Q34">
        <v>64.600337924244499</v>
      </c>
      <c r="S34">
        <v>21.847915957990502</v>
      </c>
      <c r="AA34">
        <v>2.9511486586787701</v>
      </c>
      <c r="AB34">
        <v>8.90046429586274</v>
      </c>
      <c r="AC34">
        <v>1.70013316322339</v>
      </c>
      <c r="AJ34">
        <v>0.76399937873476598</v>
      </c>
      <c r="AK34">
        <v>0.13998523162085799</v>
      </c>
      <c r="AL34">
        <v>9.6015389644375101E-2</v>
      </c>
    </row>
    <row r="35" spans="1:38" x14ac:dyDescent="0.2">
      <c r="A35">
        <v>90</v>
      </c>
      <c r="B35">
        <v>728</v>
      </c>
      <c r="C35">
        <v>260</v>
      </c>
      <c r="D35">
        <v>0.29689906607401501</v>
      </c>
      <c r="E35">
        <v>20.8454014602219</v>
      </c>
      <c r="F35">
        <v>2.5820320309319098</v>
      </c>
      <c r="G35">
        <v>-336.56551947495069</v>
      </c>
      <c r="H35">
        <v>-293.40447974102744</v>
      </c>
      <c r="I35">
        <v>43.111461553136998</v>
      </c>
      <c r="J35">
        <v>25.862538729659398</v>
      </c>
      <c r="K35">
        <v>8.0732544021532906</v>
      </c>
      <c r="L35">
        <v>3.292169550006711E-5</v>
      </c>
      <c r="M35">
        <v>1.803281931308195E-6</v>
      </c>
      <c r="N35" s="1">
        <v>-7.5206033725491698E-7</v>
      </c>
      <c r="O35" s="1">
        <v>6.7040829226810703E-11</v>
      </c>
      <c r="P35" s="1">
        <v>2.33318268320945E-9</v>
      </c>
      <c r="Q35">
        <v>64.607999585505297</v>
      </c>
      <c r="S35">
        <v>21.8458800813486</v>
      </c>
      <c r="AA35">
        <v>2.9476812956899701</v>
      </c>
      <c r="AB35">
        <v>8.9122005818819492</v>
      </c>
      <c r="AC35">
        <v>1.68623845557403</v>
      </c>
      <c r="AJ35">
        <v>0.76496224609428398</v>
      </c>
      <c r="AK35">
        <v>0.139812617092539</v>
      </c>
      <c r="AL35">
        <v>9.5225136813176098E-2</v>
      </c>
    </row>
    <row r="36" spans="1:38" x14ac:dyDescent="0.2">
      <c r="A36">
        <v>99</v>
      </c>
      <c r="B36">
        <v>744</v>
      </c>
      <c r="C36">
        <v>250</v>
      </c>
      <c r="D36">
        <v>0.31987464975667701</v>
      </c>
      <c r="E36">
        <v>1.3380452044890101</v>
      </c>
      <c r="F36">
        <v>2.5821371634446399</v>
      </c>
      <c r="G36">
        <v>-21.655951556992125</v>
      </c>
      <c r="H36">
        <v>-18.815606681686475</v>
      </c>
      <c r="I36">
        <v>2.7924542843293998</v>
      </c>
      <c r="J36">
        <v>1.64050074100793</v>
      </c>
      <c r="K36">
        <v>0.51819292306843401</v>
      </c>
      <c r="L36">
        <v>3.1564047346387883E-5</v>
      </c>
      <c r="M36">
        <v>1.7936040087531194E-6</v>
      </c>
      <c r="N36" s="1">
        <v>-2.8271694796042201E-8</v>
      </c>
      <c r="O36" s="1">
        <v>4.44809856343549E-12</v>
      </c>
      <c r="P36" s="1">
        <v>9.3138753417957495E-11</v>
      </c>
      <c r="Q36">
        <v>64.371744029735893</v>
      </c>
      <c r="S36">
        <v>22.009258771231401</v>
      </c>
      <c r="AA36">
        <v>3.1375973918256501</v>
      </c>
      <c r="AB36">
        <v>8.8140362195731008</v>
      </c>
      <c r="AC36">
        <v>1.66736358763384</v>
      </c>
      <c r="AJ36">
        <v>0.75690258260016496</v>
      </c>
      <c r="AK36">
        <v>0.148892616507666</v>
      </c>
      <c r="AL36">
        <v>9.4204800892167498E-2</v>
      </c>
    </row>
    <row r="37" spans="1:38" x14ac:dyDescent="0.2">
      <c r="A37">
        <v>100</v>
      </c>
      <c r="B37">
        <v>742</v>
      </c>
      <c r="C37">
        <v>250</v>
      </c>
      <c r="D37">
        <v>0.318396788651924</v>
      </c>
      <c r="E37">
        <v>12.927366694227199</v>
      </c>
      <c r="F37">
        <v>2.5804058681341902</v>
      </c>
      <c r="G37">
        <v>-209.09276457865485</v>
      </c>
      <c r="H37">
        <v>-181.72964426829077</v>
      </c>
      <c r="I37">
        <v>26.954755760591102</v>
      </c>
      <c r="J37">
        <v>15.8670806176113</v>
      </c>
      <c r="K37">
        <v>5.0098191349931396</v>
      </c>
      <c r="L37">
        <v>3.1740346767260073E-5</v>
      </c>
      <c r="M37">
        <v>1.7976272953638135E-6</v>
      </c>
      <c r="N37" s="1">
        <v>-2.91618023273746E-7</v>
      </c>
      <c r="O37" s="1">
        <v>4.2986005511824401E-11</v>
      </c>
      <c r="P37" s="1">
        <v>9.5240710707154899E-10</v>
      </c>
      <c r="Q37">
        <v>64.540401000555093</v>
      </c>
      <c r="S37">
        <v>21.870193562182699</v>
      </c>
      <c r="AA37">
        <v>2.9835133719944298</v>
      </c>
      <c r="AB37">
        <v>8.8253017107863698</v>
      </c>
      <c r="AC37">
        <v>1.7805903544813</v>
      </c>
      <c r="AJ37">
        <v>0.75783007085226595</v>
      </c>
      <c r="AK37">
        <v>0.14157320098923301</v>
      </c>
      <c r="AL37">
        <v>0.100596728158499</v>
      </c>
    </row>
    <row r="38" spans="1:38" x14ac:dyDescent="0.2">
      <c r="A38">
        <v>101</v>
      </c>
      <c r="B38">
        <v>740</v>
      </c>
      <c r="C38">
        <v>250</v>
      </c>
      <c r="D38">
        <v>0.31691309282929903</v>
      </c>
      <c r="E38">
        <v>17.413467650501399</v>
      </c>
      <c r="F38">
        <v>2.5804294256362699</v>
      </c>
      <c r="G38">
        <v>-281.58583497276402</v>
      </c>
      <c r="H38">
        <v>-244.84071176092831</v>
      </c>
      <c r="I38">
        <v>36.268196428796998</v>
      </c>
      <c r="J38">
        <v>21.399699836869299</v>
      </c>
      <c r="K38">
        <v>6.7482828545902498</v>
      </c>
      <c r="L38">
        <v>3.1883597173122949E-5</v>
      </c>
      <c r="M38">
        <v>1.7987541704470871E-6</v>
      </c>
      <c r="N38" s="1">
        <v>-4.1966874329054399E-7</v>
      </c>
      <c r="O38" s="1">
        <v>5.7700862702750003E-11</v>
      </c>
      <c r="P38" s="1">
        <v>1.3593501854115401E-9</v>
      </c>
      <c r="Q38">
        <v>64.564730605302699</v>
      </c>
      <c r="S38">
        <v>21.855723176637799</v>
      </c>
      <c r="AA38">
        <v>2.96589817509413</v>
      </c>
      <c r="AB38">
        <v>8.8415829334806908</v>
      </c>
      <c r="AC38">
        <v>1.7720651094845601</v>
      </c>
      <c r="AJ38">
        <v>0.75916698882002898</v>
      </c>
      <c r="AK38">
        <v>0.14072599156292501</v>
      </c>
      <c r="AL38">
        <v>0.100107019617045</v>
      </c>
    </row>
    <row r="39" spans="1:38" x14ac:dyDescent="0.2">
      <c r="A39">
        <v>102</v>
      </c>
      <c r="B39">
        <v>738</v>
      </c>
      <c r="C39">
        <v>250</v>
      </c>
      <c r="D39">
        <v>0.31542352766652099</v>
      </c>
      <c r="E39">
        <v>18.837921549556398</v>
      </c>
      <c r="F39">
        <v>2.58062115689351</v>
      </c>
      <c r="G39">
        <v>-304.55445979167013</v>
      </c>
      <c r="H39">
        <v>-264.92758109635656</v>
      </c>
      <c r="I39">
        <v>39.189911185594198</v>
      </c>
      <c r="J39">
        <v>23.180095727520602</v>
      </c>
      <c r="K39">
        <v>7.2997625006814602</v>
      </c>
      <c r="L39">
        <v>3.2026068493121034E-5</v>
      </c>
      <c r="M39">
        <v>1.7995120842248196E-6</v>
      </c>
      <c r="N39" s="1">
        <v>-4.8482040764242697E-7</v>
      </c>
      <c r="O39" s="1">
        <v>6.2166717969993903E-11</v>
      </c>
      <c r="P39" s="1">
        <v>1.5581270582751299E-9</v>
      </c>
      <c r="Q39">
        <v>64.571495083443693</v>
      </c>
      <c r="S39">
        <v>21.8544383017698</v>
      </c>
      <c r="AA39">
        <v>2.96325974167411</v>
      </c>
      <c r="AB39">
        <v>8.8532887438094203</v>
      </c>
      <c r="AC39">
        <v>1.7575181293028901</v>
      </c>
      <c r="AJ39">
        <v>0.76012790419333198</v>
      </c>
      <c r="AK39">
        <v>0.14059263098692301</v>
      </c>
      <c r="AL39">
        <v>9.9279464819744298E-2</v>
      </c>
    </row>
    <row r="40" spans="1:38" x14ac:dyDescent="0.2">
      <c r="A40">
        <v>103</v>
      </c>
      <c r="B40">
        <v>736</v>
      </c>
      <c r="C40">
        <v>250</v>
      </c>
      <c r="D40">
        <v>0.31392805826685999</v>
      </c>
      <c r="E40">
        <v>19.567431036945301</v>
      </c>
      <c r="F40">
        <v>2.5808128992705499</v>
      </c>
      <c r="G40">
        <v>-316.2803438562035</v>
      </c>
      <c r="H40">
        <v>-275.24773902885988</v>
      </c>
      <c r="I40">
        <v>40.6605606969663</v>
      </c>
      <c r="J40">
        <v>24.111019603750599</v>
      </c>
      <c r="K40">
        <v>7.5818867158002501</v>
      </c>
      <c r="L40">
        <v>3.2177491514255715E-5</v>
      </c>
      <c r="M40">
        <v>1.8002969030212572E-6</v>
      </c>
      <c r="N40" s="1">
        <v>-5.3784406266559004E-7</v>
      </c>
      <c r="O40" s="1">
        <v>6.4293023212038495E-11</v>
      </c>
      <c r="P40" s="1">
        <v>1.71560508603441E-9</v>
      </c>
      <c r="Q40">
        <v>64.578311133924004</v>
      </c>
      <c r="S40">
        <v>21.8530971408473</v>
      </c>
      <c r="AA40">
        <v>2.9605628379825002</v>
      </c>
      <c r="AB40">
        <v>8.8649619191216509</v>
      </c>
      <c r="AC40">
        <v>1.7430669681244499</v>
      </c>
      <c r="AJ40">
        <v>0.76108603044505996</v>
      </c>
      <c r="AK40">
        <v>0.14045653489378199</v>
      </c>
      <c r="AL40">
        <v>9.8457434661156598E-2</v>
      </c>
    </row>
    <row r="41" spans="1:38" x14ac:dyDescent="0.2">
      <c r="A41">
        <v>104</v>
      </c>
      <c r="B41">
        <v>734</v>
      </c>
      <c r="C41">
        <v>250</v>
      </c>
      <c r="D41">
        <v>0.31242664945638698</v>
      </c>
      <c r="E41">
        <v>20.044975828242499</v>
      </c>
      <c r="F41">
        <v>2.58100757758793</v>
      </c>
      <c r="G41">
        <v>-323.92948243375815</v>
      </c>
      <c r="H41">
        <v>-282.0274703324049</v>
      </c>
      <c r="I41">
        <v>41.604539642906502</v>
      </c>
      <c r="J41">
        <v>24.7359697884459</v>
      </c>
      <c r="K41">
        <v>7.7663374576278601</v>
      </c>
      <c r="L41">
        <v>3.2338321422335533E-5</v>
      </c>
      <c r="M41">
        <v>1.8011035356408255E-6</v>
      </c>
      <c r="N41" s="1">
        <v>-5.8846762066487504E-7</v>
      </c>
      <c r="O41" s="1">
        <v>6.5555342147318001E-11</v>
      </c>
      <c r="P41" s="1">
        <v>1.86362465084946E-9</v>
      </c>
      <c r="Q41">
        <v>64.584874964723497</v>
      </c>
      <c r="S41">
        <v>21.851927373090799</v>
      </c>
      <c r="AA41">
        <v>2.9580661874222001</v>
      </c>
      <c r="AB41">
        <v>8.8765223658660499</v>
      </c>
      <c r="AC41">
        <v>1.7286091088973099</v>
      </c>
      <c r="AJ41">
        <v>0.76203479171413602</v>
      </c>
      <c r="AK41">
        <v>0.140330032547136</v>
      </c>
      <c r="AL41">
        <v>9.7635175738726807E-2</v>
      </c>
    </row>
    <row r="42" spans="1:38" x14ac:dyDescent="0.2">
      <c r="A42">
        <v>105</v>
      </c>
      <c r="B42">
        <v>732</v>
      </c>
      <c r="C42">
        <v>250</v>
      </c>
      <c r="D42">
        <v>0.31091926578122597</v>
      </c>
      <c r="E42">
        <v>20.397608668033001</v>
      </c>
      <c r="F42">
        <v>2.5812028886005098</v>
      </c>
      <c r="G42">
        <v>-329.55715743095249</v>
      </c>
      <c r="H42">
        <v>-287.0523126945065</v>
      </c>
      <c r="I42">
        <v>42.287066344770302</v>
      </c>
      <c r="J42">
        <v>25.210961036303399</v>
      </c>
      <c r="K42">
        <v>7.9023655049031296</v>
      </c>
      <c r="L42">
        <v>3.2509341582072113E-5</v>
      </c>
      <c r="M42">
        <v>1.8019393675974219E-6</v>
      </c>
      <c r="N42" s="1">
        <v>-6.3956188990141396E-7</v>
      </c>
      <c r="O42" s="1">
        <v>6.6376850067976305E-11</v>
      </c>
      <c r="P42" s="1">
        <v>2.01151359804697E-9</v>
      </c>
      <c r="Q42">
        <v>64.591434355692101</v>
      </c>
      <c r="S42">
        <v>21.850743106400198</v>
      </c>
      <c r="AA42">
        <v>2.9555586110665999</v>
      </c>
      <c r="AB42">
        <v>8.8880349078444691</v>
      </c>
      <c r="AC42">
        <v>1.7142290189964899</v>
      </c>
      <c r="AJ42">
        <v>0.76297951357678095</v>
      </c>
      <c r="AK42">
        <v>0.140203059842295</v>
      </c>
      <c r="AL42">
        <v>9.6817426580922294E-2</v>
      </c>
    </row>
    <row r="43" spans="1:38" x14ac:dyDescent="0.2">
      <c r="A43">
        <v>106</v>
      </c>
      <c r="B43">
        <v>730</v>
      </c>
      <c r="C43">
        <v>250</v>
      </c>
      <c r="D43">
        <v>0.30940587150476501</v>
      </c>
      <c r="E43">
        <v>20.678268108176798</v>
      </c>
      <c r="F43">
        <v>2.5813981533280601</v>
      </c>
      <c r="G43">
        <v>-334.01976694947928</v>
      </c>
      <c r="H43">
        <v>-291.06623037888681</v>
      </c>
      <c r="I43">
        <v>42.818657798527099</v>
      </c>
      <c r="J43">
        <v>25.601128993326299</v>
      </c>
      <c r="K43">
        <v>8.0104915553292209</v>
      </c>
      <c r="L43">
        <v>3.2691278436912913E-5</v>
      </c>
      <c r="M43">
        <v>1.8028080692245676E-6</v>
      </c>
      <c r="N43" s="1">
        <v>-6.9239851681902702E-7</v>
      </c>
      <c r="O43" s="1">
        <v>6.6933419023290199E-11</v>
      </c>
      <c r="P43" s="1">
        <v>2.1633400330735099E-9</v>
      </c>
      <c r="Q43">
        <v>64.598067443575303</v>
      </c>
      <c r="S43">
        <v>21.849485986067599</v>
      </c>
      <c r="AA43">
        <v>2.9529737335428701</v>
      </c>
      <c r="AB43">
        <v>8.8995206841513603</v>
      </c>
      <c r="AC43">
        <v>1.6999521526628001</v>
      </c>
      <c r="AJ43">
        <v>0.76392193279606702</v>
      </c>
      <c r="AK43">
        <v>0.14007245378102301</v>
      </c>
      <c r="AL43">
        <v>9.6005613422908795E-2</v>
      </c>
    </row>
    <row r="44" spans="1:38" x14ac:dyDescent="0.2">
      <c r="A44">
        <v>114</v>
      </c>
      <c r="B44">
        <v>746</v>
      </c>
      <c r="C44">
        <v>240</v>
      </c>
      <c r="D44">
        <v>0.33214001864298798</v>
      </c>
      <c r="E44">
        <v>1.48572494712842</v>
      </c>
      <c r="F44">
        <v>2.5813891672852498</v>
      </c>
      <c r="G44">
        <v>-24.058703438570205</v>
      </c>
      <c r="H44">
        <v>-20.894695316106823</v>
      </c>
      <c r="I44">
        <v>3.1045558774109598</v>
      </c>
      <c r="J44">
        <v>1.8196935384892301</v>
      </c>
      <c r="K44">
        <v>0.57555248389412705</v>
      </c>
      <c r="L44">
        <v>3.1454405779168182E-5</v>
      </c>
      <c r="M44">
        <v>1.7942884331402947E-6</v>
      </c>
      <c r="N44" s="1">
        <v>-2.9254827868117001E-8</v>
      </c>
      <c r="O44" s="1">
        <v>4.9583766496066504E-12</v>
      </c>
      <c r="P44" s="1">
        <v>9.73053380164985E-11</v>
      </c>
      <c r="Q44">
        <v>64.395161829385799</v>
      </c>
      <c r="S44">
        <v>21.995871228366799</v>
      </c>
      <c r="AA44">
        <v>3.1210883084784502</v>
      </c>
      <c r="AB44">
        <v>8.8311243463619107</v>
      </c>
      <c r="AC44">
        <v>1.6567542874068799</v>
      </c>
      <c r="AJ44">
        <v>0.75830587328700205</v>
      </c>
      <c r="AK44">
        <v>0.148096661004289</v>
      </c>
      <c r="AL44">
        <v>9.3597465708707805E-2</v>
      </c>
    </row>
    <row r="45" spans="1:38" x14ac:dyDescent="0.2">
      <c r="A45">
        <v>115</v>
      </c>
      <c r="B45">
        <v>744</v>
      </c>
      <c r="C45">
        <v>240</v>
      </c>
      <c r="D45">
        <v>0.33068918055350899</v>
      </c>
      <c r="E45">
        <v>10.372006565346901</v>
      </c>
      <c r="F45">
        <v>2.5794553570271699</v>
      </c>
      <c r="G45">
        <v>-167.83075164968011</v>
      </c>
      <c r="H45">
        <v>-145.8057945687562</v>
      </c>
      <c r="I45">
        <v>21.653597877327702</v>
      </c>
      <c r="J45">
        <v>12.714732036928201</v>
      </c>
      <c r="K45">
        <v>4.0210064256745799</v>
      </c>
      <c r="L45">
        <v>3.1606100677590819E-5</v>
      </c>
      <c r="M45">
        <v>1.798139056267597E-6</v>
      </c>
      <c r="N45" s="1">
        <v>-2.1740380763652201E-7</v>
      </c>
      <c r="O45" s="1">
        <v>3.4648623672483199E-11</v>
      </c>
      <c r="P45" s="1">
        <v>7.1678523892418901E-10</v>
      </c>
      <c r="Q45">
        <v>64.564340597340106</v>
      </c>
      <c r="S45">
        <v>21.8482596841014</v>
      </c>
      <c r="AA45">
        <v>2.9598317203578999</v>
      </c>
      <c r="AB45">
        <v>8.8211473056431906</v>
      </c>
      <c r="AC45">
        <v>1.8064206925572299</v>
      </c>
      <c r="AJ45">
        <v>0.75748935945738405</v>
      </c>
      <c r="AK45">
        <v>0.140452434923241</v>
      </c>
      <c r="AL45">
        <v>0.102058205619373</v>
      </c>
    </row>
    <row r="46" spans="1:38" x14ac:dyDescent="0.2">
      <c r="A46">
        <v>116</v>
      </c>
      <c r="B46">
        <v>742</v>
      </c>
      <c r="C46">
        <v>240</v>
      </c>
      <c r="D46">
        <v>0.32923262572033701</v>
      </c>
      <c r="E46">
        <v>16.910674767248899</v>
      </c>
      <c r="F46">
        <v>2.5796557589143898</v>
      </c>
      <c r="G46">
        <v>-273.57520499043704</v>
      </c>
      <c r="H46">
        <v>-237.77685044169135</v>
      </c>
      <c r="I46">
        <v>35.2641033825007</v>
      </c>
      <c r="J46">
        <v>20.753339462033701</v>
      </c>
      <c r="K46">
        <v>6.5553997694504504</v>
      </c>
      <c r="L46">
        <v>3.1730904025646473E-5</v>
      </c>
      <c r="M46">
        <v>1.7988251051391238E-6</v>
      </c>
      <c r="N46" s="1">
        <v>-3.7838041773648298E-7</v>
      </c>
      <c r="O46" s="1">
        <v>5.6291472750005699E-11</v>
      </c>
      <c r="P46" s="1">
        <v>1.2368755113245801E-9</v>
      </c>
      <c r="Q46">
        <v>64.570109199262603</v>
      </c>
      <c r="S46">
        <v>21.847764219827301</v>
      </c>
      <c r="AA46">
        <v>2.9580769328618501</v>
      </c>
      <c r="AB46">
        <v>8.8327034017178896</v>
      </c>
      <c r="AC46">
        <v>1.7913462463302801</v>
      </c>
      <c r="AJ46">
        <v>0.758438164592938</v>
      </c>
      <c r="AK46">
        <v>0.14036110755051201</v>
      </c>
      <c r="AL46">
        <v>0.101200727856548</v>
      </c>
    </row>
    <row r="47" spans="1:38" x14ac:dyDescent="0.2">
      <c r="A47">
        <v>117</v>
      </c>
      <c r="B47">
        <v>740</v>
      </c>
      <c r="C47">
        <v>240</v>
      </c>
      <c r="D47">
        <v>0.32777032028821201</v>
      </c>
      <c r="E47">
        <v>18.554834157622899</v>
      </c>
      <c r="F47">
        <v>2.5799062337030101</v>
      </c>
      <c r="G47">
        <v>-300.11162636359035</v>
      </c>
      <c r="H47">
        <v>-260.95534724503705</v>
      </c>
      <c r="I47">
        <v>38.6480571668097</v>
      </c>
      <c r="J47">
        <v>22.798027411349601</v>
      </c>
      <c r="K47">
        <v>7.1920575698561997</v>
      </c>
      <c r="L47">
        <v>3.1860702325705605E-5</v>
      </c>
      <c r="M47">
        <v>1.7994169177983503E-6</v>
      </c>
      <c r="N47" s="1">
        <v>-4.4319174929943698E-7</v>
      </c>
      <c r="O47" s="1">
        <v>6.1524725204143101E-11</v>
      </c>
      <c r="P47" s="1">
        <v>1.43690915090419E-9</v>
      </c>
      <c r="Q47">
        <v>64.570673260630102</v>
      </c>
      <c r="S47">
        <v>21.851162056804199</v>
      </c>
      <c r="AA47">
        <v>2.9607485671499498</v>
      </c>
      <c r="AB47">
        <v>8.8428682536154692</v>
      </c>
      <c r="AC47">
        <v>1.77454786180021</v>
      </c>
      <c r="AJ47">
        <v>0.75927258383946294</v>
      </c>
      <c r="AK47">
        <v>0.14048077092723299</v>
      </c>
      <c r="AL47">
        <v>0.100246645233303</v>
      </c>
    </row>
    <row r="48" spans="1:38" x14ac:dyDescent="0.2">
      <c r="A48">
        <v>118</v>
      </c>
      <c r="B48">
        <v>738</v>
      </c>
      <c r="C48">
        <v>240</v>
      </c>
      <c r="D48">
        <v>0.326302230134007</v>
      </c>
      <c r="E48">
        <v>19.352500409720399</v>
      </c>
      <c r="F48">
        <v>2.5801327408069401</v>
      </c>
      <c r="G48">
        <v>-312.94737679957314</v>
      </c>
      <c r="H48">
        <v>-272.23547384808268</v>
      </c>
      <c r="I48">
        <v>40.262970826771898</v>
      </c>
      <c r="J48">
        <v>23.808324704021299</v>
      </c>
      <c r="K48">
        <v>7.5005832466076496</v>
      </c>
      <c r="L48">
        <v>3.2000027617300094E-5</v>
      </c>
      <c r="M48">
        <v>1.8000888288036437E-6</v>
      </c>
      <c r="N48" s="1">
        <v>-4.9356259157782995E-7</v>
      </c>
      <c r="O48" s="1">
        <v>6.3906625323879699E-11</v>
      </c>
      <c r="P48" s="1">
        <v>1.5876835336206E-9</v>
      </c>
      <c r="Q48">
        <v>64.573763573050002</v>
      </c>
      <c r="S48">
        <v>21.852634929201098</v>
      </c>
      <c r="AA48">
        <v>2.9612426198025301</v>
      </c>
      <c r="AB48">
        <v>8.8536161756222</v>
      </c>
      <c r="AC48">
        <v>1.75874270232412</v>
      </c>
      <c r="AJ48">
        <v>0.76015481277439501</v>
      </c>
      <c r="AK48">
        <v>0.140496705556511</v>
      </c>
      <c r="AL48">
        <v>9.93484816690932E-2</v>
      </c>
    </row>
    <row r="49" spans="1:38" x14ac:dyDescent="0.2">
      <c r="A49">
        <v>119</v>
      </c>
      <c r="B49">
        <v>736</v>
      </c>
      <c r="C49">
        <v>240</v>
      </c>
      <c r="D49">
        <v>0.32482832086409602</v>
      </c>
      <c r="E49">
        <v>19.857436862134598</v>
      </c>
      <c r="F49">
        <v>2.58034833407332</v>
      </c>
      <c r="G49">
        <v>-321.04449395425979</v>
      </c>
      <c r="H49">
        <v>-279.40127961554452</v>
      </c>
      <c r="I49">
        <v>41.2656337895409</v>
      </c>
      <c r="J49">
        <v>24.462821334271599</v>
      </c>
      <c r="K49">
        <v>7.69564194101957</v>
      </c>
      <c r="L49">
        <v>3.2148781633504135E-5</v>
      </c>
      <c r="M49">
        <v>1.8008125079252902E-6</v>
      </c>
      <c r="N49" s="1">
        <v>-5.4083721760634301E-7</v>
      </c>
      <c r="O49" s="1">
        <v>6.5288290323161303E-11</v>
      </c>
      <c r="P49" s="1">
        <v>1.72668243024762E-9</v>
      </c>
      <c r="Q49">
        <v>64.5780341505954</v>
      </c>
      <c r="S49">
        <v>21.853199120845701</v>
      </c>
      <c r="AA49">
        <v>2.9607116027985398</v>
      </c>
      <c r="AB49">
        <v>8.8646120304492992</v>
      </c>
      <c r="AC49">
        <v>1.7434430953109401</v>
      </c>
      <c r="AJ49">
        <v>0.76105731232654905</v>
      </c>
      <c r="AK49">
        <v>0.14046383647390301</v>
      </c>
      <c r="AL49">
        <v>9.8478851199546802E-2</v>
      </c>
    </row>
    <row r="50" spans="1:38" x14ac:dyDescent="0.2">
      <c r="A50">
        <v>120</v>
      </c>
      <c r="B50">
        <v>734</v>
      </c>
      <c r="C50">
        <v>240</v>
      </c>
      <c r="D50">
        <v>0.32334855781164801</v>
      </c>
      <c r="E50">
        <v>20.2234434385032</v>
      </c>
      <c r="F50">
        <v>2.5805576356711901</v>
      </c>
      <c r="G50">
        <v>-326.89218608904014</v>
      </c>
      <c r="H50">
        <v>-284.61469054511019</v>
      </c>
      <c r="I50">
        <v>41.977357438246401</v>
      </c>
      <c r="J50">
        <v>24.950109193763801</v>
      </c>
      <c r="K50">
        <v>7.8368501284193197</v>
      </c>
      <c r="L50">
        <v>3.2307342578479088E-5</v>
      </c>
      <c r="M50">
        <v>1.8015791770958502E-6</v>
      </c>
      <c r="N50" s="1">
        <v>-5.8826718875562499E-7</v>
      </c>
      <c r="O50" s="1">
        <v>6.6182998272921002E-11</v>
      </c>
      <c r="P50" s="1">
        <v>1.8645742349619202E-9</v>
      </c>
      <c r="Q50">
        <v>64.583012634944893</v>
      </c>
      <c r="S50">
        <v>21.853211569320599</v>
      </c>
      <c r="AA50">
        <v>2.9595602116550501</v>
      </c>
      <c r="AB50">
        <v>8.8757389511818996</v>
      </c>
      <c r="AC50">
        <v>1.7284766328973999</v>
      </c>
      <c r="AJ50">
        <v>0.761970478950177</v>
      </c>
      <c r="AK50">
        <v>0.140401450852978</v>
      </c>
      <c r="AL50">
        <v>9.7628070196843997E-2</v>
      </c>
    </row>
    <row r="51" spans="1:38" x14ac:dyDescent="0.2">
      <c r="A51">
        <v>121</v>
      </c>
      <c r="B51">
        <v>732</v>
      </c>
      <c r="C51">
        <v>240</v>
      </c>
      <c r="D51">
        <v>0.32186290603392398</v>
      </c>
      <c r="E51">
        <v>20.511472827404202</v>
      </c>
      <c r="F51">
        <v>2.5807628427696399</v>
      </c>
      <c r="G51">
        <v>-331.47700310392071</v>
      </c>
      <c r="H51">
        <v>-288.73250558729268</v>
      </c>
      <c r="I51">
        <v>42.525491236758697</v>
      </c>
      <c r="J51">
        <v>25.345053793216099</v>
      </c>
      <c r="K51">
        <v>7.94783328691741</v>
      </c>
      <c r="L51">
        <v>3.2476249482534436E-5</v>
      </c>
      <c r="M51">
        <v>1.8023857456577628E-6</v>
      </c>
      <c r="N51" s="1">
        <v>-6.3723091490443301E-7</v>
      </c>
      <c r="O51" s="1">
        <v>6.67935389793547E-11</v>
      </c>
      <c r="P51" s="1">
        <v>2.0058134071510301E-9</v>
      </c>
      <c r="Q51">
        <v>64.588478043473003</v>
      </c>
      <c r="S51">
        <v>21.8528394514776</v>
      </c>
      <c r="AA51">
        <v>2.9579779322612199</v>
      </c>
      <c r="AB51">
        <v>8.8869427657391107</v>
      </c>
      <c r="AC51">
        <v>1.71376180704896</v>
      </c>
      <c r="AJ51">
        <v>0.76288986105253098</v>
      </c>
      <c r="AK51">
        <v>0.140318579612423</v>
      </c>
      <c r="AL51">
        <v>9.6791559335045005E-2</v>
      </c>
    </row>
    <row r="52" spans="1:38" x14ac:dyDescent="0.2">
      <c r="A52">
        <v>128</v>
      </c>
      <c r="B52">
        <v>748</v>
      </c>
      <c r="C52">
        <v>230</v>
      </c>
      <c r="D52">
        <v>0.34435734221221198</v>
      </c>
      <c r="E52">
        <v>1.6865522581009</v>
      </c>
      <c r="F52">
        <v>2.5805562296213198</v>
      </c>
      <c r="G52">
        <v>-27.324467025688147</v>
      </c>
      <c r="H52">
        <v>-23.721185878194177</v>
      </c>
      <c r="I52">
        <v>3.5286501958517</v>
      </c>
      <c r="J52">
        <v>2.06370394706979</v>
      </c>
      <c r="K52">
        <v>0.653561522411929</v>
      </c>
      <c r="L52">
        <v>3.1354184687747251E-5</v>
      </c>
      <c r="M52">
        <v>1.795125572694967E-6</v>
      </c>
      <c r="N52" s="1">
        <v>-3.0954777547772898E-8</v>
      </c>
      <c r="O52" s="1">
        <v>5.6501561363009399E-12</v>
      </c>
      <c r="P52" s="1">
        <v>1.0399718038463499E-10</v>
      </c>
      <c r="Q52">
        <v>64.425192422287495</v>
      </c>
      <c r="S52">
        <v>21.976546602988499</v>
      </c>
      <c r="AA52">
        <v>3.09813806636385</v>
      </c>
      <c r="AB52">
        <v>8.8473838946651302</v>
      </c>
      <c r="AC52">
        <v>1.65273901369496</v>
      </c>
      <c r="AJ52">
        <v>0.75964101817142504</v>
      </c>
      <c r="AK52">
        <v>0.146995856597115</v>
      </c>
      <c r="AL52">
        <v>9.3363125231458399E-2</v>
      </c>
    </row>
    <row r="53" spans="1:38" x14ac:dyDescent="0.2">
      <c r="A53">
        <v>129</v>
      </c>
      <c r="B53">
        <v>746</v>
      </c>
      <c r="C53">
        <v>230</v>
      </c>
      <c r="D53">
        <v>0.342933326791936</v>
      </c>
      <c r="E53">
        <v>4.45775022745842</v>
      </c>
      <c r="F53">
        <v>2.5782155171459</v>
      </c>
      <c r="G53">
        <v>-72.158344043354319</v>
      </c>
      <c r="H53">
        <v>-62.661461773839996</v>
      </c>
      <c r="I53">
        <v>9.3184342535586602</v>
      </c>
      <c r="J53">
        <v>5.4585521032828801</v>
      </c>
      <c r="K53">
        <v>1.7290060500423801</v>
      </c>
      <c r="L53">
        <v>3.1495704668130402E-5</v>
      </c>
      <c r="M53">
        <v>1.7993328989815871E-6</v>
      </c>
      <c r="N53" s="1">
        <v>-8.6923388519260599E-8</v>
      </c>
      <c r="O53" s="1">
        <v>1.49641235830472E-11</v>
      </c>
      <c r="P53" s="1">
        <v>2.8941068035292102E-10</v>
      </c>
      <c r="Q53">
        <v>64.617855815345806</v>
      </c>
      <c r="S53">
        <v>21.803864366148801</v>
      </c>
      <c r="AA53">
        <v>2.91071808395359</v>
      </c>
      <c r="AB53">
        <v>8.8240150017995997</v>
      </c>
      <c r="AC53">
        <v>1.84354673275208</v>
      </c>
      <c r="AJ53">
        <v>0.75772561187023302</v>
      </c>
      <c r="AK53">
        <v>0.13812002991519101</v>
      </c>
      <c r="AL53">
        <v>0.104154358214575</v>
      </c>
    </row>
    <row r="54" spans="1:38" x14ac:dyDescent="0.2">
      <c r="A54">
        <v>130</v>
      </c>
      <c r="B54">
        <v>744</v>
      </c>
      <c r="C54">
        <v>230</v>
      </c>
      <c r="D54">
        <v>0.34150371135034502</v>
      </c>
      <c r="E54">
        <v>16.379215279031101</v>
      </c>
      <c r="F54">
        <v>2.5788373681652899</v>
      </c>
      <c r="G54">
        <v>-265.09184917926484</v>
      </c>
      <c r="H54">
        <v>-230.30765782344452</v>
      </c>
      <c r="I54">
        <v>34.1977007873178</v>
      </c>
      <c r="J54">
        <v>20.0757855245092</v>
      </c>
      <c r="K54">
        <v>6.35139519894736</v>
      </c>
      <c r="L54">
        <v>3.1590539707393503E-5</v>
      </c>
      <c r="M54">
        <v>1.7990282305557461E-6</v>
      </c>
      <c r="N54" s="1">
        <v>-3.4038076450368899E-7</v>
      </c>
      <c r="O54" s="1">
        <v>5.4759188039313403E-11</v>
      </c>
      <c r="P54" s="1">
        <v>1.1233742800852199E-9</v>
      </c>
      <c r="Q54">
        <v>64.580137447977606</v>
      </c>
      <c r="S54">
        <v>21.836266019045699</v>
      </c>
      <c r="AA54">
        <v>2.94625084474215</v>
      </c>
      <c r="AB54">
        <v>8.8249067880691605</v>
      </c>
      <c r="AC54">
        <v>1.8124389001652399</v>
      </c>
      <c r="AJ54">
        <v>0.75779825278506996</v>
      </c>
      <c r="AK54">
        <v>0.13980541180697101</v>
      </c>
      <c r="AL54">
        <v>0.10239633540795801</v>
      </c>
    </row>
    <row r="55" spans="1:38" x14ac:dyDescent="0.2">
      <c r="A55">
        <v>131</v>
      </c>
      <c r="B55">
        <v>742</v>
      </c>
      <c r="C55">
        <v>230</v>
      </c>
      <c r="D55">
        <v>0.34006846278875003</v>
      </c>
      <c r="E55">
        <v>18.2719954529042</v>
      </c>
      <c r="F55">
        <v>2.5791714510723498</v>
      </c>
      <c r="G55">
        <v>-295.66795494850419</v>
      </c>
      <c r="H55">
        <v>-256.98541507269221</v>
      </c>
      <c r="I55">
        <v>38.105245407882499</v>
      </c>
      <c r="J55">
        <v>22.4199007666151</v>
      </c>
      <c r="K55">
        <v>7.0844438997288099</v>
      </c>
      <c r="L55">
        <v>3.1707195195636659E-5</v>
      </c>
      <c r="M55">
        <v>1.7994007903609677E-6</v>
      </c>
      <c r="N55" s="1">
        <v>-4.0514871178267298E-7</v>
      </c>
      <c r="O55" s="1">
        <v>6.0857475252467097E-11</v>
      </c>
      <c r="P55" s="1">
        <v>1.32573004458979E-9</v>
      </c>
      <c r="Q55">
        <v>64.571999587375501</v>
      </c>
      <c r="S55">
        <v>21.846253133480602</v>
      </c>
      <c r="AA55">
        <v>2.9563891749306301</v>
      </c>
      <c r="AB55">
        <v>8.8329545209563793</v>
      </c>
      <c r="AC55">
        <v>1.7924035832568199</v>
      </c>
      <c r="AJ55">
        <v>0.75845880821898903</v>
      </c>
      <c r="AK55">
        <v>0.140280853214483</v>
      </c>
      <c r="AL55">
        <v>0.101260338566527</v>
      </c>
    </row>
    <row r="56" spans="1:38" x14ac:dyDescent="0.2">
      <c r="A56">
        <v>132</v>
      </c>
      <c r="B56">
        <v>740</v>
      </c>
      <c r="C56">
        <v>230</v>
      </c>
      <c r="D56">
        <v>0.33862754774713</v>
      </c>
      <c r="E56">
        <v>19.1412806988975</v>
      </c>
      <c r="F56">
        <v>2.5794425191283801</v>
      </c>
      <c r="G56">
        <v>-309.67093142054375</v>
      </c>
      <c r="H56">
        <v>-269.27470479956918</v>
      </c>
      <c r="I56">
        <v>39.871910991437197</v>
      </c>
      <c r="J56">
        <v>23.5139240024195</v>
      </c>
      <c r="K56">
        <v>7.4207044960108401</v>
      </c>
      <c r="L56">
        <v>3.1834728421355556E-5</v>
      </c>
      <c r="M56">
        <v>1.799940408709923E-6</v>
      </c>
      <c r="N56" s="1">
        <v>-4.5303275082232399E-7</v>
      </c>
      <c r="O56" s="1">
        <v>6.3505089677942804E-11</v>
      </c>
      <c r="P56" s="1">
        <v>1.4702585749556001E-9</v>
      </c>
      <c r="Q56">
        <v>64.570386805656099</v>
      </c>
      <c r="S56">
        <v>21.851286123448102</v>
      </c>
      <c r="AA56">
        <v>2.9609177637536401</v>
      </c>
      <c r="AB56">
        <v>8.8425551609017194</v>
      </c>
      <c r="AC56">
        <v>1.7748541462403999</v>
      </c>
      <c r="AJ56">
        <v>0.75924687963274295</v>
      </c>
      <c r="AK56">
        <v>0.14048901703880801</v>
      </c>
      <c r="AL56">
        <v>0.100264103328447</v>
      </c>
    </row>
    <row r="57" spans="1:38" x14ac:dyDescent="0.2">
      <c r="A57">
        <v>133</v>
      </c>
      <c r="B57">
        <v>738</v>
      </c>
      <c r="C57">
        <v>230</v>
      </c>
      <c r="D57">
        <v>0.33718093260149401</v>
      </c>
      <c r="E57">
        <v>19.6730934950075</v>
      </c>
      <c r="F57">
        <v>2.5796834238453399</v>
      </c>
      <c r="G57">
        <v>-318.20825102729088</v>
      </c>
      <c r="H57">
        <v>-276.81957976669281</v>
      </c>
      <c r="I57">
        <v>40.932276378972396</v>
      </c>
      <c r="J57">
        <v>24.197562292232899</v>
      </c>
      <c r="K57">
        <v>7.6261657973839201</v>
      </c>
      <c r="L57">
        <v>3.1972014737327073E-5</v>
      </c>
      <c r="M57">
        <v>1.8005738926503031E-6</v>
      </c>
      <c r="N57" s="1">
        <v>-4.9713723895801804E-7</v>
      </c>
      <c r="O57" s="1">
        <v>6.5002660886586494E-11</v>
      </c>
      <c r="P57" s="1">
        <v>1.60068945758653E-9</v>
      </c>
      <c r="Q57">
        <v>64.571931754805107</v>
      </c>
      <c r="S57">
        <v>21.853915000776201</v>
      </c>
      <c r="AA57">
        <v>2.9627261217037901</v>
      </c>
      <c r="AB57">
        <v>8.8528899409366506</v>
      </c>
      <c r="AC57">
        <v>1.7585371817781099</v>
      </c>
      <c r="AJ57">
        <v>0.76009517897655099</v>
      </c>
      <c r="AK57">
        <v>0.140567593479315</v>
      </c>
      <c r="AL57">
        <v>9.9337227544132004E-2</v>
      </c>
    </row>
    <row r="58" spans="1:38" x14ac:dyDescent="0.2">
      <c r="A58">
        <v>134</v>
      </c>
      <c r="B58">
        <v>736</v>
      </c>
      <c r="C58">
        <v>230</v>
      </c>
      <c r="D58">
        <v>0.335728583461332</v>
      </c>
      <c r="E58">
        <v>20.051617265884101</v>
      </c>
      <c r="F58">
        <v>2.5799091566664498</v>
      </c>
      <c r="G58">
        <v>-324.26239192132857</v>
      </c>
      <c r="H58">
        <v>-282.20964909698597</v>
      </c>
      <c r="I58">
        <v>41.6714490653941</v>
      </c>
      <c r="J58">
        <v>24.6963715931218</v>
      </c>
      <c r="K58">
        <v>7.7722183411268499</v>
      </c>
      <c r="L58">
        <v>3.2118859570384082E-5</v>
      </c>
      <c r="M58">
        <v>1.801268604008308E-6</v>
      </c>
      <c r="N58" s="1">
        <v>-5.4109694343944601E-7</v>
      </c>
      <c r="O58" s="1">
        <v>6.5966042699372596E-11</v>
      </c>
      <c r="P58" s="1">
        <v>1.7290700556773799E-9</v>
      </c>
      <c r="Q58">
        <v>64.575093624088495</v>
      </c>
      <c r="S58">
        <v>21.8553047073386</v>
      </c>
      <c r="AA58">
        <v>2.9631348648754501</v>
      </c>
      <c r="AB58">
        <v>8.8635792935296607</v>
      </c>
      <c r="AC58">
        <v>1.74288751016757</v>
      </c>
      <c r="AJ58">
        <v>0.76097251447627101</v>
      </c>
      <c r="AK58">
        <v>0.140579516531149</v>
      </c>
      <c r="AL58">
        <v>9.8447968992578697E-2</v>
      </c>
    </row>
    <row r="59" spans="1:38" x14ac:dyDescent="0.2">
      <c r="A59">
        <v>135</v>
      </c>
      <c r="B59">
        <v>734</v>
      </c>
      <c r="C59">
        <v>230</v>
      </c>
      <c r="D59">
        <v>0.33427046616690598</v>
      </c>
      <c r="E59">
        <v>20.346284626155299</v>
      </c>
      <c r="F59">
        <v>2.5801258495099302</v>
      </c>
      <c r="G59">
        <v>-328.95774465885086</v>
      </c>
      <c r="H59">
        <v>-286.42115247980115</v>
      </c>
      <c r="I59">
        <v>42.234614684058599</v>
      </c>
      <c r="J59">
        <v>25.0954982853793</v>
      </c>
      <c r="K59">
        <v>7.88577217271005</v>
      </c>
      <c r="L59">
        <v>3.2275560991968142E-5</v>
      </c>
      <c r="M59">
        <v>1.8020123284719042E-6</v>
      </c>
      <c r="N59" s="1">
        <v>-5.8637959975306196E-7</v>
      </c>
      <c r="O59" s="1">
        <v>6.6626627864727095E-11</v>
      </c>
      <c r="P59" s="1">
        <v>1.86019424961542E-9</v>
      </c>
      <c r="Q59">
        <v>64.579245682093401</v>
      </c>
      <c r="S59">
        <v>21.855929250400202</v>
      </c>
      <c r="AA59">
        <v>2.9626812933229099</v>
      </c>
      <c r="AB59">
        <v>8.8744692530011307</v>
      </c>
      <c r="AC59">
        <v>1.72767452118219</v>
      </c>
      <c r="AJ59">
        <v>0.76186623327667702</v>
      </c>
      <c r="AK59">
        <v>0.14055039231640501</v>
      </c>
      <c r="AL59">
        <v>9.7583374406917195E-2</v>
      </c>
    </row>
    <row r="60" spans="1:38" x14ac:dyDescent="0.2">
      <c r="A60">
        <v>136</v>
      </c>
      <c r="B60">
        <v>732</v>
      </c>
      <c r="C60">
        <v>230</v>
      </c>
      <c r="D60">
        <v>0.33280654628662198</v>
      </c>
      <c r="E60">
        <v>20.589541002684999</v>
      </c>
      <c r="F60">
        <v>2.5803366121516098</v>
      </c>
      <c r="G60">
        <v>-332.81976074949466</v>
      </c>
      <c r="H60">
        <v>-289.91028872650054</v>
      </c>
      <c r="I60">
        <v>42.689620477534802</v>
      </c>
      <c r="J60">
        <v>25.434844240366701</v>
      </c>
      <c r="K60">
        <v>7.9794011780177998</v>
      </c>
      <c r="L60">
        <v>3.2442607410803755E-5</v>
      </c>
      <c r="M60">
        <v>1.8027998825671473E-6</v>
      </c>
      <c r="N60" s="1">
        <v>-6.3375402104590405E-7</v>
      </c>
      <c r="O60" s="1">
        <v>6.7091966433884997E-11</v>
      </c>
      <c r="P60" s="1">
        <v>1.9965125453702802E-9</v>
      </c>
      <c r="Q60">
        <v>64.584073244730902</v>
      </c>
      <c r="S60">
        <v>21.8560267641517</v>
      </c>
      <c r="AA60">
        <v>2.9616352974218501</v>
      </c>
      <c r="AB60">
        <v>8.8854828624722106</v>
      </c>
      <c r="AC60">
        <v>1.7127818312232701</v>
      </c>
      <c r="AJ60">
        <v>0.76277001105500397</v>
      </c>
      <c r="AK60">
        <v>0.14049308346376399</v>
      </c>
      <c r="AL60">
        <v>9.67369054812314E-2</v>
      </c>
    </row>
    <row r="61" spans="1:38" x14ac:dyDescent="0.2">
      <c r="A61">
        <v>142</v>
      </c>
      <c r="B61">
        <v>750</v>
      </c>
      <c r="C61">
        <v>220</v>
      </c>
      <c r="D61">
        <v>0.356526902213751</v>
      </c>
      <c r="E61">
        <v>1.95435038955371</v>
      </c>
      <c r="F61">
        <v>2.57962272317139</v>
      </c>
      <c r="G61">
        <v>-31.678283824199617</v>
      </c>
      <c r="H61">
        <v>-27.489373547104893</v>
      </c>
      <c r="I61">
        <v>4.0941311411764802</v>
      </c>
      <c r="J61">
        <v>2.3892882288010102</v>
      </c>
      <c r="K61">
        <v>0.75761093744399399</v>
      </c>
      <c r="L61">
        <v>3.1263152267088256E-5</v>
      </c>
      <c r="M61">
        <v>1.796138157905905E-6</v>
      </c>
      <c r="N61" s="1">
        <v>-3.3441637324763003E-8</v>
      </c>
      <c r="O61" s="1">
        <v>6.5721168734677104E-12</v>
      </c>
      <c r="P61" s="1">
        <v>1.13537640558562E-10</v>
      </c>
      <c r="Q61">
        <v>64.463056620023195</v>
      </c>
      <c r="S61">
        <v>21.950212062064399</v>
      </c>
      <c r="AA61">
        <v>3.0675767075525102</v>
      </c>
      <c r="AB61">
        <v>8.8627228063657295</v>
      </c>
      <c r="AC61">
        <v>1.65643180399402</v>
      </c>
      <c r="AJ61">
        <v>0.76090051440448403</v>
      </c>
      <c r="AK61">
        <v>0.14553482671822199</v>
      </c>
      <c r="AL61">
        <v>9.35646588772929E-2</v>
      </c>
    </row>
    <row r="62" spans="1:38" x14ac:dyDescent="0.2">
      <c r="A62">
        <v>143</v>
      </c>
      <c r="B62">
        <v>748</v>
      </c>
      <c r="C62">
        <v>220</v>
      </c>
      <c r="D62">
        <v>0.355129510845618</v>
      </c>
      <c r="E62">
        <v>4.0189929780783196</v>
      </c>
      <c r="F62">
        <v>2.5767567686941799</v>
      </c>
      <c r="G62">
        <v>-65.078330121563866</v>
      </c>
      <c r="H62">
        <v>-56.488077299149658</v>
      </c>
      <c r="I62">
        <v>8.4123320006014897</v>
      </c>
      <c r="J62">
        <v>4.9163850783102099</v>
      </c>
      <c r="K62">
        <v>1.5597098751835301</v>
      </c>
      <c r="L62">
        <v>3.1404050697095203E-5</v>
      </c>
      <c r="M62">
        <v>1.8010284777276611E-6</v>
      </c>
      <c r="N62" s="1">
        <v>-7.29731805933696E-8</v>
      </c>
      <c r="O62" s="1">
        <v>1.35588359990484E-11</v>
      </c>
      <c r="P62" s="1">
        <v>2.4544586457940399E-10</v>
      </c>
      <c r="Q62">
        <v>64.693149124177495</v>
      </c>
      <c r="S62">
        <v>21.742802534905099</v>
      </c>
      <c r="AA62">
        <v>2.84277278366402</v>
      </c>
      <c r="AB62">
        <v>8.8317205742802791</v>
      </c>
      <c r="AC62">
        <v>1.8895549829728999</v>
      </c>
      <c r="AJ62">
        <v>0.75835935459636905</v>
      </c>
      <c r="AK62">
        <v>0.13489090472148901</v>
      </c>
      <c r="AL62">
        <v>0.10674974068214101</v>
      </c>
    </row>
    <row r="63" spans="1:38" x14ac:dyDescent="0.2">
      <c r="A63">
        <v>144</v>
      </c>
      <c r="B63">
        <v>746</v>
      </c>
      <c r="C63">
        <v>220</v>
      </c>
      <c r="D63">
        <v>0.35372663494088302</v>
      </c>
      <c r="E63">
        <v>15.8524146637813</v>
      </c>
      <c r="F63">
        <v>2.57796858982354</v>
      </c>
      <c r="G63">
        <v>-256.67466984122592</v>
      </c>
      <c r="H63">
        <v>-222.90161683060245</v>
      </c>
      <c r="I63">
        <v>33.138451661309396</v>
      </c>
      <c r="J63">
        <v>19.4075939226618</v>
      </c>
      <c r="K63">
        <v>6.1491884448702301</v>
      </c>
      <c r="L63">
        <v>3.1461908723224113E-5</v>
      </c>
      <c r="M63">
        <v>1.7993716653810015E-6</v>
      </c>
      <c r="N63" s="1">
        <v>-3.0608777533698998E-7</v>
      </c>
      <c r="O63" s="1">
        <v>5.3217477893088802E-11</v>
      </c>
      <c r="P63" s="1">
        <v>1.0203868658352599E-9</v>
      </c>
      <c r="Q63">
        <v>64.595307864566905</v>
      </c>
      <c r="S63">
        <v>21.820832518237399</v>
      </c>
      <c r="AA63">
        <v>2.9299782392306999</v>
      </c>
      <c r="AB63">
        <v>8.8182523191721494</v>
      </c>
      <c r="AC63">
        <v>1.83562905879274</v>
      </c>
      <c r="AJ63">
        <v>0.75725214419241504</v>
      </c>
      <c r="AK63">
        <v>0.13903789232522201</v>
      </c>
      <c r="AL63">
        <v>0.103709963482362</v>
      </c>
    </row>
    <row r="64" spans="1:38" x14ac:dyDescent="0.2">
      <c r="A64">
        <v>145</v>
      </c>
      <c r="B64">
        <v>744</v>
      </c>
      <c r="C64">
        <v>220</v>
      </c>
      <c r="D64">
        <v>0.352318242147177</v>
      </c>
      <c r="E64">
        <v>17.991937476080501</v>
      </c>
      <c r="F64">
        <v>2.5784084332469899</v>
      </c>
      <c r="G64">
        <v>-291.26412615541892</v>
      </c>
      <c r="H64">
        <v>-253.05303277132617</v>
      </c>
      <c r="I64">
        <v>37.566822380270999</v>
      </c>
      <c r="J64">
        <v>22.048528594032799</v>
      </c>
      <c r="K64">
        <v>6.9779237626147497</v>
      </c>
      <c r="L64">
        <v>3.1565127993676401E-5</v>
      </c>
      <c r="M64">
        <v>1.7994796863348022E-6</v>
      </c>
      <c r="N64" s="1">
        <v>-3.7045606794853902E-7</v>
      </c>
      <c r="O64" s="1">
        <v>6.0176454085496096E-11</v>
      </c>
      <c r="P64" s="1">
        <v>1.22398286082683E-9</v>
      </c>
      <c r="Q64">
        <v>64.576304277435398</v>
      </c>
      <c r="S64">
        <v>21.8390765871968</v>
      </c>
      <c r="AA64">
        <v>2.9494640101880099</v>
      </c>
      <c r="AB64">
        <v>8.8237330428491703</v>
      </c>
      <c r="AC64">
        <v>1.8114220823304801</v>
      </c>
      <c r="AJ64">
        <v>0.75770183135760405</v>
      </c>
      <c r="AK64">
        <v>0.13995868977676101</v>
      </c>
      <c r="AL64">
        <v>0.10233947886563401</v>
      </c>
    </row>
    <row r="65" spans="1:38" x14ac:dyDescent="0.2">
      <c r="A65">
        <v>146</v>
      </c>
      <c r="B65">
        <v>742</v>
      </c>
      <c r="C65">
        <v>220</v>
      </c>
      <c r="D65">
        <v>0.35090429985716198</v>
      </c>
      <c r="E65">
        <v>18.939458610512599</v>
      </c>
      <c r="F65">
        <v>2.5787422437791001</v>
      </c>
      <c r="G65">
        <v>-306.54313753342666</v>
      </c>
      <c r="H65">
        <v>-266.44544521775993</v>
      </c>
      <c r="I65">
        <v>39.499278250176403</v>
      </c>
      <c r="J65">
        <v>23.234461405536699</v>
      </c>
      <c r="K65">
        <v>7.3444558703770202</v>
      </c>
      <c r="L65">
        <v>3.168070716592364E-5</v>
      </c>
      <c r="M65">
        <v>1.7998486030425366E-6</v>
      </c>
      <c r="N65" s="1">
        <v>-4.1607887243647898E-7</v>
      </c>
      <c r="O65" s="1">
        <v>6.3109506906075395E-11</v>
      </c>
      <c r="P65" s="1">
        <v>1.3629288811379899E-9</v>
      </c>
      <c r="Q65">
        <v>64.568158407151699</v>
      </c>
      <c r="S65">
        <v>21.849063803165901</v>
      </c>
      <c r="AA65">
        <v>2.95960429309295</v>
      </c>
      <c r="AB65">
        <v>8.8317631927758296</v>
      </c>
      <c r="AC65">
        <v>1.7914103038134199</v>
      </c>
      <c r="AJ65">
        <v>0.75836095092257505</v>
      </c>
      <c r="AK65">
        <v>0.14043423268545699</v>
      </c>
      <c r="AL65">
        <v>0.101204816391967</v>
      </c>
    </row>
    <row r="66" spans="1:38" x14ac:dyDescent="0.2">
      <c r="A66">
        <v>147</v>
      </c>
      <c r="B66">
        <v>740</v>
      </c>
      <c r="C66">
        <v>220</v>
      </c>
      <c r="D66">
        <v>0.34948477520604299</v>
      </c>
      <c r="E66">
        <v>19.495220001389999</v>
      </c>
      <c r="F66">
        <v>2.5790129594364601</v>
      </c>
      <c r="G66">
        <v>-315.47381729036175</v>
      </c>
      <c r="H66">
        <v>-274.3284559213846</v>
      </c>
      <c r="I66">
        <v>40.611322478386299</v>
      </c>
      <c r="J66">
        <v>23.943871727103499</v>
      </c>
      <c r="K66">
        <v>7.5591787664571699</v>
      </c>
      <c r="L66">
        <v>3.1807086247019172E-5</v>
      </c>
      <c r="M66">
        <v>1.8003844513062613E-6</v>
      </c>
      <c r="N66" s="1">
        <v>-4.5715188235055399E-7</v>
      </c>
      <c r="O66" s="1">
        <v>6.4711362491074899E-11</v>
      </c>
      <c r="P66" s="1">
        <v>1.4851153334178301E-9</v>
      </c>
      <c r="Q66">
        <v>64.566540554153704</v>
      </c>
      <c r="S66">
        <v>21.854093503416099</v>
      </c>
      <c r="AA66">
        <v>2.9641313511789402</v>
      </c>
      <c r="AB66">
        <v>8.8413439072268396</v>
      </c>
      <c r="AC66">
        <v>1.77389068402435</v>
      </c>
      <c r="AJ66">
        <v>0.75914739596796599</v>
      </c>
      <c r="AK66">
        <v>0.140642331697057</v>
      </c>
      <c r="AL66">
        <v>0.100210272334975</v>
      </c>
    </row>
    <row r="67" spans="1:38" x14ac:dyDescent="0.2">
      <c r="A67">
        <v>148</v>
      </c>
      <c r="B67">
        <v>738</v>
      </c>
      <c r="C67">
        <v>220</v>
      </c>
      <c r="D67">
        <v>0.34805963506898102</v>
      </c>
      <c r="E67">
        <v>19.884242859396299</v>
      </c>
      <c r="F67">
        <v>2.57925754421293</v>
      </c>
      <c r="G67">
        <v>-321.70201459666441</v>
      </c>
      <c r="H67">
        <v>-279.86693070830131</v>
      </c>
      <c r="I67">
        <v>41.373766393080302</v>
      </c>
      <c r="J67">
        <v>24.451991673976298</v>
      </c>
      <c r="K67">
        <v>7.7092894053990602</v>
      </c>
      <c r="L67">
        <v>3.1942913600586927E-5</v>
      </c>
      <c r="M67">
        <v>1.801004404522003E-6</v>
      </c>
      <c r="N67" s="1">
        <v>-4.9782484700386602E-7</v>
      </c>
      <c r="O67" s="1">
        <v>6.5734859154551094E-11</v>
      </c>
      <c r="P67" s="1">
        <v>1.6044389625927699E-9</v>
      </c>
      <c r="Q67">
        <v>64.567654798180797</v>
      </c>
      <c r="S67">
        <v>21.857038356128399</v>
      </c>
      <c r="AA67">
        <v>2.9663008912084301</v>
      </c>
      <c r="AB67">
        <v>8.8515472545400709</v>
      </c>
      <c r="AC67">
        <v>1.7574586999422499</v>
      </c>
      <c r="AJ67">
        <v>0.75998491136354995</v>
      </c>
      <c r="AK67">
        <v>0.14073812808327901</v>
      </c>
      <c r="AL67">
        <v>9.9276960553169299E-2</v>
      </c>
    </row>
    <row r="68" spans="1:38" x14ac:dyDescent="0.2">
      <c r="A68">
        <v>149</v>
      </c>
      <c r="B68">
        <v>736</v>
      </c>
      <c r="C68">
        <v>220</v>
      </c>
      <c r="D68">
        <v>0.34662884605856398</v>
      </c>
      <c r="E68">
        <v>20.184177597016198</v>
      </c>
      <c r="F68">
        <v>2.57948722751612</v>
      </c>
      <c r="G68">
        <v>-326.48587621406938</v>
      </c>
      <c r="H68">
        <v>-284.15292502176754</v>
      </c>
      <c r="I68">
        <v>41.949116773821203</v>
      </c>
      <c r="J68">
        <v>24.853909320038799</v>
      </c>
      <c r="K68">
        <v>7.8248798372427801</v>
      </c>
      <c r="L68">
        <v>3.2088192308138532E-5</v>
      </c>
      <c r="M68">
        <v>1.8016845845725769E-6</v>
      </c>
      <c r="N68" s="1">
        <v>-5.3962635687421697E-7</v>
      </c>
      <c r="O68" s="1">
        <v>6.6439205239650204E-11</v>
      </c>
      <c r="P68" s="1">
        <v>1.72594789601145E-9</v>
      </c>
      <c r="Q68">
        <v>64.570353121004601</v>
      </c>
      <c r="S68">
        <v>21.858767745793301</v>
      </c>
      <c r="AA68">
        <v>2.9670980386470598</v>
      </c>
      <c r="AB68">
        <v>8.8620941421172503</v>
      </c>
      <c r="AC68">
        <v>1.7416869524377001</v>
      </c>
      <c r="AJ68">
        <v>0.76085055962542603</v>
      </c>
      <c r="AK68">
        <v>0.140768567769428</v>
      </c>
      <c r="AL68">
        <v>9.8380872605144803E-2</v>
      </c>
    </row>
    <row r="69" spans="1:38" x14ac:dyDescent="0.2">
      <c r="A69">
        <v>150</v>
      </c>
      <c r="B69">
        <v>734</v>
      </c>
      <c r="C69">
        <v>220</v>
      </c>
      <c r="D69">
        <v>0.345192374522167</v>
      </c>
      <c r="E69">
        <v>20.4303297638128</v>
      </c>
      <c r="F69">
        <v>2.5797074125547899</v>
      </c>
      <c r="G69">
        <v>-330.39748699449854</v>
      </c>
      <c r="H69">
        <v>-287.68298281263435</v>
      </c>
      <c r="I69">
        <v>42.4112636467896</v>
      </c>
      <c r="J69">
        <v>25.192966222633299</v>
      </c>
      <c r="K69">
        <v>7.9196306001151697</v>
      </c>
      <c r="L69">
        <v>3.2243256889577972E-5</v>
      </c>
      <c r="M69">
        <v>1.8024144968306619E-6</v>
      </c>
      <c r="N69" s="1">
        <v>-5.8334115286837699E-7</v>
      </c>
      <c r="O69" s="1">
        <v>6.6941579107939694E-11</v>
      </c>
      <c r="P69" s="1">
        <v>1.8521706195754201E-9</v>
      </c>
      <c r="Q69">
        <v>64.574085985716394</v>
      </c>
      <c r="S69">
        <v>21.8596979097575</v>
      </c>
      <c r="AA69">
        <v>2.9669944204926502</v>
      </c>
      <c r="AB69">
        <v>8.8728511767409994</v>
      </c>
      <c r="AC69">
        <v>1.7263705072923601</v>
      </c>
      <c r="AJ69">
        <v>0.76173337743941705</v>
      </c>
      <c r="AK69">
        <v>0.14075612704135601</v>
      </c>
      <c r="AL69">
        <v>9.7510495519226401E-2</v>
      </c>
    </row>
    <row r="70" spans="1:38" x14ac:dyDescent="0.2">
      <c r="A70">
        <v>154</v>
      </c>
      <c r="B70">
        <v>754</v>
      </c>
      <c r="C70">
        <v>210</v>
      </c>
      <c r="D70">
        <v>0.37001460351457899</v>
      </c>
      <c r="E70">
        <v>0.36853896707848399</v>
      </c>
      <c r="F70">
        <v>2.5810706172253601</v>
      </c>
      <c r="G70">
        <v>-5.9814738485691077</v>
      </c>
      <c r="H70">
        <v>-5.1868317104563459</v>
      </c>
      <c r="I70">
        <v>0.77363786994378803</v>
      </c>
      <c r="J70">
        <v>0.449894687183303</v>
      </c>
      <c r="K70">
        <v>0.14278530956067401</v>
      </c>
      <c r="L70">
        <v>3.1031615677154869E-5</v>
      </c>
      <c r="M70">
        <v>1.7923798962955263E-6</v>
      </c>
      <c r="N70" s="1">
        <v>-5.5243838752451299E-9</v>
      </c>
      <c r="O70" s="1">
        <v>1.2404960042716701E-12</v>
      </c>
      <c r="P70" s="1">
        <v>1.9167191275825399E-11</v>
      </c>
      <c r="Q70">
        <v>64.286452710325705</v>
      </c>
      <c r="S70">
        <v>22.1070665337393</v>
      </c>
      <c r="AA70">
        <v>3.2381913607433699</v>
      </c>
      <c r="AB70">
        <v>8.8803848526963591</v>
      </c>
      <c r="AC70">
        <v>1.48790454249517</v>
      </c>
      <c r="AJ70">
        <v>0.762347161923151</v>
      </c>
      <c r="AK70">
        <v>0.15361523889067799</v>
      </c>
      <c r="AL70">
        <v>8.4037599186170001E-2</v>
      </c>
    </row>
    <row r="71" spans="1:38" x14ac:dyDescent="0.2">
      <c r="A71">
        <v>155</v>
      </c>
      <c r="B71">
        <v>752</v>
      </c>
      <c r="C71">
        <v>210</v>
      </c>
      <c r="D71">
        <v>0.36864897819831499</v>
      </c>
      <c r="E71">
        <v>2.3049558740076801</v>
      </c>
      <c r="F71">
        <v>2.57857044547838</v>
      </c>
      <c r="G71">
        <v>-37.37802782429732</v>
      </c>
      <c r="H71">
        <v>-32.421661717061745</v>
      </c>
      <c r="I71">
        <v>4.83477160145888</v>
      </c>
      <c r="J71">
        <v>2.81562585753134</v>
      </c>
      <c r="K71">
        <v>0.89388904540091796</v>
      </c>
      <c r="L71">
        <v>3.1181013727137433E-5</v>
      </c>
      <c r="M71">
        <v>1.7973489456001213E-6</v>
      </c>
      <c r="N71" s="1">
        <v>-3.6777053471881902E-8</v>
      </c>
      <c r="O71" s="1">
        <v>7.7805875074207094E-12</v>
      </c>
      <c r="P71" s="1">
        <v>1.26241689768829E-10</v>
      </c>
      <c r="Q71">
        <v>64.510041397668402</v>
      </c>
      <c r="S71">
        <v>21.915674942365801</v>
      </c>
      <c r="AA71">
        <v>3.0281199746289</v>
      </c>
      <c r="AB71">
        <v>8.87688231470311</v>
      </c>
      <c r="AC71">
        <v>1.66928137063367</v>
      </c>
      <c r="AJ71">
        <v>0.76206318343479396</v>
      </c>
      <c r="AK71">
        <v>0.14365289633950901</v>
      </c>
      <c r="AL71">
        <v>9.42839202256959E-2</v>
      </c>
    </row>
    <row r="72" spans="1:38" x14ac:dyDescent="0.2">
      <c r="A72">
        <v>156</v>
      </c>
      <c r="B72">
        <v>750</v>
      </c>
      <c r="C72">
        <v>210</v>
      </c>
      <c r="D72">
        <v>0.36727801397644499</v>
      </c>
      <c r="E72">
        <v>4.3605430238794201</v>
      </c>
      <c r="F72">
        <v>2.5757606015977199</v>
      </c>
      <c r="G72">
        <v>-70.641041170030576</v>
      </c>
      <c r="H72">
        <v>-61.290682734661758</v>
      </c>
      <c r="I72">
        <v>9.1387953236268409</v>
      </c>
      <c r="J72">
        <v>5.3294452652112296</v>
      </c>
      <c r="K72">
        <v>1.69291471465733</v>
      </c>
      <c r="L72">
        <v>3.1311943597483121E-5</v>
      </c>
      <c r="M72">
        <v>1.8020510656376582E-6</v>
      </c>
      <c r="N72" s="1">
        <v>-7.3782130895742504E-8</v>
      </c>
      <c r="O72" s="1">
        <v>1.47676983700243E-11</v>
      </c>
      <c r="P72" s="1">
        <v>2.5081477462126099E-10</v>
      </c>
      <c r="Q72">
        <v>64.732877958080394</v>
      </c>
      <c r="S72">
        <v>21.713482728114499</v>
      </c>
      <c r="AA72">
        <v>2.8093134625876401</v>
      </c>
      <c r="AB72">
        <v>8.8433884651212207</v>
      </c>
      <c r="AC72">
        <v>1.9009373860961201</v>
      </c>
      <c r="AJ72">
        <v>0.75931775631643805</v>
      </c>
      <c r="AK72">
        <v>0.13329560916512301</v>
      </c>
      <c r="AL72">
        <v>0.107386634518438</v>
      </c>
    </row>
    <row r="73" spans="1:38" x14ac:dyDescent="0.2">
      <c r="A73">
        <v>157</v>
      </c>
      <c r="B73">
        <v>748</v>
      </c>
      <c r="C73">
        <v>210</v>
      </c>
      <c r="D73">
        <v>0.36590167947901903</v>
      </c>
      <c r="E73">
        <v>15.393473977028099</v>
      </c>
      <c r="F73">
        <v>2.57705378850721</v>
      </c>
      <c r="G73">
        <v>-249.34778859743665</v>
      </c>
      <c r="H73">
        <v>-216.44773391236768</v>
      </c>
      <c r="I73">
        <v>32.218630646887298</v>
      </c>
      <c r="J73">
        <v>18.825664564935401</v>
      </c>
      <c r="K73">
        <v>5.9732839282120702</v>
      </c>
      <c r="L73">
        <v>3.1343939178609226E-5</v>
      </c>
      <c r="M73">
        <v>1.7998401884276945E-6</v>
      </c>
      <c r="N73" s="1">
        <v>-2.7627067548109898E-7</v>
      </c>
      <c r="O73" s="1">
        <v>5.18811464766488E-11</v>
      </c>
      <c r="P73" s="1">
        <v>9.3072365088681102E-10</v>
      </c>
      <c r="Q73">
        <v>64.615062520591096</v>
      </c>
      <c r="S73">
        <v>21.8018567587355</v>
      </c>
      <c r="AA73">
        <v>2.9097135644255898</v>
      </c>
      <c r="AB73">
        <v>8.8125270903683806</v>
      </c>
      <c r="AC73">
        <v>1.86084006587936</v>
      </c>
      <c r="AJ73">
        <v>0.75678236761962003</v>
      </c>
      <c r="AK73">
        <v>0.13808025128894999</v>
      </c>
      <c r="AL73">
        <v>0.10513738109142901</v>
      </c>
    </row>
    <row r="74" spans="1:38" x14ac:dyDescent="0.2">
      <c r="A74">
        <v>158</v>
      </c>
      <c r="B74">
        <v>746</v>
      </c>
      <c r="C74">
        <v>210</v>
      </c>
      <c r="D74">
        <v>0.36451994308983099</v>
      </c>
      <c r="E74">
        <v>17.764190719230601</v>
      </c>
      <c r="F74">
        <v>2.5776463474100999</v>
      </c>
      <c r="G74">
        <v>-287.70356326459097</v>
      </c>
      <c r="H74">
        <v>-249.85623184594823</v>
      </c>
      <c r="I74">
        <v>37.1361736924326</v>
      </c>
      <c r="J74">
        <v>21.744130763209199</v>
      </c>
      <c r="K74">
        <v>6.8916322586607697</v>
      </c>
      <c r="L74">
        <v>3.1432170770117854E-5</v>
      </c>
      <c r="M74">
        <v>1.7995830257926706E-6</v>
      </c>
      <c r="N74" s="1">
        <v>-3.3973214350853299E-7</v>
      </c>
      <c r="O74" s="1">
        <v>5.9646763265367794E-11</v>
      </c>
      <c r="P74" s="1">
        <v>1.1339247362220701E-9</v>
      </c>
      <c r="Q74">
        <v>64.580528146623806</v>
      </c>
      <c r="S74">
        <v>21.831932161061999</v>
      </c>
      <c r="AA74">
        <v>2.9425842033426099</v>
      </c>
      <c r="AB74">
        <v>8.8144156669094507</v>
      </c>
      <c r="AC74">
        <v>1.8305398220620599</v>
      </c>
      <c r="AJ74">
        <v>0.75693690976742101</v>
      </c>
      <c r="AK74">
        <v>0.13963871557205601</v>
      </c>
      <c r="AL74">
        <v>0.103424374660521</v>
      </c>
    </row>
    <row r="75" spans="1:38" x14ac:dyDescent="0.2">
      <c r="A75">
        <v>159</v>
      </c>
      <c r="B75">
        <v>744</v>
      </c>
      <c r="C75">
        <v>210</v>
      </c>
      <c r="D75">
        <v>0.36313277294401303</v>
      </c>
      <c r="E75">
        <v>18.754287013239502</v>
      </c>
      <c r="F75">
        <v>2.57803351666742</v>
      </c>
      <c r="G75">
        <v>-303.68171525305524</v>
      </c>
      <c r="H75">
        <v>-263.84983059582731</v>
      </c>
      <c r="I75">
        <v>39.160285756503797</v>
      </c>
      <c r="J75">
        <v>22.978486518644399</v>
      </c>
      <c r="K75">
        <v>7.2746482510758304</v>
      </c>
      <c r="L75">
        <v>3.1537054501198483E-5</v>
      </c>
      <c r="M75">
        <v>1.7998068622716062E-6</v>
      </c>
      <c r="N75" s="1">
        <v>-3.8253210203760098E-7</v>
      </c>
      <c r="O75" s="1">
        <v>6.2746271961976895E-11</v>
      </c>
      <c r="P75" s="1">
        <v>1.2653188979813801E-9</v>
      </c>
      <c r="Q75">
        <v>64.566891285771902</v>
      </c>
      <c r="S75">
        <v>21.846105204147399</v>
      </c>
      <c r="AA75">
        <v>2.9574590840603299</v>
      </c>
      <c r="AB75">
        <v>8.8211831287500502</v>
      </c>
      <c r="AC75">
        <v>1.8083612972701699</v>
      </c>
      <c r="AJ75">
        <v>0.75749233936364302</v>
      </c>
      <c r="AK75">
        <v>0.140339828741085</v>
      </c>
      <c r="AL75">
        <v>0.10216783189527</v>
      </c>
    </row>
    <row r="76" spans="1:38" x14ac:dyDescent="0.2">
      <c r="A76">
        <v>160</v>
      </c>
      <c r="B76">
        <v>742</v>
      </c>
      <c r="C76">
        <v>210</v>
      </c>
      <c r="D76">
        <v>0.361740136925575</v>
      </c>
      <c r="E76">
        <v>19.327729980403099</v>
      </c>
      <c r="F76">
        <v>2.5783379690214199</v>
      </c>
      <c r="G76">
        <v>-312.90474086875588</v>
      </c>
      <c r="H76">
        <v>-271.98304310345333</v>
      </c>
      <c r="I76">
        <v>40.3109863225163</v>
      </c>
      <c r="J76">
        <v>23.7062144891642</v>
      </c>
      <c r="K76">
        <v>7.4961972451341303</v>
      </c>
      <c r="L76">
        <v>3.1653073619952084E-5</v>
      </c>
      <c r="M76">
        <v>1.800238996833661E-6</v>
      </c>
      <c r="N76" s="1">
        <v>-4.2066165097472402E-7</v>
      </c>
      <c r="O76" s="1">
        <v>6.4429516520662706E-11</v>
      </c>
      <c r="P76" s="1">
        <v>1.37941595594821E-9</v>
      </c>
      <c r="Q76">
        <v>64.561738849097594</v>
      </c>
      <c r="S76">
        <v>21.853824340109401</v>
      </c>
      <c r="AA76">
        <v>2.9650297009262201</v>
      </c>
      <c r="AB76">
        <v>8.8299379183643492</v>
      </c>
      <c r="AC76">
        <v>1.78946919150235</v>
      </c>
      <c r="AJ76">
        <v>0.75821101007825897</v>
      </c>
      <c r="AK76">
        <v>0.14069293023278301</v>
      </c>
      <c r="AL76">
        <v>0.10109605968895601</v>
      </c>
    </row>
    <row r="77" spans="1:38" x14ac:dyDescent="0.2">
      <c r="A77">
        <v>161</v>
      </c>
      <c r="B77">
        <v>740</v>
      </c>
      <c r="C77">
        <v>210</v>
      </c>
      <c r="D77">
        <v>0.36034200266496003</v>
      </c>
      <c r="E77">
        <v>19.723750133661699</v>
      </c>
      <c r="F77">
        <v>2.5786034877256898</v>
      </c>
      <c r="G77">
        <v>-319.25051565764414</v>
      </c>
      <c r="H77">
        <v>-277.62077834916482</v>
      </c>
      <c r="I77">
        <v>41.089411546641003</v>
      </c>
      <c r="J77">
        <v>24.219610707203699</v>
      </c>
      <c r="K77">
        <v>7.6490046754175198</v>
      </c>
      <c r="L77">
        <v>3.1778551918854796E-5</v>
      </c>
      <c r="M77">
        <v>1.8007821135198129E-6</v>
      </c>
      <c r="N77" s="1">
        <v>-4.5821233437210202E-7</v>
      </c>
      <c r="O77" s="1">
        <v>6.5499518065209594E-11</v>
      </c>
      <c r="P77" s="1">
        <v>1.4900765891793101E-9</v>
      </c>
      <c r="Q77">
        <v>64.560612164876005</v>
      </c>
      <c r="S77">
        <v>21.858474656200102</v>
      </c>
      <c r="AA77">
        <v>2.96912915567688</v>
      </c>
      <c r="AB77">
        <v>8.8396185712011803</v>
      </c>
      <c r="AC77">
        <v>1.77216545204569</v>
      </c>
      <c r="AJ77">
        <v>0.75900568038178495</v>
      </c>
      <c r="AK77">
        <v>0.14088066093811699</v>
      </c>
      <c r="AL77">
        <v>0.100113658680097</v>
      </c>
    </row>
    <row r="78" spans="1:38" x14ac:dyDescent="0.2">
      <c r="A78">
        <v>162</v>
      </c>
      <c r="B78">
        <v>738</v>
      </c>
      <c r="C78">
        <v>210</v>
      </c>
      <c r="D78">
        <v>0.35893833753646798</v>
      </c>
      <c r="E78">
        <v>20.026803447181301</v>
      </c>
      <c r="F78">
        <v>2.5788474526476701</v>
      </c>
      <c r="G78">
        <v>-324.08821828349164</v>
      </c>
      <c r="H78">
        <v>-281.95110367576495</v>
      </c>
      <c r="I78">
        <v>41.672466605079997</v>
      </c>
      <c r="J78">
        <v>24.62196334834</v>
      </c>
      <c r="K78">
        <v>7.7657960832929804</v>
      </c>
      <c r="L78">
        <v>3.1913153543540252E-5</v>
      </c>
      <c r="M78">
        <v>1.8013984479779972E-6</v>
      </c>
      <c r="N78" s="1">
        <v>-4.9672970653523103E-7</v>
      </c>
      <c r="O78" s="1">
        <v>6.6238613415811896E-11</v>
      </c>
      <c r="P78" s="1">
        <v>1.60246341314887E-9</v>
      </c>
      <c r="Q78">
        <v>64.561739756653907</v>
      </c>
      <c r="S78">
        <v>21.8613999370565</v>
      </c>
      <c r="AA78">
        <v>2.97127943420969</v>
      </c>
      <c r="AB78">
        <v>8.8498003530965494</v>
      </c>
      <c r="AC78">
        <v>1.75578051898328</v>
      </c>
      <c r="AJ78">
        <v>0.75984144022020605</v>
      </c>
      <c r="AK78">
        <v>0.140975547324518</v>
      </c>
      <c r="AL78">
        <v>9.9183012455274805E-2</v>
      </c>
    </row>
    <row r="79" spans="1:38" x14ac:dyDescent="0.2">
      <c r="A79">
        <v>163</v>
      </c>
      <c r="B79">
        <v>736</v>
      </c>
      <c r="C79">
        <v>210</v>
      </c>
      <c r="D79">
        <v>0.35752910865580001</v>
      </c>
      <c r="E79">
        <v>20.274436989094401</v>
      </c>
      <c r="F79">
        <v>2.57907794767292</v>
      </c>
      <c r="G79">
        <v>-328.0266011629023</v>
      </c>
      <c r="H79">
        <v>-285.50223011554681</v>
      </c>
      <c r="I79">
        <v>42.138801018040397</v>
      </c>
      <c r="J79">
        <v>24.959292535518198</v>
      </c>
      <c r="K79">
        <v>7.8611183533199496</v>
      </c>
      <c r="L79">
        <v>3.2057042191505303E-5</v>
      </c>
      <c r="M79">
        <v>1.8020713781450785E-6</v>
      </c>
      <c r="N79" s="1">
        <v>-5.3699294461275097E-7</v>
      </c>
      <c r="O79" s="1">
        <v>6.6771581793143701E-11</v>
      </c>
      <c r="P79" s="1">
        <v>1.71911467826537E-9</v>
      </c>
      <c r="Q79">
        <v>64.564299854531797</v>
      </c>
      <c r="S79">
        <v>21.863223489089499</v>
      </c>
      <c r="AA79">
        <v>2.9721865194675501</v>
      </c>
      <c r="AB79">
        <v>8.8602860726829995</v>
      </c>
      <c r="AC79">
        <v>1.7400040642280401</v>
      </c>
      <c r="AJ79">
        <v>0.76070208129688299</v>
      </c>
      <c r="AK79">
        <v>0.14101123320221301</v>
      </c>
      <c r="AL79">
        <v>9.8286685500902901E-2</v>
      </c>
    </row>
    <row r="80" spans="1:38" x14ac:dyDescent="0.2">
      <c r="A80">
        <v>166</v>
      </c>
      <c r="B80">
        <v>756</v>
      </c>
      <c r="C80">
        <v>200</v>
      </c>
      <c r="D80">
        <v>0.38206335325268598</v>
      </c>
      <c r="E80">
        <v>0.82372434770888203</v>
      </c>
      <c r="F80">
        <v>2.5798423513237698</v>
      </c>
      <c r="G80">
        <v>-13.374792682812458</v>
      </c>
      <c r="H80">
        <v>-11.592911298951279</v>
      </c>
      <c r="I80">
        <v>1.73141076020131</v>
      </c>
      <c r="J80">
        <v>1.0048813585629901</v>
      </c>
      <c r="K80">
        <v>0.319292513081743</v>
      </c>
      <c r="L80">
        <v>3.0968582802755768E-5</v>
      </c>
      <c r="M80">
        <v>1.7940068200385809E-6</v>
      </c>
      <c r="N80" s="1">
        <v>-1.15234463800209E-8</v>
      </c>
      <c r="O80" s="1">
        <v>2.7831709076542001E-12</v>
      </c>
      <c r="P80" s="1">
        <v>4.0461213424637702E-11</v>
      </c>
      <c r="Q80">
        <v>64.3508801824443</v>
      </c>
      <c r="S80">
        <v>22.058626503387998</v>
      </c>
      <c r="AA80">
        <v>3.1831945698784501</v>
      </c>
      <c r="AB80">
        <v>8.8969661826501696</v>
      </c>
      <c r="AC80">
        <v>1.51033256163895</v>
      </c>
      <c r="AJ80">
        <v>0.76370857786728497</v>
      </c>
      <c r="AK80">
        <v>0.15099400491842399</v>
      </c>
      <c r="AL80">
        <v>8.5297417214289795E-2</v>
      </c>
    </row>
    <row r="81" spans="1:38" x14ac:dyDescent="0.2">
      <c r="A81">
        <v>167</v>
      </c>
      <c r="B81">
        <v>754</v>
      </c>
      <c r="C81">
        <v>200</v>
      </c>
      <c r="D81">
        <v>0.38072384753930699</v>
      </c>
      <c r="E81">
        <v>2.7568457886337301</v>
      </c>
      <c r="F81">
        <v>2.5773776204110801</v>
      </c>
      <c r="G81">
        <v>-44.724488766780425</v>
      </c>
      <c r="H81">
        <v>-38.777216485633701</v>
      </c>
      <c r="I81">
        <v>5.79007183093678</v>
      </c>
      <c r="J81">
        <v>3.3650780991554798</v>
      </c>
      <c r="K81">
        <v>1.0696320813843401</v>
      </c>
      <c r="L81">
        <v>3.1107347627458583E-5</v>
      </c>
      <c r="M81">
        <v>1.7987799002349275E-6</v>
      </c>
      <c r="N81" s="1">
        <v>-4.1019671418434498E-8</v>
      </c>
      <c r="O81" s="1">
        <v>9.3419612315150803E-12</v>
      </c>
      <c r="P81" s="1">
        <v>1.42436492950055E-10</v>
      </c>
      <c r="Q81">
        <v>64.567498917209704</v>
      </c>
      <c r="S81">
        <v>21.871587473610699</v>
      </c>
      <c r="AA81">
        <v>2.9783404347959599</v>
      </c>
      <c r="AB81">
        <v>8.8893422851481692</v>
      </c>
      <c r="AC81">
        <v>1.6932308892354</v>
      </c>
      <c r="AJ81">
        <v>0.76308641256820797</v>
      </c>
      <c r="AK81">
        <v>0.141282775981971</v>
      </c>
      <c r="AL81">
        <v>9.5630811449820302E-2</v>
      </c>
    </row>
    <row r="82" spans="1:38" x14ac:dyDescent="0.2">
      <c r="A82">
        <v>168</v>
      </c>
      <c r="B82">
        <v>752</v>
      </c>
      <c r="C82">
        <v>200</v>
      </c>
      <c r="D82">
        <v>0.37937911525142798</v>
      </c>
      <c r="E82">
        <v>4.80972860823098</v>
      </c>
      <c r="F82">
        <v>2.5746030802736901</v>
      </c>
      <c r="G82">
        <v>-77.949756410308268</v>
      </c>
      <c r="H82">
        <v>-67.602902977771649</v>
      </c>
      <c r="I82">
        <v>10.0930141272366</v>
      </c>
      <c r="J82">
        <v>5.8734892963760803</v>
      </c>
      <c r="K82">
        <v>1.8681437325553401</v>
      </c>
      <c r="L82">
        <v>3.1227397658289839E-5</v>
      </c>
      <c r="M82">
        <v>1.8032814177650287E-6</v>
      </c>
      <c r="N82" s="1">
        <v>-7.5827930674103806E-8</v>
      </c>
      <c r="O82" s="1">
        <v>1.6353073100711499E-11</v>
      </c>
      <c r="P82" s="1">
        <v>2.6066275440390199E-10</v>
      </c>
      <c r="Q82">
        <v>64.783194881782407</v>
      </c>
      <c r="S82">
        <v>21.673806636745301</v>
      </c>
      <c r="AA82">
        <v>2.7648395146879698</v>
      </c>
      <c r="AB82">
        <v>8.8515009999373007</v>
      </c>
      <c r="AC82">
        <v>1.9266579668469299</v>
      </c>
      <c r="AJ82">
        <v>0.75998440214359397</v>
      </c>
      <c r="AK82">
        <v>0.13118025604234701</v>
      </c>
      <c r="AL82">
        <v>0.108835341814057</v>
      </c>
    </row>
    <row r="83" spans="1:38" x14ac:dyDescent="0.2">
      <c r="A83">
        <v>169</v>
      </c>
      <c r="B83">
        <v>750</v>
      </c>
      <c r="C83">
        <v>200</v>
      </c>
      <c r="D83">
        <v>0.37802912573913899</v>
      </c>
      <c r="E83">
        <v>15.093320833698</v>
      </c>
      <c r="F83">
        <v>2.5761164072839202</v>
      </c>
      <c r="G83">
        <v>-244.58696391851643</v>
      </c>
      <c r="H83">
        <v>-212.22557558329191</v>
      </c>
      <c r="I83">
        <v>31.629172980720799</v>
      </c>
      <c r="J83">
        <v>18.440462364399799</v>
      </c>
      <c r="K83">
        <v>5.8589436374155897</v>
      </c>
      <c r="L83">
        <v>3.1234692319082379E-5</v>
      </c>
      <c r="M83">
        <v>1.8003760762147286E-6</v>
      </c>
      <c r="N83" s="1">
        <v>-2.5186123750899001E-7</v>
      </c>
      <c r="O83" s="1">
        <v>5.1060031746282001E-11</v>
      </c>
      <c r="P83" s="1">
        <v>8.5790241178689095E-10</v>
      </c>
      <c r="Q83">
        <v>64.636912032820902</v>
      </c>
      <c r="S83">
        <v>21.781201333520801</v>
      </c>
      <c r="AA83">
        <v>2.8875743421519702</v>
      </c>
      <c r="AB83">
        <v>8.8070666742597101</v>
      </c>
      <c r="AC83">
        <v>1.88724561724651</v>
      </c>
      <c r="AJ83">
        <v>0.75633434030319802</v>
      </c>
      <c r="AK83">
        <v>0.13703342093558801</v>
      </c>
      <c r="AL83">
        <v>0.106632238761213</v>
      </c>
    </row>
    <row r="84" spans="1:38" x14ac:dyDescent="0.2">
      <c r="A84">
        <v>170</v>
      </c>
      <c r="B84">
        <v>748</v>
      </c>
      <c r="C84">
        <v>200</v>
      </c>
      <c r="D84">
        <v>0.37667384811242399</v>
      </c>
      <c r="E84">
        <v>17.588601746038201</v>
      </c>
      <c r="F84">
        <v>2.5768767194480202</v>
      </c>
      <c r="G84">
        <v>-284.98456094375308</v>
      </c>
      <c r="H84">
        <v>-247.39251964745327</v>
      </c>
      <c r="I84">
        <v>36.813437101600996</v>
      </c>
      <c r="J84">
        <v>21.506087518752899</v>
      </c>
      <c r="K84">
        <v>6.8255503312575101</v>
      </c>
      <c r="L84">
        <v>3.1308072760197267E-5</v>
      </c>
      <c r="M84">
        <v>1.7997280868375525E-6</v>
      </c>
      <c r="N84" s="1">
        <v>-3.1251628025097099E-7</v>
      </c>
      <c r="O84" s="1">
        <v>5.9272666833609997E-11</v>
      </c>
      <c r="P84" s="1">
        <v>1.05426448099659E-9</v>
      </c>
      <c r="Q84">
        <v>64.585535852042199</v>
      </c>
      <c r="S84">
        <v>21.824165220980198</v>
      </c>
      <c r="AA84">
        <v>2.93500791864831</v>
      </c>
      <c r="AB84">
        <v>8.8052130267362791</v>
      </c>
      <c r="AC84">
        <v>1.85007798159294</v>
      </c>
      <c r="AJ84">
        <v>0.75618135045921597</v>
      </c>
      <c r="AK84">
        <v>0.13928558175743799</v>
      </c>
      <c r="AL84">
        <v>0.10453306778334399</v>
      </c>
    </row>
    <row r="85" spans="1:38" x14ac:dyDescent="0.2">
      <c r="A85">
        <v>171</v>
      </c>
      <c r="B85">
        <v>746</v>
      </c>
      <c r="C85">
        <v>200</v>
      </c>
      <c r="D85">
        <v>0.37531325123877901</v>
      </c>
      <c r="E85">
        <v>18.585835915329799</v>
      </c>
      <c r="F85">
        <v>2.57730842346017</v>
      </c>
      <c r="G85">
        <v>-301.08783529272279</v>
      </c>
      <c r="H85">
        <v>-261.48849249599192</v>
      </c>
      <c r="I85">
        <v>38.855264481902502</v>
      </c>
      <c r="J85">
        <v>22.745782140985401</v>
      </c>
      <c r="K85">
        <v>7.2113355724719002</v>
      </c>
      <c r="L85">
        <v>3.140341794126885E-5</v>
      </c>
      <c r="M85">
        <v>1.799830754805244E-6</v>
      </c>
      <c r="N85" s="1">
        <v>-3.5207772621296301E-7</v>
      </c>
      <c r="O85" s="1">
        <v>6.2419020784793699E-11</v>
      </c>
      <c r="P85" s="1">
        <v>1.17656290340218E-9</v>
      </c>
      <c r="Q85">
        <v>64.567383111783201</v>
      </c>
      <c r="S85">
        <v>21.841804003638799</v>
      </c>
      <c r="AA85">
        <v>2.9537957887238901</v>
      </c>
      <c r="AB85">
        <v>8.8110029803179302</v>
      </c>
      <c r="AC85">
        <v>1.8260141155360901</v>
      </c>
      <c r="AJ85">
        <v>0.75665650008848795</v>
      </c>
      <c r="AK85">
        <v>0.14017309945796</v>
      </c>
      <c r="AL85">
        <v>0.103170400453551</v>
      </c>
    </row>
    <row r="86" spans="1:38" x14ac:dyDescent="0.2">
      <c r="A86">
        <v>172</v>
      </c>
      <c r="B86">
        <v>744</v>
      </c>
      <c r="C86">
        <v>200</v>
      </c>
      <c r="D86">
        <v>0.373947303740848</v>
      </c>
      <c r="E86">
        <v>19.1749312351265</v>
      </c>
      <c r="F86">
        <v>2.57766072740707</v>
      </c>
      <c r="G86">
        <v>-310.57112108889254</v>
      </c>
      <c r="H86">
        <v>-269.84409383759214</v>
      </c>
      <c r="I86">
        <v>40.040335497517802</v>
      </c>
      <c r="J86">
        <v>23.489538883302099</v>
      </c>
      <c r="K86">
        <v>7.4388886913038199</v>
      </c>
      <c r="L86">
        <v>3.1509052976386847E-5</v>
      </c>
      <c r="M86">
        <v>1.8001296917719252E-6</v>
      </c>
      <c r="N86" s="1">
        <v>-3.8744344992073402E-7</v>
      </c>
      <c r="O86" s="1">
        <v>6.4173554247019802E-11</v>
      </c>
      <c r="P86" s="1">
        <v>1.28303263213005E-9</v>
      </c>
      <c r="Q86">
        <v>64.557278160741802</v>
      </c>
      <c r="S86">
        <v>21.853293378105501</v>
      </c>
      <c r="AA86">
        <v>2.9656324924827402</v>
      </c>
      <c r="AB86">
        <v>8.8186055276132294</v>
      </c>
      <c r="AC86">
        <v>1.80519044105656</v>
      </c>
      <c r="AJ86">
        <v>0.75728056588682602</v>
      </c>
      <c r="AK86">
        <v>0.14072945865332001</v>
      </c>
      <c r="AL86">
        <v>0.101989975459852</v>
      </c>
    </row>
    <row r="87" spans="1:38" x14ac:dyDescent="0.2">
      <c r="A87">
        <v>173</v>
      </c>
      <c r="B87">
        <v>742</v>
      </c>
      <c r="C87">
        <v>200</v>
      </c>
      <c r="D87">
        <v>0.37257597399398801</v>
      </c>
      <c r="E87">
        <v>19.5727496872396</v>
      </c>
      <c r="F87">
        <v>2.5779484689532199</v>
      </c>
      <c r="G87">
        <v>-316.9503875900956</v>
      </c>
      <c r="H87">
        <v>-275.50802415041073</v>
      </c>
      <c r="I87">
        <v>40.8238816329456</v>
      </c>
      <c r="J87">
        <v>24.002100111575601</v>
      </c>
      <c r="K87">
        <v>7.5923742941173398</v>
      </c>
      <c r="L87">
        <v>3.1624842185274902E-5</v>
      </c>
      <c r="M87">
        <v>1.8005956346848018E-6</v>
      </c>
      <c r="N87" s="1">
        <v>-4.2201459362347098E-7</v>
      </c>
      <c r="O87" s="1">
        <v>6.5270727009474498E-11</v>
      </c>
      <c r="P87" s="1">
        <v>1.3853534983560799E-9</v>
      </c>
      <c r="Q87">
        <v>64.553801112563207</v>
      </c>
      <c r="S87">
        <v>21.859736819637099</v>
      </c>
      <c r="AA87">
        <v>2.9717597193800298</v>
      </c>
      <c r="AB87">
        <v>8.8277494318584395</v>
      </c>
      <c r="AC87">
        <v>1.7869529165611799</v>
      </c>
      <c r="AJ87">
        <v>0.75803122524118005</v>
      </c>
      <c r="AK87">
        <v>0.141013788383785</v>
      </c>
      <c r="AL87">
        <v>0.100954986375033</v>
      </c>
    </row>
    <row r="88" spans="1:38" x14ac:dyDescent="0.2">
      <c r="A88">
        <v>174</v>
      </c>
      <c r="B88">
        <v>740</v>
      </c>
      <c r="C88">
        <v>200</v>
      </c>
      <c r="D88">
        <v>0.37119923012387401</v>
      </c>
      <c r="E88">
        <v>19.875908722441899</v>
      </c>
      <c r="F88">
        <v>2.5782075522680601</v>
      </c>
      <c r="G88">
        <v>-321.79319917966427</v>
      </c>
      <c r="H88">
        <v>-279.8403367616649</v>
      </c>
      <c r="I88">
        <v>41.408342711345099</v>
      </c>
      <c r="J88">
        <v>24.401465743674098</v>
      </c>
      <c r="K88">
        <v>7.7091965326674297</v>
      </c>
      <c r="L88">
        <v>3.1749485088269389E-5</v>
      </c>
      <c r="M88">
        <v>1.8011487571535501E-6</v>
      </c>
      <c r="N88" s="1">
        <v>-4.5743591589430702E-7</v>
      </c>
      <c r="O88" s="1">
        <v>6.6032613922760796E-11</v>
      </c>
      <c r="P88" s="1">
        <v>1.48908571398112E-9</v>
      </c>
      <c r="Q88">
        <v>64.553288872850104</v>
      </c>
      <c r="S88">
        <v>21.863913275283402</v>
      </c>
      <c r="AA88">
        <v>2.9753248621859898</v>
      </c>
      <c r="AB88">
        <v>8.8375570545760898</v>
      </c>
      <c r="AC88">
        <v>1.7699159351043401</v>
      </c>
      <c r="AJ88">
        <v>0.75883634480741002</v>
      </c>
      <c r="AK88">
        <v>0.14117606559812201</v>
      </c>
      <c r="AL88">
        <v>9.9987589594466894E-2</v>
      </c>
    </row>
    <row r="89" spans="1:38" x14ac:dyDescent="0.2">
      <c r="A89">
        <v>175</v>
      </c>
      <c r="B89">
        <v>738</v>
      </c>
      <c r="C89">
        <v>200</v>
      </c>
      <c r="D89">
        <v>0.36981704000395799</v>
      </c>
      <c r="E89">
        <v>20.123112493682498</v>
      </c>
      <c r="F89">
        <v>2.5784489583687402</v>
      </c>
      <c r="G89">
        <v>-325.72744177115203</v>
      </c>
      <c r="H89">
        <v>-283.38567153104958</v>
      </c>
      <c r="I89">
        <v>41.874865489889999</v>
      </c>
      <c r="J89">
        <v>24.735007853014601</v>
      </c>
      <c r="K89">
        <v>7.8043478147472802</v>
      </c>
      <c r="L89">
        <v>3.188296844714466E-5</v>
      </c>
      <c r="M89">
        <v>1.8017659043559337E-6</v>
      </c>
      <c r="N89" s="1">
        <v>-4.94456596512786E-7</v>
      </c>
      <c r="O89" s="1">
        <v>6.6587973246621198E-11</v>
      </c>
      <c r="P89" s="1">
        <v>1.5966965169971401E-9</v>
      </c>
      <c r="Q89">
        <v>64.554628179234101</v>
      </c>
      <c r="S89">
        <v>21.866668536698601</v>
      </c>
      <c r="AA89">
        <v>2.97728547222997</v>
      </c>
      <c r="AB89">
        <v>8.8477649030507006</v>
      </c>
      <c r="AC89">
        <v>1.7536529087864601</v>
      </c>
      <c r="AJ89">
        <v>0.75967426443905295</v>
      </c>
      <c r="AK89">
        <v>0.14126192113839101</v>
      </c>
      <c r="AL89">
        <v>9.9063814422555296E-2</v>
      </c>
    </row>
    <row r="90" spans="1:38" x14ac:dyDescent="0.2">
      <c r="A90">
        <v>178</v>
      </c>
      <c r="B90">
        <v>758</v>
      </c>
      <c r="C90">
        <v>190</v>
      </c>
      <c r="D90">
        <v>0.39406536391407598</v>
      </c>
      <c r="E90">
        <v>1.3981346822498399</v>
      </c>
      <c r="F90">
        <v>2.57845960005463</v>
      </c>
      <c r="G90">
        <v>-22.710079615017893</v>
      </c>
      <c r="H90">
        <v>-19.675777933832553</v>
      </c>
      <c r="I90">
        <v>2.9426384921547202</v>
      </c>
      <c r="J90">
        <v>1.7045466875134001</v>
      </c>
      <c r="K90">
        <v>0.54223641208891504</v>
      </c>
      <c r="L90">
        <v>3.0914154728620049E-5</v>
      </c>
      <c r="M90">
        <v>1.7958918547273441E-6</v>
      </c>
      <c r="N90" s="1">
        <v>-1.8255965043694E-8</v>
      </c>
      <c r="O90" s="1">
        <v>4.74248083141637E-12</v>
      </c>
      <c r="P90" s="1">
        <v>6.4905917292392295E-11</v>
      </c>
      <c r="Q90">
        <v>64.427483410589403</v>
      </c>
      <c r="S90">
        <v>21.999427248240099</v>
      </c>
      <c r="AA90">
        <v>3.1164802621750698</v>
      </c>
      <c r="AB90">
        <v>8.9124738254720803</v>
      </c>
      <c r="AC90">
        <v>1.54413525352322</v>
      </c>
      <c r="AJ90">
        <v>0.76498188913144605</v>
      </c>
      <c r="AK90">
        <v>0.14781825019992401</v>
      </c>
      <c r="AL90">
        <v>8.7199860668628601E-2</v>
      </c>
    </row>
    <row r="91" spans="1:38" x14ac:dyDescent="0.2">
      <c r="A91">
        <v>179</v>
      </c>
      <c r="B91">
        <v>756</v>
      </c>
      <c r="C91">
        <v>190</v>
      </c>
      <c r="D91">
        <v>0.39275178545401701</v>
      </c>
      <c r="E91">
        <v>3.33203026554816</v>
      </c>
      <c r="F91">
        <v>2.5760173266650002</v>
      </c>
      <c r="G91">
        <v>-54.075677154430593</v>
      </c>
      <c r="H91">
        <v>-46.864242725018713</v>
      </c>
      <c r="I91">
        <v>7.0071752702831196</v>
      </c>
      <c r="J91">
        <v>4.0642619016944899</v>
      </c>
      <c r="K91">
        <v>1.29348130971693</v>
      </c>
      <c r="L91">
        <v>3.1041504271964704E-5</v>
      </c>
      <c r="M91">
        <v>1.8004508553356498E-6</v>
      </c>
      <c r="N91" s="1">
        <v>-4.6230229943601997E-8</v>
      </c>
      <c r="O91" s="1">
        <v>1.1336172897444799E-11</v>
      </c>
      <c r="P91" s="1">
        <v>1.6248309569649799E-10</v>
      </c>
      <c r="Q91">
        <v>64.636843039754893</v>
      </c>
      <c r="S91">
        <v>21.816391797750001</v>
      </c>
      <c r="AA91">
        <v>2.9166229340513401</v>
      </c>
      <c r="AB91">
        <v>8.8991693039605906</v>
      </c>
      <c r="AC91">
        <v>1.73097292448311</v>
      </c>
      <c r="AJ91">
        <v>0.76389370067782403</v>
      </c>
      <c r="AK91">
        <v>0.138348525959265</v>
      </c>
      <c r="AL91">
        <v>9.7757773362910402E-2</v>
      </c>
    </row>
    <row r="92" spans="1:38" x14ac:dyDescent="0.2">
      <c r="A92">
        <v>180</v>
      </c>
      <c r="B92">
        <v>754</v>
      </c>
      <c r="C92">
        <v>190</v>
      </c>
      <c r="D92">
        <v>0.391433091564035</v>
      </c>
      <c r="E92">
        <v>5.3906643369134102</v>
      </c>
      <c r="F92">
        <v>2.5732523938158001</v>
      </c>
      <c r="G92">
        <v>-87.395646816160138</v>
      </c>
      <c r="H92">
        <v>-75.761594227433562</v>
      </c>
      <c r="I92">
        <v>11.326537106290701</v>
      </c>
      <c r="J92">
        <v>6.5776068010520303</v>
      </c>
      <c r="K92">
        <v>2.0948836382581701</v>
      </c>
      <c r="L92">
        <v>3.1149429363324161E-5</v>
      </c>
      <c r="M92">
        <v>1.8047351672039031E-6</v>
      </c>
      <c r="N92" s="1">
        <v>-7.9157175588560802E-8</v>
      </c>
      <c r="O92" s="1">
        <v>1.8403389673407101E-11</v>
      </c>
      <c r="P92" s="1">
        <v>2.7532967544514799E-10</v>
      </c>
      <c r="Q92">
        <v>64.845500818134099</v>
      </c>
      <c r="S92">
        <v>21.622044075894099</v>
      </c>
      <c r="AA92">
        <v>2.70759663350848</v>
      </c>
      <c r="AB92">
        <v>8.8546441555227897</v>
      </c>
      <c r="AC92">
        <v>1.97021431694042</v>
      </c>
      <c r="AJ92">
        <v>0.76024332930443395</v>
      </c>
      <c r="AK92">
        <v>0.128462467949222</v>
      </c>
      <c r="AL92">
        <v>0.111294202746342</v>
      </c>
    </row>
    <row r="93" spans="1:38" x14ac:dyDescent="0.2">
      <c r="A93">
        <v>181</v>
      </c>
      <c r="B93">
        <v>752</v>
      </c>
      <c r="C93">
        <v>190</v>
      </c>
      <c r="D93">
        <v>0.39010925230454402</v>
      </c>
      <c r="E93">
        <v>15.0395079370519</v>
      </c>
      <c r="F93">
        <v>2.57520269664455</v>
      </c>
      <c r="G93">
        <v>-243.81640262495714</v>
      </c>
      <c r="H93">
        <v>-211.4680316141073</v>
      </c>
      <c r="I93">
        <v>31.554768581036701</v>
      </c>
      <c r="J93">
        <v>18.357964153887899</v>
      </c>
      <c r="K93">
        <v>5.8401258885944003</v>
      </c>
      <c r="L93">
        <v>3.1131293002948642E-5</v>
      </c>
      <c r="M93">
        <v>1.8008732943288088E-6</v>
      </c>
      <c r="N93" s="1">
        <v>-2.3337106787711099E-7</v>
      </c>
      <c r="O93" s="1">
        <v>5.10544475386009E-11</v>
      </c>
      <c r="P93" s="1">
        <v>8.0419435099690498E-10</v>
      </c>
      <c r="Q93">
        <v>64.656141245963397</v>
      </c>
      <c r="S93">
        <v>21.762446248046199</v>
      </c>
      <c r="AA93">
        <v>2.8676143305921</v>
      </c>
      <c r="AB93">
        <v>8.8007490498196006</v>
      </c>
      <c r="AC93">
        <v>1.91304912557852</v>
      </c>
      <c r="AJ93">
        <v>0.75581585634065895</v>
      </c>
      <c r="AK93">
        <v>0.13609052634336499</v>
      </c>
      <c r="AL93">
        <v>0.108093617315974</v>
      </c>
    </row>
    <row r="94" spans="1:38" x14ac:dyDescent="0.2">
      <c r="A94">
        <v>182</v>
      </c>
      <c r="B94">
        <v>750</v>
      </c>
      <c r="C94">
        <v>190</v>
      </c>
      <c r="D94">
        <v>0.38878023750183299</v>
      </c>
      <c r="E94">
        <v>17.483775905341702</v>
      </c>
      <c r="F94">
        <v>2.57611284744937</v>
      </c>
      <c r="G94">
        <v>-283.41035235791253</v>
      </c>
      <c r="H94">
        <v>-245.92426239807958</v>
      </c>
      <c r="I94">
        <v>36.637922064050002</v>
      </c>
      <c r="J94">
        <v>21.356676080862901</v>
      </c>
      <c r="K94">
        <v>6.7868827728771697</v>
      </c>
      <c r="L94">
        <v>3.1191521230770174E-5</v>
      </c>
      <c r="M94">
        <v>1.7998825268817747E-6</v>
      </c>
      <c r="N94" s="1">
        <v>-2.8868386371724902E-7</v>
      </c>
      <c r="O94" s="1">
        <v>5.9119054700650796E-11</v>
      </c>
      <c r="P94" s="1">
        <v>9.8483657784720409E-10</v>
      </c>
      <c r="Q94">
        <v>64.589953876661198</v>
      </c>
      <c r="S94">
        <v>21.816814743035799</v>
      </c>
      <c r="AA94">
        <v>2.9279128134347001</v>
      </c>
      <c r="AB94">
        <v>8.7957881241562195</v>
      </c>
      <c r="AC94">
        <v>1.8695304427119801</v>
      </c>
      <c r="AJ94">
        <v>0.75540746017147198</v>
      </c>
      <c r="AK94">
        <v>0.138955403828291</v>
      </c>
      <c r="AL94">
        <v>0.105637136000235</v>
      </c>
    </row>
    <row r="95" spans="1:38" x14ac:dyDescent="0.2">
      <c r="A95">
        <v>183</v>
      </c>
      <c r="B95">
        <v>748</v>
      </c>
      <c r="C95">
        <v>190</v>
      </c>
      <c r="D95">
        <v>0.38744601674582602</v>
      </c>
      <c r="E95">
        <v>18.463836814607902</v>
      </c>
      <c r="F95">
        <v>2.5766040173347502</v>
      </c>
      <c r="G95">
        <v>-299.24526311245887</v>
      </c>
      <c r="H95">
        <v>-259.7815544624645</v>
      </c>
      <c r="I95">
        <v>38.646338588840301</v>
      </c>
      <c r="J95">
        <v>22.5722696366111</v>
      </c>
      <c r="K95">
        <v>7.1659582498466001</v>
      </c>
      <c r="L95">
        <v>3.1277191996422361E-5</v>
      </c>
      <c r="M95">
        <v>1.7998329467468895E-6</v>
      </c>
      <c r="N95" s="1">
        <v>-3.2489646701242899E-7</v>
      </c>
      <c r="O95" s="1">
        <v>6.2225920130687698E-11</v>
      </c>
      <c r="P95" s="1">
        <v>1.0974771706075799E-9</v>
      </c>
      <c r="Q95">
        <v>64.565801347629105</v>
      </c>
      <c r="S95">
        <v>21.8390554491756</v>
      </c>
      <c r="AA95">
        <v>2.95189728619011</v>
      </c>
      <c r="AB95">
        <v>8.8002724108496597</v>
      </c>
      <c r="AC95">
        <v>1.84297350615541</v>
      </c>
      <c r="AJ95">
        <v>0.75577534499990295</v>
      </c>
      <c r="AK95">
        <v>0.14009048422254899</v>
      </c>
      <c r="AL95">
        <v>0.104134170777546</v>
      </c>
    </row>
    <row r="96" spans="1:38" x14ac:dyDescent="0.2">
      <c r="A96">
        <v>184</v>
      </c>
      <c r="B96">
        <v>746</v>
      </c>
      <c r="C96">
        <v>190</v>
      </c>
      <c r="D96">
        <v>0.38610655938772698</v>
      </c>
      <c r="E96">
        <v>19.040989799953099</v>
      </c>
      <c r="F96">
        <v>2.5769850095833098</v>
      </c>
      <c r="G96">
        <v>-308.54094867014538</v>
      </c>
      <c r="H96">
        <v>-267.97044821827973</v>
      </c>
      <c r="I96">
        <v>39.808173921273202</v>
      </c>
      <c r="J96">
        <v>23.298621139282599</v>
      </c>
      <c r="K96">
        <v>7.3888632371330596</v>
      </c>
      <c r="L96">
        <v>3.1374089551068995E-5</v>
      </c>
      <c r="M96">
        <v>1.8000455459926854E-6</v>
      </c>
      <c r="N96" s="1">
        <v>-3.5726572386504099E-7</v>
      </c>
      <c r="O96" s="1">
        <v>6.3959343674223201E-11</v>
      </c>
      <c r="P96" s="1">
        <v>1.1953742327613901E-9</v>
      </c>
      <c r="Q96">
        <v>64.552759816489896</v>
      </c>
      <c r="S96">
        <v>21.852801116895002</v>
      </c>
      <c r="AA96">
        <v>2.9662806658051699</v>
      </c>
      <c r="AB96">
        <v>8.8072461129499207</v>
      </c>
      <c r="AC96">
        <v>1.82091228785994</v>
      </c>
      <c r="AJ96">
        <v>0.756347797000262</v>
      </c>
      <c r="AK96">
        <v>0.14076816360491401</v>
      </c>
      <c r="AL96">
        <v>0.102884039394822</v>
      </c>
    </row>
    <row r="97" spans="1:38" x14ac:dyDescent="0.2">
      <c r="A97">
        <v>185</v>
      </c>
      <c r="B97">
        <v>744</v>
      </c>
      <c r="C97">
        <v>190</v>
      </c>
      <c r="D97">
        <v>0.38476183453767998</v>
      </c>
      <c r="E97">
        <v>19.433760269610602</v>
      </c>
      <c r="F97">
        <v>2.5772949262296101</v>
      </c>
      <c r="G97">
        <v>-314.84275219249133</v>
      </c>
      <c r="H97">
        <v>-273.56426136426467</v>
      </c>
      <c r="I97">
        <v>40.582500937154499</v>
      </c>
      <c r="J97">
        <v>23.8022282810905</v>
      </c>
      <c r="K97">
        <v>7.54037113557695</v>
      </c>
      <c r="L97">
        <v>3.1480866858036792E-5</v>
      </c>
      <c r="M97">
        <v>1.8004369103930949E-6</v>
      </c>
      <c r="N97" s="1">
        <v>-3.8898236180525497E-7</v>
      </c>
      <c r="O97" s="1">
        <v>6.5058835398687806E-11</v>
      </c>
      <c r="P97" s="1">
        <v>1.2896189672298401E-9</v>
      </c>
      <c r="Q97">
        <v>64.546960979347901</v>
      </c>
      <c r="S97">
        <v>21.8610212265957</v>
      </c>
      <c r="AA97">
        <v>2.9744154198473201</v>
      </c>
      <c r="AB97">
        <v>8.8158738015678999</v>
      </c>
      <c r="AC97">
        <v>1.8017285726410499</v>
      </c>
      <c r="AJ97">
        <v>0.75705612183466697</v>
      </c>
      <c r="AK97">
        <v>0.141148128844131</v>
      </c>
      <c r="AL97">
        <v>0.1017957493212</v>
      </c>
    </row>
    <row r="98" spans="1:38" x14ac:dyDescent="0.2">
      <c r="A98">
        <v>186</v>
      </c>
      <c r="B98">
        <v>742</v>
      </c>
      <c r="C98">
        <v>190</v>
      </c>
      <c r="D98">
        <v>0.38341181106240502</v>
      </c>
      <c r="E98">
        <v>19.7331777643804</v>
      </c>
      <c r="F98">
        <v>2.5775692222108599</v>
      </c>
      <c r="G98">
        <v>-319.62831979676173</v>
      </c>
      <c r="H98">
        <v>-277.84443516379133</v>
      </c>
      <c r="I98">
        <v>41.160305997114001</v>
      </c>
      <c r="J98">
        <v>24.194159244807398</v>
      </c>
      <c r="K98">
        <v>7.6557314520750799</v>
      </c>
      <c r="L98">
        <v>3.1596255288248623E-5</v>
      </c>
      <c r="M98">
        <v>1.8009290214478315E-6</v>
      </c>
      <c r="N98" s="1">
        <v>-4.2148541170973301E-7</v>
      </c>
      <c r="O98" s="1">
        <v>6.5828763654730306E-11</v>
      </c>
      <c r="P98" s="1">
        <v>1.38513374553311E-9</v>
      </c>
      <c r="Q98">
        <v>64.544816500813297</v>
      </c>
      <c r="S98">
        <v>21.866446351135</v>
      </c>
      <c r="AA98">
        <v>2.9793915878902699</v>
      </c>
      <c r="AB98">
        <v>8.8253176154298991</v>
      </c>
      <c r="AC98">
        <v>1.78402794473143</v>
      </c>
      <c r="AJ98">
        <v>0.75783144375010203</v>
      </c>
      <c r="AK98">
        <v>0.141377616083288</v>
      </c>
      <c r="AL98">
        <v>0.100790940166608</v>
      </c>
    </row>
    <row r="99" spans="1:38" x14ac:dyDescent="0.2">
      <c r="A99">
        <v>187</v>
      </c>
      <c r="B99">
        <v>740</v>
      </c>
      <c r="C99">
        <v>190</v>
      </c>
      <c r="D99">
        <v>0.382056457582788</v>
      </c>
      <c r="E99">
        <v>19.977561416714799</v>
      </c>
      <c r="F99">
        <v>2.57782168204217</v>
      </c>
      <c r="G99">
        <v>-323.51968213997833</v>
      </c>
      <c r="H99">
        <v>-281.35034766240432</v>
      </c>
      <c r="I99">
        <v>41.622005110372598</v>
      </c>
      <c r="J99">
        <v>24.521257801685799</v>
      </c>
      <c r="K99">
        <v>7.7497840738496802</v>
      </c>
      <c r="L99">
        <v>3.1720075141660087E-5</v>
      </c>
      <c r="M99">
        <v>1.8014924980670413E-6</v>
      </c>
      <c r="N99" s="1">
        <v>-4.5546817560325097E-7</v>
      </c>
      <c r="O99" s="1">
        <v>6.6396678985850003E-11</v>
      </c>
      <c r="P99" s="1">
        <v>1.4842258660028701E-9</v>
      </c>
      <c r="Q99">
        <v>64.544934279116504</v>
      </c>
      <c r="S99">
        <v>21.870136049955999</v>
      </c>
      <c r="AA99">
        <v>2.9824081452401501</v>
      </c>
      <c r="AB99">
        <v>8.8352531032165906</v>
      </c>
      <c r="AC99">
        <v>1.7672684224705799</v>
      </c>
      <c r="AJ99">
        <v>0.75864708869557895</v>
      </c>
      <c r="AK99">
        <v>0.14151375907508201</v>
      </c>
      <c r="AL99">
        <v>9.9839152229338299E-2</v>
      </c>
    </row>
    <row r="100" spans="1:38" x14ac:dyDescent="0.2">
      <c r="A100">
        <v>189</v>
      </c>
      <c r="B100">
        <v>762</v>
      </c>
      <c r="C100">
        <v>180</v>
      </c>
      <c r="D100">
        <v>0.40730377240013699</v>
      </c>
      <c r="E100">
        <v>0.32021758398050598</v>
      </c>
      <c r="F100">
        <v>2.57906339068091</v>
      </c>
      <c r="G100">
        <v>-5.2070363070102283</v>
      </c>
      <c r="H100">
        <v>-4.5079052882988435</v>
      </c>
      <c r="I100">
        <v>0.67539102421038999</v>
      </c>
      <c r="J100">
        <v>0.38997505655157999</v>
      </c>
      <c r="K100">
        <v>0.124160416195107</v>
      </c>
      <c r="L100">
        <v>3.0740297815446377E-5</v>
      </c>
      <c r="M100">
        <v>1.7935775518447081E-6</v>
      </c>
      <c r="N100" s="1">
        <v>-3.6657430751617299E-9</v>
      </c>
      <c r="O100" s="1">
        <v>1.0876641962322299E-12</v>
      </c>
      <c r="P100" s="1">
        <v>1.33768797327732E-11</v>
      </c>
      <c r="Q100">
        <v>64.317700967683606</v>
      </c>
      <c r="S100">
        <v>22.096953531743701</v>
      </c>
      <c r="AA100">
        <v>3.2225566768847802</v>
      </c>
      <c r="AB100">
        <v>8.9235073692423992</v>
      </c>
      <c r="AC100">
        <v>1.43928145444541</v>
      </c>
      <c r="AJ100">
        <v>0.76588519696601098</v>
      </c>
      <c r="AK100">
        <v>0.15284084973353301</v>
      </c>
      <c r="AL100">
        <v>8.1273953300455004E-2</v>
      </c>
    </row>
    <row r="101" spans="1:38" x14ac:dyDescent="0.2">
      <c r="A101">
        <v>190</v>
      </c>
      <c r="B101">
        <v>760</v>
      </c>
      <c r="C101">
        <v>180</v>
      </c>
      <c r="D101">
        <v>0.40602090693510101</v>
      </c>
      <c r="E101">
        <v>2.1167992284513799</v>
      </c>
      <c r="F101">
        <v>2.5768925068728898</v>
      </c>
      <c r="G101">
        <v>-34.394881791254612</v>
      </c>
      <c r="H101">
        <v>-29.785881894137869</v>
      </c>
      <c r="I101">
        <v>4.4611139690429704</v>
      </c>
      <c r="J101">
        <v>2.5791910057347698</v>
      </c>
      <c r="K101">
        <v>0.82145422162764503</v>
      </c>
      <c r="L101">
        <v>3.0867625488099758E-5</v>
      </c>
      <c r="M101">
        <v>1.7980547134012284E-6</v>
      </c>
      <c r="N101" s="1">
        <v>-2.57968182898151E-8</v>
      </c>
      <c r="O101" s="1">
        <v>7.20967769521658E-12</v>
      </c>
      <c r="P101" s="1">
        <v>9.2924996107113003E-11</v>
      </c>
      <c r="Q101">
        <v>64.517746831119098</v>
      </c>
      <c r="S101">
        <v>21.927778174677002</v>
      </c>
      <c r="AA101">
        <v>3.0363073076571201</v>
      </c>
      <c r="AB101">
        <v>8.9257836570306601</v>
      </c>
      <c r="AC101">
        <v>1.5923840295159299</v>
      </c>
      <c r="AJ101">
        <v>0.76607496432966204</v>
      </c>
      <c r="AK101">
        <v>0.14400627894762699</v>
      </c>
      <c r="AL101">
        <v>8.9918756722710103E-2</v>
      </c>
    </row>
    <row r="102" spans="1:38" x14ac:dyDescent="0.2">
      <c r="A102">
        <v>191</v>
      </c>
      <c r="B102">
        <v>758</v>
      </c>
      <c r="C102">
        <v>180</v>
      </c>
      <c r="D102">
        <v>0.40473306502448703</v>
      </c>
      <c r="E102">
        <v>4.0574405551413903</v>
      </c>
      <c r="F102">
        <v>2.5744547847997898</v>
      </c>
      <c r="G102">
        <v>-65.869007478010815</v>
      </c>
      <c r="H102">
        <v>-57.05902760391362</v>
      </c>
      <c r="I102">
        <v>8.5438392805093208</v>
      </c>
      <c r="J102">
        <v>4.9457128728609296</v>
      </c>
      <c r="K102">
        <v>1.5760387710429</v>
      </c>
      <c r="L102">
        <v>3.0982438640028517E-5</v>
      </c>
      <c r="M102">
        <v>1.8023774296995665E-6</v>
      </c>
      <c r="N102" s="1">
        <v>-5.2477152699638001E-8</v>
      </c>
      <c r="O102" s="1">
        <v>1.38621268409766E-11</v>
      </c>
      <c r="P102" s="1">
        <v>1.8680346608685801E-10</v>
      </c>
      <c r="Q102">
        <v>64.719550482627596</v>
      </c>
      <c r="S102">
        <v>21.7482215048827</v>
      </c>
      <c r="AA102">
        <v>2.8410830933167199</v>
      </c>
      <c r="AB102">
        <v>8.9047611203122692</v>
      </c>
      <c r="AC102">
        <v>1.7863837988605999</v>
      </c>
      <c r="AJ102">
        <v>0.76435369651325102</v>
      </c>
      <c r="AK102">
        <v>0.134761806074017</v>
      </c>
      <c r="AL102">
        <v>0.10088449741273101</v>
      </c>
    </row>
    <row r="103" spans="1:38" x14ac:dyDescent="0.2">
      <c r="A103">
        <v>192</v>
      </c>
      <c r="B103">
        <v>756</v>
      </c>
      <c r="C103">
        <v>180</v>
      </c>
      <c r="D103">
        <v>0.40344021765534699</v>
      </c>
      <c r="E103">
        <v>6.1343361485095</v>
      </c>
      <c r="F103">
        <v>2.5716637030240701</v>
      </c>
      <c r="G103">
        <v>-99.480257956827586</v>
      </c>
      <c r="H103">
        <v>-86.198442122649098</v>
      </c>
      <c r="I103">
        <v>12.905617095834801</v>
      </c>
      <c r="J103">
        <v>7.4791316711875204</v>
      </c>
      <c r="K103">
        <v>2.3853570516611402</v>
      </c>
      <c r="L103">
        <v>3.1076453061917469E-5</v>
      </c>
      <c r="M103">
        <v>1.8064233881350002E-6</v>
      </c>
      <c r="N103" s="1">
        <v>-8.3837219308208501E-8</v>
      </c>
      <c r="O103" s="1">
        <v>2.10334017518632E-11</v>
      </c>
      <c r="P103" s="1">
        <v>2.9526944175579202E-10</v>
      </c>
      <c r="Q103">
        <v>64.921384188600101</v>
      </c>
      <c r="S103">
        <v>21.555914420479699</v>
      </c>
      <c r="AA103">
        <v>2.6353326435720299</v>
      </c>
      <c r="AB103">
        <v>8.8503786887920004</v>
      </c>
      <c r="AC103">
        <v>2.0369900585560199</v>
      </c>
      <c r="AJ103">
        <v>0.75989439303750494</v>
      </c>
      <c r="AK103">
        <v>0.12503673316622799</v>
      </c>
      <c r="AL103">
        <v>0.115068873796265</v>
      </c>
    </row>
    <row r="104" spans="1:38" x14ac:dyDescent="0.2">
      <c r="A104">
        <v>193</v>
      </c>
      <c r="B104">
        <v>754</v>
      </c>
      <c r="C104">
        <v>180</v>
      </c>
      <c r="D104">
        <v>0.402142335588766</v>
      </c>
      <c r="E104">
        <v>15.261169166445701</v>
      </c>
      <c r="F104">
        <v>2.5743691889893299</v>
      </c>
      <c r="G104">
        <v>-247.51565433139933</v>
      </c>
      <c r="H104">
        <v>-214.58704279011693</v>
      </c>
      <c r="I104">
        <v>32.058230581007997</v>
      </c>
      <c r="J104">
        <v>18.612643662264301</v>
      </c>
      <c r="K104">
        <v>5.9281198795100201</v>
      </c>
      <c r="L104">
        <v>3.1030629778557713E-5</v>
      </c>
      <c r="M104">
        <v>1.8012076037421321E-6</v>
      </c>
      <c r="N104" s="1">
        <v>-2.2019654211328801E-7</v>
      </c>
      <c r="O104" s="1">
        <v>5.1967753257191401E-11</v>
      </c>
      <c r="P104" s="1">
        <v>7.6813567072216398E-10</v>
      </c>
      <c r="Q104">
        <v>64.667147429349399</v>
      </c>
      <c r="S104">
        <v>21.749891040634498</v>
      </c>
      <c r="AA104">
        <v>2.8546880134934201</v>
      </c>
      <c r="AB104">
        <v>8.7923606308490303</v>
      </c>
      <c r="AC104">
        <v>1.9359128856735599</v>
      </c>
      <c r="AJ104">
        <v>0.75512715220408599</v>
      </c>
      <c r="AK104">
        <v>0.13548276001359999</v>
      </c>
      <c r="AL104">
        <v>0.109390087782312</v>
      </c>
    </row>
    <row r="105" spans="1:38" x14ac:dyDescent="0.2">
      <c r="A105">
        <v>194</v>
      </c>
      <c r="B105">
        <v>752</v>
      </c>
      <c r="C105">
        <v>180</v>
      </c>
      <c r="D105">
        <v>0.40083938935765601</v>
      </c>
      <c r="E105">
        <v>17.4601209648619</v>
      </c>
      <c r="F105">
        <v>2.5753722933924501</v>
      </c>
      <c r="G105">
        <v>-283.15193737865462</v>
      </c>
      <c r="H105">
        <v>-245.59874360038987</v>
      </c>
      <c r="I105">
        <v>36.631901456630402</v>
      </c>
      <c r="J105">
        <v>21.308130517075501</v>
      </c>
      <c r="K105">
        <v>6.77964929950467</v>
      </c>
      <c r="L105">
        <v>3.1081093013650943E-5</v>
      </c>
      <c r="M105">
        <v>1.8000054812000546E-6</v>
      </c>
      <c r="N105" s="1">
        <v>-2.6794412472764797E-7</v>
      </c>
      <c r="O105" s="1">
        <v>5.9222997286448699E-11</v>
      </c>
      <c r="P105" s="1">
        <v>9.2491905828252903E-10</v>
      </c>
      <c r="Q105">
        <v>64.592006267891605</v>
      </c>
      <c r="S105">
        <v>21.811234266367101</v>
      </c>
      <c r="AA105">
        <v>2.92282996560792</v>
      </c>
      <c r="AB105">
        <v>8.7857318228699892</v>
      </c>
      <c r="AC105">
        <v>1.88819767726326</v>
      </c>
      <c r="AJ105">
        <v>0.75458160440782396</v>
      </c>
      <c r="AK105">
        <v>0.13872112826275201</v>
      </c>
      <c r="AL105">
        <v>0.106697267329423</v>
      </c>
    </row>
    <row r="106" spans="1:38" x14ac:dyDescent="0.2">
      <c r="A106">
        <v>195</v>
      </c>
      <c r="B106">
        <v>750</v>
      </c>
      <c r="C106">
        <v>180</v>
      </c>
      <c r="D106">
        <v>0.39953134926452799</v>
      </c>
      <c r="E106">
        <v>18.3801211803119</v>
      </c>
      <c r="F106">
        <v>2.5759109940716698</v>
      </c>
      <c r="G106">
        <v>-298.02217607606354</v>
      </c>
      <c r="H106">
        <v>-258.61370174221383</v>
      </c>
      <c r="I106">
        <v>38.5168101782238</v>
      </c>
      <c r="J106">
        <v>22.447641129055</v>
      </c>
      <c r="K106">
        <v>7.1353867515658704</v>
      </c>
      <c r="L106">
        <v>3.1158265407555073E-5</v>
      </c>
      <c r="M106">
        <v>1.7998335339648054E-6</v>
      </c>
      <c r="N106" s="1">
        <v>-3.0048749749316999E-7</v>
      </c>
      <c r="O106" s="1">
        <v>6.2143564412402895E-11</v>
      </c>
      <c r="P106" s="1">
        <v>1.02657590144672E-9</v>
      </c>
      <c r="Q106">
        <v>64.563121199718296</v>
      </c>
      <c r="S106">
        <v>21.837128336094601</v>
      </c>
      <c r="AA106">
        <v>2.9509327740412301</v>
      </c>
      <c r="AB106">
        <v>8.7892476674504199</v>
      </c>
      <c r="AC106">
        <v>1.8595700226953999</v>
      </c>
      <c r="AJ106">
        <v>0.75486991944324899</v>
      </c>
      <c r="AK106">
        <v>0.14005238966418801</v>
      </c>
      <c r="AL106">
        <v>0.105077690892562</v>
      </c>
    </row>
    <row r="107" spans="1:38" x14ac:dyDescent="0.2">
      <c r="A107">
        <v>196</v>
      </c>
      <c r="B107">
        <v>748</v>
      </c>
      <c r="C107">
        <v>180</v>
      </c>
      <c r="D107">
        <v>0.39821818537923098</v>
      </c>
      <c r="E107">
        <v>18.929089254244101</v>
      </c>
      <c r="F107">
        <v>2.5763161116607698</v>
      </c>
      <c r="G107">
        <v>-306.86647377935066</v>
      </c>
      <c r="H107">
        <v>-266.40720325770803</v>
      </c>
      <c r="I107">
        <v>39.621280440329599</v>
      </c>
      <c r="J107">
        <v>23.137042195343</v>
      </c>
      <c r="K107">
        <v>7.3473473105914202</v>
      </c>
      <c r="L107">
        <v>3.1247239561110377E-5</v>
      </c>
      <c r="M107">
        <v>1.799972458381521E-6</v>
      </c>
      <c r="N107" s="1">
        <v>-3.2988113243123503E-7</v>
      </c>
      <c r="O107" s="1">
        <v>6.37992929239318E-11</v>
      </c>
      <c r="P107" s="1">
        <v>1.1157894672606701E-9</v>
      </c>
      <c r="Q107">
        <v>64.5476359926719</v>
      </c>
      <c r="S107">
        <v>21.852762821311</v>
      </c>
      <c r="AA107">
        <v>2.9674446457969998</v>
      </c>
      <c r="AB107">
        <v>8.7957275494477596</v>
      </c>
      <c r="AC107">
        <v>1.83642899077227</v>
      </c>
      <c r="AJ107">
        <v>0.75540184396547205</v>
      </c>
      <c r="AK107">
        <v>0.14083146235941699</v>
      </c>
      <c r="AL107">
        <v>0.10376669367511</v>
      </c>
    </row>
    <row r="108" spans="1:38" x14ac:dyDescent="0.2">
      <c r="A108">
        <v>197</v>
      </c>
      <c r="B108">
        <v>746</v>
      </c>
      <c r="C108">
        <v>180</v>
      </c>
      <c r="D108">
        <v>0.396899867536674</v>
      </c>
      <c r="E108">
        <v>19.308789960976</v>
      </c>
      <c r="F108">
        <v>2.5766463148649699</v>
      </c>
      <c r="G108">
        <v>-312.96057177391464</v>
      </c>
      <c r="H108">
        <v>-271.81795111671499</v>
      </c>
      <c r="I108">
        <v>40.369543891673999</v>
      </c>
      <c r="J108">
        <v>23.622150675256599</v>
      </c>
      <c r="K108">
        <v>7.4937681006436101</v>
      </c>
      <c r="L108">
        <v>3.1345721872869632E-5</v>
      </c>
      <c r="M108">
        <v>1.8002958354883841E-6</v>
      </c>
      <c r="N108" s="1">
        <v>-3.5886112866445302E-7</v>
      </c>
      <c r="O108" s="1">
        <v>6.4872360032229797E-11</v>
      </c>
      <c r="P108" s="1">
        <v>1.2021959254379901E-9</v>
      </c>
      <c r="Q108">
        <v>64.539730681284496</v>
      </c>
      <c r="S108">
        <v>21.862601266370799</v>
      </c>
      <c r="AA108">
        <v>2.97740606004868</v>
      </c>
      <c r="AB108">
        <v>8.8039037496961399</v>
      </c>
      <c r="AC108">
        <v>1.8163582425998199</v>
      </c>
      <c r="AJ108">
        <v>0.75607314401202896</v>
      </c>
      <c r="AK108">
        <v>0.14129844565357599</v>
      </c>
      <c r="AL108">
        <v>0.102628410334394</v>
      </c>
    </row>
    <row r="109" spans="1:38" x14ac:dyDescent="0.2">
      <c r="A109">
        <v>198</v>
      </c>
      <c r="B109">
        <v>744</v>
      </c>
      <c r="C109">
        <v>180</v>
      </c>
      <c r="D109">
        <v>0.39557636533451601</v>
      </c>
      <c r="E109">
        <v>19.599993615711199</v>
      </c>
      <c r="F109">
        <v>2.5769348921637398</v>
      </c>
      <c r="G109">
        <v>-317.61627968836166</v>
      </c>
      <c r="H109">
        <v>-275.98300856058859</v>
      </c>
      <c r="I109">
        <v>40.931299344023003</v>
      </c>
      <c r="J109">
        <v>24.001432898790799</v>
      </c>
      <c r="K109">
        <v>7.60593279842392</v>
      </c>
      <c r="L109">
        <v>3.1452559056378193E-5</v>
      </c>
      <c r="M109">
        <v>1.8007313070761562E-6</v>
      </c>
      <c r="N109" s="1">
        <v>-3.88616023660155E-7</v>
      </c>
      <c r="O109" s="1">
        <v>6.5633536356466295E-11</v>
      </c>
      <c r="P109" s="1">
        <v>1.28990875627068E-9</v>
      </c>
      <c r="Q109">
        <v>64.536065854125496</v>
      </c>
      <c r="S109">
        <v>21.869193444282601</v>
      </c>
      <c r="AA109">
        <v>2.9836998116406201</v>
      </c>
      <c r="AB109">
        <v>8.8130191303101792</v>
      </c>
      <c r="AC109">
        <v>1.79802175964091</v>
      </c>
      <c r="AJ109">
        <v>0.75682156821027102</v>
      </c>
      <c r="AK109">
        <v>0.14159069210886099</v>
      </c>
      <c r="AL109">
        <v>0.101587739680867</v>
      </c>
    </row>
    <row r="110" spans="1:38" x14ac:dyDescent="0.2">
      <c r="A110">
        <v>199</v>
      </c>
      <c r="B110">
        <v>742</v>
      </c>
      <c r="C110">
        <v>180</v>
      </c>
      <c r="D110">
        <v>0.39424764813081797</v>
      </c>
      <c r="E110">
        <v>19.838794538122801</v>
      </c>
      <c r="F110">
        <v>2.57719791390234</v>
      </c>
      <c r="G110">
        <v>-321.41990626466179</v>
      </c>
      <c r="H110">
        <v>-279.41059337505936</v>
      </c>
      <c r="I110">
        <v>41.382369984339597</v>
      </c>
      <c r="J110">
        <v>24.318967079492399</v>
      </c>
      <c r="K110">
        <v>7.6978156900970598</v>
      </c>
      <c r="L110">
        <v>3.1567436064019344E-5</v>
      </c>
      <c r="M110">
        <v>1.8012445159170028E-6</v>
      </c>
      <c r="N110" s="1">
        <v>-4.19759431455155E-7</v>
      </c>
      <c r="O110" s="1">
        <v>6.6202956641628403E-11</v>
      </c>
      <c r="P110" s="1">
        <v>1.3809898157227101E-9</v>
      </c>
      <c r="Q110">
        <v>64.535025938590906</v>
      </c>
      <c r="S110">
        <v>21.873771399163601</v>
      </c>
      <c r="AA110">
        <v>2.9877193213653501</v>
      </c>
      <c r="AB110">
        <v>8.8227034381942904</v>
      </c>
      <c r="AC110">
        <v>1.78077990268583</v>
      </c>
      <c r="AJ110">
        <v>0.75761667341188099</v>
      </c>
      <c r="AK110">
        <v>0.14177459932679401</v>
      </c>
      <c r="AL110">
        <v>0.100608727261323</v>
      </c>
    </row>
    <row r="111" spans="1:38" x14ac:dyDescent="0.2">
      <c r="A111">
        <v>200</v>
      </c>
      <c r="B111">
        <v>740</v>
      </c>
      <c r="C111">
        <v>180</v>
      </c>
      <c r="D111">
        <v>0.39291368504170499</v>
      </c>
      <c r="E111">
        <v>20.043724151555899</v>
      </c>
      <c r="F111">
        <v>2.5774438890710099</v>
      </c>
      <c r="G111">
        <v>-324.67250298894544</v>
      </c>
      <c r="H111">
        <v>-282.36165349305935</v>
      </c>
      <c r="I111">
        <v>41.761683359705998</v>
      </c>
      <c r="J111">
        <v>24.597460882341402</v>
      </c>
      <c r="K111">
        <v>7.7765899139632602</v>
      </c>
      <c r="L111">
        <v>3.1690429660680254E-5</v>
      </c>
      <c r="M111">
        <v>1.801817967644246E-6</v>
      </c>
      <c r="N111" s="1">
        <v>-4.5268445282233601E-7</v>
      </c>
      <c r="O111" s="1">
        <v>6.6641661967889396E-11</v>
      </c>
      <c r="P111" s="1">
        <v>1.4767080852121199E-9</v>
      </c>
      <c r="Q111">
        <v>64.535756310029797</v>
      </c>
      <c r="S111">
        <v>21.876986585751201</v>
      </c>
      <c r="AA111">
        <v>2.9902014610305301</v>
      </c>
      <c r="AB111">
        <v>8.8327600614271802</v>
      </c>
      <c r="AC111">
        <v>1.76429558176121</v>
      </c>
      <c r="AJ111">
        <v>0.758442292998187</v>
      </c>
      <c r="AK111">
        <v>0.14188528245410501</v>
      </c>
      <c r="AL111">
        <v>9.9672424547706695E-2</v>
      </c>
    </row>
    <row r="112" spans="1:38" x14ac:dyDescent="0.2">
      <c r="A112">
        <v>202</v>
      </c>
      <c r="B112">
        <v>766</v>
      </c>
      <c r="C112">
        <v>170</v>
      </c>
      <c r="D112">
        <v>0.42044026367704701</v>
      </c>
      <c r="E112">
        <v>0.29381806604108501</v>
      </c>
      <c r="F112">
        <v>2.5783630230359198</v>
      </c>
      <c r="G112">
        <v>-4.7814892658763952</v>
      </c>
      <c r="H112">
        <v>-4.1360528311620532</v>
      </c>
      <c r="I112">
        <v>0.62111960228488905</v>
      </c>
      <c r="J112">
        <v>0.35747831383145201</v>
      </c>
      <c r="K112">
        <v>0.113955274496267</v>
      </c>
      <c r="L112">
        <v>3.0609930024377813E-5</v>
      </c>
      <c r="M112">
        <v>1.7934106031077785E-6</v>
      </c>
      <c r="N112" s="1">
        <v>-2.9466119911180802E-9</v>
      </c>
      <c r="O112" s="1">
        <v>1.0014491876247301E-12</v>
      </c>
      <c r="P112" s="1">
        <v>1.1064505519756E-11</v>
      </c>
      <c r="Q112">
        <v>64.312514039119193</v>
      </c>
      <c r="S112">
        <v>22.102137317192401</v>
      </c>
      <c r="AA112">
        <v>3.22804365182827</v>
      </c>
      <c r="AB112">
        <v>8.9255385445405899</v>
      </c>
      <c r="AC112">
        <v>1.4317664473193901</v>
      </c>
      <c r="AJ112">
        <v>0.76605170735907502</v>
      </c>
      <c r="AK112">
        <v>0.15309952535863999</v>
      </c>
      <c r="AL112">
        <v>8.0848767282283907E-2</v>
      </c>
    </row>
    <row r="113" spans="1:38" x14ac:dyDescent="0.2">
      <c r="A113">
        <v>203</v>
      </c>
      <c r="B113">
        <v>764</v>
      </c>
      <c r="C113">
        <v>170</v>
      </c>
      <c r="D113">
        <v>0.419187677770818</v>
      </c>
      <c r="E113">
        <v>1.14143359458315</v>
      </c>
      <c r="F113">
        <v>2.57734565717141</v>
      </c>
      <c r="G113">
        <v>-18.566606948069399</v>
      </c>
      <c r="H113">
        <v>-16.066321940866231</v>
      </c>
      <c r="I113">
        <v>2.41072651709315</v>
      </c>
      <c r="J113">
        <v>1.38943400029619</v>
      </c>
      <c r="K113">
        <v>0.44287175505820597</v>
      </c>
      <c r="L113">
        <v>3.0711799286233172E-5</v>
      </c>
      <c r="M113">
        <v>1.796169246892081E-6</v>
      </c>
      <c r="N113" s="1">
        <v>-1.22075000048043E-8</v>
      </c>
      <c r="O113" s="1">
        <v>3.89311649770079E-12</v>
      </c>
      <c r="P113" s="1">
        <v>4.5182337671492301E-11</v>
      </c>
      <c r="Q113">
        <v>64.425383719621294</v>
      </c>
      <c r="S113">
        <v>22.012439553328502</v>
      </c>
      <c r="AA113">
        <v>3.1277054812911498</v>
      </c>
      <c r="AB113">
        <v>8.9419082262349896</v>
      </c>
      <c r="AC113">
        <v>1.4925630195238799</v>
      </c>
      <c r="AJ113">
        <v>0.76739590740473496</v>
      </c>
      <c r="AK113">
        <v>0.14832894644698999</v>
      </c>
      <c r="AL113">
        <v>8.4275146148274097E-2</v>
      </c>
    </row>
    <row r="114" spans="1:38" x14ac:dyDescent="0.2">
      <c r="A114">
        <v>204</v>
      </c>
      <c r="B114">
        <v>762</v>
      </c>
      <c r="C114">
        <v>170</v>
      </c>
      <c r="D114">
        <v>0.41793025165435399</v>
      </c>
      <c r="E114">
        <v>3.0103776385785301</v>
      </c>
      <c r="F114">
        <v>2.5751026771358201</v>
      </c>
      <c r="G114">
        <v>-48.927581694681592</v>
      </c>
      <c r="H114">
        <v>-42.351467056014457</v>
      </c>
      <c r="I114">
        <v>6.35281325283015</v>
      </c>
      <c r="J114">
        <v>3.6658893570336302</v>
      </c>
      <c r="K114">
        <v>1.1690320798884899</v>
      </c>
      <c r="L114">
        <v>3.0827780053805561E-5</v>
      </c>
      <c r="M114">
        <v>1.800508117889744E-6</v>
      </c>
      <c r="N114" s="1">
        <v>-3.42278886761631E-8</v>
      </c>
      <c r="O114" s="1">
        <v>1.02979609296635E-11</v>
      </c>
      <c r="P114" s="1">
        <v>1.2500661106375301E-10</v>
      </c>
      <c r="Q114">
        <v>64.623142447277203</v>
      </c>
      <c r="S114">
        <v>21.841688651613101</v>
      </c>
      <c r="AA114">
        <v>2.94068994346302</v>
      </c>
      <c r="AB114">
        <v>8.9349572594380593</v>
      </c>
      <c r="AC114">
        <v>1.6595216982084899</v>
      </c>
      <c r="AJ114">
        <v>0.76682893234150296</v>
      </c>
      <c r="AK114">
        <v>0.139465258996467</v>
      </c>
      <c r="AL114">
        <v>9.3705808662028905E-2</v>
      </c>
    </row>
    <row r="115" spans="1:38" x14ac:dyDescent="0.2">
      <c r="A115">
        <v>205</v>
      </c>
      <c r="B115">
        <v>760</v>
      </c>
      <c r="C115">
        <v>170</v>
      </c>
      <c r="D115">
        <v>0.41666795721821598</v>
      </c>
      <c r="E115">
        <v>4.9673456614626996</v>
      </c>
      <c r="F115">
        <v>2.5726422002732301</v>
      </c>
      <c r="G115">
        <v>-80.659831215656425</v>
      </c>
      <c r="H115">
        <v>-69.839044111082501</v>
      </c>
      <c r="I115">
        <v>10.473587673207099</v>
      </c>
      <c r="J115">
        <v>6.0507713252045203</v>
      </c>
      <c r="K115">
        <v>1.9308342454054099</v>
      </c>
      <c r="L115">
        <v>3.092841984199972E-5</v>
      </c>
      <c r="M115">
        <v>1.8045678413279106E-6</v>
      </c>
      <c r="N115" s="1">
        <v>-5.9844537995167501E-8</v>
      </c>
      <c r="O115" s="1">
        <v>1.7047119770112701E-11</v>
      </c>
      <c r="P115" s="1">
        <v>2.15922603643378E-10</v>
      </c>
      <c r="Q115">
        <v>64.817188447670304</v>
      </c>
      <c r="S115">
        <v>21.664702823454299</v>
      </c>
      <c r="AA115">
        <v>2.7493968416291299</v>
      </c>
      <c r="AB115">
        <v>8.9033870087375</v>
      </c>
      <c r="AC115">
        <v>1.86532487850866</v>
      </c>
      <c r="AJ115">
        <v>0.76424246978375798</v>
      </c>
      <c r="AK115">
        <v>0.13041397624220399</v>
      </c>
      <c r="AL115">
        <v>0.105343553974036</v>
      </c>
    </row>
    <row r="116" spans="1:38" x14ac:dyDescent="0.2">
      <c r="A116">
        <v>206</v>
      </c>
      <c r="B116">
        <v>758</v>
      </c>
      <c r="C116">
        <v>170</v>
      </c>
      <c r="D116">
        <v>0.41540076613490101</v>
      </c>
      <c r="E116">
        <v>7.1368057303273904</v>
      </c>
      <c r="F116">
        <v>2.56992204418987</v>
      </c>
      <c r="G116">
        <v>-115.76269251786238</v>
      </c>
      <c r="H116">
        <v>-100.26068704678868</v>
      </c>
      <c r="I116">
        <v>15.033705543396801</v>
      </c>
      <c r="J116">
        <v>8.6945474055390708</v>
      </c>
      <c r="K116">
        <v>2.7770514465457801</v>
      </c>
      <c r="L116">
        <v>3.1003838922788084E-5</v>
      </c>
      <c r="M116">
        <v>1.8081438485307832E-6</v>
      </c>
      <c r="N116" s="1">
        <v>-9.0678820893564606E-8</v>
      </c>
      <c r="O116" s="1">
        <v>2.4579521703026201E-11</v>
      </c>
      <c r="P116" s="1">
        <v>3.2364414623477302E-10</v>
      </c>
      <c r="Q116">
        <v>65.001830831722302</v>
      </c>
      <c r="S116">
        <v>21.482200624515698</v>
      </c>
      <c r="AA116">
        <v>2.5557468827363401</v>
      </c>
      <c r="AB116">
        <v>8.8363994200462201</v>
      </c>
      <c r="AC116">
        <v>2.1238222409793099</v>
      </c>
      <c r="AJ116">
        <v>0.75874814646045396</v>
      </c>
      <c r="AK116">
        <v>0.121269317883109</v>
      </c>
      <c r="AL116">
        <v>0.119982535656436</v>
      </c>
    </row>
    <row r="117" spans="1:38" x14ac:dyDescent="0.2">
      <c r="A117">
        <v>207</v>
      </c>
      <c r="B117">
        <v>756</v>
      </c>
      <c r="C117">
        <v>170</v>
      </c>
      <c r="D117">
        <v>0.41412864985667802</v>
      </c>
      <c r="E117">
        <v>15.6981636591418</v>
      </c>
      <c r="F117">
        <v>2.5736563664076</v>
      </c>
      <c r="G117">
        <v>-254.7163348860777</v>
      </c>
      <c r="H117">
        <v>-220.73900792603479</v>
      </c>
      <c r="I117">
        <v>33.0149414177164</v>
      </c>
      <c r="J117">
        <v>19.130242256322301</v>
      </c>
      <c r="K117">
        <v>6.0995569820589104</v>
      </c>
      <c r="L117">
        <v>3.0930567534108552E-5</v>
      </c>
      <c r="M117">
        <v>1.8012939073539908E-6</v>
      </c>
      <c r="N117" s="1">
        <v>-2.1056610051444199E-7</v>
      </c>
      <c r="O117" s="1">
        <v>5.3599214654833602E-11</v>
      </c>
      <c r="P117" s="1">
        <v>7.4410515919083505E-10</v>
      </c>
      <c r="Q117">
        <v>64.666058007687397</v>
      </c>
      <c r="S117">
        <v>21.7465493722285</v>
      </c>
      <c r="AA117">
        <v>2.85218530449399</v>
      </c>
      <c r="AB117">
        <v>8.7811722949148994</v>
      </c>
      <c r="AC117">
        <v>1.9540350206750901</v>
      </c>
      <c r="AJ117">
        <v>0.75420824113977802</v>
      </c>
      <c r="AK117">
        <v>0.135371519361626</v>
      </c>
      <c r="AL117">
        <v>0.110420239498595</v>
      </c>
    </row>
    <row r="118" spans="1:38" x14ac:dyDescent="0.2">
      <c r="A118">
        <v>208</v>
      </c>
      <c r="B118">
        <v>754</v>
      </c>
      <c r="C118">
        <v>170</v>
      </c>
      <c r="D118">
        <v>0.412851579613494</v>
      </c>
      <c r="E118">
        <v>17.513624406318399</v>
      </c>
      <c r="F118">
        <v>2.5746729650017701</v>
      </c>
      <c r="G118">
        <v>-284.14670597610348</v>
      </c>
      <c r="H118">
        <v>-246.36046966878848</v>
      </c>
      <c r="I118">
        <v>36.787456853736003</v>
      </c>
      <c r="J118">
        <v>21.355117719037999</v>
      </c>
      <c r="K118">
        <v>6.8022714513205402</v>
      </c>
      <c r="L118">
        <v>3.0975450032400032E-5</v>
      </c>
      <c r="M118">
        <v>1.8000565122876907E-6</v>
      </c>
      <c r="N118" s="1">
        <v>-2.4981033480954102E-7</v>
      </c>
      <c r="O118" s="1">
        <v>5.9572431139858995E-11</v>
      </c>
      <c r="P118" s="1">
        <v>8.7309332096867103E-10</v>
      </c>
      <c r="Q118">
        <v>64.589918067162401</v>
      </c>
      <c r="S118">
        <v>21.808786933630198</v>
      </c>
      <c r="AA118">
        <v>2.9212981441338899</v>
      </c>
      <c r="AB118">
        <v>8.7746623785649795</v>
      </c>
      <c r="AC118">
        <v>1.9053344765084299</v>
      </c>
      <c r="AJ118">
        <v>0.75367238461365604</v>
      </c>
      <c r="AK118">
        <v>0.13865606166296801</v>
      </c>
      <c r="AL118">
        <v>0.107671553723374</v>
      </c>
    </row>
    <row r="119" spans="1:38" x14ac:dyDescent="0.2">
      <c r="A119">
        <v>209</v>
      </c>
      <c r="B119">
        <v>752</v>
      </c>
      <c r="C119">
        <v>170</v>
      </c>
      <c r="D119">
        <v>0.41156952641076899</v>
      </c>
      <c r="E119">
        <v>18.335092174596301</v>
      </c>
      <c r="F119">
        <v>2.5752390693714098</v>
      </c>
      <c r="G119">
        <v>-297.42636110342721</v>
      </c>
      <c r="H119">
        <v>-257.99113878043096</v>
      </c>
      <c r="I119">
        <v>38.467758204161498</v>
      </c>
      <c r="J119">
        <v>22.372062422280699</v>
      </c>
      <c r="K119">
        <v>7.11976312904872</v>
      </c>
      <c r="L119">
        <v>3.1045607055512959E-5</v>
      </c>
      <c r="M119">
        <v>1.7998093229735596E-6</v>
      </c>
      <c r="N119" s="1">
        <v>-2.7853695366620599E-7</v>
      </c>
      <c r="O119" s="1">
        <v>6.2174732440076405E-11</v>
      </c>
      <c r="P119" s="1">
        <v>9.6298193502009093E-10</v>
      </c>
      <c r="Q119">
        <v>64.558365224815802</v>
      </c>
      <c r="S119">
        <v>21.8367697989374</v>
      </c>
      <c r="AA119">
        <v>2.9517467189405902</v>
      </c>
      <c r="AB119">
        <v>8.7777092806148893</v>
      </c>
      <c r="AC119">
        <v>1.8754089766912401</v>
      </c>
      <c r="AJ119">
        <v>0.753922174182591</v>
      </c>
      <c r="AK119">
        <v>0.14009905424163399</v>
      </c>
      <c r="AL119">
        <v>0.105978771575774</v>
      </c>
    </row>
    <row r="120" spans="1:38" x14ac:dyDescent="0.2">
      <c r="A120">
        <v>210</v>
      </c>
      <c r="B120">
        <v>750</v>
      </c>
      <c r="C120">
        <v>170</v>
      </c>
      <c r="D120">
        <v>0.41028246102722199</v>
      </c>
      <c r="E120">
        <v>18.836948592876201</v>
      </c>
      <c r="F120">
        <v>2.5756503766575798</v>
      </c>
      <c r="G120">
        <v>-305.51103223157332</v>
      </c>
      <c r="H120">
        <v>-265.12211219337598</v>
      </c>
      <c r="I120">
        <v>39.475072118650402</v>
      </c>
      <c r="J120">
        <v>23.0017568136671</v>
      </c>
      <c r="K120">
        <v>7.3134726528065901</v>
      </c>
      <c r="L120">
        <v>3.1128076299263522E-5</v>
      </c>
      <c r="M120">
        <v>1.799917107863242E-6</v>
      </c>
      <c r="N120" s="1">
        <v>-3.0497516593891702E-7</v>
      </c>
      <c r="O120" s="1">
        <v>6.3688358946009099E-11</v>
      </c>
      <c r="P120" s="1">
        <v>1.04337982894055E-9</v>
      </c>
      <c r="Q120">
        <v>64.542284431794599</v>
      </c>
      <c r="S120">
        <v>21.852894712288801</v>
      </c>
      <c r="AA120">
        <v>2.9688021707743402</v>
      </c>
      <c r="AB120">
        <v>8.7841476523174098</v>
      </c>
      <c r="AC120">
        <v>1.8518710328246799</v>
      </c>
      <c r="AJ120">
        <v>0.75445074175230198</v>
      </c>
      <c r="AK120">
        <v>0.14090399668773301</v>
      </c>
      <c r="AL120">
        <v>0.104645261559963</v>
      </c>
    </row>
    <row r="121" spans="1:38" x14ac:dyDescent="0.2">
      <c r="A121">
        <v>211</v>
      </c>
      <c r="B121">
        <v>748</v>
      </c>
      <c r="C121">
        <v>170</v>
      </c>
      <c r="D121">
        <v>0.40899035401263301</v>
      </c>
      <c r="E121">
        <v>19.198819235568202</v>
      </c>
      <c r="F121">
        <v>2.5760069803753698</v>
      </c>
      <c r="G121">
        <v>-311.32024325090521</v>
      </c>
      <c r="H121">
        <v>-270.28313746050515</v>
      </c>
      <c r="I121">
        <v>40.187147618273599</v>
      </c>
      <c r="J121">
        <v>23.462783027324601</v>
      </c>
      <c r="K121">
        <v>7.4529375820133001</v>
      </c>
      <c r="L121">
        <v>3.1218523631790141E-5</v>
      </c>
      <c r="M121">
        <v>1.8001605944480583E-6</v>
      </c>
      <c r="N121" s="1">
        <v>-3.3138995236265498E-7</v>
      </c>
      <c r="O121" s="1">
        <v>6.4716191705069201E-11</v>
      </c>
      <c r="P121" s="1">
        <v>1.122373829618E-9</v>
      </c>
      <c r="Q121">
        <v>64.531663552761998</v>
      </c>
      <c r="S121">
        <v>21.864816639613501</v>
      </c>
      <c r="AA121">
        <v>2.9811161198135299</v>
      </c>
      <c r="AB121">
        <v>8.7917344752998297</v>
      </c>
      <c r="AC121">
        <v>1.8306692125110799</v>
      </c>
      <c r="AJ121">
        <v>0.75507367541919601</v>
      </c>
      <c r="AK121">
        <v>0.141483061731004</v>
      </c>
      <c r="AL121">
        <v>0.103443262849799</v>
      </c>
    </row>
    <row r="122" spans="1:38" x14ac:dyDescent="0.2">
      <c r="A122">
        <v>212</v>
      </c>
      <c r="B122">
        <v>746</v>
      </c>
      <c r="C122">
        <v>170</v>
      </c>
      <c r="D122">
        <v>0.40769317568562202</v>
      </c>
      <c r="E122">
        <v>19.4771348231831</v>
      </c>
      <c r="F122">
        <v>2.5763076909641001</v>
      </c>
      <c r="G122">
        <v>-315.7700491323414</v>
      </c>
      <c r="H122">
        <v>-274.26719318470947</v>
      </c>
      <c r="I122">
        <v>40.723010300379599</v>
      </c>
      <c r="J122">
        <v>23.823954172308799</v>
      </c>
      <c r="K122">
        <v>7.5600965255413399</v>
      </c>
      <c r="L122">
        <v>3.1317520205287563E-5</v>
      </c>
      <c r="M122">
        <v>1.8005463500881195E-6</v>
      </c>
      <c r="N122" s="1">
        <v>-3.5856462800282502E-7</v>
      </c>
      <c r="O122" s="1">
        <v>6.5451245198748397E-11</v>
      </c>
      <c r="P122" s="1">
        <v>1.20269730846656E-9</v>
      </c>
      <c r="Q122">
        <v>64.526712146757305</v>
      </c>
      <c r="S122">
        <v>21.872401246856001</v>
      </c>
      <c r="AA122">
        <v>2.9885288413498801</v>
      </c>
      <c r="AB122">
        <v>8.8005845664545497</v>
      </c>
      <c r="AC122">
        <v>1.8117731985822101</v>
      </c>
      <c r="AJ122">
        <v>0.75580038568880403</v>
      </c>
      <c r="AK122">
        <v>0.141828604731293</v>
      </c>
      <c r="AL122">
        <v>0.102371009579902</v>
      </c>
    </row>
    <row r="123" spans="1:38" x14ac:dyDescent="0.2">
      <c r="A123">
        <v>213</v>
      </c>
      <c r="B123">
        <v>744</v>
      </c>
      <c r="C123">
        <v>170</v>
      </c>
      <c r="D123">
        <v>0.40639089613134799</v>
      </c>
      <c r="E123">
        <v>19.707434354463299</v>
      </c>
      <c r="F123">
        <v>2.5765800108708401</v>
      </c>
      <c r="G123">
        <v>-319.4384584859875</v>
      </c>
      <c r="H123">
        <v>-277.5753057451588</v>
      </c>
      <c r="I123">
        <v>41.157304960751802</v>
      </c>
      <c r="J123">
        <v>24.128604134258399</v>
      </c>
      <c r="K123">
        <v>7.6486793623003004</v>
      </c>
      <c r="L123">
        <v>3.1424160326121068E-5</v>
      </c>
      <c r="M123">
        <v>1.801014266377269E-6</v>
      </c>
      <c r="N123" s="1">
        <v>-3.8706203413521901E-7</v>
      </c>
      <c r="O123" s="1">
        <v>6.6010675281145296E-11</v>
      </c>
      <c r="P123" s="1">
        <v>1.28626436056965E-9</v>
      </c>
      <c r="Q123">
        <v>64.524655896769602</v>
      </c>
      <c r="S123">
        <v>21.877762221993098</v>
      </c>
      <c r="AA123">
        <v>2.9934314985538899</v>
      </c>
      <c r="AB123">
        <v>8.8100568169050995</v>
      </c>
      <c r="AC123">
        <v>1.79409356577817</v>
      </c>
      <c r="AJ123">
        <v>0.75657816166643899</v>
      </c>
      <c r="AK123">
        <v>0.14205456897822399</v>
      </c>
      <c r="AL123">
        <v>0.10136726935533601</v>
      </c>
    </row>
    <row r="124" spans="1:38" x14ac:dyDescent="0.2">
      <c r="A124">
        <v>214</v>
      </c>
      <c r="B124">
        <v>742</v>
      </c>
      <c r="C124">
        <v>170</v>
      </c>
      <c r="D124">
        <v>0.40508348519923099</v>
      </c>
      <c r="E124">
        <v>19.906427506482</v>
      </c>
      <c r="F124">
        <v>2.5768332672587602</v>
      </c>
      <c r="G124">
        <v>-322.5971268867745</v>
      </c>
      <c r="H124">
        <v>-280.44285134892914</v>
      </c>
      <c r="I124">
        <v>41.525169224100203</v>
      </c>
      <c r="J124">
        <v>24.397191372681899</v>
      </c>
      <c r="K124">
        <v>7.7251515491565002</v>
      </c>
      <c r="L124">
        <v>3.1538451577617973E-5</v>
      </c>
      <c r="M124">
        <v>1.8015450564496553E-6</v>
      </c>
      <c r="N124" s="1">
        <v>-4.1722451719921701E-7</v>
      </c>
      <c r="O124" s="1">
        <v>6.6449435267217599E-11</v>
      </c>
      <c r="P124" s="1">
        <v>1.3741853599685101E-9</v>
      </c>
      <c r="Q124">
        <v>64.524561990515295</v>
      </c>
      <c r="S124">
        <v>21.8816119729515</v>
      </c>
      <c r="AA124">
        <v>2.9966294942535798</v>
      </c>
      <c r="AB124">
        <v>8.8199401744916095</v>
      </c>
      <c r="AC124">
        <v>1.7772563677878901</v>
      </c>
      <c r="AJ124">
        <v>0.75738964699270095</v>
      </c>
      <c r="AK124">
        <v>0.14219933488266101</v>
      </c>
      <c r="AL124">
        <v>0.100411018124636</v>
      </c>
    </row>
    <row r="125" spans="1:38" x14ac:dyDescent="0.2">
      <c r="A125">
        <v>216</v>
      </c>
      <c r="B125">
        <v>770</v>
      </c>
      <c r="C125">
        <v>160</v>
      </c>
      <c r="D125">
        <v>0.43347601016152998</v>
      </c>
      <c r="E125">
        <v>0.35485274535959299</v>
      </c>
      <c r="F125">
        <v>2.5775136437271402</v>
      </c>
      <c r="G125">
        <v>-5.7791194534205159</v>
      </c>
      <c r="H125">
        <v>-4.9948188878200011</v>
      </c>
      <c r="I125">
        <v>0.75185789733069597</v>
      </c>
      <c r="J125">
        <v>0.43139056775139401</v>
      </c>
      <c r="K125">
        <v>0.13767249931855499</v>
      </c>
      <c r="L125">
        <v>3.0500794215551621E-5</v>
      </c>
      <c r="M125">
        <v>1.7936151538066965E-6</v>
      </c>
      <c r="N125" s="1">
        <v>-3.1185854190338799E-9</v>
      </c>
      <c r="O125" s="1">
        <v>1.2135018582037599E-12</v>
      </c>
      <c r="P125" s="1">
        <v>1.2082091332110599E-11</v>
      </c>
      <c r="Q125">
        <v>64.322263612993794</v>
      </c>
      <c r="S125">
        <v>22.095653176571101</v>
      </c>
      <c r="AA125">
        <v>3.2204192396450102</v>
      </c>
      <c r="AB125">
        <v>8.9302659295341602</v>
      </c>
      <c r="AC125">
        <v>1.43139804125586</v>
      </c>
      <c r="AJ125">
        <v>0.76643956824231796</v>
      </c>
      <c r="AK125">
        <v>0.152734352727352</v>
      </c>
      <c r="AL125">
        <v>8.0826079030328998E-2</v>
      </c>
    </row>
    <row r="126" spans="1:38" x14ac:dyDescent="0.2">
      <c r="A126">
        <v>217</v>
      </c>
      <c r="B126">
        <v>768</v>
      </c>
      <c r="C126">
        <v>160</v>
      </c>
      <c r="D126">
        <v>0.43225327762570398</v>
      </c>
      <c r="E126">
        <v>1.03983885629013</v>
      </c>
      <c r="F126">
        <v>2.5766962752650899</v>
      </c>
      <c r="G126">
        <v>-16.92768494572347</v>
      </c>
      <c r="H126">
        <v>-14.635974869761684</v>
      </c>
      <c r="I126">
        <v>2.2011334351071201</v>
      </c>
      <c r="J126">
        <v>1.2646700321526401</v>
      </c>
      <c r="K126">
        <v>0.40355507409702401</v>
      </c>
      <c r="L126">
        <v>3.0591507678348795E-5</v>
      </c>
      <c r="M126">
        <v>1.7960273237006861E-6</v>
      </c>
      <c r="N126" s="1">
        <v>-9.7487565723449106E-9</v>
      </c>
      <c r="O126" s="1">
        <v>3.5576766787846598E-12</v>
      </c>
      <c r="P126" s="1">
        <v>3.7174341322863299E-11</v>
      </c>
      <c r="Q126">
        <v>64.418931357299101</v>
      </c>
      <c r="S126">
        <v>22.020212723607901</v>
      </c>
      <c r="AA126">
        <v>3.13562399690101</v>
      </c>
      <c r="AB126">
        <v>8.9479078592302308</v>
      </c>
      <c r="AC126">
        <v>1.47732406296164</v>
      </c>
      <c r="AJ126">
        <v>0.76788777876838599</v>
      </c>
      <c r="AK126">
        <v>0.14870001835564201</v>
      </c>
      <c r="AL126">
        <v>8.3412202875971203E-2</v>
      </c>
    </row>
    <row r="127" spans="1:38" x14ac:dyDescent="0.2">
      <c r="A127">
        <v>218</v>
      </c>
      <c r="B127">
        <v>766</v>
      </c>
      <c r="C127">
        <v>160</v>
      </c>
      <c r="D127">
        <v>0.43102583842564002</v>
      </c>
      <c r="E127">
        <v>2.23358368648563</v>
      </c>
      <c r="F127">
        <v>2.5753003644358001</v>
      </c>
      <c r="G127">
        <v>-36.339888523723623</v>
      </c>
      <c r="H127">
        <v>-31.43108004057849</v>
      </c>
      <c r="I127">
        <v>4.7238690113507502</v>
      </c>
      <c r="J127">
        <v>2.7176263277125501</v>
      </c>
      <c r="K127">
        <v>0.86730997181175895</v>
      </c>
      <c r="L127">
        <v>3.0691224351824812E-5</v>
      </c>
      <c r="M127">
        <v>1.7992091220268121E-6</v>
      </c>
      <c r="N127" s="1">
        <v>-2.2304530020488201E-8</v>
      </c>
      <c r="O127" s="1">
        <v>7.65344658373623E-12</v>
      </c>
      <c r="P127" s="1">
        <v>8.3793820909203697E-11</v>
      </c>
      <c r="Q127">
        <v>64.556288293131701</v>
      </c>
      <c r="S127">
        <v>21.906237788493701</v>
      </c>
      <c r="AA127">
        <v>3.0095431452348498</v>
      </c>
      <c r="AB127">
        <v>8.9552003157942703</v>
      </c>
      <c r="AC127">
        <v>1.57273045734531</v>
      </c>
      <c r="AJ127">
        <v>0.76848783878331095</v>
      </c>
      <c r="AK127">
        <v>0.14271612933366801</v>
      </c>
      <c r="AL127">
        <v>8.8796031883019697E-2</v>
      </c>
    </row>
    <row r="128" spans="1:38" x14ac:dyDescent="0.2">
      <c r="A128">
        <v>219</v>
      </c>
      <c r="B128">
        <v>764</v>
      </c>
      <c r="C128">
        <v>160</v>
      </c>
      <c r="D128">
        <v>0.42979366533288699</v>
      </c>
      <c r="E128">
        <v>4.1179413531281099</v>
      </c>
      <c r="F128">
        <v>2.5730371974700499</v>
      </c>
      <c r="G128">
        <v>-66.94169834566901</v>
      </c>
      <c r="H128">
        <v>-57.916586291423734</v>
      </c>
      <c r="I128">
        <v>8.7018387448732302</v>
      </c>
      <c r="J128">
        <v>5.0118069995332597</v>
      </c>
      <c r="K128">
        <v>1.6004204514326801</v>
      </c>
      <c r="L128">
        <v>3.0792533060781299E-5</v>
      </c>
      <c r="M128">
        <v>1.8032532435201782E-6</v>
      </c>
      <c r="N128" s="1">
        <v>-4.3644462465949097E-8</v>
      </c>
      <c r="O128" s="1">
        <v>1.41534220044677E-11</v>
      </c>
      <c r="P128" s="1">
        <v>1.6174353575499301E-10</v>
      </c>
      <c r="Q128">
        <v>64.745132004587902</v>
      </c>
      <c r="S128">
        <v>21.7386501287824</v>
      </c>
      <c r="AA128">
        <v>2.8272175116032501</v>
      </c>
      <c r="AB128">
        <v>8.9366755635636999</v>
      </c>
      <c r="AC128">
        <v>1.7523247914626101</v>
      </c>
      <c r="AJ128">
        <v>0.76697172357269705</v>
      </c>
      <c r="AK128">
        <v>0.13408289358353301</v>
      </c>
      <c r="AL128">
        <v>9.8945382843768803E-2</v>
      </c>
    </row>
    <row r="129" spans="1:38" x14ac:dyDescent="0.2">
      <c r="A129">
        <v>220</v>
      </c>
      <c r="B129">
        <v>762</v>
      </c>
      <c r="C129">
        <v>160</v>
      </c>
      <c r="D129">
        <v>0.428556730908567</v>
      </c>
      <c r="E129">
        <v>6.1081939294345302</v>
      </c>
      <c r="F129">
        <v>2.5705078227205398</v>
      </c>
      <c r="G129">
        <v>-99.198535903115626</v>
      </c>
      <c r="H129">
        <v>-85.849246177902288</v>
      </c>
      <c r="I129">
        <v>12.895995483952399</v>
      </c>
      <c r="J129">
        <v>7.4353539137034703</v>
      </c>
      <c r="K129">
        <v>2.3762596151019602</v>
      </c>
      <c r="L129">
        <v>3.0876476241091966E-5</v>
      </c>
      <c r="M129">
        <v>1.8070179569272782E-6</v>
      </c>
      <c r="N129" s="1">
        <v>-6.8447719905460306E-8</v>
      </c>
      <c r="O129" s="1">
        <v>2.10655907432402E-11</v>
      </c>
      <c r="P129" s="1">
        <v>2.50551805558433E-10</v>
      </c>
      <c r="Q129">
        <v>64.931533407488004</v>
      </c>
      <c r="S129">
        <v>21.562505800597101</v>
      </c>
      <c r="AA129">
        <v>2.63840241818039</v>
      </c>
      <c r="AB129">
        <v>8.8902758388196705</v>
      </c>
      <c r="AC129">
        <v>1.97728253491481</v>
      </c>
      <c r="AJ129">
        <v>0.76316858036398705</v>
      </c>
      <c r="AK129">
        <v>0.125157555676222</v>
      </c>
      <c r="AL129">
        <v>0.11167386395979</v>
      </c>
    </row>
    <row r="130" spans="1:38" x14ac:dyDescent="0.2">
      <c r="A130">
        <v>221</v>
      </c>
      <c r="B130">
        <v>760</v>
      </c>
      <c r="C130">
        <v>160</v>
      </c>
      <c r="D130">
        <v>0.427315007501331</v>
      </c>
      <c r="E130">
        <v>11.2295278034397</v>
      </c>
      <c r="F130">
        <v>2.5702447546344702</v>
      </c>
      <c r="G130">
        <v>-182.25911551010526</v>
      </c>
      <c r="H130">
        <v>-157.79497185487435</v>
      </c>
      <c r="I130">
        <v>23.679178875507802</v>
      </c>
      <c r="J130">
        <v>13.6697099177883</v>
      </c>
      <c r="K130">
        <v>4.3690499837385</v>
      </c>
      <c r="L130">
        <v>3.0870148818702086E-5</v>
      </c>
      <c r="M130">
        <v>1.8061161744125565E-6</v>
      </c>
      <c r="N130" s="1">
        <v>-1.3231925479680699E-7</v>
      </c>
      <c r="O130" s="1">
        <v>3.86923260321696E-11</v>
      </c>
      <c r="P130" s="1">
        <v>4.7926619083394098E-10</v>
      </c>
      <c r="Q130">
        <v>64.901391277859602</v>
      </c>
      <c r="S130">
        <v>21.555993724663601</v>
      </c>
      <c r="AA130">
        <v>2.6400631427364099</v>
      </c>
      <c r="AB130">
        <v>8.8060334654120709</v>
      </c>
      <c r="AC130">
        <v>2.0965183893282302</v>
      </c>
      <c r="AJ130">
        <v>0.75625351462683199</v>
      </c>
      <c r="AK130">
        <v>0.125288779576642</v>
      </c>
      <c r="AL130">
        <v>0.118457705796524</v>
      </c>
    </row>
    <row r="131" spans="1:38" x14ac:dyDescent="0.2">
      <c r="A131">
        <v>222</v>
      </c>
      <c r="B131">
        <v>758</v>
      </c>
      <c r="C131">
        <v>160</v>
      </c>
      <c r="D131">
        <v>0.426068467245311</v>
      </c>
      <c r="E131">
        <v>16.233021296848602</v>
      </c>
      <c r="F131">
        <v>2.5730705638117901</v>
      </c>
      <c r="G131">
        <v>-263.51689086515074</v>
      </c>
      <c r="H131">
        <v>-228.27313147409953</v>
      </c>
      <c r="I131">
        <v>34.179081017360403</v>
      </c>
      <c r="J131">
        <v>19.767096987817599</v>
      </c>
      <c r="K131">
        <v>6.3088131064702599</v>
      </c>
      <c r="L131">
        <v>3.0830631115195628E-5</v>
      </c>
      <c r="M131">
        <v>1.8011223460286636E-6</v>
      </c>
      <c r="N131" s="1">
        <v>-2.0236712288027599E-7</v>
      </c>
      <c r="O131" s="1">
        <v>5.5550954921806998E-11</v>
      </c>
      <c r="P131" s="1">
        <v>7.2499122357968402E-10</v>
      </c>
      <c r="Q131">
        <v>64.652420202660807</v>
      </c>
      <c r="S131">
        <v>21.7528222613564</v>
      </c>
      <c r="AA131">
        <v>2.8605426976160002</v>
      </c>
      <c r="AB131">
        <v>8.7672263720230301</v>
      </c>
      <c r="AC131">
        <v>1.9669884663436601</v>
      </c>
      <c r="AJ131">
        <v>0.75306251730951901</v>
      </c>
      <c r="AK131">
        <v>0.135777571397767</v>
      </c>
      <c r="AL131">
        <v>0.11115991129271199</v>
      </c>
    </row>
    <row r="132" spans="1:38" x14ac:dyDescent="0.2">
      <c r="A132">
        <v>223</v>
      </c>
      <c r="B132">
        <v>756</v>
      </c>
      <c r="C132">
        <v>160</v>
      </c>
      <c r="D132">
        <v>0.424817082058009</v>
      </c>
      <c r="E132">
        <v>17.6248464200984</v>
      </c>
      <c r="F132">
        <v>2.5740280107461402</v>
      </c>
      <c r="G132">
        <v>-286.08138985159502</v>
      </c>
      <c r="H132">
        <v>-247.93676127684856</v>
      </c>
      <c r="I132">
        <v>37.064206942376202</v>
      </c>
      <c r="J132">
        <v>21.4735923308906</v>
      </c>
      <c r="K132">
        <v>6.8471851691269698</v>
      </c>
      <c r="L132">
        <v>3.0873566843700647E-5</v>
      </c>
      <c r="M132">
        <v>1.8000066867265197E-6</v>
      </c>
      <c r="N132" s="1">
        <v>-2.33663998450375E-7</v>
      </c>
      <c r="O132" s="1">
        <v>6.0102538991426302E-11</v>
      </c>
      <c r="P132" s="1">
        <v>8.2742124990073596E-10</v>
      </c>
      <c r="Q132">
        <v>64.582421458874506</v>
      </c>
      <c r="S132">
        <v>21.810457328544</v>
      </c>
      <c r="AA132">
        <v>2.9244254681000701</v>
      </c>
      <c r="AB132">
        <v>8.7623357463801099</v>
      </c>
      <c r="AC132">
        <v>1.92035999810123</v>
      </c>
      <c r="AJ132">
        <v>0.75265970617530198</v>
      </c>
      <c r="AK132">
        <v>0.138812994919009</v>
      </c>
      <c r="AL132">
        <v>0.10852729890568701</v>
      </c>
    </row>
    <row r="133" spans="1:38" x14ac:dyDescent="0.2">
      <c r="A133">
        <v>224</v>
      </c>
      <c r="B133">
        <v>754</v>
      </c>
      <c r="C133">
        <v>160</v>
      </c>
      <c r="D133">
        <v>0.42356082363822201</v>
      </c>
      <c r="E133">
        <v>18.323373224945101</v>
      </c>
      <c r="F133">
        <v>2.5745973475920798</v>
      </c>
      <c r="G133">
        <v>-297.37180667633459</v>
      </c>
      <c r="H133">
        <v>-257.83872664090279</v>
      </c>
      <c r="I133">
        <v>38.488127377142398</v>
      </c>
      <c r="J133">
        <v>22.3386915983805</v>
      </c>
      <c r="K133">
        <v>7.1169859792181898</v>
      </c>
      <c r="L133">
        <v>3.0938286643756597E-5</v>
      </c>
      <c r="M133">
        <v>1.7997390766355136E-6</v>
      </c>
      <c r="N133" s="1">
        <v>-2.5868344172773902E-7</v>
      </c>
      <c r="O133" s="1">
        <v>6.23023610694614E-11</v>
      </c>
      <c r="P133" s="1">
        <v>9.0562604319378296E-10</v>
      </c>
      <c r="Q133">
        <v>64.550633600794797</v>
      </c>
      <c r="S133">
        <v>21.838672404101299</v>
      </c>
      <c r="AA133">
        <v>2.95512045644913</v>
      </c>
      <c r="AB133">
        <v>8.7654676978299904</v>
      </c>
      <c r="AC133">
        <v>1.8901058408246501</v>
      </c>
      <c r="AJ133">
        <v>0.75291651003965698</v>
      </c>
      <c r="AK133">
        <v>0.14026770957076901</v>
      </c>
      <c r="AL133">
        <v>0.106815780389573</v>
      </c>
    </row>
    <row r="134" spans="1:38" x14ac:dyDescent="0.2">
      <c r="A134">
        <v>225</v>
      </c>
      <c r="B134">
        <v>752</v>
      </c>
      <c r="C134">
        <v>160</v>
      </c>
      <c r="D134">
        <v>0.42229966346388498</v>
      </c>
      <c r="E134">
        <v>18.7715839729665</v>
      </c>
      <c r="F134">
        <v>2.57501857083607</v>
      </c>
      <c r="G134">
        <v>-304.59021817846502</v>
      </c>
      <c r="H134">
        <v>-264.21548063178727</v>
      </c>
      <c r="I134">
        <v>39.384224305396998</v>
      </c>
      <c r="J134">
        <v>22.900991642829101</v>
      </c>
      <c r="K134">
        <v>7.2898829490272901</v>
      </c>
      <c r="L134">
        <v>3.1014511139841402E-5</v>
      </c>
      <c r="M134">
        <v>1.7998082768037867E-6</v>
      </c>
      <c r="N134" s="1">
        <v>-2.8237589378168102E-7</v>
      </c>
      <c r="O134" s="1">
        <v>6.3648612769247902E-11</v>
      </c>
      <c r="P134" s="1">
        <v>9.7773571328593207E-10</v>
      </c>
      <c r="Q134">
        <v>64.5335683433605</v>
      </c>
      <c r="S134">
        <v>21.855579314190599</v>
      </c>
      <c r="AA134">
        <v>2.97305077491098</v>
      </c>
      <c r="AB134">
        <v>8.7717623494873802</v>
      </c>
      <c r="AC134">
        <v>1.8660392180505001</v>
      </c>
      <c r="AJ134">
        <v>0.75343332200721602</v>
      </c>
      <c r="AK134">
        <v>0.14111431874404001</v>
      </c>
      <c r="AL134">
        <v>0.10545235924874299</v>
      </c>
    </row>
    <row r="135" spans="1:38" x14ac:dyDescent="0.2">
      <c r="A135">
        <v>226</v>
      </c>
      <c r="B135">
        <v>750</v>
      </c>
      <c r="C135">
        <v>160</v>
      </c>
      <c r="D135">
        <v>0.42103357278991599</v>
      </c>
      <c r="E135">
        <v>19.103312860123602</v>
      </c>
      <c r="F135">
        <v>2.57538179006947</v>
      </c>
      <c r="G135">
        <v>-309.91362697721559</v>
      </c>
      <c r="H135">
        <v>-268.95255468438279</v>
      </c>
      <c r="I135">
        <v>40.034278740001703</v>
      </c>
      <c r="J135">
        <v>23.323212781259802</v>
      </c>
      <c r="K135">
        <v>7.4176624738844401</v>
      </c>
      <c r="L135">
        <v>3.1098426331067542E-5</v>
      </c>
      <c r="M135">
        <v>1.800018527304299E-6</v>
      </c>
      <c r="N135" s="1">
        <v>-3.0630241368912298E-7</v>
      </c>
      <c r="O135" s="1">
        <v>6.4589913932140102E-11</v>
      </c>
      <c r="P135" s="1">
        <v>1.04940789720358E-9</v>
      </c>
      <c r="Q135">
        <v>64.522266320511505</v>
      </c>
      <c r="S135">
        <v>21.868044205235901</v>
      </c>
      <c r="AA135">
        <v>2.98597161017691</v>
      </c>
      <c r="AB135">
        <v>8.7792547299805008</v>
      </c>
      <c r="AC135">
        <v>1.8444631340950599</v>
      </c>
      <c r="AJ135">
        <v>0.754048565226624</v>
      </c>
      <c r="AK135">
        <v>0.14172228055112199</v>
      </c>
      <c r="AL135">
        <v>0.104229154222253</v>
      </c>
    </row>
    <row r="136" spans="1:38" x14ac:dyDescent="0.2">
      <c r="A136">
        <v>227</v>
      </c>
      <c r="B136">
        <v>748</v>
      </c>
      <c r="C136">
        <v>160</v>
      </c>
      <c r="D136">
        <v>0.41976252264603803</v>
      </c>
      <c r="E136">
        <v>19.364463832003999</v>
      </c>
      <c r="F136">
        <v>2.5756912701213999</v>
      </c>
      <c r="G136">
        <v>-314.08778529825571</v>
      </c>
      <c r="H136">
        <v>-272.69525295676237</v>
      </c>
      <c r="I136">
        <v>40.535212595106799</v>
      </c>
      <c r="J136">
        <v>23.661292550986101</v>
      </c>
      <c r="K136">
        <v>7.5181618451854701</v>
      </c>
      <c r="L136">
        <v>3.1190299521195421E-5</v>
      </c>
      <c r="M136">
        <v>1.8003639828730152E-6</v>
      </c>
      <c r="N136" s="1">
        <v>-3.3106884819630101E-7</v>
      </c>
      <c r="O136" s="1">
        <v>6.5282953104978795E-11</v>
      </c>
      <c r="P136" s="1">
        <v>1.12277430450205E-9</v>
      </c>
      <c r="Q136">
        <v>64.5163817380718</v>
      </c>
      <c r="S136">
        <v>21.876354680388701</v>
      </c>
      <c r="AA136">
        <v>2.9942009241353298</v>
      </c>
      <c r="AB136">
        <v>8.7879282445809306</v>
      </c>
      <c r="AC136">
        <v>1.82513441282308</v>
      </c>
      <c r="AJ136">
        <v>0.75476084968452395</v>
      </c>
      <c r="AK136">
        <v>0.14210671262489399</v>
      </c>
      <c r="AL136">
        <v>0.10313243769058</v>
      </c>
    </row>
    <row r="137" spans="1:38" x14ac:dyDescent="0.2">
      <c r="A137">
        <v>228</v>
      </c>
      <c r="B137">
        <v>746</v>
      </c>
      <c r="C137">
        <v>160</v>
      </c>
      <c r="D137">
        <v>0.41848648383456999</v>
      </c>
      <c r="E137">
        <v>19.583503758769901</v>
      </c>
      <c r="F137">
        <v>2.5759708076777001</v>
      </c>
      <c r="G137">
        <v>-317.57599862788254</v>
      </c>
      <c r="H137">
        <v>-275.84496175943838</v>
      </c>
      <c r="I137">
        <v>40.946903663292098</v>
      </c>
      <c r="J137">
        <v>23.949925569770802</v>
      </c>
      <c r="K137">
        <v>7.6023779851856803</v>
      </c>
      <c r="L137">
        <v>3.1289396308006931E-5</v>
      </c>
      <c r="M137">
        <v>1.800793222142112E-6</v>
      </c>
      <c r="N137" s="1">
        <v>-3.57110606241496E-7</v>
      </c>
      <c r="O137" s="1">
        <v>6.5821555278031894E-11</v>
      </c>
      <c r="P137" s="1">
        <v>1.19932223620038E-9</v>
      </c>
      <c r="Q137">
        <v>64.513531301132204</v>
      </c>
      <c r="S137">
        <v>21.8823315205317</v>
      </c>
      <c r="AA137">
        <v>2.99979698894311</v>
      </c>
      <c r="AB137">
        <v>8.7972452621723392</v>
      </c>
      <c r="AC137">
        <v>1.8070949272205299</v>
      </c>
      <c r="AJ137">
        <v>0.75552596367514002</v>
      </c>
      <c r="AK137">
        <v>0.14236569370635499</v>
      </c>
      <c r="AL137">
        <v>0.102108342618503</v>
      </c>
    </row>
    <row r="138" spans="1:38" x14ac:dyDescent="0.2">
      <c r="A138">
        <v>229</v>
      </c>
      <c r="B138">
        <v>744</v>
      </c>
      <c r="C138">
        <v>160</v>
      </c>
      <c r="D138">
        <v>0.41720542692818402</v>
      </c>
      <c r="E138">
        <v>19.7746760373205</v>
      </c>
      <c r="F138">
        <v>2.5762299830942701</v>
      </c>
      <c r="G138">
        <v>-320.6100128319311</v>
      </c>
      <c r="H138">
        <v>-278.60239227962455</v>
      </c>
      <c r="I138">
        <v>41.299336924058899</v>
      </c>
      <c r="J138">
        <v>24.206543261887798</v>
      </c>
      <c r="K138">
        <v>7.6758193822313503</v>
      </c>
      <c r="L138">
        <v>3.1395684703354622E-5</v>
      </c>
      <c r="M138">
        <v>1.8012864419556377E-6</v>
      </c>
      <c r="N138" s="1">
        <v>-3.8471575067571398E-7</v>
      </c>
      <c r="O138" s="1">
        <v>6.6252415355670094E-11</v>
      </c>
      <c r="P138" s="1">
        <v>1.2799870921650099E-9</v>
      </c>
      <c r="Q138">
        <v>64.512761461377707</v>
      </c>
      <c r="S138">
        <v>21.886704434412099</v>
      </c>
      <c r="AA138">
        <v>3.0035843192519001</v>
      </c>
      <c r="AB138">
        <v>8.8069938778117507</v>
      </c>
      <c r="AC138">
        <v>1.78995590714641</v>
      </c>
      <c r="AJ138">
        <v>0.75632647803655295</v>
      </c>
      <c r="AK138">
        <v>0.14253851470402301</v>
      </c>
      <c r="AL138">
        <v>0.101135007259423</v>
      </c>
    </row>
    <row r="139" spans="1:38" x14ac:dyDescent="0.2">
      <c r="A139">
        <v>231</v>
      </c>
      <c r="B139">
        <v>774</v>
      </c>
      <c r="C139">
        <v>150</v>
      </c>
      <c r="D139">
        <v>0.44641216635630598</v>
      </c>
      <c r="E139">
        <v>0.51472151020783397</v>
      </c>
      <c r="F139">
        <v>2.5764983972634101</v>
      </c>
      <c r="G139">
        <v>-8.3888626963084896</v>
      </c>
      <c r="H139">
        <v>-7.2442323281821679</v>
      </c>
      <c r="I139">
        <v>1.0930911217364401</v>
      </c>
      <c r="J139">
        <v>0.62533020500472003</v>
      </c>
      <c r="K139">
        <v>0.19977559883388099</v>
      </c>
      <c r="L139">
        <v>3.0411671139995067E-5</v>
      </c>
      <c r="M139">
        <v>1.7942210660426694E-6</v>
      </c>
      <c r="N139" s="1">
        <v>-3.9639704110958401E-9</v>
      </c>
      <c r="O139" s="1">
        <v>1.76598910082165E-12</v>
      </c>
      <c r="P139" s="1">
        <v>1.5891614388545E-11</v>
      </c>
      <c r="Q139">
        <v>64.348564897953096</v>
      </c>
      <c r="S139">
        <v>22.0762403146094</v>
      </c>
      <c r="AA139">
        <v>3.1982663844711601</v>
      </c>
      <c r="AB139">
        <v>8.9379835913708003</v>
      </c>
      <c r="AC139">
        <v>1.43894481159536</v>
      </c>
      <c r="AJ139">
        <v>0.76707288893011105</v>
      </c>
      <c r="AK139">
        <v>0.15167796882253001</v>
      </c>
      <c r="AL139">
        <v>8.1249142247358699E-2</v>
      </c>
    </row>
    <row r="140" spans="1:38" x14ac:dyDescent="0.2">
      <c r="A140">
        <v>232</v>
      </c>
      <c r="B140">
        <v>772</v>
      </c>
      <c r="C140">
        <v>150</v>
      </c>
      <c r="D140">
        <v>0.44521886810505501</v>
      </c>
      <c r="E140">
        <v>1.18867851677283</v>
      </c>
      <c r="F140">
        <v>2.57570715191479</v>
      </c>
      <c r="G140">
        <v>-19.364875157498254</v>
      </c>
      <c r="H140">
        <v>-16.729026335965891</v>
      </c>
      <c r="I140">
        <v>2.52198136299321</v>
      </c>
      <c r="J140">
        <v>1.44464442169423</v>
      </c>
      <c r="K140">
        <v>0.46149598796166003</v>
      </c>
      <c r="L140">
        <v>3.0494810443234881E-5</v>
      </c>
      <c r="M140">
        <v>1.7965456728213926E-6</v>
      </c>
      <c r="N140" s="1">
        <v>-9.7682205285664403E-9</v>
      </c>
      <c r="O140" s="1">
        <v>4.08071194214701E-12</v>
      </c>
      <c r="P140" s="1">
        <v>3.8484303650133997E-11</v>
      </c>
      <c r="Q140">
        <v>64.442189895040002</v>
      </c>
      <c r="S140">
        <v>22.0030695251839</v>
      </c>
      <c r="AA140">
        <v>3.1160536208516398</v>
      </c>
      <c r="AB140">
        <v>8.9547951400765502</v>
      </c>
      <c r="AC140">
        <v>1.4838918188477499</v>
      </c>
      <c r="AJ140">
        <v>0.76845285897009297</v>
      </c>
      <c r="AK140">
        <v>0.14776694292171999</v>
      </c>
      <c r="AL140">
        <v>8.3780198108185794E-2</v>
      </c>
    </row>
    <row r="141" spans="1:38" x14ac:dyDescent="0.2">
      <c r="A141">
        <v>233</v>
      </c>
      <c r="B141">
        <v>770</v>
      </c>
      <c r="C141">
        <v>150</v>
      </c>
      <c r="D141">
        <v>0.44402099410439499</v>
      </c>
      <c r="E141">
        <v>1.86400263999149</v>
      </c>
      <c r="F141">
        <v>2.5749333800188001</v>
      </c>
      <c r="G141">
        <v>-30.353940361882433</v>
      </c>
      <c r="H141">
        <v>-26.232409330853081</v>
      </c>
      <c r="I141">
        <v>3.9510435038387</v>
      </c>
      <c r="J141">
        <v>2.2662639068837902</v>
      </c>
      <c r="K141">
        <v>0.72390324909216897</v>
      </c>
      <c r="L141">
        <v>3.0578016577738278E-5</v>
      </c>
      <c r="M141">
        <v>1.798782928760551E-6</v>
      </c>
      <c r="N141" s="1">
        <v>-1.63348541418227E-8</v>
      </c>
      <c r="O141" s="1">
        <v>6.4020982648075998E-12</v>
      </c>
      <c r="P141" s="1">
        <v>6.3301415358265998E-11</v>
      </c>
      <c r="Q141">
        <v>64.532192633837795</v>
      </c>
      <c r="S141">
        <v>21.932068302044701</v>
      </c>
      <c r="AA141">
        <v>3.0364759760851698</v>
      </c>
      <c r="AB141">
        <v>8.9692224804851008</v>
      </c>
      <c r="AC141">
        <v>1.53004060754713</v>
      </c>
      <c r="AJ141">
        <v>0.76963709127170699</v>
      </c>
      <c r="AK141">
        <v>0.143983203684446</v>
      </c>
      <c r="AL141">
        <v>8.6379705043846094E-2</v>
      </c>
    </row>
    <row r="142" spans="1:38" x14ac:dyDescent="0.2">
      <c r="A142">
        <v>234</v>
      </c>
      <c r="B142">
        <v>768</v>
      </c>
      <c r="C142">
        <v>150</v>
      </c>
      <c r="D142">
        <v>0.442818517984921</v>
      </c>
      <c r="E142">
        <v>3.5767610282927298</v>
      </c>
      <c r="F142">
        <v>2.5729432274029298</v>
      </c>
      <c r="G142">
        <v>-58.201063952343048</v>
      </c>
      <c r="H142">
        <v>-50.314246988973601</v>
      </c>
      <c r="I142">
        <v>7.5751015351961204</v>
      </c>
      <c r="J142">
        <v>4.3498344329426901</v>
      </c>
      <c r="K142">
        <v>1.39014378171998</v>
      </c>
      <c r="L142">
        <v>3.0674249548549981E-5</v>
      </c>
      <c r="M142">
        <v>1.8025613010640319E-6</v>
      </c>
      <c r="N142" s="1">
        <v>-3.3310603964173E-8</v>
      </c>
      <c r="O142" s="1">
        <v>1.2318099664917899E-11</v>
      </c>
      <c r="P142" s="1">
        <v>1.2714097373117501E-10</v>
      </c>
      <c r="Q142">
        <v>64.705482675141994</v>
      </c>
      <c r="S142">
        <v>21.781095585699202</v>
      </c>
      <c r="AA142">
        <v>2.87148707715148</v>
      </c>
      <c r="AB142">
        <v>8.9595954423988502</v>
      </c>
      <c r="AC142">
        <v>1.68233921960835</v>
      </c>
      <c r="AJ142">
        <v>0.76885049656938598</v>
      </c>
      <c r="AK142">
        <v>0.13616677619429701</v>
      </c>
      <c r="AL142">
        <v>9.4982727236316303E-2</v>
      </c>
    </row>
    <row r="143" spans="1:38" x14ac:dyDescent="0.2">
      <c r="A143">
        <v>235</v>
      </c>
      <c r="B143">
        <v>766</v>
      </c>
      <c r="C143">
        <v>150</v>
      </c>
      <c r="D143">
        <v>0.44161141317423203</v>
      </c>
      <c r="E143">
        <v>5.4927630335397897</v>
      </c>
      <c r="F143">
        <v>2.5706154445593699</v>
      </c>
      <c r="G143">
        <v>-89.298014513749735</v>
      </c>
      <c r="H143">
        <v>-77.220247630537557</v>
      </c>
      <c r="I143">
        <v>11.622736739847101</v>
      </c>
      <c r="J143">
        <v>6.6810896666583002</v>
      </c>
      <c r="K143">
        <v>2.1367501876506001</v>
      </c>
      <c r="L143">
        <v>3.0758238259112417E-5</v>
      </c>
      <c r="M143">
        <v>1.8062728164136742E-6</v>
      </c>
      <c r="N143" s="1">
        <v>-5.4169299027356702E-8</v>
      </c>
      <c r="O143" s="1">
        <v>1.8977573778455099E-11</v>
      </c>
      <c r="P143" s="1">
        <v>2.03919251754122E-10</v>
      </c>
      <c r="Q143">
        <v>64.885276782165903</v>
      </c>
      <c r="S143">
        <v>21.615109048522999</v>
      </c>
      <c r="AA143">
        <v>2.6925939874838201</v>
      </c>
      <c r="AB143">
        <v>8.9251016827972993</v>
      </c>
      <c r="AC143">
        <v>1.8819184990298701</v>
      </c>
      <c r="AJ143">
        <v>0.76602467908913696</v>
      </c>
      <c r="AK143">
        <v>0.12770598492348201</v>
      </c>
      <c r="AL143">
        <v>0.10626933598738</v>
      </c>
    </row>
    <row r="144" spans="1:38" x14ac:dyDescent="0.2">
      <c r="A144">
        <v>236</v>
      </c>
      <c r="B144">
        <v>764</v>
      </c>
      <c r="C144">
        <v>150</v>
      </c>
      <c r="D144">
        <v>0.44039965289495597</v>
      </c>
      <c r="E144">
        <v>7.55018234472315</v>
      </c>
      <c r="F144">
        <v>2.5679291918314999</v>
      </c>
      <c r="G144">
        <v>-122.61471518254966</v>
      </c>
      <c r="H144">
        <v>-106.06056237675291</v>
      </c>
      <c r="I144">
        <v>15.9611944326247</v>
      </c>
      <c r="J144">
        <v>9.1837380638085602</v>
      </c>
      <c r="K144">
        <v>2.9401832296388899</v>
      </c>
      <c r="L144">
        <v>3.0821162613926693E-5</v>
      </c>
      <c r="M144">
        <v>1.8097029256110887E-6</v>
      </c>
      <c r="N144" s="1">
        <v>-7.8472997597868101E-8</v>
      </c>
      <c r="O144" s="1">
        <v>2.6183593754689599E-11</v>
      </c>
      <c r="P144" s="1">
        <v>2.9179551918757398E-10</v>
      </c>
      <c r="Q144">
        <v>65.064987222621099</v>
      </c>
      <c r="S144">
        <v>21.436190377911998</v>
      </c>
      <c r="AA144">
        <v>2.5030512777679599</v>
      </c>
      <c r="AB144">
        <v>8.8565182076421198</v>
      </c>
      <c r="AC144">
        <v>2.1392529140566499</v>
      </c>
      <c r="AJ144">
        <v>0.760400488895977</v>
      </c>
      <c r="AK144">
        <v>0.118757187744596</v>
      </c>
      <c r="AL144">
        <v>0.12084232335942501</v>
      </c>
    </row>
    <row r="145" spans="1:38" x14ac:dyDescent="0.2">
      <c r="A145">
        <v>237</v>
      </c>
      <c r="B145">
        <v>762</v>
      </c>
      <c r="C145">
        <v>150</v>
      </c>
      <c r="D145">
        <v>0.439183210162781</v>
      </c>
      <c r="E145">
        <v>14.107763833051401</v>
      </c>
      <c r="F145">
        <v>2.57067366679926</v>
      </c>
      <c r="G145">
        <v>-229.11590352521193</v>
      </c>
      <c r="H145">
        <v>-198.29115696406976</v>
      </c>
      <c r="I145">
        <v>29.7780481680356</v>
      </c>
      <c r="J145">
        <v>17.1605333647998</v>
      </c>
      <c r="K145">
        <v>5.4879637253284601</v>
      </c>
      <c r="L145">
        <v>3.0736910420957365E-5</v>
      </c>
      <c r="M145">
        <v>1.8038638767696724E-6</v>
      </c>
      <c r="N145" s="1">
        <v>-1.5409486225072099E-7</v>
      </c>
      <c r="O145" s="1">
        <v>4.8613899054524601E-11</v>
      </c>
      <c r="P145" s="1">
        <v>5.66940085028279E-10</v>
      </c>
      <c r="Q145">
        <v>64.790206968222293</v>
      </c>
      <c r="S145">
        <v>21.637955928301899</v>
      </c>
      <c r="AA145">
        <v>2.73362613863089</v>
      </c>
      <c r="AB145">
        <v>8.7731397655011598</v>
      </c>
      <c r="AC145">
        <v>2.0650711993436399</v>
      </c>
      <c r="AJ145">
        <v>0.75355034696543</v>
      </c>
      <c r="AK145">
        <v>0.12974993076109001</v>
      </c>
      <c r="AL145">
        <v>0.116699722273478</v>
      </c>
    </row>
    <row r="146" spans="1:38" x14ac:dyDescent="0.2">
      <c r="A146">
        <v>238</v>
      </c>
      <c r="B146">
        <v>760</v>
      </c>
      <c r="C146">
        <v>150</v>
      </c>
      <c r="D146">
        <v>0.43796205778444602</v>
      </c>
      <c r="E146">
        <v>16.753625143114999</v>
      </c>
      <c r="F146">
        <v>2.5725891278458501</v>
      </c>
      <c r="G146">
        <v>-272.09826780856247</v>
      </c>
      <c r="H146">
        <v>-235.612488508529</v>
      </c>
      <c r="I146">
        <v>35.315084256916698</v>
      </c>
      <c r="J146">
        <v>20.386595300162401</v>
      </c>
      <c r="K146">
        <v>6.5123594598814103</v>
      </c>
      <c r="L146">
        <v>3.0731628403257111E-5</v>
      </c>
      <c r="M146">
        <v>1.800744244617841E-6</v>
      </c>
      <c r="N146" s="1">
        <v>-1.94063157681076E-7</v>
      </c>
      <c r="O146" s="1">
        <v>5.7441727929313901E-11</v>
      </c>
      <c r="P146" s="1">
        <v>7.0538940843856997E-10</v>
      </c>
      <c r="Q146">
        <v>64.628594519406803</v>
      </c>
      <c r="S146">
        <v>21.766934850866999</v>
      </c>
      <c r="AA146">
        <v>2.8777451259329601</v>
      </c>
      <c r="AB146">
        <v>8.7511301025373793</v>
      </c>
      <c r="AC146">
        <v>1.9755954012557799</v>
      </c>
      <c r="AJ146">
        <v>0.75173981322059202</v>
      </c>
      <c r="AK146">
        <v>0.13660497889835399</v>
      </c>
      <c r="AL146">
        <v>0.111655207881052</v>
      </c>
    </row>
    <row r="147" spans="1:38" x14ac:dyDescent="0.2">
      <c r="A147">
        <v>239</v>
      </c>
      <c r="B147">
        <v>758</v>
      </c>
      <c r="C147">
        <v>150</v>
      </c>
      <c r="D147">
        <v>0.43673616835572199</v>
      </c>
      <c r="E147">
        <v>17.7647111489912</v>
      </c>
      <c r="F147">
        <v>2.5734423758847802</v>
      </c>
      <c r="G147">
        <v>-288.48538806000221</v>
      </c>
      <c r="H147">
        <v>-249.91900622574732</v>
      </c>
      <c r="I147">
        <v>37.401330392527498</v>
      </c>
      <c r="J147">
        <v>21.6279122058782</v>
      </c>
      <c r="K147">
        <v>6.9030926495424199</v>
      </c>
      <c r="L147">
        <v>3.0774859483348723E-5</v>
      </c>
      <c r="M147">
        <v>1.7998455687534363E-6</v>
      </c>
      <c r="N147" s="1">
        <v>-2.1889009304103101E-7</v>
      </c>
      <c r="O147" s="1">
        <v>6.0715376112267206E-11</v>
      </c>
      <c r="P147" s="1">
        <v>7.85887262935693E-10</v>
      </c>
      <c r="Q147">
        <v>64.569081287820396</v>
      </c>
      <c r="S147">
        <v>21.816597092627401</v>
      </c>
      <c r="AA147">
        <v>2.9326035828786399</v>
      </c>
      <c r="AB147">
        <v>8.7487040802259504</v>
      </c>
      <c r="AC147">
        <v>1.9330139564475</v>
      </c>
      <c r="AJ147">
        <v>0.751539593767661</v>
      </c>
      <c r="AK147">
        <v>0.13921059504530101</v>
      </c>
      <c r="AL147">
        <v>0.109249811187036</v>
      </c>
    </row>
    <row r="148" spans="1:38" x14ac:dyDescent="0.2">
      <c r="A148">
        <v>240</v>
      </c>
      <c r="B148">
        <v>756</v>
      </c>
      <c r="C148">
        <v>150</v>
      </c>
      <c r="D148">
        <v>0.43550551425934297</v>
      </c>
      <c r="E148">
        <v>18.3343797770587</v>
      </c>
      <c r="F148">
        <v>2.57399243203953</v>
      </c>
      <c r="G148">
        <v>-297.68769563092786</v>
      </c>
      <c r="H148">
        <v>-258.00792175060383</v>
      </c>
      <c r="I148">
        <v>38.5558702621815</v>
      </c>
      <c r="J148">
        <v>22.334403610887701</v>
      </c>
      <c r="K148">
        <v>7.1229346088369496</v>
      </c>
      <c r="L148">
        <v>3.0835554285803351E-5</v>
      </c>
      <c r="M148">
        <v>1.7996075776468441E-6</v>
      </c>
      <c r="N148" s="1">
        <v>-2.4055233059242702E-7</v>
      </c>
      <c r="O148" s="1">
        <v>6.2491474511010501E-11</v>
      </c>
      <c r="P148" s="1">
        <v>8.5335165088869303E-10</v>
      </c>
      <c r="Q148">
        <v>64.539290367742595</v>
      </c>
      <c r="S148">
        <v>21.843330993186498</v>
      </c>
      <c r="AA148">
        <v>2.9616106285053299</v>
      </c>
      <c r="AB148">
        <v>8.7524030081177102</v>
      </c>
      <c r="AC148">
        <v>1.90336500244777</v>
      </c>
      <c r="AJ148">
        <v>0.75184304487417597</v>
      </c>
      <c r="AK148">
        <v>0.140584885046834</v>
      </c>
      <c r="AL148">
        <v>0.107572070078988</v>
      </c>
    </row>
    <row r="149" spans="1:38" x14ac:dyDescent="0.2">
      <c r="A149">
        <v>241</v>
      </c>
      <c r="B149">
        <v>754</v>
      </c>
      <c r="C149">
        <v>150</v>
      </c>
      <c r="D149">
        <v>0.43427006766295001</v>
      </c>
      <c r="E149">
        <v>18.722594495438599</v>
      </c>
      <c r="F149">
        <v>2.5744120021541601</v>
      </c>
      <c r="G149">
        <v>-303.93542183460471</v>
      </c>
      <c r="H149">
        <v>-263.54053580342776</v>
      </c>
      <c r="I149">
        <v>39.327153805361398</v>
      </c>
      <c r="J149">
        <v>22.821871816678001</v>
      </c>
      <c r="K149">
        <v>7.2725711656767702</v>
      </c>
      <c r="L149">
        <v>3.0906504722181413E-5</v>
      </c>
      <c r="M149">
        <v>1.7996650507701435E-6</v>
      </c>
      <c r="N149" s="1">
        <v>-2.6170526316433699E-7</v>
      </c>
      <c r="O149" s="1">
        <v>6.3647708280161398E-11</v>
      </c>
      <c r="P149" s="1">
        <v>9.1769552379363397E-10</v>
      </c>
      <c r="Q149">
        <v>64.522404594265197</v>
      </c>
      <c r="S149">
        <v>21.8601308741009</v>
      </c>
      <c r="AA149">
        <v>2.9794107666744201</v>
      </c>
      <c r="AB149">
        <v>8.7588170392531204</v>
      </c>
      <c r="AC149">
        <v>1.8792367257061999</v>
      </c>
      <c r="AJ149">
        <v>0.75236973437532395</v>
      </c>
      <c r="AK149">
        <v>0.141425276154163</v>
      </c>
      <c r="AL149">
        <v>0.106204989470512</v>
      </c>
    </row>
    <row r="150" spans="1:38" x14ac:dyDescent="0.2">
      <c r="A150">
        <v>242</v>
      </c>
      <c r="B150">
        <v>752</v>
      </c>
      <c r="C150">
        <v>150</v>
      </c>
      <c r="D150">
        <v>0.43302980051699702</v>
      </c>
      <c r="E150">
        <v>19.019943485401502</v>
      </c>
      <c r="F150">
        <v>2.5747755483921102</v>
      </c>
      <c r="G150">
        <v>-308.70347996561213</v>
      </c>
      <c r="H150">
        <v>-267.79370206629449</v>
      </c>
      <c r="I150">
        <v>39.906138515648998</v>
      </c>
      <c r="J150">
        <v>23.200370595459599</v>
      </c>
      <c r="K150">
        <v>7.3870297149897404</v>
      </c>
      <c r="L150">
        <v>3.0984647538891126E-5</v>
      </c>
      <c r="M150">
        <v>1.7998574466234083E-6</v>
      </c>
      <c r="N150" s="1">
        <v>-2.8333166403459E-7</v>
      </c>
      <c r="O150" s="1">
        <v>6.4486857306334103E-11</v>
      </c>
      <c r="P150" s="1">
        <v>9.825319705224479E-10</v>
      </c>
      <c r="Q150">
        <v>64.511058904840397</v>
      </c>
      <c r="S150">
        <v>21.872652673179601</v>
      </c>
      <c r="AA150">
        <v>2.9923887406490399</v>
      </c>
      <c r="AB150">
        <v>8.7663613029311698</v>
      </c>
      <c r="AC150">
        <v>1.85753837839966</v>
      </c>
      <c r="AJ150">
        <v>0.75298931837513206</v>
      </c>
      <c r="AK150">
        <v>0.14203594065573999</v>
      </c>
      <c r="AL150">
        <v>0.104974740969127</v>
      </c>
    </row>
    <row r="151" spans="1:38" x14ac:dyDescent="0.2">
      <c r="A151">
        <v>243</v>
      </c>
      <c r="B151">
        <v>750</v>
      </c>
      <c r="C151">
        <v>150</v>
      </c>
      <c r="D151">
        <v>0.43178468455260599</v>
      </c>
      <c r="E151">
        <v>19.260697685159499</v>
      </c>
      <c r="F151">
        <v>2.5750894763923</v>
      </c>
      <c r="G151">
        <v>-312.5490633977231</v>
      </c>
      <c r="H151">
        <v>-271.24933072915167</v>
      </c>
      <c r="I151">
        <v>40.365276517198197</v>
      </c>
      <c r="J151">
        <v>23.511644933659099</v>
      </c>
      <c r="K151">
        <v>7.4796226934000298</v>
      </c>
      <c r="L151">
        <v>3.1070108711409421E-5</v>
      </c>
      <c r="M151">
        <v>1.8001738836487537E-6</v>
      </c>
      <c r="N151" s="1">
        <v>-3.05870235295849E-7</v>
      </c>
      <c r="O151" s="1">
        <v>6.5125678630971496E-11</v>
      </c>
      <c r="P151" s="1">
        <v>1.0494109402822701E-9</v>
      </c>
      <c r="Q151">
        <v>64.504686121086607</v>
      </c>
      <c r="S151">
        <v>21.881351293396701</v>
      </c>
      <c r="AA151">
        <v>3.0010521933623799</v>
      </c>
      <c r="AB151">
        <v>8.7749644598277907</v>
      </c>
      <c r="AC151">
        <v>1.83794593232639</v>
      </c>
      <c r="AJ151">
        <v>0.753695907762713</v>
      </c>
      <c r="AK151">
        <v>0.14244103806441899</v>
      </c>
      <c r="AL151">
        <v>0.10386305417286699</v>
      </c>
    </row>
    <row r="152" spans="1:38" x14ac:dyDescent="0.2">
      <c r="A152">
        <v>244</v>
      </c>
      <c r="B152">
        <v>748</v>
      </c>
      <c r="C152">
        <v>150</v>
      </c>
      <c r="D152">
        <v>0.43053469127944</v>
      </c>
      <c r="E152">
        <v>19.466246028394</v>
      </c>
      <c r="F152">
        <v>2.5753734280772802</v>
      </c>
      <c r="G152">
        <v>-315.82055098427168</v>
      </c>
      <c r="H152">
        <v>-274.20907076685302</v>
      </c>
      <c r="I152">
        <v>40.7496256352335</v>
      </c>
      <c r="J152">
        <v>23.781759700875</v>
      </c>
      <c r="K152">
        <v>7.5586110410896996</v>
      </c>
      <c r="L152">
        <v>3.11623394227029E-5</v>
      </c>
      <c r="M152">
        <v>1.800572459802044E-6</v>
      </c>
      <c r="N152" s="1">
        <v>-3.2964575250296302E-7</v>
      </c>
      <c r="O152" s="1">
        <v>6.5634531742657703E-11</v>
      </c>
      <c r="P152" s="1">
        <v>1.11944094878909E-9</v>
      </c>
      <c r="Q152">
        <v>64.501333618537103</v>
      </c>
      <c r="S152">
        <v>21.887722756465699</v>
      </c>
      <c r="AA152">
        <v>3.00709097627115</v>
      </c>
      <c r="AB152">
        <v>8.7841972064322906</v>
      </c>
      <c r="AC152">
        <v>1.81965544229363</v>
      </c>
      <c r="AJ152">
        <v>0.75445419150836501</v>
      </c>
      <c r="AK152">
        <v>0.142721090776392</v>
      </c>
      <c r="AL152">
        <v>0.102824717715242</v>
      </c>
    </row>
    <row r="153" spans="1:38" x14ac:dyDescent="0.2">
      <c r="A153">
        <v>246</v>
      </c>
      <c r="B153">
        <v>780</v>
      </c>
      <c r="C153">
        <v>140</v>
      </c>
      <c r="D153">
        <v>0.46040972321132001</v>
      </c>
      <c r="E153">
        <v>0.124881732467147</v>
      </c>
      <c r="F153">
        <v>2.5760789836676201</v>
      </c>
      <c r="G153">
        <v>-2.0375679716903301</v>
      </c>
      <c r="H153">
        <v>-1.757361797958241</v>
      </c>
      <c r="I153">
        <v>0.26606482811763699</v>
      </c>
      <c r="J153">
        <v>0.15159321634379999</v>
      </c>
      <c r="K153">
        <v>4.8477447026624397E-2</v>
      </c>
      <c r="L153">
        <v>3.0265370296786034E-5</v>
      </c>
      <c r="M153">
        <v>1.7929471219672449E-6</v>
      </c>
      <c r="N153" s="1">
        <v>-7.8838600937846302E-10</v>
      </c>
      <c r="O153" s="1">
        <v>4.2955685910184798E-13</v>
      </c>
      <c r="P153" s="1">
        <v>3.3485193879671801E-12</v>
      </c>
      <c r="Q153">
        <v>64.299463011278505</v>
      </c>
      <c r="S153">
        <v>22.115299767861199</v>
      </c>
      <c r="AA153">
        <v>3.2419480873304298</v>
      </c>
      <c r="AB153">
        <v>8.9309621044292804</v>
      </c>
      <c r="AC153">
        <v>1.4123270291004699</v>
      </c>
      <c r="AJ153">
        <v>0.76649631211675395</v>
      </c>
      <c r="AK153">
        <v>0.15375479539546799</v>
      </c>
      <c r="AL153">
        <v>7.9748892487777001E-2</v>
      </c>
    </row>
    <row r="154" spans="1:38" x14ac:dyDescent="0.2">
      <c r="A154">
        <v>247</v>
      </c>
      <c r="B154">
        <v>778</v>
      </c>
      <c r="C154">
        <v>140</v>
      </c>
      <c r="D154">
        <v>0.45924986919088701</v>
      </c>
      <c r="E154">
        <v>0.78668052779903697</v>
      </c>
      <c r="F154">
        <v>2.5752997292504101</v>
      </c>
      <c r="G154">
        <v>-12.830202479828143</v>
      </c>
      <c r="H154">
        <v>-11.070049975499373</v>
      </c>
      <c r="I154">
        <v>1.6745017403118201</v>
      </c>
      <c r="J154">
        <v>0.955225225987552</v>
      </c>
      <c r="K154">
        <v>0.30547144429981099</v>
      </c>
      <c r="L154">
        <v>3.0341429398437397E-5</v>
      </c>
      <c r="M154">
        <v>1.7952545241287649E-6</v>
      </c>
      <c r="N154" s="1">
        <v>-5.3064065042273299E-9</v>
      </c>
      <c r="O154" s="1">
        <v>2.7080419549350401E-12</v>
      </c>
      <c r="P154" s="1">
        <v>2.20855784307392E-11</v>
      </c>
      <c r="Q154">
        <v>64.392907241235505</v>
      </c>
      <c r="S154">
        <v>22.042671710246399</v>
      </c>
      <c r="AA154">
        <v>3.1602252625503802</v>
      </c>
      <c r="AB154">
        <v>8.9487936652802702</v>
      </c>
      <c r="AC154">
        <v>1.45540212068728</v>
      </c>
      <c r="AJ154">
        <v>0.76796001162785299</v>
      </c>
      <c r="AK154">
        <v>0.149865940243368</v>
      </c>
      <c r="AL154">
        <v>8.2174048128778404E-2</v>
      </c>
    </row>
    <row r="155" spans="1:38" x14ac:dyDescent="0.2">
      <c r="A155">
        <v>248</v>
      </c>
      <c r="B155">
        <v>776</v>
      </c>
      <c r="C155">
        <v>140</v>
      </c>
      <c r="D155">
        <v>0.45808559309917701</v>
      </c>
      <c r="E155">
        <v>1.4498819200334501</v>
      </c>
      <c r="F155">
        <v>2.5745378728204402</v>
      </c>
      <c r="G155">
        <v>-23.636791580540006</v>
      </c>
      <c r="H155">
        <v>-20.401967354667182</v>
      </c>
      <c r="I155">
        <v>3.0832809663754701</v>
      </c>
      <c r="J155">
        <v>1.7610545558847699</v>
      </c>
      <c r="K155">
        <v>0.56316200873949096</v>
      </c>
      <c r="L155">
        <v>3.0417250401641761E-5</v>
      </c>
      <c r="M155">
        <v>1.7974764333474232E-6</v>
      </c>
      <c r="N155" s="1">
        <v>-1.0440561157332401E-8</v>
      </c>
      <c r="O155" s="1">
        <v>4.99435491343524E-12</v>
      </c>
      <c r="P155" s="1">
        <v>4.2629577667758701E-11</v>
      </c>
      <c r="Q155">
        <v>64.482833591853904</v>
      </c>
      <c r="S155">
        <v>21.9721652659765</v>
      </c>
      <c r="AA155">
        <v>3.0810736395546501</v>
      </c>
      <c r="AB155">
        <v>8.9643479058582702</v>
      </c>
      <c r="AC155">
        <v>1.4995795967565799</v>
      </c>
      <c r="AJ155">
        <v>0.76923670013271095</v>
      </c>
      <c r="AK155">
        <v>0.14610132739359699</v>
      </c>
      <c r="AL155">
        <v>8.4661972473690894E-2</v>
      </c>
    </row>
    <row r="156" spans="1:38" x14ac:dyDescent="0.2">
      <c r="A156">
        <v>249</v>
      </c>
      <c r="B156">
        <v>774</v>
      </c>
      <c r="C156">
        <v>140</v>
      </c>
      <c r="D156">
        <v>0.45691686959843703</v>
      </c>
      <c r="E156">
        <v>2.1139150539576299</v>
      </c>
      <c r="F156">
        <v>2.57379310650107</v>
      </c>
      <c r="G156">
        <v>-34.447924120354998</v>
      </c>
      <c r="H156">
        <v>-29.745034260397393</v>
      </c>
      <c r="I156">
        <v>4.4911329417539099</v>
      </c>
      <c r="J156">
        <v>2.5684272356900602</v>
      </c>
      <c r="K156">
        <v>0.82132283617442003</v>
      </c>
      <c r="L156">
        <v>3.0492957199793205E-5</v>
      </c>
      <c r="M156">
        <v>1.7996141810289202E-6</v>
      </c>
      <c r="N156" s="1">
        <v>-1.6238240435271299E-8</v>
      </c>
      <c r="O156" s="1">
        <v>7.2858039828064898E-12</v>
      </c>
      <c r="P156" s="1">
        <v>6.5110676721716698E-11</v>
      </c>
      <c r="Q156">
        <v>64.569280462111195</v>
      </c>
      <c r="S156">
        <v>21.9037517970586</v>
      </c>
      <c r="AA156">
        <v>3.0044606318293301</v>
      </c>
      <c r="AB156">
        <v>8.9776353180047703</v>
      </c>
      <c r="AC156">
        <v>1.54487179099592</v>
      </c>
      <c r="AJ156">
        <v>0.770327323784333</v>
      </c>
      <c r="AK156">
        <v>0.14245924911020799</v>
      </c>
      <c r="AL156">
        <v>8.7213427105458194E-2</v>
      </c>
    </row>
    <row r="157" spans="1:38" x14ac:dyDescent="0.2">
      <c r="A157">
        <v>250</v>
      </c>
      <c r="B157">
        <v>772</v>
      </c>
      <c r="C157">
        <v>140</v>
      </c>
      <c r="D157">
        <v>0.45574367315696301</v>
      </c>
      <c r="E157">
        <v>3.3645248360190401</v>
      </c>
      <c r="F157">
        <v>2.5723794720114399</v>
      </c>
      <c r="G157">
        <v>-54.794585085350818</v>
      </c>
      <c r="H157">
        <v>-47.330411976752963</v>
      </c>
      <c r="I157">
        <v>7.1417242583340501</v>
      </c>
      <c r="J157">
        <v>4.089018175304</v>
      </c>
      <c r="K157">
        <v>1.30794265489461</v>
      </c>
      <c r="L157">
        <v>3.0576046554023115E-5</v>
      </c>
      <c r="M157">
        <v>1.8025758167488049E-6</v>
      </c>
      <c r="N157" s="1">
        <v>-2.7506897863183E-8</v>
      </c>
      <c r="O157" s="1">
        <v>1.1616520620270401E-11</v>
      </c>
      <c r="P157" s="1">
        <v>1.08447954930767E-10</v>
      </c>
      <c r="Q157">
        <v>64.700619090478995</v>
      </c>
      <c r="S157">
        <v>21.791756853645001</v>
      </c>
      <c r="AA157">
        <v>2.88141758336103</v>
      </c>
      <c r="AB157">
        <v>8.9767071047314708</v>
      </c>
      <c r="AC157">
        <v>1.64949936778344</v>
      </c>
      <c r="AJ157">
        <v>0.77025326322862497</v>
      </c>
      <c r="AK157">
        <v>0.13662604105924001</v>
      </c>
      <c r="AL157">
        <v>9.31206957121338E-2</v>
      </c>
    </row>
    <row r="158" spans="1:38" x14ac:dyDescent="0.2">
      <c r="A158">
        <v>251</v>
      </c>
      <c r="B158">
        <v>770</v>
      </c>
      <c r="C158">
        <v>140</v>
      </c>
      <c r="D158">
        <v>0.45456597804726301</v>
      </c>
      <c r="E158">
        <v>5.2343581118017104</v>
      </c>
      <c r="F158">
        <v>2.5701782104928999</v>
      </c>
      <c r="G158">
        <v>-85.173793600432219</v>
      </c>
      <c r="H158">
        <v>-73.593720971029541</v>
      </c>
      <c r="I158">
        <v>11.1010618122059</v>
      </c>
      <c r="J158">
        <v>6.3623580729605296</v>
      </c>
      <c r="K158">
        <v>2.03657399725518</v>
      </c>
      <c r="L158">
        <v>3.0656047751182294E-5</v>
      </c>
      <c r="M158">
        <v>1.8061867159930974E-6</v>
      </c>
      <c r="N158" s="1">
        <v>-4.53543884950718E-8</v>
      </c>
      <c r="O158" s="1">
        <v>1.81290690323859E-11</v>
      </c>
      <c r="P158" s="1">
        <v>1.76100560307509E-10</v>
      </c>
      <c r="Q158">
        <v>64.874190815740604</v>
      </c>
      <c r="S158">
        <v>21.6330506988837</v>
      </c>
      <c r="AA158">
        <v>2.7099827914496601</v>
      </c>
      <c r="AB158">
        <v>8.9474335700185801</v>
      </c>
      <c r="AC158">
        <v>1.83534212390732</v>
      </c>
      <c r="AJ158">
        <v>0.76785589976490498</v>
      </c>
      <c r="AK158">
        <v>0.128516404332645</v>
      </c>
      <c r="AL158">
        <v>0.103627695902448</v>
      </c>
    </row>
    <row r="159" spans="1:38" x14ac:dyDescent="0.2">
      <c r="A159">
        <v>252</v>
      </c>
      <c r="B159">
        <v>768</v>
      </c>
      <c r="C159">
        <v>140</v>
      </c>
      <c r="D159">
        <v>0.45338375834414102</v>
      </c>
      <c r="E159">
        <v>7.2168979233425601</v>
      </c>
      <c r="F159">
        <v>2.5676953822380502</v>
      </c>
      <c r="G159">
        <v>-117.31665739161613</v>
      </c>
      <c r="H159">
        <v>-101.39598758970652</v>
      </c>
      <c r="I159">
        <v>15.291427557901899</v>
      </c>
      <c r="J159">
        <v>8.7722169445218192</v>
      </c>
      <c r="K159">
        <v>2.8106519072570699</v>
      </c>
      <c r="L159">
        <v>3.0718126392464738E-5</v>
      </c>
      <c r="M159">
        <v>1.8095195896340328E-6</v>
      </c>
      <c r="N159" s="1">
        <v>-6.5993385434386402E-8</v>
      </c>
      <c r="O159" s="1">
        <v>2.50835234009296E-11</v>
      </c>
      <c r="P159" s="1">
        <v>2.5274113895174302E-10</v>
      </c>
      <c r="Q159">
        <v>65.045724160523804</v>
      </c>
      <c r="S159">
        <v>21.465028723154401</v>
      </c>
      <c r="AA159">
        <v>2.5313379800714499</v>
      </c>
      <c r="AB159">
        <v>8.8891949778958494</v>
      </c>
      <c r="AC159">
        <v>2.06871415835441</v>
      </c>
      <c r="AJ159">
        <v>0.76308164839133097</v>
      </c>
      <c r="AK159">
        <v>0.12007967466597801</v>
      </c>
      <c r="AL159">
        <v>0.116838676942689</v>
      </c>
    </row>
    <row r="160" spans="1:38" x14ac:dyDescent="0.2">
      <c r="A160">
        <v>253</v>
      </c>
      <c r="B160">
        <v>766</v>
      </c>
      <c r="C160">
        <v>140</v>
      </c>
      <c r="D160">
        <v>0.45219698792282498</v>
      </c>
      <c r="E160">
        <v>11.2479551595858</v>
      </c>
      <c r="F160">
        <v>2.5671264656781898</v>
      </c>
      <c r="G160">
        <v>-182.71334945711885</v>
      </c>
      <c r="H160">
        <v>-157.97821916949084</v>
      </c>
      <c r="I160">
        <v>23.803233688714801</v>
      </c>
      <c r="J160">
        <v>13.6698674408439</v>
      </c>
      <c r="K160">
        <v>4.3815352729863601</v>
      </c>
      <c r="L160">
        <v>3.0696967049752192E-5</v>
      </c>
      <c r="M160">
        <v>1.8087416946355388E-6</v>
      </c>
      <c r="N160" s="1">
        <v>-1.0786713154504201E-7</v>
      </c>
      <c r="O160" s="1">
        <v>3.9090500667117702E-11</v>
      </c>
      <c r="P160" s="1">
        <v>4.08356678025182E-10</v>
      </c>
      <c r="Q160">
        <v>65.028559756690896</v>
      </c>
      <c r="S160">
        <v>21.441773535388499</v>
      </c>
      <c r="AA160">
        <v>2.5161572910324801</v>
      </c>
      <c r="AB160">
        <v>8.7899785261641092</v>
      </c>
      <c r="AC160">
        <v>2.22353089072381</v>
      </c>
      <c r="AJ160">
        <v>0.75493699623872801</v>
      </c>
      <c r="AK160">
        <v>0.119418461418846</v>
      </c>
      <c r="AL160">
        <v>0.125644542342424</v>
      </c>
    </row>
    <row r="161" spans="1:38" x14ac:dyDescent="0.2">
      <c r="A161">
        <v>254</v>
      </c>
      <c r="B161">
        <v>764</v>
      </c>
      <c r="C161">
        <v>140</v>
      </c>
      <c r="D161">
        <v>0.45100564045702202</v>
      </c>
      <c r="E161">
        <v>15.737420032952601</v>
      </c>
      <c r="F161">
        <v>2.5708480362502701</v>
      </c>
      <c r="G161">
        <v>-255.73021747537135</v>
      </c>
      <c r="H161">
        <v>-221.24297062078531</v>
      </c>
      <c r="I161">
        <v>33.251937380886098</v>
      </c>
      <c r="J161">
        <v>19.129934072754398</v>
      </c>
      <c r="K161">
        <v>6.1214898006599299</v>
      </c>
      <c r="L161">
        <v>3.0619061065652195E-5</v>
      </c>
      <c r="M161">
        <v>1.8021389932038704E-6</v>
      </c>
      <c r="N161" s="1">
        <v>-1.5942321923180101E-7</v>
      </c>
      <c r="O161" s="1">
        <v>5.4251988352323097E-11</v>
      </c>
      <c r="P161" s="1">
        <v>5.96234521815925E-10</v>
      </c>
      <c r="Q161">
        <v>64.703035322585606</v>
      </c>
      <c r="S161">
        <v>21.701119043232001</v>
      </c>
      <c r="AA161">
        <v>2.8060766669833299</v>
      </c>
      <c r="AB161">
        <v>8.7444727447111799</v>
      </c>
      <c r="AC161">
        <v>2.0452962224877398</v>
      </c>
      <c r="AJ161">
        <v>0.75119395745359496</v>
      </c>
      <c r="AK161">
        <v>0.13320753146919001</v>
      </c>
      <c r="AL161">
        <v>0.115598511077213</v>
      </c>
    </row>
    <row r="162" spans="1:38" x14ac:dyDescent="0.2">
      <c r="A162">
        <v>255</v>
      </c>
      <c r="B162">
        <v>762</v>
      </c>
      <c r="C162">
        <v>140</v>
      </c>
      <c r="D162">
        <v>0.44980968941699401</v>
      </c>
      <c r="E162">
        <v>17.190844046505401</v>
      </c>
      <c r="F162">
        <v>2.5721787336716599</v>
      </c>
      <c r="G162">
        <v>-279.33586545717498</v>
      </c>
      <c r="H162">
        <v>-241.78363395780812</v>
      </c>
      <c r="I162">
        <v>36.277091725225098</v>
      </c>
      <c r="J162">
        <v>20.904806159675299</v>
      </c>
      <c r="K162">
        <v>6.6833784998938697</v>
      </c>
      <c r="L162">
        <v>3.0634781674181043E-5</v>
      </c>
      <c r="M162">
        <v>1.8002320619266605E-6</v>
      </c>
      <c r="N162" s="1">
        <v>-1.8498464701873399E-7</v>
      </c>
      <c r="O162" s="1">
        <v>5.9036311937523295E-11</v>
      </c>
      <c r="P162" s="1">
        <v>6.8277216110479402E-10</v>
      </c>
      <c r="Q162">
        <v>64.597928062584302</v>
      </c>
      <c r="S162">
        <v>21.786334017654401</v>
      </c>
      <c r="AA162">
        <v>2.9009052356263401</v>
      </c>
      <c r="AB162">
        <v>8.7336489855749093</v>
      </c>
      <c r="AC162">
        <v>1.98118369856003</v>
      </c>
      <c r="AJ162">
        <v>0.75030299893631103</v>
      </c>
      <c r="AK162">
        <v>0.13771627946436399</v>
      </c>
      <c r="AL162">
        <v>0.111980721599324</v>
      </c>
    </row>
    <row r="163" spans="1:38" x14ac:dyDescent="0.2">
      <c r="A163">
        <v>256</v>
      </c>
      <c r="B163">
        <v>760</v>
      </c>
      <c r="C163">
        <v>140</v>
      </c>
      <c r="D163">
        <v>0.44860910806756099</v>
      </c>
      <c r="E163">
        <v>17.903593543105401</v>
      </c>
      <c r="F163">
        <v>2.5729128634046701</v>
      </c>
      <c r="G163">
        <v>-290.87799210883986</v>
      </c>
      <c r="H163">
        <v>-251.8904165270533</v>
      </c>
      <c r="I163">
        <v>37.736607057819697</v>
      </c>
      <c r="J163">
        <v>21.781912626115801</v>
      </c>
      <c r="K163">
        <v>6.9584919869435504</v>
      </c>
      <c r="L163">
        <v>3.0679148478945802E-5</v>
      </c>
      <c r="M163">
        <v>1.7995804804402001E-6</v>
      </c>
      <c r="N163" s="1">
        <v>-2.0500344399120401E-7</v>
      </c>
      <c r="O163" s="1">
        <v>6.13108866968075E-11</v>
      </c>
      <c r="P163" s="1">
        <v>7.4684367395057096E-10</v>
      </c>
      <c r="Q163">
        <v>64.550268845459101</v>
      </c>
      <c r="S163">
        <v>21.826939007177401</v>
      </c>
      <c r="AA163">
        <v>2.9455253945175901</v>
      </c>
      <c r="AB163">
        <v>8.7338942346400508</v>
      </c>
      <c r="AC163">
        <v>1.94337251820576</v>
      </c>
      <c r="AJ163">
        <v>0.750322433741756</v>
      </c>
      <c r="AK163">
        <v>0.13983425236071001</v>
      </c>
      <c r="AL163">
        <v>0.10984331389753201</v>
      </c>
    </row>
    <row r="164" spans="1:38" x14ac:dyDescent="0.2">
      <c r="A164">
        <v>257</v>
      </c>
      <c r="B164">
        <v>758</v>
      </c>
      <c r="C164">
        <v>140</v>
      </c>
      <c r="D164">
        <v>0.44740386946613198</v>
      </c>
      <c r="E164">
        <v>18.354593188776199</v>
      </c>
      <c r="F164">
        <v>2.5734272430514298</v>
      </c>
      <c r="G164">
        <v>-298.15509081854447</v>
      </c>
      <c r="H164">
        <v>-258.30869268796187</v>
      </c>
      <c r="I164">
        <v>38.642678689407397</v>
      </c>
      <c r="J164">
        <v>22.342575346762999</v>
      </c>
      <c r="K164">
        <v>7.1323536495293602</v>
      </c>
      <c r="L164">
        <v>3.0736880646210779E-5</v>
      </c>
      <c r="M164">
        <v>1.7994080071860898E-6</v>
      </c>
      <c r="N164" s="1">
        <v>-2.23800654825284E-7</v>
      </c>
      <c r="O164" s="1">
        <v>6.2696951221238494E-11</v>
      </c>
      <c r="P164" s="1">
        <v>8.0506514725255402E-10</v>
      </c>
      <c r="Q164">
        <v>64.524074513309301</v>
      </c>
      <c r="S164">
        <v>21.850955675369601</v>
      </c>
      <c r="AA164">
        <v>2.9714514809949302</v>
      </c>
      <c r="AB164">
        <v>8.7384843879740295</v>
      </c>
      <c r="AC164">
        <v>1.91503394235202</v>
      </c>
      <c r="AJ164">
        <v>0.750699215863603</v>
      </c>
      <c r="AK164">
        <v>0.141061754498567</v>
      </c>
      <c r="AL164">
        <v>0.108239029637829</v>
      </c>
    </row>
    <row r="165" spans="1:38" x14ac:dyDescent="0.2">
      <c r="A165">
        <v>258</v>
      </c>
      <c r="B165">
        <v>756</v>
      </c>
      <c r="C165">
        <v>140</v>
      </c>
      <c r="D165">
        <v>0.44619394646067401</v>
      </c>
      <c r="E165">
        <v>18.682940517676901</v>
      </c>
      <c r="F165">
        <v>2.5738346595744299</v>
      </c>
      <c r="G165">
        <v>-303.43285819773786</v>
      </c>
      <c r="H165">
        <v>-262.99842025898943</v>
      </c>
      <c r="I165">
        <v>39.289158955204101</v>
      </c>
      <c r="J165">
        <v>22.755639051937401</v>
      </c>
      <c r="K165">
        <v>7.2587959168931402</v>
      </c>
      <c r="L165">
        <v>3.0803420051561957E-5</v>
      </c>
      <c r="M165">
        <v>1.7994777247527876E-6</v>
      </c>
      <c r="N165" s="1">
        <v>-2.4268118627056701E-7</v>
      </c>
      <c r="O165" s="1">
        <v>6.3662686456120705E-11</v>
      </c>
      <c r="P165" s="1">
        <v>8.6240095423135902E-10</v>
      </c>
      <c r="Q165">
        <v>64.5084103817901</v>
      </c>
      <c r="S165">
        <v>21.866848238154098</v>
      </c>
      <c r="AA165">
        <v>2.9882180189664802</v>
      </c>
      <c r="AB165">
        <v>8.7452421302743293</v>
      </c>
      <c r="AC165">
        <v>1.8912812308148499</v>
      </c>
      <c r="AJ165">
        <v>0.751254237584561</v>
      </c>
      <c r="AK165">
        <v>0.141852883059853</v>
      </c>
      <c r="AL165">
        <v>0.106892879355584</v>
      </c>
    </row>
    <row r="166" spans="1:38" x14ac:dyDescent="0.2">
      <c r="A166">
        <v>259</v>
      </c>
      <c r="B166">
        <v>754</v>
      </c>
      <c r="C166">
        <v>140</v>
      </c>
      <c r="D166">
        <v>0.44497931168767801</v>
      </c>
      <c r="E166">
        <v>18.944685179056702</v>
      </c>
      <c r="F166">
        <v>2.5741923271580398</v>
      </c>
      <c r="G166">
        <v>-307.6248787455304</v>
      </c>
      <c r="H166">
        <v>-266.75012073391599</v>
      </c>
      <c r="I166">
        <v>39.794341636191703</v>
      </c>
      <c r="J166">
        <v>23.089152277990099</v>
      </c>
      <c r="K166">
        <v>7.3594676587246299</v>
      </c>
      <c r="L166">
        <v>3.0876495205996462E-5</v>
      </c>
      <c r="M166">
        <v>1.7996670987774987E-6</v>
      </c>
      <c r="N166" s="1">
        <v>-2.6221976469783499E-7</v>
      </c>
      <c r="O166" s="1">
        <v>6.4394429286134299E-11</v>
      </c>
      <c r="P166" s="1">
        <v>9.2098698264460905E-10</v>
      </c>
      <c r="Q166">
        <v>64.497641290965106</v>
      </c>
      <c r="S166">
        <v>21.878951467249902</v>
      </c>
      <c r="AA166">
        <v>3.0007161270188001</v>
      </c>
      <c r="AB166">
        <v>8.7529739773881605</v>
      </c>
      <c r="AC166">
        <v>1.86971713737792</v>
      </c>
      <c r="AJ166">
        <v>0.75188932547271703</v>
      </c>
      <c r="AK166">
        <v>0.14244066238540501</v>
      </c>
      <c r="AL166">
        <v>0.105670012141876</v>
      </c>
    </row>
    <row r="167" spans="1:38" x14ac:dyDescent="0.2">
      <c r="A167">
        <v>260</v>
      </c>
      <c r="B167">
        <v>752</v>
      </c>
      <c r="C167">
        <v>140</v>
      </c>
      <c r="D167">
        <v>0.443759937570114</v>
      </c>
      <c r="E167">
        <v>19.163358738063501</v>
      </c>
      <c r="F167">
        <v>2.5745059190912198</v>
      </c>
      <c r="G167">
        <v>-311.11401491174655</v>
      </c>
      <c r="H167">
        <v>-269.89472800619069</v>
      </c>
      <c r="I167">
        <v>40.208054338931603</v>
      </c>
      <c r="J167">
        <v>23.3717807909897</v>
      </c>
      <c r="K167">
        <v>7.4435092947186003</v>
      </c>
      <c r="L167">
        <v>3.0956227683443489E-5</v>
      </c>
      <c r="M167">
        <v>1.7999665359843901E-6</v>
      </c>
      <c r="N167" s="1">
        <v>-2.8271958795920601E-7</v>
      </c>
      <c r="O167" s="1">
        <v>6.4972229723567902E-11</v>
      </c>
      <c r="P167" s="1">
        <v>9.8189035895751395E-10</v>
      </c>
      <c r="Q167">
        <v>64.491265735483907</v>
      </c>
      <c r="S167">
        <v>21.8876679421308</v>
      </c>
      <c r="AA167">
        <v>3.00939495675722</v>
      </c>
      <c r="AB167">
        <v>8.7616177659612706</v>
      </c>
      <c r="AC167">
        <v>1.85005359966669</v>
      </c>
      <c r="AJ167">
        <v>0.75259934688068897</v>
      </c>
      <c r="AK167">
        <v>0.14284647029060299</v>
      </c>
      <c r="AL167">
        <v>0.104554182828706</v>
      </c>
    </row>
    <row r="168" spans="1:38" x14ac:dyDescent="0.2">
      <c r="A168">
        <v>261</v>
      </c>
      <c r="B168">
        <v>750</v>
      </c>
      <c r="C168">
        <v>140</v>
      </c>
      <c r="D168">
        <v>0.44253579631530099</v>
      </c>
      <c r="E168">
        <v>19.354036849107501</v>
      </c>
      <c r="F168">
        <v>2.5747910028682899</v>
      </c>
      <c r="G168">
        <v>-314.14603477020802</v>
      </c>
      <c r="H168">
        <v>-272.64491770294421</v>
      </c>
      <c r="I168">
        <v>40.562104351525903</v>
      </c>
      <c r="J168">
        <v>23.621902799544699</v>
      </c>
      <c r="K168">
        <v>7.5167409034548101</v>
      </c>
      <c r="L168">
        <v>3.104224303666911E-5</v>
      </c>
      <c r="M168">
        <v>1.8003432935354112E-6</v>
      </c>
      <c r="N168" s="1">
        <v>-3.0441787824967101E-7</v>
      </c>
      <c r="O168" s="1">
        <v>6.5445446663709999E-11</v>
      </c>
      <c r="P168" s="1">
        <v>1.04591381855047E-9</v>
      </c>
      <c r="Q168">
        <v>64.487747542424401</v>
      </c>
      <c r="S168">
        <v>21.894177974622501</v>
      </c>
      <c r="AA168">
        <v>3.0155867224739201</v>
      </c>
      <c r="AB168">
        <v>8.7708445579050505</v>
      </c>
      <c r="AC168">
        <v>1.8316432025740199</v>
      </c>
      <c r="AJ168">
        <v>0.75335723965756396</v>
      </c>
      <c r="AK168">
        <v>0.143133787916321</v>
      </c>
      <c r="AL168">
        <v>0.103508972426114</v>
      </c>
    </row>
    <row r="169" spans="1:38" x14ac:dyDescent="0.2">
      <c r="A169">
        <v>263</v>
      </c>
      <c r="B169">
        <v>784</v>
      </c>
      <c r="C169">
        <v>130</v>
      </c>
      <c r="D169">
        <v>0.47312160052972602</v>
      </c>
      <c r="E169">
        <v>0.53427566526565695</v>
      </c>
      <c r="F169">
        <v>2.5746457612001499</v>
      </c>
      <c r="G169">
        <v>-8.7230295972598988</v>
      </c>
      <c r="H169">
        <v>-7.5168768099920937</v>
      </c>
      <c r="I169">
        <v>1.14094763020177</v>
      </c>
      <c r="J169">
        <v>0.64831868613493904</v>
      </c>
      <c r="K169">
        <v>0.20751424266482699</v>
      </c>
      <c r="L169">
        <v>3.0219885152709765E-5</v>
      </c>
      <c r="M169">
        <v>1.7945495859615303E-6</v>
      </c>
      <c r="N169" s="1">
        <v>-2.94890344778428E-9</v>
      </c>
      <c r="O169" s="1">
        <v>1.8440002263926502E-12</v>
      </c>
      <c r="P169" s="1">
        <v>1.3077618494134201E-11</v>
      </c>
      <c r="Q169">
        <v>64.367623784273306</v>
      </c>
      <c r="S169">
        <v>22.063289135336198</v>
      </c>
      <c r="AA169">
        <v>3.1831343983901301</v>
      </c>
      <c r="AB169">
        <v>8.9465020974058103</v>
      </c>
      <c r="AC169">
        <v>1.4394505845943899</v>
      </c>
      <c r="AJ169">
        <v>0.76777171861732696</v>
      </c>
      <c r="AK169">
        <v>0.15095399412219301</v>
      </c>
      <c r="AL169">
        <v>8.1274287260478806E-2</v>
      </c>
    </row>
    <row r="170" spans="1:38" x14ac:dyDescent="0.2">
      <c r="A170">
        <v>264</v>
      </c>
      <c r="B170">
        <v>782</v>
      </c>
      <c r="C170">
        <v>130</v>
      </c>
      <c r="D170">
        <v>0.47199023835473802</v>
      </c>
      <c r="E170">
        <v>1.18607969060409</v>
      </c>
      <c r="F170">
        <v>2.5738999058999998</v>
      </c>
      <c r="G170">
        <v>-19.357028098126484</v>
      </c>
      <c r="H170">
        <v>-16.68693856603802</v>
      </c>
      <c r="I170">
        <v>2.53053076063921</v>
      </c>
      <c r="J170">
        <v>1.43959379968655</v>
      </c>
      <c r="K170">
        <v>0.46081033993797099</v>
      </c>
      <c r="L170">
        <v>3.0288902134296944E-5</v>
      </c>
      <c r="M170">
        <v>1.7967346724638288E-6</v>
      </c>
      <c r="N170" s="1">
        <v>-7.00039027544519E-9</v>
      </c>
      <c r="O170" s="1">
        <v>4.0969629708380501E-12</v>
      </c>
      <c r="P170" s="1">
        <v>3.03590552113559E-11</v>
      </c>
      <c r="Q170">
        <v>64.456531487295905</v>
      </c>
      <c r="S170">
        <v>21.993825504106301</v>
      </c>
      <c r="AA170">
        <v>3.1050807943206</v>
      </c>
      <c r="AB170">
        <v>8.9625202063935898</v>
      </c>
      <c r="AC170">
        <v>1.4820420078835099</v>
      </c>
      <c r="AJ170">
        <v>0.76908645026452405</v>
      </c>
      <c r="AK170">
        <v>0.14724098279061801</v>
      </c>
      <c r="AL170">
        <v>8.3672566944856197E-2</v>
      </c>
    </row>
    <row r="171" spans="1:38" x14ac:dyDescent="0.2">
      <c r="A171">
        <v>265</v>
      </c>
      <c r="B171">
        <v>780</v>
      </c>
      <c r="C171">
        <v>130</v>
      </c>
      <c r="D171">
        <v>0.47085457911978401</v>
      </c>
      <c r="E171">
        <v>1.83862233563469</v>
      </c>
      <c r="F171">
        <v>2.5731710046452401</v>
      </c>
      <c r="G171">
        <v>-29.994329724680387</v>
      </c>
      <c r="H171">
        <v>-25.866965527326606</v>
      </c>
      <c r="I171">
        <v>3.9190658475561699</v>
      </c>
      <c r="J171">
        <v>2.2321681111312</v>
      </c>
      <c r="K171">
        <v>0.71453561862600601</v>
      </c>
      <c r="L171">
        <v>3.03575521730897E-5</v>
      </c>
      <c r="M171">
        <v>1.7988376950942829E-6</v>
      </c>
      <c r="N171" s="1">
        <v>-1.15924201027245E-8</v>
      </c>
      <c r="O171" s="1">
        <v>6.3555329835433598E-12</v>
      </c>
      <c r="P171" s="1">
        <v>4.9224764139657901E-11</v>
      </c>
      <c r="Q171">
        <v>64.542067712399202</v>
      </c>
      <c r="S171">
        <v>21.926402960136301</v>
      </c>
      <c r="AA171">
        <v>3.0294977964209902</v>
      </c>
      <c r="AB171">
        <v>8.9763761332212102</v>
      </c>
      <c r="AC171">
        <v>1.5256553978221301</v>
      </c>
      <c r="AJ171">
        <v>0.77022368278615905</v>
      </c>
      <c r="AK171">
        <v>0.1436472304342</v>
      </c>
      <c r="AL171">
        <v>8.6129086779639097E-2</v>
      </c>
    </row>
    <row r="172" spans="1:38" x14ac:dyDescent="0.2">
      <c r="A172">
        <v>266</v>
      </c>
      <c r="B172">
        <v>778</v>
      </c>
      <c r="C172">
        <v>130</v>
      </c>
      <c r="D172">
        <v>0.46971459829710499</v>
      </c>
      <c r="E172">
        <v>2.4913719781617698</v>
      </c>
      <c r="F172">
        <v>2.57245870880962</v>
      </c>
      <c r="G172">
        <v>-40.626178686138665</v>
      </c>
      <c r="H172">
        <v>-35.049437905701673</v>
      </c>
      <c r="I172">
        <v>5.3053710511696597</v>
      </c>
      <c r="J172">
        <v>3.0254290644101198</v>
      </c>
      <c r="K172">
        <v>0.96847889905087303</v>
      </c>
      <c r="L172">
        <v>3.0425949943116306E-5</v>
      </c>
      <c r="M172">
        <v>1.8008601382064291E-6</v>
      </c>
      <c r="N172" s="1">
        <v>-1.67650123974872E-8</v>
      </c>
      <c r="O172" s="1">
        <v>8.6172189790607893E-12</v>
      </c>
      <c r="P172" s="1">
        <v>6.9784483992359004E-11</v>
      </c>
      <c r="Q172">
        <v>64.624278872838502</v>
      </c>
      <c r="S172">
        <v>21.860988025487298</v>
      </c>
      <c r="AA172">
        <v>2.9563469551502699</v>
      </c>
      <c r="AB172">
        <v>8.9880855405698803</v>
      </c>
      <c r="AC172">
        <v>1.57030060595386</v>
      </c>
      <c r="AJ172">
        <v>0.77118477293631205</v>
      </c>
      <c r="AK172">
        <v>0.14017076398435699</v>
      </c>
      <c r="AL172">
        <v>8.8644463079330202E-2</v>
      </c>
    </row>
    <row r="173" spans="1:38" x14ac:dyDescent="0.2">
      <c r="A173">
        <v>267</v>
      </c>
      <c r="B173">
        <v>776</v>
      </c>
      <c r="C173">
        <v>130</v>
      </c>
      <c r="D173">
        <v>0.46857027117190198</v>
      </c>
      <c r="E173">
        <v>3.5212937494849901</v>
      </c>
      <c r="F173">
        <v>2.5713259595842199</v>
      </c>
      <c r="G173">
        <v>-57.390221226824217</v>
      </c>
      <c r="H173">
        <v>-49.530331029412928</v>
      </c>
      <c r="I173">
        <v>7.4916744006207701</v>
      </c>
      <c r="J173">
        <v>4.2771070883391102</v>
      </c>
      <c r="K173">
        <v>1.3694466609182301</v>
      </c>
      <c r="L173">
        <v>3.0498566418236128E-5</v>
      </c>
      <c r="M173">
        <v>1.8033683744970627E-6</v>
      </c>
      <c r="N173" s="1">
        <v>-2.5241670749280001E-8</v>
      </c>
      <c r="O173" s="1">
        <v>1.2195926612522E-11</v>
      </c>
      <c r="P173" s="1">
        <v>1.03129101110034E-10</v>
      </c>
      <c r="Q173">
        <v>64.7335569456462</v>
      </c>
      <c r="S173">
        <v>21.768674122770399</v>
      </c>
      <c r="AA173">
        <v>2.85468849582736</v>
      </c>
      <c r="AB173">
        <v>8.9895929689670204</v>
      </c>
      <c r="AC173">
        <v>1.6534874667888999</v>
      </c>
      <c r="AJ173">
        <v>0.77131001901140905</v>
      </c>
      <c r="AK173">
        <v>0.13535006221287199</v>
      </c>
      <c r="AL173">
        <v>9.3339918775717998E-2</v>
      </c>
    </row>
    <row r="174" spans="1:38" x14ac:dyDescent="0.2">
      <c r="A174">
        <v>268</v>
      </c>
      <c r="B174">
        <v>774</v>
      </c>
      <c r="C174">
        <v>130</v>
      </c>
      <c r="D174">
        <v>0.46742157284057101</v>
      </c>
      <c r="E174">
        <v>5.3642165898606997</v>
      </c>
      <c r="F174">
        <v>2.5692014262921701</v>
      </c>
      <c r="G174">
        <v>-87.353034759026997</v>
      </c>
      <c r="H174">
        <v>-75.412829257873767</v>
      </c>
      <c r="I174">
        <v>11.402574130882099</v>
      </c>
      <c r="J174">
        <v>6.5161318728446798</v>
      </c>
      <c r="K174">
        <v>2.0878925782017199</v>
      </c>
      <c r="L174">
        <v>3.0571340308507789E-5</v>
      </c>
      <c r="M174">
        <v>1.8068226745861829E-6</v>
      </c>
      <c r="N174" s="1">
        <v>-4.0765429557757202E-8</v>
      </c>
      <c r="O174" s="1">
        <v>1.8636653250420901E-11</v>
      </c>
      <c r="P174" s="1">
        <v>1.6378549777037801E-10</v>
      </c>
      <c r="Q174">
        <v>64.900312943371802</v>
      </c>
      <c r="S174">
        <v>21.615701612703301</v>
      </c>
      <c r="AA174">
        <v>2.68957437633998</v>
      </c>
      <c r="AB174">
        <v>8.9601624458749694</v>
      </c>
      <c r="AC174">
        <v>1.8342486217098899</v>
      </c>
      <c r="AJ174">
        <v>0.768899988854718</v>
      </c>
      <c r="AK174">
        <v>0.12754056016891599</v>
      </c>
      <c r="AL174">
        <v>0.103559450976364</v>
      </c>
    </row>
    <row r="175" spans="1:38" x14ac:dyDescent="0.2">
      <c r="A175">
        <v>269</v>
      </c>
      <c r="B175">
        <v>772</v>
      </c>
      <c r="C175">
        <v>130</v>
      </c>
      <c r="D175">
        <v>0.46626847820886702</v>
      </c>
      <c r="E175">
        <v>7.3088764355418503</v>
      </c>
      <c r="F175">
        <v>2.5668247432725502</v>
      </c>
      <c r="G175">
        <v>-118.90538899113605</v>
      </c>
      <c r="H175">
        <v>-102.68274798236867</v>
      </c>
      <c r="I175">
        <v>15.521830367667199</v>
      </c>
      <c r="J175">
        <v>8.8780862101530307</v>
      </c>
      <c r="K175">
        <v>2.8474388267831001</v>
      </c>
      <c r="L175">
        <v>3.0627447402677281E-5</v>
      </c>
      <c r="M175">
        <v>1.8100024343130098E-6</v>
      </c>
      <c r="N175" s="1">
        <v>-5.8639936972655398E-8</v>
      </c>
      <c r="O175" s="1">
        <v>2.54803522976495E-11</v>
      </c>
      <c r="P175" s="1">
        <v>2.3207394619E-10</v>
      </c>
      <c r="Q175">
        <v>65.064346183211597</v>
      </c>
      <c r="S175">
        <v>21.454760543884799</v>
      </c>
      <c r="AA175">
        <v>2.5185214326214802</v>
      </c>
      <c r="AB175">
        <v>8.9037737900730995</v>
      </c>
      <c r="AC175">
        <v>2.0585980502089001</v>
      </c>
      <c r="AJ175">
        <v>0.76427798892008403</v>
      </c>
      <c r="AK175">
        <v>0.119463071264999</v>
      </c>
      <c r="AL175">
        <v>0.116258939814915</v>
      </c>
    </row>
    <row r="176" spans="1:38" x14ac:dyDescent="0.2">
      <c r="A176">
        <v>270</v>
      </c>
      <c r="B176">
        <v>770</v>
      </c>
      <c r="C176">
        <v>130</v>
      </c>
      <c r="D176">
        <v>0.46511096199012703</v>
      </c>
      <c r="E176">
        <v>9.4489857968049709</v>
      </c>
      <c r="F176">
        <v>2.5639650522927302</v>
      </c>
      <c r="G176">
        <v>-153.53837061934411</v>
      </c>
      <c r="H176">
        <v>-132.62694584959328</v>
      </c>
      <c r="I176">
        <v>20.046421674496301</v>
      </c>
      <c r="J176">
        <v>11.4749282140804</v>
      </c>
      <c r="K176">
        <v>3.6853021020530501</v>
      </c>
      <c r="L176">
        <v>3.0657633652871731E-5</v>
      </c>
      <c r="M176">
        <v>1.8128905828262304E-6</v>
      </c>
      <c r="N176" s="1">
        <v>-7.9525872042484995E-8</v>
      </c>
      <c r="O176" s="1">
        <v>3.30789468801919E-11</v>
      </c>
      <c r="P176" s="1">
        <v>3.1065453906837002E-10</v>
      </c>
      <c r="Q176">
        <v>65.231161178194199</v>
      </c>
      <c r="S176">
        <v>21.275082040464898</v>
      </c>
      <c r="AA176">
        <v>2.3313608289671501</v>
      </c>
      <c r="AB176">
        <v>8.8044615056145403</v>
      </c>
      <c r="AC176">
        <v>2.3579344467591699</v>
      </c>
      <c r="AJ176">
        <v>0.75612943824356904</v>
      </c>
      <c r="AK176">
        <v>0.110640373526011</v>
      </c>
      <c r="AL176">
        <v>0.13323018823041899</v>
      </c>
    </row>
    <row r="177" spans="1:38" x14ac:dyDescent="0.2">
      <c r="A177">
        <v>271</v>
      </c>
      <c r="B177">
        <v>768</v>
      </c>
      <c r="C177">
        <v>130</v>
      </c>
      <c r="D177">
        <v>0.46394899870335798</v>
      </c>
      <c r="E177">
        <v>14.805750976934</v>
      </c>
      <c r="F177">
        <v>2.5688952688296101</v>
      </c>
      <c r="G177">
        <v>-240.70964018514212</v>
      </c>
      <c r="H177">
        <v>-208.0613200935729</v>
      </c>
      <c r="I177">
        <v>31.357940826556302</v>
      </c>
      <c r="J177">
        <v>17.981388390000699</v>
      </c>
      <c r="K177">
        <v>5.7634700630203302</v>
      </c>
      <c r="L177">
        <v>3.0527885841161215E-5</v>
      </c>
      <c r="M177">
        <v>1.8039436717309688E-6</v>
      </c>
      <c r="N177" s="1">
        <v>-1.3118469211429599E-7</v>
      </c>
      <c r="O177" s="1">
        <v>5.1314967942944901E-11</v>
      </c>
      <c r="P177" s="1">
        <v>5.0618855589183901E-10</v>
      </c>
      <c r="Q177">
        <v>64.795314315661003</v>
      </c>
      <c r="S177">
        <v>21.6205708164693</v>
      </c>
      <c r="AA177">
        <v>2.71809151365676</v>
      </c>
      <c r="AB177">
        <v>8.7389438845352903</v>
      </c>
      <c r="AC177">
        <v>2.1270794696775899</v>
      </c>
      <c r="AJ177">
        <v>0.75074106078455505</v>
      </c>
      <c r="AK177">
        <v>0.12903457151918499</v>
      </c>
      <c r="AL177">
        <v>0.12022436769625799</v>
      </c>
    </row>
    <row r="178" spans="1:38" x14ac:dyDescent="0.2">
      <c r="A178">
        <v>272</v>
      </c>
      <c r="B178">
        <v>766</v>
      </c>
      <c r="C178">
        <v>130</v>
      </c>
      <c r="D178">
        <v>0.46278256267141699</v>
      </c>
      <c r="E178">
        <v>16.684677823188601</v>
      </c>
      <c r="F178">
        <v>2.5708568115748598</v>
      </c>
      <c r="G178">
        <v>-271.27297751130226</v>
      </c>
      <c r="H178">
        <v>-234.60112498353016</v>
      </c>
      <c r="I178">
        <v>35.290239645645102</v>
      </c>
      <c r="J178">
        <v>20.269037944904198</v>
      </c>
      <c r="K178">
        <v>6.4899288626533203</v>
      </c>
      <c r="L178">
        <v>3.0512920017222211E-5</v>
      </c>
      <c r="M178">
        <v>1.8007712487007155E-6</v>
      </c>
      <c r="N178" s="1">
        <v>-1.56800440771408E-7</v>
      </c>
      <c r="O178" s="1">
        <v>5.7551416591415999E-11</v>
      </c>
      <c r="P178" s="1">
        <v>5.9660179763243304E-10</v>
      </c>
      <c r="Q178">
        <v>64.631818535658596</v>
      </c>
      <c r="S178">
        <v>21.7518878061179</v>
      </c>
      <c r="AA178">
        <v>2.8645788798283598</v>
      </c>
      <c r="AB178">
        <v>8.7188668658308295</v>
      </c>
      <c r="AC178">
        <v>2.0328479125641499</v>
      </c>
      <c r="AJ178">
        <v>0.74908872762880097</v>
      </c>
      <c r="AK178">
        <v>0.13600184234122101</v>
      </c>
      <c r="AL178">
        <v>0.114909430029976</v>
      </c>
    </row>
    <row r="179" spans="1:38" x14ac:dyDescent="0.2">
      <c r="A179">
        <v>273</v>
      </c>
      <c r="B179">
        <v>764</v>
      </c>
      <c r="C179">
        <v>130</v>
      </c>
      <c r="D179">
        <v>0.461611628019092</v>
      </c>
      <c r="E179">
        <v>17.518959935976302</v>
      </c>
      <c r="F179">
        <v>2.5718099760260298</v>
      </c>
      <c r="G179">
        <v>-284.80859666102651</v>
      </c>
      <c r="H179">
        <v>-246.42334970611498</v>
      </c>
      <c r="I179">
        <v>37.010313797340302</v>
      </c>
      <c r="J179">
        <v>21.290745307726102</v>
      </c>
      <c r="K179">
        <v>6.8119184929232803</v>
      </c>
      <c r="L179">
        <v>3.054109668888035E-5</v>
      </c>
      <c r="M179">
        <v>1.7996487186150455E-6</v>
      </c>
      <c r="N179" s="1">
        <v>-1.7509393580818301E-7</v>
      </c>
      <c r="O179" s="1">
        <v>6.0247582192000096E-11</v>
      </c>
      <c r="P179" s="1">
        <v>6.5681496054620101E-10</v>
      </c>
      <c r="Q179">
        <v>64.563340899499195</v>
      </c>
      <c r="S179">
        <v>21.8087824183484</v>
      </c>
      <c r="AA179">
        <v>2.9274958377212399</v>
      </c>
      <c r="AB179">
        <v>8.7154247480401299</v>
      </c>
      <c r="AC179">
        <v>1.9849560963909001</v>
      </c>
      <c r="AJ179">
        <v>0.74880480198716404</v>
      </c>
      <c r="AK179">
        <v>0.138991147365217</v>
      </c>
      <c r="AL179">
        <v>0.112204050647617</v>
      </c>
    </row>
    <row r="180" spans="1:38" x14ac:dyDescent="0.2">
      <c r="A180">
        <v>274</v>
      </c>
      <c r="B180">
        <v>762</v>
      </c>
      <c r="C180">
        <v>130</v>
      </c>
      <c r="D180">
        <v>0.46043616867121101</v>
      </c>
      <c r="E180">
        <v>18.018422570724201</v>
      </c>
      <c r="F180">
        <v>2.5724309997210901</v>
      </c>
      <c r="G180">
        <v>-292.88388795953961</v>
      </c>
      <c r="H180">
        <v>-253.52604427787057</v>
      </c>
      <c r="I180">
        <v>38.021391761260702</v>
      </c>
      <c r="J180">
        <v>21.907515041527098</v>
      </c>
      <c r="K180">
        <v>7.0044337720536802</v>
      </c>
      <c r="L180">
        <v>3.0586505532343534E-5</v>
      </c>
      <c r="M180">
        <v>1.7992299046202521E-6</v>
      </c>
      <c r="N180" s="1">
        <v>-1.91702592033626E-7</v>
      </c>
      <c r="O180" s="1">
        <v>6.1811240416433594E-11</v>
      </c>
      <c r="P180" s="1">
        <v>7.0922912450888599E-10</v>
      </c>
      <c r="Q180">
        <v>64.526865287356699</v>
      </c>
      <c r="S180">
        <v>21.8408207204406</v>
      </c>
      <c r="AA180">
        <v>2.9624388504331498</v>
      </c>
      <c r="AB180">
        <v>8.7181333763227595</v>
      </c>
      <c r="AC180">
        <v>1.9517417654467299</v>
      </c>
      <c r="AJ180">
        <v>0.74902686682104502</v>
      </c>
      <c r="AK180">
        <v>0.140648165411906</v>
      </c>
      <c r="AL180">
        <v>0.11032496776704701</v>
      </c>
    </row>
    <row r="181" spans="1:38" x14ac:dyDescent="0.2">
      <c r="A181">
        <v>275</v>
      </c>
      <c r="B181">
        <v>760</v>
      </c>
      <c r="C181">
        <v>130</v>
      </c>
      <c r="D181">
        <v>0.45925615835067601</v>
      </c>
      <c r="E181">
        <v>18.3705131573616</v>
      </c>
      <c r="F181">
        <v>2.5729009996935801</v>
      </c>
      <c r="G181">
        <v>-298.55479059012691</v>
      </c>
      <c r="H181">
        <v>-258.55104380049249</v>
      </c>
      <c r="I181">
        <v>38.720173052929702</v>
      </c>
      <c r="J181">
        <v>22.3466776414432</v>
      </c>
      <c r="K181">
        <v>7.1400000075982204</v>
      </c>
      <c r="L181">
        <v>3.0641942046713817E-5</v>
      </c>
      <c r="M181">
        <v>1.7991417466112928E-6</v>
      </c>
      <c r="N181" s="1">
        <v>-2.08152857791017E-7</v>
      </c>
      <c r="O181" s="1">
        <v>6.2873635001752004E-11</v>
      </c>
      <c r="P181" s="1">
        <v>7.5986562725393899E-10</v>
      </c>
      <c r="Q181">
        <v>64.505093986346196</v>
      </c>
      <c r="S181">
        <v>21.861474089023901</v>
      </c>
      <c r="AA181">
        <v>2.9845581264460201</v>
      </c>
      <c r="AB181">
        <v>8.7237626902138601</v>
      </c>
      <c r="AC181">
        <v>1.92511110796985</v>
      </c>
      <c r="AJ181">
        <v>0.74948917487418598</v>
      </c>
      <c r="AK181">
        <v>0.14169429128126401</v>
      </c>
      <c r="AL181">
        <v>0.10881653384454799</v>
      </c>
    </row>
    <row r="182" spans="1:38" x14ac:dyDescent="0.2">
      <c r="A182">
        <v>276</v>
      </c>
      <c r="B182">
        <v>758</v>
      </c>
      <c r="C182">
        <v>130</v>
      </c>
      <c r="D182">
        <v>0.45807157057654202</v>
      </c>
      <c r="E182">
        <v>18.644487776453701</v>
      </c>
      <c r="F182">
        <v>2.5732883724083999</v>
      </c>
      <c r="G182">
        <v>-302.95065400035276</v>
      </c>
      <c r="H182">
        <v>-262.47473986790413</v>
      </c>
      <c r="I182">
        <v>39.253177648691803</v>
      </c>
      <c r="J182">
        <v>22.692252381742001</v>
      </c>
      <c r="K182">
        <v>7.2453938611644499</v>
      </c>
      <c r="L182">
        <v>3.0704764907620095E-5</v>
      </c>
      <c r="M182">
        <v>1.7992415613983867E-6</v>
      </c>
      <c r="N182" s="1">
        <v>-2.2505455565149801E-7</v>
      </c>
      <c r="O182" s="1">
        <v>6.3666750986317906E-11</v>
      </c>
      <c r="P182" s="1">
        <v>8.1107672530705301E-10</v>
      </c>
      <c r="Q182">
        <v>64.491422707630093</v>
      </c>
      <c r="S182">
        <v>21.875863285805401</v>
      </c>
      <c r="AA182">
        <v>2.9996193671143798</v>
      </c>
      <c r="AB182">
        <v>8.7310201287054294</v>
      </c>
      <c r="AC182">
        <v>1.9020745107446</v>
      </c>
      <c r="AJ182">
        <v>0.75008537083695703</v>
      </c>
      <c r="AK182">
        <v>0.14240414977962401</v>
      </c>
      <c r="AL182">
        <v>0.107510479383418</v>
      </c>
    </row>
    <row r="183" spans="1:38" x14ac:dyDescent="0.2">
      <c r="A183">
        <v>277</v>
      </c>
      <c r="B183">
        <v>756</v>
      </c>
      <c r="C183">
        <v>130</v>
      </c>
      <c r="D183">
        <v>0.45688237866200498</v>
      </c>
      <c r="E183">
        <v>18.8718212230782</v>
      </c>
      <c r="F183">
        <v>2.5736249173108501</v>
      </c>
      <c r="G183">
        <v>-306.58482635711891</v>
      </c>
      <c r="H183">
        <v>-265.74097008940902</v>
      </c>
      <c r="I183">
        <v>39.686980778030197</v>
      </c>
      <c r="J183">
        <v>22.982462130904199</v>
      </c>
      <c r="K183">
        <v>7.3327784076621398</v>
      </c>
      <c r="L183">
        <v>3.0773870805547366E-5</v>
      </c>
      <c r="M183">
        <v>1.7994628318907945E-6</v>
      </c>
      <c r="N183" s="1">
        <v>-2.4273129384861598E-7</v>
      </c>
      <c r="O183" s="1">
        <v>6.4295376722545697E-11</v>
      </c>
      <c r="P183" s="1">
        <v>8.6406046116053398E-10</v>
      </c>
      <c r="Q183">
        <v>64.4827621183735</v>
      </c>
      <c r="S183">
        <v>21.886377629389099</v>
      </c>
      <c r="AA183">
        <v>3.0103146383343899</v>
      </c>
      <c r="AB183">
        <v>8.7392851885718397</v>
      </c>
      <c r="AC183">
        <v>1.88126042533112</v>
      </c>
      <c r="AJ183">
        <v>0.75076439379765203</v>
      </c>
      <c r="AK183">
        <v>0.14290599109146099</v>
      </c>
      <c r="AL183">
        <v>0.106329615110886</v>
      </c>
    </row>
    <row r="184" spans="1:38" x14ac:dyDescent="0.2">
      <c r="A184">
        <v>278</v>
      </c>
      <c r="B184">
        <v>754</v>
      </c>
      <c r="C184">
        <v>130</v>
      </c>
      <c r="D184">
        <v>0.45568855571240902</v>
      </c>
      <c r="E184">
        <v>19.068962323427002</v>
      </c>
      <c r="F184">
        <v>2.5739435320034501</v>
      </c>
      <c r="G184">
        <v>-309.72631098316594</v>
      </c>
      <c r="H184">
        <v>-268.5825205649852</v>
      </c>
      <c r="I184">
        <v>40.0562628809625</v>
      </c>
      <c r="J184">
        <v>23.237274760909301</v>
      </c>
      <c r="K184">
        <v>7.4084617965898198</v>
      </c>
      <c r="L184">
        <v>3.0848020338478508E-5</v>
      </c>
      <c r="M184">
        <v>1.7997341710797184E-6</v>
      </c>
      <c r="N184" s="1">
        <v>-2.6138389067029799E-7</v>
      </c>
      <c r="O184" s="1">
        <v>6.4811857753444802E-11</v>
      </c>
      <c r="P184" s="1">
        <v>9.1953000181020601E-10</v>
      </c>
      <c r="Q184">
        <v>64.475833340162097</v>
      </c>
      <c r="S184">
        <v>21.895527517471798</v>
      </c>
      <c r="AA184">
        <v>3.0194801253631698</v>
      </c>
      <c r="AB184">
        <v>8.7478323990095603</v>
      </c>
      <c r="AC184">
        <v>1.86132661799324</v>
      </c>
      <c r="AJ184">
        <v>0.75146656863175398</v>
      </c>
      <c r="AK184">
        <v>0.14333497543953599</v>
      </c>
      <c r="AL184">
        <v>0.10519845592870899</v>
      </c>
    </row>
    <row r="185" spans="1:38" x14ac:dyDescent="0.2">
      <c r="A185">
        <v>279</v>
      </c>
      <c r="B185">
        <v>752</v>
      </c>
      <c r="C185">
        <v>130</v>
      </c>
      <c r="D185">
        <v>0.45449007462322599</v>
      </c>
      <c r="E185">
        <v>19.244438238493601</v>
      </c>
      <c r="F185">
        <v>2.5742263428585601</v>
      </c>
      <c r="G185">
        <v>-312.51309242996848</v>
      </c>
      <c r="H185">
        <v>-271.11830222803098</v>
      </c>
      <c r="I185">
        <v>40.379252013790598</v>
      </c>
      <c r="J185">
        <v>23.467187840451601</v>
      </c>
      <c r="K185">
        <v>7.4758143517106301</v>
      </c>
      <c r="L185">
        <v>3.0928430177061608E-5</v>
      </c>
      <c r="M185">
        <v>1.8000979899218807E-6</v>
      </c>
      <c r="N185" s="1">
        <v>-2.8119191387443298E-7</v>
      </c>
      <c r="O185" s="1">
        <v>6.5247237897437103E-11</v>
      </c>
      <c r="P185" s="1">
        <v>9.7806481771102002E-10</v>
      </c>
      <c r="Q185">
        <v>64.472493818587694</v>
      </c>
      <c r="S185">
        <v>21.901912757536699</v>
      </c>
      <c r="AA185">
        <v>3.0255272455015398</v>
      </c>
      <c r="AB185">
        <v>8.7571301912070094</v>
      </c>
      <c r="AC185">
        <v>1.84293598716691</v>
      </c>
      <c r="AJ185">
        <v>0.75223040094817595</v>
      </c>
      <c r="AK185">
        <v>0.14361537394123799</v>
      </c>
      <c r="AL185">
        <v>0.104154225110584</v>
      </c>
    </row>
    <row r="186" spans="1:38" x14ac:dyDescent="0.2">
      <c r="A186">
        <v>281</v>
      </c>
      <c r="B186">
        <v>790</v>
      </c>
      <c r="C186">
        <v>120</v>
      </c>
      <c r="D186">
        <v>0.486836758688802</v>
      </c>
      <c r="E186">
        <v>0.44759114430790498</v>
      </c>
      <c r="F186">
        <v>2.5737154937786202</v>
      </c>
      <c r="G186">
        <v>-7.3152829628637335</v>
      </c>
      <c r="H186">
        <v>-6.2957620119327915</v>
      </c>
      <c r="I186">
        <v>0.95896247089398601</v>
      </c>
      <c r="J186">
        <v>0.54288729508092504</v>
      </c>
      <c r="K186">
        <v>0.17390855570083599</v>
      </c>
      <c r="L186">
        <v>3.0128199590505117E-5</v>
      </c>
      <c r="M186">
        <v>1.7944990141288207E-6</v>
      </c>
      <c r="N186" s="1">
        <v>-2.0110788523663699E-9</v>
      </c>
      <c r="O186" s="1">
        <v>1.5489711844847799E-12</v>
      </c>
      <c r="P186" s="1">
        <v>9.6015638925463393E-12</v>
      </c>
      <c r="Q186">
        <v>64.369737953424405</v>
      </c>
      <c r="S186">
        <v>22.0624609651443</v>
      </c>
      <c r="AA186">
        <v>3.18195783703319</v>
      </c>
      <c r="AB186">
        <v>8.9490422541742607</v>
      </c>
      <c r="AC186">
        <v>1.43680099022371</v>
      </c>
      <c r="AJ186">
        <v>0.767980038228263</v>
      </c>
      <c r="AK186">
        <v>0.15089629761634499</v>
      </c>
      <c r="AL186">
        <v>8.1123664155390698E-2</v>
      </c>
    </row>
    <row r="187" spans="1:38" x14ac:dyDescent="0.2">
      <c r="A187">
        <v>282</v>
      </c>
      <c r="B187">
        <v>788</v>
      </c>
      <c r="C187">
        <v>120</v>
      </c>
      <c r="D187">
        <v>0.48573764312303003</v>
      </c>
      <c r="E187">
        <v>1.0888290513494201</v>
      </c>
      <c r="F187">
        <v>2.57299025070192</v>
      </c>
      <c r="G187">
        <v>-17.788276419116947</v>
      </c>
      <c r="H187">
        <v>-15.315089633679943</v>
      </c>
      <c r="I187">
        <v>2.33066652729303</v>
      </c>
      <c r="J187">
        <v>1.3208842143519699</v>
      </c>
      <c r="K187">
        <v>0.42317651652678501</v>
      </c>
      <c r="L187">
        <v>3.019075052885288E-5</v>
      </c>
      <c r="M187">
        <v>1.7966239603798237E-6</v>
      </c>
      <c r="N187" s="1">
        <v>-5.2440271303530402E-9</v>
      </c>
      <c r="O187" s="1">
        <v>3.7715287566373496E-12</v>
      </c>
      <c r="P187" s="1">
        <v>2.43890977163524E-11</v>
      </c>
      <c r="Q187">
        <v>64.456631463551304</v>
      </c>
      <c r="S187">
        <v>21.994629035554802</v>
      </c>
      <c r="AA187">
        <v>3.10572038790073</v>
      </c>
      <c r="AB187">
        <v>8.9648495602767504</v>
      </c>
      <c r="AC187">
        <v>1.4781695527162899</v>
      </c>
      <c r="AJ187">
        <v>0.76927742358652396</v>
      </c>
      <c r="AK187">
        <v>0.14726960585047499</v>
      </c>
      <c r="AL187">
        <v>8.3452970562999801E-2</v>
      </c>
    </row>
    <row r="188" spans="1:38" x14ac:dyDescent="0.2">
      <c r="A188">
        <v>283</v>
      </c>
      <c r="B188">
        <v>786</v>
      </c>
      <c r="C188">
        <v>120</v>
      </c>
      <c r="D188">
        <v>0.48463437662276798</v>
      </c>
      <c r="E188">
        <v>1.7305556961083901</v>
      </c>
      <c r="F188">
        <v>2.5722817203869801</v>
      </c>
      <c r="G188">
        <v>-28.260727310280451</v>
      </c>
      <c r="H188">
        <v>-24.340973001347717</v>
      </c>
      <c r="I188">
        <v>3.7008490855239899</v>
      </c>
      <c r="J188">
        <v>2.0997695729634298</v>
      </c>
      <c r="K188">
        <v>0.672770669865834</v>
      </c>
      <c r="L188">
        <v>3.0252745659831943E-5</v>
      </c>
      <c r="M188">
        <v>1.7986693232058081E-6</v>
      </c>
      <c r="N188" s="1">
        <v>-8.9220991458141697E-9</v>
      </c>
      <c r="O188" s="1">
        <v>5.9993230117901603E-12</v>
      </c>
      <c r="P188" s="1">
        <v>4.04846767055028E-11</v>
      </c>
      <c r="Q188">
        <v>64.540270027968006</v>
      </c>
      <c r="S188">
        <v>21.928778542719801</v>
      </c>
      <c r="AA188">
        <v>3.0318771414624899</v>
      </c>
      <c r="AB188">
        <v>8.9785979884437506</v>
      </c>
      <c r="AC188">
        <v>1.5204762994057901</v>
      </c>
      <c r="AJ188">
        <v>0.77040578881538202</v>
      </c>
      <c r="AK188">
        <v>0.143758456015878</v>
      </c>
      <c r="AL188">
        <v>8.5835755168739702E-2</v>
      </c>
    </row>
    <row r="189" spans="1:38" x14ac:dyDescent="0.2">
      <c r="A189">
        <v>284</v>
      </c>
      <c r="B189">
        <v>784</v>
      </c>
      <c r="C189">
        <v>120</v>
      </c>
      <c r="D189">
        <v>0.48352693562881199</v>
      </c>
      <c r="E189">
        <v>2.37226806309633</v>
      </c>
      <c r="F189">
        <v>2.5715895821139698</v>
      </c>
      <c r="G189">
        <v>-38.724351495931998</v>
      </c>
      <c r="H189">
        <v>-33.366303381321266</v>
      </c>
      <c r="I189">
        <v>5.0683896463233404</v>
      </c>
      <c r="J189">
        <v>2.8789580980062</v>
      </c>
      <c r="K189">
        <v>0.922490929188713</v>
      </c>
      <c r="L189">
        <v>3.0314283164309917E-5</v>
      </c>
      <c r="M189">
        <v>1.8006365277012008E-6</v>
      </c>
      <c r="N189" s="1">
        <v>-1.3076902512082399E-8</v>
      </c>
      <c r="O189" s="1">
        <v>8.2300380592077396E-12</v>
      </c>
      <c r="P189" s="1">
        <v>5.7974650316727402E-11</v>
      </c>
      <c r="Q189">
        <v>64.620699195001293</v>
      </c>
      <c r="S189">
        <v>21.864877505989</v>
      </c>
      <c r="AA189">
        <v>2.96039108527525</v>
      </c>
      <c r="AB189">
        <v>8.9903051992464302</v>
      </c>
      <c r="AC189">
        <v>1.5637270144878499</v>
      </c>
      <c r="AJ189">
        <v>0.77136665040371799</v>
      </c>
      <c r="AK189">
        <v>0.14036095074805</v>
      </c>
      <c r="AL189">
        <v>8.8272398848230293E-2</v>
      </c>
    </row>
    <row r="190" spans="1:38" x14ac:dyDescent="0.2">
      <c r="A190">
        <v>285</v>
      </c>
      <c r="B190">
        <v>782</v>
      </c>
      <c r="C190">
        <v>120</v>
      </c>
      <c r="D190">
        <v>0.48241529640335601</v>
      </c>
      <c r="E190">
        <v>3.01347950878408</v>
      </c>
      <c r="F190">
        <v>2.5709134348840701</v>
      </c>
      <c r="G190">
        <v>-49.171144549889995</v>
      </c>
      <c r="H190">
        <v>-42.384200864374897</v>
      </c>
      <c r="I190">
        <v>6.4322074449273403</v>
      </c>
      <c r="J190">
        <v>3.65788681200566</v>
      </c>
      <c r="K190">
        <v>1.17214351440034</v>
      </c>
      <c r="L190">
        <v>3.0375470788285255E-5</v>
      </c>
      <c r="M190">
        <v>1.8025272327381884E-6</v>
      </c>
      <c r="N190" s="1">
        <v>-1.7742330805048601E-8</v>
      </c>
      <c r="O190" s="1">
        <v>1.0461395338475101E-11</v>
      </c>
      <c r="P190" s="1">
        <v>7.6951834236350099E-11</v>
      </c>
      <c r="Q190">
        <v>64.697974271619998</v>
      </c>
      <c r="S190">
        <v>21.802886819651601</v>
      </c>
      <c r="AA190">
        <v>2.8912170516020099</v>
      </c>
      <c r="AB190">
        <v>8.9999919205944892</v>
      </c>
      <c r="AC190">
        <v>1.6079299365317801</v>
      </c>
      <c r="AJ190">
        <v>0.77216176550192706</v>
      </c>
      <c r="AK190">
        <v>0.13707481251690501</v>
      </c>
      <c r="AL190">
        <v>9.0763421981166298E-2</v>
      </c>
    </row>
    <row r="191" spans="1:38" x14ac:dyDescent="0.2">
      <c r="A191">
        <v>286</v>
      </c>
      <c r="B191">
        <v>780</v>
      </c>
      <c r="C191">
        <v>120</v>
      </c>
      <c r="D191">
        <v>0.48129943502824801</v>
      </c>
      <c r="E191">
        <v>4.1046812397073804</v>
      </c>
      <c r="F191">
        <v>2.5697331265384502</v>
      </c>
      <c r="G191">
        <v>-66.93905969852085</v>
      </c>
      <c r="H191">
        <v>-57.720542479424481</v>
      </c>
      <c r="I191">
        <v>8.7532803675605209</v>
      </c>
      <c r="J191">
        <v>4.9832191681120799</v>
      </c>
      <c r="K191">
        <v>1.5973181017581199</v>
      </c>
      <c r="L191">
        <v>3.0440552903369488E-5</v>
      </c>
      <c r="M191">
        <v>1.8049816020250898E-6</v>
      </c>
      <c r="N191" s="1">
        <v>-2.5747443579094801E-8</v>
      </c>
      <c r="O191" s="1">
        <v>1.42713901639573E-11</v>
      </c>
      <c r="P191" s="1">
        <v>1.09420258097486E-10</v>
      </c>
      <c r="Q191">
        <v>64.807116994936607</v>
      </c>
      <c r="S191">
        <v>21.708912093701699</v>
      </c>
      <c r="AA191">
        <v>2.7882199780597801</v>
      </c>
      <c r="AB191">
        <v>8.9968436658809008</v>
      </c>
      <c r="AC191">
        <v>1.69890726742092</v>
      </c>
      <c r="AJ191">
        <v>0.771905433641775</v>
      </c>
      <c r="AK191">
        <v>0.13219400156248901</v>
      </c>
      <c r="AL191">
        <v>9.5900564795734194E-2</v>
      </c>
    </row>
    <row r="192" spans="1:38" x14ac:dyDescent="0.2">
      <c r="A192">
        <v>287</v>
      </c>
      <c r="B192">
        <v>778</v>
      </c>
      <c r="C192">
        <v>120</v>
      </c>
      <c r="D192">
        <v>0.48017932740332298</v>
      </c>
      <c r="E192">
        <v>5.9385313381960296</v>
      </c>
      <c r="F192">
        <v>2.5676402096237099</v>
      </c>
      <c r="G192">
        <v>-96.763539253033258</v>
      </c>
      <c r="H192">
        <v>-83.463637409786557</v>
      </c>
      <c r="I192">
        <v>12.652715448077499</v>
      </c>
      <c r="J192">
        <v>7.2096219723932498</v>
      </c>
      <c r="K192">
        <v>2.3128362439324399</v>
      </c>
      <c r="L192">
        <v>3.0502826449498647E-5</v>
      </c>
      <c r="M192">
        <v>1.8082146834513179E-6</v>
      </c>
      <c r="N192" s="1">
        <v>-3.94802068649217E-8</v>
      </c>
      <c r="O192" s="1">
        <v>2.07121381017911E-11</v>
      </c>
      <c r="P192" s="1">
        <v>1.6475543499248301E-10</v>
      </c>
      <c r="Q192">
        <v>64.966032013504304</v>
      </c>
      <c r="S192">
        <v>21.560474431110801</v>
      </c>
      <c r="AA192">
        <v>2.62867673946687</v>
      </c>
      <c r="AB192">
        <v>8.9618286333813106</v>
      </c>
      <c r="AC192">
        <v>1.8829881825366599</v>
      </c>
      <c r="AJ192">
        <v>0.76903760950868205</v>
      </c>
      <c r="AK192">
        <v>0.12465190404856601</v>
      </c>
      <c r="AL192">
        <v>0.10631048644275</v>
      </c>
    </row>
    <row r="193" spans="1:38" x14ac:dyDescent="0.2">
      <c r="A193">
        <v>288</v>
      </c>
      <c r="B193">
        <v>776</v>
      </c>
      <c r="C193">
        <v>120</v>
      </c>
      <c r="D193">
        <v>0.47905494924462999</v>
      </c>
      <c r="E193">
        <v>7.87775707839352</v>
      </c>
      <c r="F193">
        <v>2.5652879923246101</v>
      </c>
      <c r="G193">
        <v>-128.23592719885028</v>
      </c>
      <c r="H193">
        <v>-110.64319812746734</v>
      </c>
      <c r="I193">
        <v>16.768554612193601</v>
      </c>
      <c r="J193">
        <v>9.5628448128869099</v>
      </c>
      <c r="K193">
        <v>3.0709055287218798</v>
      </c>
      <c r="L193">
        <v>3.0548262308216217E-5</v>
      </c>
      <c r="M193">
        <v>1.8111751471003186E-6</v>
      </c>
      <c r="N193" s="1">
        <v>-5.5258810940139303E-8</v>
      </c>
      <c r="O193" s="1">
        <v>2.75713034592396E-11</v>
      </c>
      <c r="P193" s="1">
        <v>2.2687377657593E-10</v>
      </c>
      <c r="Q193">
        <v>65.122449505855101</v>
      </c>
      <c r="S193">
        <v>21.403694679642399</v>
      </c>
      <c r="AA193">
        <v>2.4628339557332701</v>
      </c>
      <c r="AB193">
        <v>8.8993781270815795</v>
      </c>
      <c r="AC193">
        <v>2.1116437316875798</v>
      </c>
      <c r="AJ193">
        <v>0.763918274603273</v>
      </c>
      <c r="AK193">
        <v>0.116824293282574</v>
      </c>
      <c r="AL193">
        <v>0.119257432114151</v>
      </c>
    </row>
    <row r="194" spans="1:38" x14ac:dyDescent="0.2">
      <c r="A194">
        <v>289</v>
      </c>
      <c r="B194">
        <v>774</v>
      </c>
      <c r="C194">
        <v>120</v>
      </c>
      <c r="D194">
        <v>0.47792627608270499</v>
      </c>
      <c r="E194">
        <v>10.0213516750661</v>
      </c>
      <c r="F194">
        <v>2.56244073152389</v>
      </c>
      <c r="G194">
        <v>-162.9322121238751</v>
      </c>
      <c r="H194">
        <v>-140.61815773294586</v>
      </c>
      <c r="I194">
        <v>21.3093199550487</v>
      </c>
      <c r="J194">
        <v>12.1610436367886</v>
      </c>
      <c r="K194">
        <v>3.9108618403464299</v>
      </c>
      <c r="L194">
        <v>3.0567399087906013E-5</v>
      </c>
      <c r="M194">
        <v>1.8138394010986512E-6</v>
      </c>
      <c r="N194" s="1">
        <v>-7.3661817184491094E-8</v>
      </c>
      <c r="O194" s="1">
        <v>3.5222036815215698E-11</v>
      </c>
      <c r="P194" s="1">
        <v>2.9823989610028002E-10</v>
      </c>
      <c r="Q194">
        <v>65.281754667133697</v>
      </c>
      <c r="S194">
        <v>21.227662900645701</v>
      </c>
      <c r="AA194">
        <v>2.2804342540964702</v>
      </c>
      <c r="AB194">
        <v>8.7928909430570901</v>
      </c>
      <c r="AC194">
        <v>2.4172572350669399</v>
      </c>
      <c r="AJ194">
        <v>0.75518002089337</v>
      </c>
      <c r="AK194">
        <v>0.108229873589392</v>
      </c>
      <c r="AL194">
        <v>0.13659010551723599</v>
      </c>
    </row>
    <row r="195" spans="1:38" x14ac:dyDescent="0.2">
      <c r="A195">
        <v>290</v>
      </c>
      <c r="B195">
        <v>772</v>
      </c>
      <c r="C195">
        <v>120</v>
      </c>
      <c r="D195">
        <v>0.47679328326077502</v>
      </c>
      <c r="E195">
        <v>14.428350931909799</v>
      </c>
      <c r="F195">
        <v>2.5672088910575201</v>
      </c>
      <c r="G195">
        <v>-234.69804301653323</v>
      </c>
      <c r="H195">
        <v>-202.68562046126277</v>
      </c>
      <c r="I195">
        <v>30.629500603042999</v>
      </c>
      <c r="J195">
        <v>17.5091876831207</v>
      </c>
      <c r="K195">
        <v>5.6202481154411403</v>
      </c>
      <c r="L195">
        <v>3.0436516132908874E-5</v>
      </c>
      <c r="M195">
        <v>1.8051645163005033E-6</v>
      </c>
      <c r="N195" s="1">
        <v>-1.11620848824726E-7</v>
      </c>
      <c r="O195" s="1">
        <v>5.0231135530154097E-11</v>
      </c>
      <c r="P195" s="1">
        <v>4.4591695399260902E-10</v>
      </c>
      <c r="Q195">
        <v>64.859688820224605</v>
      </c>
      <c r="S195">
        <v>21.560877623338499</v>
      </c>
      <c r="AA195">
        <v>2.65382310753035</v>
      </c>
      <c r="AB195">
        <v>8.7259055498954492</v>
      </c>
      <c r="AC195">
        <v>2.19970489901096</v>
      </c>
      <c r="AJ195">
        <v>0.74967061317177297</v>
      </c>
      <c r="AK195">
        <v>0.12599193350255</v>
      </c>
      <c r="AL195">
        <v>0.124337453325676</v>
      </c>
    </row>
    <row r="196" spans="1:38" x14ac:dyDescent="0.2">
      <c r="A196">
        <v>291</v>
      </c>
      <c r="B196">
        <v>770</v>
      </c>
      <c r="C196">
        <v>120</v>
      </c>
      <c r="D196">
        <v>0.47565594593299199</v>
      </c>
      <c r="E196">
        <v>16.371239634387599</v>
      </c>
      <c r="F196">
        <v>2.5696244722094499</v>
      </c>
      <c r="G196">
        <v>-266.33880756693122</v>
      </c>
      <c r="H196">
        <v>-230.13516096849204</v>
      </c>
      <c r="I196">
        <v>34.706079277610201</v>
      </c>
      <c r="J196">
        <v>19.8710948240184</v>
      </c>
      <c r="K196">
        <v>6.37106309168633</v>
      </c>
      <c r="L196">
        <v>3.0400757646152292E-5</v>
      </c>
      <c r="M196">
        <v>1.8011407983933822E-6</v>
      </c>
      <c r="N196" s="1">
        <v>-1.3425171765743699E-7</v>
      </c>
      <c r="O196" s="1">
        <v>5.66867012720487E-11</v>
      </c>
      <c r="P196" s="1">
        <v>5.2826640073690798E-10</v>
      </c>
      <c r="Q196">
        <v>64.656258034615107</v>
      </c>
      <c r="S196">
        <v>21.724432318665698</v>
      </c>
      <c r="AA196">
        <v>2.8362251985864502</v>
      </c>
      <c r="AB196">
        <v>8.7013508490489002</v>
      </c>
      <c r="AC196">
        <v>2.08173359908373</v>
      </c>
      <c r="AJ196">
        <v>0.74764941182691103</v>
      </c>
      <c r="AK196">
        <v>0.13466750601397601</v>
      </c>
      <c r="AL196">
        <v>0.117683082159112</v>
      </c>
    </row>
    <row r="197" spans="1:38" x14ac:dyDescent="0.2">
      <c r="A197">
        <v>292</v>
      </c>
      <c r="B197">
        <v>768</v>
      </c>
      <c r="C197">
        <v>120</v>
      </c>
      <c r="D197">
        <v>0.474514239062578</v>
      </c>
      <c r="E197">
        <v>17.2307493030129</v>
      </c>
      <c r="F197">
        <v>2.5707525396883599</v>
      </c>
      <c r="G197">
        <v>-280.30159418813281</v>
      </c>
      <c r="H197">
        <v>-242.31653717549321</v>
      </c>
      <c r="I197">
        <v>36.483750672467501</v>
      </c>
      <c r="J197">
        <v>20.920855110576401</v>
      </c>
      <c r="K197">
        <v>6.7026090753572403</v>
      </c>
      <c r="L197">
        <v>3.0416075236922657E-5</v>
      </c>
      <c r="M197">
        <v>1.7996561103842306E-6</v>
      </c>
      <c r="N197" s="1">
        <v>-1.5024141740500899E-7</v>
      </c>
      <c r="O197" s="1">
        <v>5.9475448907865199E-11</v>
      </c>
      <c r="P197" s="1">
        <v>5.8208558777571795E-10</v>
      </c>
      <c r="Q197">
        <v>64.571679502522997</v>
      </c>
      <c r="S197">
        <v>21.7941016362157</v>
      </c>
      <c r="AA197">
        <v>2.91343834312302</v>
      </c>
      <c r="AB197">
        <v>8.6955192987880192</v>
      </c>
      <c r="AC197">
        <v>2.0252612193500901</v>
      </c>
      <c r="AJ197">
        <v>0.74716877784358604</v>
      </c>
      <c r="AK197">
        <v>0.13833746536601399</v>
      </c>
      <c r="AL197">
        <v>0.114493756790399</v>
      </c>
    </row>
    <row r="198" spans="1:38" x14ac:dyDescent="0.2">
      <c r="A198">
        <v>293</v>
      </c>
      <c r="B198">
        <v>766</v>
      </c>
      <c r="C198">
        <v>120</v>
      </c>
      <c r="D198">
        <v>0.47336813742000999</v>
      </c>
      <c r="E198">
        <v>17.739373285297301</v>
      </c>
      <c r="F198">
        <v>2.5714626517641399</v>
      </c>
      <c r="G198">
        <v>-288.53585149075315</v>
      </c>
      <c r="H198">
        <v>-249.55001113826648</v>
      </c>
      <c r="I198">
        <v>37.517047926176801</v>
      </c>
      <c r="J198">
        <v>21.546386242274998</v>
      </c>
      <c r="K198">
        <v>6.89855373677206</v>
      </c>
      <c r="L198">
        <v>3.0451158583821592E-5</v>
      </c>
      <c r="M198">
        <v>1.7990369195119936E-6</v>
      </c>
      <c r="N198" s="1">
        <v>-1.6464203499774601E-7</v>
      </c>
      <c r="O198" s="1">
        <v>6.1080996596592905E-11</v>
      </c>
      <c r="P198" s="1">
        <v>6.2826317375199005E-10</v>
      </c>
      <c r="Q198">
        <v>64.526829199501904</v>
      </c>
      <c r="S198">
        <v>21.8327477256626</v>
      </c>
      <c r="AA198">
        <v>2.9557869676880801</v>
      </c>
      <c r="AB198">
        <v>8.6968885511019192</v>
      </c>
      <c r="AC198">
        <v>1.9877475560454201</v>
      </c>
      <c r="AJ198">
        <v>0.74728066228585799</v>
      </c>
      <c r="AK198">
        <v>0.140347202227673</v>
      </c>
      <c r="AL198">
        <v>0.112372135486467</v>
      </c>
    </row>
    <row r="199" spans="1:38" x14ac:dyDescent="0.2">
      <c r="A199">
        <v>294</v>
      </c>
      <c r="B199">
        <v>764</v>
      </c>
      <c r="C199">
        <v>120</v>
      </c>
      <c r="D199">
        <v>0.47221761558116099</v>
      </c>
      <c r="E199">
        <v>18.095258288358998</v>
      </c>
      <c r="F199">
        <v>2.5719865575680299</v>
      </c>
      <c r="G199">
        <v>-294.27543232090937</v>
      </c>
      <c r="H199">
        <v>-254.62920959151097</v>
      </c>
      <c r="I199">
        <v>38.226122286456501</v>
      </c>
      <c r="J199">
        <v>21.987807512108098</v>
      </c>
      <c r="K199">
        <v>7.0355182203864599</v>
      </c>
      <c r="L199">
        <v>3.0497085995023114E-5</v>
      </c>
      <c r="M199">
        <v>1.7988157613350445E-6</v>
      </c>
      <c r="N199" s="1">
        <v>-1.78849834111993E-7</v>
      </c>
      <c r="O199" s="1">
        <v>6.2169709664251995E-11</v>
      </c>
      <c r="P199" s="1">
        <v>6.72533918438519E-10</v>
      </c>
      <c r="Q199">
        <v>64.499910009499104</v>
      </c>
      <c r="S199">
        <v>21.857453725046</v>
      </c>
      <c r="AA199">
        <v>2.9824508951267799</v>
      </c>
      <c r="AB199">
        <v>8.7016705689127196</v>
      </c>
      <c r="AC199">
        <v>1.95851480141526</v>
      </c>
      <c r="AJ199">
        <v>0.74767334502848604</v>
      </c>
      <c r="AK199">
        <v>0.14160981412603399</v>
      </c>
      <c r="AL199">
        <v>0.110716840845479</v>
      </c>
    </row>
    <row r="200" spans="1:38" x14ac:dyDescent="0.2">
      <c r="A200">
        <v>295</v>
      </c>
      <c r="B200">
        <v>762</v>
      </c>
      <c r="C200">
        <v>120</v>
      </c>
      <c r="D200">
        <v>0.47106264792542502</v>
      </c>
      <c r="E200">
        <v>18.371030721091898</v>
      </c>
      <c r="F200">
        <v>2.5724101806126098</v>
      </c>
      <c r="G200">
        <v>-298.70593841313297</v>
      </c>
      <c r="H200">
        <v>-258.57844556686717</v>
      </c>
      <c r="I200">
        <v>38.764906386770697</v>
      </c>
      <c r="J200">
        <v>22.3331460675467</v>
      </c>
      <c r="K200">
        <v>7.1415635265122699</v>
      </c>
      <c r="L200">
        <v>3.0550564286222774E-5</v>
      </c>
      <c r="M200">
        <v>1.7988161061557719E-6</v>
      </c>
      <c r="N200" s="1">
        <v>-1.93414519020887E-7</v>
      </c>
      <c r="O200" s="1">
        <v>6.2984475528217794E-11</v>
      </c>
      <c r="P200" s="1">
        <v>7.1710582692405295E-10</v>
      </c>
      <c r="Q200">
        <v>64.482724419376197</v>
      </c>
      <c r="S200">
        <v>21.874607276370799</v>
      </c>
      <c r="AA200">
        <v>3.00061277312115</v>
      </c>
      <c r="AB200">
        <v>8.7083436676900892</v>
      </c>
      <c r="AC200">
        <v>1.9337118634416399</v>
      </c>
      <c r="AJ200">
        <v>0.74822159102548402</v>
      </c>
      <c r="AK200">
        <v>0.142467374364145</v>
      </c>
      <c r="AL200">
        <v>0.10931103461036901</v>
      </c>
    </row>
    <row r="201" spans="1:38" x14ac:dyDescent="0.2">
      <c r="A201">
        <v>296</v>
      </c>
      <c r="B201">
        <v>760</v>
      </c>
      <c r="C201">
        <v>120</v>
      </c>
      <c r="D201">
        <v>0.46990320863379098</v>
      </c>
      <c r="E201">
        <v>18.599368010135599</v>
      </c>
      <c r="F201">
        <v>2.5727728428088099</v>
      </c>
      <c r="G201">
        <v>-302.36091955008663</v>
      </c>
      <c r="H201">
        <v>-261.85870931898256</v>
      </c>
      <c r="I201">
        <v>39.2026426279863</v>
      </c>
      <c r="J201">
        <v>22.622039765022699</v>
      </c>
      <c r="K201">
        <v>7.2293082780794098</v>
      </c>
      <c r="L201">
        <v>3.0610180443709758E-5</v>
      </c>
      <c r="M201">
        <v>1.7989565922695495E-6</v>
      </c>
      <c r="N201" s="1">
        <v>-2.0862242924155201E-7</v>
      </c>
      <c r="O201" s="1">
        <v>6.3633944344587306E-11</v>
      </c>
      <c r="P201" s="1">
        <v>7.6308112990106701E-10</v>
      </c>
      <c r="Q201">
        <v>64.471491060642904</v>
      </c>
      <c r="S201">
        <v>21.887145319606599</v>
      </c>
      <c r="AA201">
        <v>3.0135779378605898</v>
      </c>
      <c r="AB201">
        <v>8.7161808404611492</v>
      </c>
      <c r="AC201">
        <v>1.91160484142859</v>
      </c>
      <c r="AJ201">
        <v>0.74886556216394995</v>
      </c>
      <c r="AK201">
        <v>0.14307733594442601</v>
      </c>
      <c r="AL201">
        <v>0.108057101891623</v>
      </c>
    </row>
    <row r="202" spans="1:38" x14ac:dyDescent="0.2">
      <c r="A202">
        <v>297</v>
      </c>
      <c r="B202">
        <v>758</v>
      </c>
      <c r="C202">
        <v>120</v>
      </c>
      <c r="D202">
        <v>0.46873927168695301</v>
      </c>
      <c r="E202">
        <v>18.7971444616642</v>
      </c>
      <c r="F202">
        <v>2.57309523859597</v>
      </c>
      <c r="G202">
        <v>-305.51594047602907</v>
      </c>
      <c r="H202">
        <v>-264.70809618937318</v>
      </c>
      <c r="I202">
        <v>39.575080528202399</v>
      </c>
      <c r="J202">
        <v>22.8749913887854</v>
      </c>
      <c r="K202">
        <v>7.3052657281045796</v>
      </c>
      <c r="L202">
        <v>3.0675299887252048E-5</v>
      </c>
      <c r="M202">
        <v>1.7991944353114977E-6</v>
      </c>
      <c r="N202" s="1">
        <v>-2.2466024289271299E-7</v>
      </c>
      <c r="O202" s="1">
        <v>6.4173786137066901E-11</v>
      </c>
      <c r="P202" s="1">
        <v>8.1113702397767304E-10</v>
      </c>
      <c r="Q202">
        <v>64.464210207784106</v>
      </c>
      <c r="S202">
        <v>21.896617779072599</v>
      </c>
      <c r="AA202">
        <v>3.02309170138922</v>
      </c>
      <c r="AB202">
        <v>8.7247891342429007</v>
      </c>
      <c r="AC202">
        <v>1.8912911775110299</v>
      </c>
      <c r="AJ202">
        <v>0.74957291325824804</v>
      </c>
      <c r="AK202">
        <v>0.143522852176688</v>
      </c>
      <c r="AL202">
        <v>0.106904234565062</v>
      </c>
    </row>
    <row r="203" spans="1:38" x14ac:dyDescent="0.2">
      <c r="A203">
        <v>298</v>
      </c>
      <c r="B203">
        <v>756</v>
      </c>
      <c r="C203">
        <v>120</v>
      </c>
      <c r="D203">
        <v>0.46757081086333502</v>
      </c>
      <c r="E203">
        <v>18.973417429237099</v>
      </c>
      <c r="F203">
        <v>2.5734042495839602</v>
      </c>
      <c r="G203">
        <v>-308.31961961330785</v>
      </c>
      <c r="H203">
        <v>-267.25518005715401</v>
      </c>
      <c r="I203">
        <v>39.901316189237598</v>
      </c>
      <c r="J203">
        <v>23.102995913697399</v>
      </c>
      <c r="K203">
        <v>7.3728864916207701</v>
      </c>
      <c r="L203">
        <v>3.0744943657124185E-5</v>
      </c>
      <c r="M203">
        <v>1.7994714320798811E-6</v>
      </c>
      <c r="N203" s="1">
        <v>-2.4165326919357799E-7</v>
      </c>
      <c r="O203" s="1">
        <v>6.4631646328054694E-11</v>
      </c>
      <c r="P203" s="1">
        <v>8.6170581460201103E-10</v>
      </c>
      <c r="Q203">
        <v>64.458205048832397</v>
      </c>
      <c r="S203">
        <v>21.905074831226401</v>
      </c>
      <c r="AA203">
        <v>3.0314700777549901</v>
      </c>
      <c r="AB203">
        <v>8.7335782212155397</v>
      </c>
      <c r="AC203">
        <v>1.87167182097061</v>
      </c>
      <c r="AJ203">
        <v>0.75029507902811798</v>
      </c>
      <c r="AK203">
        <v>0.14391430342036801</v>
      </c>
      <c r="AL203">
        <v>0.10579061755151201</v>
      </c>
    </row>
    <row r="204" spans="1:38" x14ac:dyDescent="0.2">
      <c r="A204">
        <v>300</v>
      </c>
      <c r="B204">
        <v>796</v>
      </c>
      <c r="C204">
        <v>110</v>
      </c>
      <c r="D204">
        <v>0.50039797970350297</v>
      </c>
      <c r="E204">
        <v>0.54590851496826198</v>
      </c>
      <c r="F204">
        <v>2.5724791858109501</v>
      </c>
      <c r="G204">
        <v>-8.9309228788345507</v>
      </c>
      <c r="H204">
        <v>-7.6763158968905048</v>
      </c>
      <c r="I204">
        <v>1.1734620791694701</v>
      </c>
      <c r="J204">
        <v>0.66195538296591505</v>
      </c>
      <c r="K204">
        <v>0.21221105227180601</v>
      </c>
      <c r="L204">
        <v>3.0064593549982305E-5</v>
      </c>
      <c r="M204">
        <v>1.7951588819723688E-6</v>
      </c>
      <c r="N204" s="1">
        <v>-1.9811011410584998E-9</v>
      </c>
      <c r="O204" s="1">
        <v>1.8946914332482201E-12</v>
      </c>
      <c r="P204" s="1">
        <v>1.03130273463328E-11</v>
      </c>
      <c r="Q204">
        <v>64.402188116625496</v>
      </c>
      <c r="S204">
        <v>22.0379338395099</v>
      </c>
      <c r="AA204">
        <v>3.1541509052862899</v>
      </c>
      <c r="AB204">
        <v>8.9570546543650593</v>
      </c>
      <c r="AC204">
        <v>1.44867248421316</v>
      </c>
      <c r="AJ204">
        <v>0.76863750252262097</v>
      </c>
      <c r="AK204">
        <v>0.149571760000347</v>
      </c>
      <c r="AL204">
        <v>8.1790737477030903E-2</v>
      </c>
    </row>
    <row r="205" spans="1:38" x14ac:dyDescent="0.2">
      <c r="A205">
        <v>301</v>
      </c>
      <c r="B205">
        <v>794</v>
      </c>
      <c r="C205">
        <v>110</v>
      </c>
      <c r="D205">
        <v>0.49933045963547601</v>
      </c>
      <c r="E205">
        <v>1.17738749385194</v>
      </c>
      <c r="F205">
        <v>2.5717796442528802</v>
      </c>
      <c r="G205">
        <v>-19.25403211345602</v>
      </c>
      <c r="H205">
        <v>-16.555696561873699</v>
      </c>
      <c r="I205">
        <v>2.5285438331840102</v>
      </c>
      <c r="J205">
        <v>1.4278478944353099</v>
      </c>
      <c r="K205">
        <v>0.45781041018931401</v>
      </c>
      <c r="L205">
        <v>3.0120818717743699E-5</v>
      </c>
      <c r="M205">
        <v>1.7971987484387502E-6</v>
      </c>
      <c r="N205" s="1">
        <v>-4.5954500551437998E-9</v>
      </c>
      <c r="O205" s="1">
        <v>4.09034608910502E-12</v>
      </c>
      <c r="P205" s="1">
        <v>2.3192317587995098E-11</v>
      </c>
      <c r="Q205">
        <v>64.4860219637021</v>
      </c>
      <c r="S205">
        <v>21.972359686557599</v>
      </c>
      <c r="AA205">
        <v>3.0804900755417601</v>
      </c>
      <c r="AB205">
        <v>8.9719627203979204</v>
      </c>
      <c r="AC205">
        <v>1.4891655538005599</v>
      </c>
      <c r="AJ205">
        <v>0.76986102150512004</v>
      </c>
      <c r="AK205">
        <v>0.14606813207705199</v>
      </c>
      <c r="AL205">
        <v>8.4070846417827402E-2</v>
      </c>
    </row>
    <row r="206" spans="1:38" x14ac:dyDescent="0.2">
      <c r="A206">
        <v>302</v>
      </c>
      <c r="B206">
        <v>792</v>
      </c>
      <c r="C206">
        <v>110</v>
      </c>
      <c r="D206">
        <v>0.49825893066704502</v>
      </c>
      <c r="E206">
        <v>1.80894865204692</v>
      </c>
      <c r="F206">
        <v>2.5710964838387902</v>
      </c>
      <c r="G206">
        <v>-29.570145828634779</v>
      </c>
      <c r="H206">
        <v>-25.436005596420621</v>
      </c>
      <c r="I206">
        <v>3.8812751558129301</v>
      </c>
      <c r="J206">
        <v>2.1940456194343998</v>
      </c>
      <c r="K206">
        <v>0.70357089413698803</v>
      </c>
      <c r="L206">
        <v>3.0176351939781111E-5</v>
      </c>
      <c r="M206">
        <v>1.7991618890095285E-6</v>
      </c>
      <c r="N206" s="1">
        <v>-7.5803589367606303E-9</v>
      </c>
      <c r="O206" s="1">
        <v>6.2900728910636901E-12</v>
      </c>
      <c r="P206" s="1">
        <v>3.7161380405407202E-11</v>
      </c>
      <c r="Q206">
        <v>64.566726529851394</v>
      </c>
      <c r="S206">
        <v>21.908699880175899</v>
      </c>
      <c r="AA206">
        <v>3.0091387762437298</v>
      </c>
      <c r="AB206">
        <v>8.9849160600866202</v>
      </c>
      <c r="AC206">
        <v>1.53051875364229</v>
      </c>
      <c r="AJ206">
        <v>0.77092409184750199</v>
      </c>
      <c r="AK206">
        <v>0.14267589355367999</v>
      </c>
      <c r="AL206">
        <v>8.6400014598816702E-2</v>
      </c>
    </row>
    <row r="207" spans="1:38" x14ac:dyDescent="0.2">
      <c r="A207">
        <v>303</v>
      </c>
      <c r="B207">
        <v>790</v>
      </c>
      <c r="C207">
        <v>110</v>
      </c>
      <c r="D207">
        <v>0.49718337017354403</v>
      </c>
      <c r="E207">
        <v>2.4401203787454202</v>
      </c>
      <c r="F207">
        <v>2.57042938341205</v>
      </c>
      <c r="G207">
        <v>-39.871500711157744</v>
      </c>
      <c r="H207">
        <v>-34.310583813244001</v>
      </c>
      <c r="I207">
        <v>5.2306042401483603</v>
      </c>
      <c r="J207">
        <v>2.9599956446087599</v>
      </c>
      <c r="K207">
        <v>0.94930457708445104</v>
      </c>
      <c r="L207">
        <v>3.0231279846269356E-5</v>
      </c>
      <c r="M207">
        <v>1.8010497503608422E-6</v>
      </c>
      <c r="N207" s="1">
        <v>-1.0960959389153799E-8</v>
      </c>
      <c r="O207" s="1">
        <v>8.4917246223802002E-12</v>
      </c>
      <c r="P207" s="1">
        <v>5.2288556346448303E-11</v>
      </c>
      <c r="Q207">
        <v>64.644349700518902</v>
      </c>
      <c r="S207">
        <v>21.846921518654799</v>
      </c>
      <c r="AA207">
        <v>2.9400586897304799</v>
      </c>
      <c r="AB207">
        <v>8.9959351274686998</v>
      </c>
      <c r="AC207">
        <v>1.5727349636269701</v>
      </c>
      <c r="AJ207">
        <v>0.77182845171522096</v>
      </c>
      <c r="AK207">
        <v>0.139393094397323</v>
      </c>
      <c r="AL207">
        <v>8.8778453887455297E-2</v>
      </c>
    </row>
    <row r="208" spans="1:38" x14ac:dyDescent="0.2">
      <c r="A208">
        <v>304</v>
      </c>
      <c r="B208">
        <v>788</v>
      </c>
      <c r="C208">
        <v>110</v>
      </c>
      <c r="D208">
        <v>0.49610375535975398</v>
      </c>
      <c r="E208">
        <v>3.0704479629819099</v>
      </c>
      <c r="F208">
        <v>2.5697779507640899</v>
      </c>
      <c r="G208">
        <v>-50.150621540755012</v>
      </c>
      <c r="H208">
        <v>-43.173008420370451</v>
      </c>
      <c r="I208">
        <v>6.5755200682132999</v>
      </c>
      <c r="J208">
        <v>3.7251676111416199</v>
      </c>
      <c r="K208">
        <v>1.1948300677375401</v>
      </c>
      <c r="L208">
        <v>3.0285697068806975E-5</v>
      </c>
      <c r="M208">
        <v>1.8028639839527872E-6</v>
      </c>
      <c r="N208" s="1">
        <v>-1.47641239166646E-8</v>
      </c>
      <c r="O208" s="1">
        <v>1.06931986719883E-11</v>
      </c>
      <c r="P208" s="1">
        <v>6.8647153655331896E-11</v>
      </c>
      <c r="Q208">
        <v>64.718947984009901</v>
      </c>
      <c r="S208">
        <v>21.786985410660598</v>
      </c>
      <c r="AA208">
        <v>2.8732042973099001</v>
      </c>
      <c r="AB208">
        <v>9.0050431030956908</v>
      </c>
      <c r="AC208">
        <v>1.61581920492382</v>
      </c>
      <c r="AJ208">
        <v>0.77257605294773701</v>
      </c>
      <c r="AK208">
        <v>0.13621744942771699</v>
      </c>
      <c r="AL208">
        <v>9.1206497624545704E-2</v>
      </c>
    </row>
    <row r="209" spans="1:38" x14ac:dyDescent="0.2">
      <c r="A209">
        <v>305</v>
      </c>
      <c r="B209">
        <v>786</v>
      </c>
      <c r="C209">
        <v>110</v>
      </c>
      <c r="D209">
        <v>0.49502006325827702</v>
      </c>
      <c r="E209">
        <v>3.69949826631803</v>
      </c>
      <c r="F209">
        <v>2.56914172646735</v>
      </c>
      <c r="G209">
        <v>-60.400396535355611</v>
      </c>
      <c r="H209">
        <v>-52.017158219830137</v>
      </c>
      <c r="I209">
        <v>7.9150623759859204</v>
      </c>
      <c r="J209">
        <v>4.4890595483131603</v>
      </c>
      <c r="K209">
        <v>1.4399743806290299</v>
      </c>
      <c r="L209">
        <v>3.0339705868637516E-5</v>
      </c>
      <c r="M209">
        <v>1.8046064217972504E-6</v>
      </c>
      <c r="N209" s="1">
        <v>-1.90186568085172E-8</v>
      </c>
      <c r="O209" s="1">
        <v>1.28924546976942E-11</v>
      </c>
      <c r="P209" s="1">
        <v>8.6316018309086396E-11</v>
      </c>
      <c r="Q209">
        <v>64.790585571077102</v>
      </c>
      <c r="S209">
        <v>21.728846629455798</v>
      </c>
      <c r="AA209">
        <v>2.8085235559288</v>
      </c>
      <c r="AB209">
        <v>9.0122652513354602</v>
      </c>
      <c r="AC209">
        <v>1.65977899220271</v>
      </c>
      <c r="AJ209">
        <v>0.77316900862539595</v>
      </c>
      <c r="AK209">
        <v>0.133146370788365</v>
      </c>
      <c r="AL209">
        <v>9.3684620586237902E-2</v>
      </c>
    </row>
    <row r="210" spans="1:38" x14ac:dyDescent="0.2">
      <c r="A210">
        <v>306</v>
      </c>
      <c r="B210">
        <v>784</v>
      </c>
      <c r="C210">
        <v>110</v>
      </c>
      <c r="D210">
        <v>0.49393227072789903</v>
      </c>
      <c r="E210">
        <v>5.1939541097019504</v>
      </c>
      <c r="F210">
        <v>2.5675156004317001</v>
      </c>
      <c r="G210">
        <v>-84.740496021443889</v>
      </c>
      <c r="H210">
        <v>-73.003539364780352</v>
      </c>
      <c r="I210">
        <v>11.102451550549601</v>
      </c>
      <c r="J210">
        <v>6.3026488852337703</v>
      </c>
      <c r="K210">
        <v>2.0229493868814701</v>
      </c>
      <c r="L210">
        <v>3.039799157806676E-5</v>
      </c>
      <c r="M210">
        <v>1.8074061281386941E-6</v>
      </c>
      <c r="N210" s="1">
        <v>-2.84081132161677E-8</v>
      </c>
      <c r="O210" s="1">
        <v>1.81444420532652E-11</v>
      </c>
      <c r="P210" s="1">
        <v>1.26149139724555E-10</v>
      </c>
      <c r="Q210">
        <v>64.923294155188202</v>
      </c>
      <c r="S210">
        <v>21.608600284439099</v>
      </c>
      <c r="AA210">
        <v>2.6783533562062001</v>
      </c>
      <c r="AB210">
        <v>8.9927577889244095</v>
      </c>
      <c r="AC210">
        <v>1.7969944152419599</v>
      </c>
      <c r="AJ210">
        <v>0.77157235254656198</v>
      </c>
      <c r="AK210">
        <v>0.12698792431948899</v>
      </c>
      <c r="AL210">
        <v>0.101439723133947</v>
      </c>
    </row>
    <row r="211" spans="1:38" x14ac:dyDescent="0.2">
      <c r="A211">
        <v>307</v>
      </c>
      <c r="B211">
        <v>782</v>
      </c>
      <c r="C211">
        <v>110</v>
      </c>
      <c r="D211">
        <v>0.49284035445197399</v>
      </c>
      <c r="E211">
        <v>7.0433190080089201</v>
      </c>
      <c r="F211">
        <v>2.5653936458897499</v>
      </c>
      <c r="G211">
        <v>-114.81141058103844</v>
      </c>
      <c r="H211">
        <v>-98.940106076028528</v>
      </c>
      <c r="I211">
        <v>15.041751888366401</v>
      </c>
      <c r="J211">
        <v>8.5459493584841493</v>
      </c>
      <c r="K211">
        <v>2.74551198771917</v>
      </c>
      <c r="L211">
        <v>3.0445672827814277E-5</v>
      </c>
      <c r="M211">
        <v>1.8103429710590937E-6</v>
      </c>
      <c r="N211" s="1">
        <v>-4.0781457579872102E-8</v>
      </c>
      <c r="O211" s="1">
        <v>2.4684392301153001E-11</v>
      </c>
      <c r="P211" s="1">
        <v>1.7760156569661799E-10</v>
      </c>
      <c r="Q211">
        <v>65.073376615171497</v>
      </c>
      <c r="S211">
        <v>21.4629086748836</v>
      </c>
      <c r="AA211">
        <v>2.5231365962817498</v>
      </c>
      <c r="AB211">
        <v>8.9452590082460404</v>
      </c>
      <c r="AC211">
        <v>1.9953191054169599</v>
      </c>
      <c r="AJ211">
        <v>0.76768065354926096</v>
      </c>
      <c r="AK211">
        <v>0.119657308295523</v>
      </c>
      <c r="AL211">
        <v>0.112662038155214</v>
      </c>
    </row>
    <row r="212" spans="1:38" x14ac:dyDescent="0.2">
      <c r="A212">
        <v>308</v>
      </c>
      <c r="B212">
        <v>780</v>
      </c>
      <c r="C212">
        <v>110</v>
      </c>
      <c r="D212">
        <v>0.49174429093671501</v>
      </c>
      <c r="E212">
        <v>9.0226823867168893</v>
      </c>
      <c r="F212">
        <v>2.56295742145856</v>
      </c>
      <c r="G212">
        <v>-146.92309552620793</v>
      </c>
      <c r="H212">
        <v>-126.65005916058907</v>
      </c>
      <c r="I212">
        <v>19.2499039696328</v>
      </c>
      <c r="J212">
        <v>10.944997806826301</v>
      </c>
      <c r="K212">
        <v>3.5204183694874298</v>
      </c>
      <c r="L212">
        <v>3.0474468484437509E-5</v>
      </c>
      <c r="M212">
        <v>1.8130034468765697E-6</v>
      </c>
      <c r="N212" s="1">
        <v>-5.50087025597053E-8</v>
      </c>
      <c r="O212" s="1">
        <v>3.1737318421981402E-11</v>
      </c>
      <c r="P212" s="1">
        <v>2.3548001075415999E-10</v>
      </c>
      <c r="Q212">
        <v>65.222238501424798</v>
      </c>
      <c r="S212">
        <v>21.3063022268766</v>
      </c>
      <c r="AA212">
        <v>2.3591997870692798</v>
      </c>
      <c r="AB212">
        <v>8.8664255764283801</v>
      </c>
      <c r="AC212">
        <v>2.2458339082008201</v>
      </c>
      <c r="AJ212">
        <v>0.76121598126574397</v>
      </c>
      <c r="AK212">
        <v>0.111926992701642</v>
      </c>
      <c r="AL212">
        <v>0.12685702603261201</v>
      </c>
    </row>
    <row r="213" spans="1:38" x14ac:dyDescent="0.2">
      <c r="A213">
        <v>309</v>
      </c>
      <c r="B213">
        <v>778</v>
      </c>
      <c r="C213">
        <v>110</v>
      </c>
      <c r="D213">
        <v>0.49064405650953802</v>
      </c>
      <c r="E213">
        <v>11.2264253061015</v>
      </c>
      <c r="F213">
        <v>2.56008639328609</v>
      </c>
      <c r="G213">
        <v>-182.57468998863334</v>
      </c>
      <c r="H213">
        <v>-157.4256435844548</v>
      </c>
      <c r="I213">
        <v>23.9252688999462</v>
      </c>
      <c r="J213">
        <v>13.6118603273509</v>
      </c>
      <c r="K213">
        <v>4.3851743970606396</v>
      </c>
      <c r="L213">
        <v>3.0471377050517172E-5</v>
      </c>
      <c r="M213">
        <v>1.8151555102197224E-6</v>
      </c>
      <c r="N213" s="1">
        <v>-7.14901851364889E-8</v>
      </c>
      <c r="O213" s="1">
        <v>3.9658634641626503E-11</v>
      </c>
      <c r="P213" s="1">
        <v>3.0169060036948302E-10</v>
      </c>
      <c r="Q213">
        <v>65.365196602118601</v>
      </c>
      <c r="S213">
        <v>21.1360239376036</v>
      </c>
      <c r="AA213">
        <v>2.1853611364744299</v>
      </c>
      <c r="AB213">
        <v>8.7385933657004102</v>
      </c>
      <c r="AC213">
        <v>2.5748249581028202</v>
      </c>
      <c r="AJ213">
        <v>0.75072084914610004</v>
      </c>
      <c r="AK213">
        <v>0.103745902358806</v>
      </c>
      <c r="AL213">
        <v>0.145533248495093</v>
      </c>
    </row>
    <row r="214" spans="1:38" x14ac:dyDescent="0.2">
      <c r="A214">
        <v>310</v>
      </c>
      <c r="B214">
        <v>776</v>
      </c>
      <c r="C214">
        <v>110</v>
      </c>
      <c r="D214">
        <v>0.48953962731735601</v>
      </c>
      <c r="E214">
        <v>14.7725251682918</v>
      </c>
      <c r="F214">
        <v>2.5663387369683099</v>
      </c>
      <c r="G214">
        <v>-240.45492853970475</v>
      </c>
      <c r="H214">
        <v>-207.48131475614326</v>
      </c>
      <c r="I214">
        <v>31.428884128638899</v>
      </c>
      <c r="J214">
        <v>17.9138671717992</v>
      </c>
      <c r="K214">
        <v>5.7562647344609896</v>
      </c>
      <c r="L214">
        <v>3.0324954319131812E-5</v>
      </c>
      <c r="M214">
        <v>1.8047752630635745E-6</v>
      </c>
      <c r="N214" s="1">
        <v>-9.9429990048596399E-8</v>
      </c>
      <c r="O214" s="1">
        <v>5.1565187600412101E-11</v>
      </c>
      <c r="P214" s="1">
        <v>4.1309534081865303E-10</v>
      </c>
      <c r="Q214">
        <v>64.847362809269697</v>
      </c>
      <c r="S214">
        <v>21.5612237329164</v>
      </c>
      <c r="AA214">
        <v>2.6569847576249401</v>
      </c>
      <c r="AB214">
        <v>8.6993450666323398</v>
      </c>
      <c r="AC214">
        <v>2.2350836335565698</v>
      </c>
      <c r="AJ214">
        <v>0.74748740451931905</v>
      </c>
      <c r="AK214">
        <v>0.12615869109263</v>
      </c>
      <c r="AL214">
        <v>0.126353904388049</v>
      </c>
    </row>
    <row r="215" spans="1:38" x14ac:dyDescent="0.2">
      <c r="A215">
        <v>311</v>
      </c>
      <c r="B215">
        <v>774</v>
      </c>
      <c r="C215">
        <v>110</v>
      </c>
      <c r="D215">
        <v>0.48843097932483898</v>
      </c>
      <c r="E215">
        <v>16.315462434694901</v>
      </c>
      <c r="F215">
        <v>2.5686702917194002</v>
      </c>
      <c r="G215">
        <v>-265.60392920472771</v>
      </c>
      <c r="H215">
        <v>-229.30496431136675</v>
      </c>
      <c r="I215">
        <v>34.664532200125002</v>
      </c>
      <c r="J215">
        <v>19.788385824040098</v>
      </c>
      <c r="K215">
        <v>6.3517153163996802</v>
      </c>
      <c r="L215">
        <v>3.0289286535434503E-5</v>
      </c>
      <c r="M215">
        <v>1.800956683429222E-6</v>
      </c>
      <c r="N215" s="1">
        <v>-1.16516078338333E-7</v>
      </c>
      <c r="O215" s="1">
        <v>5.6660482792589297E-11</v>
      </c>
      <c r="P215" s="1">
        <v>4.75981637428728E-10</v>
      </c>
      <c r="Q215">
        <v>64.653578952587495</v>
      </c>
      <c r="S215">
        <v>21.717840578795801</v>
      </c>
      <c r="AA215">
        <v>2.8314120728654601</v>
      </c>
      <c r="AB215">
        <v>8.6780995553434508</v>
      </c>
      <c r="AC215">
        <v>2.1190688404076599</v>
      </c>
      <c r="AJ215">
        <v>0.74573790401817197</v>
      </c>
      <c r="AK215">
        <v>0.134454536390128</v>
      </c>
      <c r="AL215">
        <v>0.119807559591698</v>
      </c>
    </row>
    <row r="216" spans="1:38" x14ac:dyDescent="0.2">
      <c r="A216">
        <v>312</v>
      </c>
      <c r="B216">
        <v>772</v>
      </c>
      <c r="C216">
        <v>110</v>
      </c>
      <c r="D216">
        <v>0.48731808831268297</v>
      </c>
      <c r="E216">
        <v>17.066676666957601</v>
      </c>
      <c r="F216">
        <v>2.5698298440665899</v>
      </c>
      <c r="G216">
        <v>-277.81487400393297</v>
      </c>
      <c r="H216">
        <v>-239.9629934072218</v>
      </c>
      <c r="I216">
        <v>36.216696738947597</v>
      </c>
      <c r="J216">
        <v>20.704826797222601</v>
      </c>
      <c r="K216">
        <v>6.6411699227333703</v>
      </c>
      <c r="L216">
        <v>3.0298556357547259E-5</v>
      </c>
      <c r="M216">
        <v>1.7994119516697182E-6</v>
      </c>
      <c r="N216" s="1">
        <v>-1.29655966921967E-7</v>
      </c>
      <c r="O216" s="1">
        <v>5.9089318221946097E-11</v>
      </c>
      <c r="P216" s="1">
        <v>5.20658394093919E-10</v>
      </c>
      <c r="Q216">
        <v>64.566730168360195</v>
      </c>
      <c r="S216">
        <v>21.789555991892598</v>
      </c>
      <c r="AA216">
        <v>2.9108429994779002</v>
      </c>
      <c r="AB216">
        <v>8.6725729754116898</v>
      </c>
      <c r="AC216">
        <v>2.0602978648575001</v>
      </c>
      <c r="AJ216">
        <v>0.74528220374070198</v>
      </c>
      <c r="AK216">
        <v>0.138230016616741</v>
      </c>
      <c r="AL216">
        <v>0.11648777964255599</v>
      </c>
    </row>
    <row r="217" spans="1:38" x14ac:dyDescent="0.2">
      <c r="A217">
        <v>313</v>
      </c>
      <c r="B217">
        <v>770</v>
      </c>
      <c r="C217">
        <v>110</v>
      </c>
      <c r="D217">
        <v>0.486200929875856</v>
      </c>
      <c r="E217">
        <v>17.531573743913398</v>
      </c>
      <c r="F217">
        <v>2.5705738263317501</v>
      </c>
      <c r="G217">
        <v>-285.34492899914432</v>
      </c>
      <c r="H217">
        <v>-246.58129790290965</v>
      </c>
      <c r="I217">
        <v>37.160169770631803</v>
      </c>
      <c r="J217">
        <v>21.275402038137099</v>
      </c>
      <c r="K217">
        <v>6.8201012413369497</v>
      </c>
      <c r="L217">
        <v>3.0326617639244783E-5</v>
      </c>
      <c r="M217">
        <v>1.798713921855112E-6</v>
      </c>
      <c r="N217" s="1">
        <v>-1.4181788023098101E-7</v>
      </c>
      <c r="O217" s="1">
        <v>6.0556745912604301E-11</v>
      </c>
      <c r="P217" s="1">
        <v>5.6003105477758305E-10</v>
      </c>
      <c r="Q217">
        <v>64.518950063578302</v>
      </c>
      <c r="S217">
        <v>21.830622140569801</v>
      </c>
      <c r="AA217">
        <v>2.9558718268753301</v>
      </c>
      <c r="AB217">
        <v>8.6737578214930604</v>
      </c>
      <c r="AC217">
        <v>2.0207981474833399</v>
      </c>
      <c r="AJ217">
        <v>0.74537890943839202</v>
      </c>
      <c r="AK217">
        <v>0.14036738090995099</v>
      </c>
      <c r="AL217">
        <v>0.114253709651656</v>
      </c>
    </row>
    <row r="218" spans="1:38" x14ac:dyDescent="0.2">
      <c r="A218">
        <v>314</v>
      </c>
      <c r="B218">
        <v>768</v>
      </c>
      <c r="C218">
        <v>110</v>
      </c>
      <c r="D218">
        <v>0.48507947942179502</v>
      </c>
      <c r="E218">
        <v>17.8652894077944</v>
      </c>
      <c r="F218">
        <v>2.5711250101037599</v>
      </c>
      <c r="G218">
        <v>-290.72944012880953</v>
      </c>
      <c r="H218">
        <v>-251.34839369637314</v>
      </c>
      <c r="I218">
        <v>37.824565559656499</v>
      </c>
      <c r="J218">
        <v>21.687974506225</v>
      </c>
      <c r="K218">
        <v>6.9484328212705</v>
      </c>
      <c r="L218">
        <v>3.0365184823465263E-5</v>
      </c>
      <c r="M218">
        <v>1.7984210817616659E-6</v>
      </c>
      <c r="N218" s="1">
        <v>-1.5393917751390499E-7</v>
      </c>
      <c r="O218" s="1">
        <v>6.1582272273999702E-11</v>
      </c>
      <c r="P218" s="1">
        <v>5.9813573148268399E-10</v>
      </c>
      <c r="Q218">
        <v>64.4895503930139</v>
      </c>
      <c r="S218">
        <v>21.8573406663882</v>
      </c>
      <c r="AA218">
        <v>2.9847748954583202</v>
      </c>
      <c r="AB218">
        <v>8.6782883210658905</v>
      </c>
      <c r="AC218">
        <v>1.9900457240735301</v>
      </c>
      <c r="AJ218">
        <v>0.74575096718872502</v>
      </c>
      <c r="AK218">
        <v>0.141736637051843</v>
      </c>
      <c r="AL218">
        <v>0.11251239575943001</v>
      </c>
    </row>
    <row r="219" spans="1:38" x14ac:dyDescent="0.2">
      <c r="A219">
        <v>315</v>
      </c>
      <c r="B219">
        <v>766</v>
      </c>
      <c r="C219">
        <v>110</v>
      </c>
      <c r="D219">
        <v>0.483953712168602</v>
      </c>
      <c r="E219">
        <v>18.128239273131701</v>
      </c>
      <c r="F219">
        <v>2.5715701038486101</v>
      </c>
      <c r="G219">
        <v>-294.95598350146537</v>
      </c>
      <c r="H219">
        <v>-255.1168541385855</v>
      </c>
      <c r="I219">
        <v>38.3381892536013</v>
      </c>
      <c r="J219">
        <v>22.015717589529402</v>
      </c>
      <c r="K219">
        <v>7.0494828221874997</v>
      </c>
      <c r="L219">
        <v>3.041101542785037E-5</v>
      </c>
      <c r="M219">
        <v>1.7983579674091327E-6</v>
      </c>
      <c r="N219" s="1">
        <v>-1.66416024070176E-7</v>
      </c>
      <c r="O219" s="1">
        <v>6.2367106778429298E-11</v>
      </c>
      <c r="P219" s="1">
        <v>6.3663159048232297E-10</v>
      </c>
      <c r="Q219">
        <v>64.470351374642306</v>
      </c>
      <c r="S219">
        <v>21.876115557420899</v>
      </c>
      <c r="AA219">
        <v>3.0047442012693502</v>
      </c>
      <c r="AB219">
        <v>8.68472515577945</v>
      </c>
      <c r="AC219">
        <v>1.9640637108879</v>
      </c>
      <c r="AJ219">
        <v>0.74627988737921402</v>
      </c>
      <c r="AK219">
        <v>0.142680280487996</v>
      </c>
      <c r="AL219">
        <v>0.11103983213278899</v>
      </c>
    </row>
    <row r="220" spans="1:38" x14ac:dyDescent="0.2">
      <c r="A220">
        <v>316</v>
      </c>
      <c r="B220">
        <v>764</v>
      </c>
      <c r="C220">
        <v>110</v>
      </c>
      <c r="D220">
        <v>0.48282360314323097</v>
      </c>
      <c r="E220">
        <v>18.3485456689742</v>
      </c>
      <c r="F220">
        <v>2.5719498731155301</v>
      </c>
      <c r="G220">
        <v>-298.48433949669487</v>
      </c>
      <c r="H220">
        <v>-258.28363047426035</v>
      </c>
      <c r="I220">
        <v>38.760747261663603</v>
      </c>
      <c r="J220">
        <v>22.292717297587402</v>
      </c>
      <c r="K220">
        <v>7.1340992531661298</v>
      </c>
      <c r="L220">
        <v>3.0462654316014426E-5</v>
      </c>
      <c r="M220">
        <v>1.7984413064873058E-6</v>
      </c>
      <c r="N220" s="1">
        <v>-1.794647439328E-7</v>
      </c>
      <c r="O220" s="1">
        <v>6.3004368978355305E-11</v>
      </c>
      <c r="P220" s="1">
        <v>6.7638026236747003E-10</v>
      </c>
      <c r="Q220">
        <v>64.457472608553303</v>
      </c>
      <c r="S220">
        <v>21.889973562140199</v>
      </c>
      <c r="AA220">
        <v>3.0191822810602602</v>
      </c>
      <c r="AB220">
        <v>8.6923560771170401</v>
      </c>
      <c r="AC220">
        <v>1.9410154711291501</v>
      </c>
      <c r="AJ220">
        <v>0.74690703045111795</v>
      </c>
      <c r="AK220">
        <v>0.14336038647906801</v>
      </c>
      <c r="AL220">
        <v>0.109732583069813</v>
      </c>
    </row>
    <row r="221" spans="1:38" x14ac:dyDescent="0.2">
      <c r="A221">
        <v>317</v>
      </c>
      <c r="B221">
        <v>762</v>
      </c>
      <c r="C221">
        <v>110</v>
      </c>
      <c r="D221">
        <v>0.48168912717963802</v>
      </c>
      <c r="E221">
        <v>18.5410445186847</v>
      </c>
      <c r="F221">
        <v>2.5722861312983198</v>
      </c>
      <c r="G221">
        <v>-301.55710384342666</v>
      </c>
      <c r="H221">
        <v>-261.05817354236433</v>
      </c>
      <c r="I221">
        <v>39.123731151101097</v>
      </c>
      <c r="J221">
        <v>22.536983849265599</v>
      </c>
      <c r="K221">
        <v>7.2080023653225602</v>
      </c>
      <c r="L221">
        <v>3.0519410828196085E-5</v>
      </c>
      <c r="M221">
        <v>1.7986264567748042E-6</v>
      </c>
      <c r="N221" s="1">
        <v>-1.9323133195896499E-7</v>
      </c>
      <c r="O221" s="1">
        <v>6.3542811890784994E-11</v>
      </c>
      <c r="P221" s="1">
        <v>7.1792532498970696E-10</v>
      </c>
      <c r="Q221">
        <v>64.4488259144766</v>
      </c>
      <c r="S221">
        <v>21.9005395591685</v>
      </c>
      <c r="AA221">
        <v>3.0299169246507098</v>
      </c>
      <c r="AB221">
        <v>8.7007875178673704</v>
      </c>
      <c r="AC221">
        <v>1.9199300838367599</v>
      </c>
      <c r="AJ221">
        <v>0.74759999178085701</v>
      </c>
      <c r="AK221">
        <v>0.14386403482926499</v>
      </c>
      <c r="AL221">
        <v>0.108535973389876</v>
      </c>
    </row>
    <row r="222" spans="1:38" x14ac:dyDescent="0.2">
      <c r="A222">
        <v>318</v>
      </c>
      <c r="B222">
        <v>760</v>
      </c>
      <c r="C222">
        <v>110</v>
      </c>
      <c r="D222">
        <v>0.480550258916906</v>
      </c>
      <c r="E222">
        <v>18.714307155549601</v>
      </c>
      <c r="F222">
        <v>2.5725916901967998</v>
      </c>
      <c r="G222">
        <v>-304.31445559495302</v>
      </c>
      <c r="H222">
        <v>-263.56151095618219</v>
      </c>
      <c r="I222">
        <v>39.445331886725803</v>
      </c>
      <c r="J222">
        <v>22.7589514821757</v>
      </c>
      <c r="K222">
        <v>7.2744956873113198</v>
      </c>
      <c r="L222">
        <v>3.0580971815085275E-5</v>
      </c>
      <c r="M222">
        <v>1.7988873332861965E-6</v>
      </c>
      <c r="N222" s="1">
        <v>-2.0783192939646299E-7</v>
      </c>
      <c r="O222" s="1">
        <v>6.4010293022112297E-11</v>
      </c>
      <c r="P222" s="1">
        <v>7.6166945932284699E-10</v>
      </c>
      <c r="Q222">
        <v>64.443180366155303</v>
      </c>
      <c r="S222">
        <v>21.908769764511501</v>
      </c>
      <c r="AA222">
        <v>3.0380242398503898</v>
      </c>
      <c r="AB222">
        <v>8.7097832694420596</v>
      </c>
      <c r="AC222">
        <v>1.90024236004062</v>
      </c>
      <c r="AJ222">
        <v>0.74833932192102404</v>
      </c>
      <c r="AK222">
        <v>0.14424250060545901</v>
      </c>
      <c r="AL222">
        <v>0.10741817747351499</v>
      </c>
    </row>
    <row r="223" spans="1:38" x14ac:dyDescent="0.2">
      <c r="A223">
        <v>320</v>
      </c>
      <c r="B223">
        <v>804</v>
      </c>
      <c r="C223">
        <v>100</v>
      </c>
      <c r="D223">
        <v>0.514840551455232</v>
      </c>
      <c r="E223">
        <v>0.23000101502876599</v>
      </c>
      <c r="F223">
        <v>2.5715930179680799</v>
      </c>
      <c r="G223">
        <v>-3.7677522731445725</v>
      </c>
      <c r="H223">
        <v>-3.2329561834693599</v>
      </c>
      <c r="I223">
        <v>0.496491751079433</v>
      </c>
      <c r="J223">
        <v>0.27883787266649801</v>
      </c>
      <c r="K223">
        <v>8.9439119418087104E-2</v>
      </c>
      <c r="L223">
        <v>2.9976432445541147E-5</v>
      </c>
      <c r="M223">
        <v>1.7945618540580724E-6</v>
      </c>
      <c r="N223" s="1">
        <v>-6.1501657808700605E-10</v>
      </c>
      <c r="O223" s="1">
        <v>7.99989840787209E-13</v>
      </c>
      <c r="P223" s="1">
        <v>3.6919860154139E-12</v>
      </c>
      <c r="Q223">
        <v>64.384439886855802</v>
      </c>
      <c r="S223">
        <v>22.0523618473803</v>
      </c>
      <c r="AA223">
        <v>3.1701954662932201</v>
      </c>
      <c r="AB223">
        <v>8.9553285743465292</v>
      </c>
      <c r="AC223">
        <v>1.4376742251240799</v>
      </c>
      <c r="AJ223">
        <v>0.76849570610364804</v>
      </c>
      <c r="AK223">
        <v>0.15033384013348</v>
      </c>
      <c r="AL223">
        <v>8.1170453762870701E-2</v>
      </c>
    </row>
    <row r="224" spans="1:38" x14ac:dyDescent="0.2">
      <c r="A224">
        <v>321</v>
      </c>
      <c r="B224">
        <v>802</v>
      </c>
      <c r="C224">
        <v>100</v>
      </c>
      <c r="D224">
        <v>0.51380784076640695</v>
      </c>
      <c r="E224">
        <v>0.85235331568554595</v>
      </c>
      <c r="F224">
        <v>2.57090849547235</v>
      </c>
      <c r="G224">
        <v>-13.9572455039643</v>
      </c>
      <c r="H224">
        <v>-11.980832573341006</v>
      </c>
      <c r="I224">
        <v>1.83826715400018</v>
      </c>
      <c r="J224">
        <v>1.03340888882191</v>
      </c>
      <c r="K224">
        <v>0.33153778797908601</v>
      </c>
      <c r="L224">
        <v>3.0027166458025277E-5</v>
      </c>
      <c r="M224">
        <v>1.7965650763258089E-6</v>
      </c>
      <c r="N224" s="1">
        <v>-2.46944275450033E-9</v>
      </c>
      <c r="O224" s="1">
        <v>2.9678162831575599E-12</v>
      </c>
      <c r="P224" s="1">
        <v>1.42442547594345E-11</v>
      </c>
      <c r="Q224">
        <v>64.467157979806203</v>
      </c>
      <c r="S224">
        <v>21.987837894326901</v>
      </c>
      <c r="AA224">
        <v>3.09766140819052</v>
      </c>
      <c r="AB224">
        <v>8.9705034777038701</v>
      </c>
      <c r="AC224">
        <v>1.4768392399724399</v>
      </c>
      <c r="AJ224">
        <v>0.76974110338067903</v>
      </c>
      <c r="AK224">
        <v>0.14688335867616201</v>
      </c>
      <c r="AL224">
        <v>8.3375537943157996E-2</v>
      </c>
    </row>
    <row r="225" spans="1:38" x14ac:dyDescent="0.2">
      <c r="A225">
        <v>322</v>
      </c>
      <c r="B225">
        <v>800</v>
      </c>
      <c r="C225">
        <v>100</v>
      </c>
      <c r="D225">
        <v>0.51277128080883805</v>
      </c>
      <c r="E225">
        <v>1.47467813341177</v>
      </c>
      <c r="F225">
        <v>2.5702401979815899</v>
      </c>
      <c r="G225">
        <v>-24.138151806451518</v>
      </c>
      <c r="H225">
        <v>-20.728195995908166</v>
      </c>
      <c r="I225">
        <v>3.1775202073739401</v>
      </c>
      <c r="J225">
        <v>1.78806178204863</v>
      </c>
      <c r="K225">
        <v>0.57375109710362304</v>
      </c>
      <c r="L225">
        <v>3.0077046300668174E-5</v>
      </c>
      <c r="M225">
        <v>1.7984935502905614E-6</v>
      </c>
      <c r="N225" s="1">
        <v>-4.6167883536860298E-9</v>
      </c>
      <c r="O225" s="1">
        <v>5.1398147811755503E-12</v>
      </c>
      <c r="P225" s="1">
        <v>2.5661007275248098E-11</v>
      </c>
      <c r="Q225">
        <v>64.546841091599106</v>
      </c>
      <c r="S225">
        <v>21.925181411383299</v>
      </c>
      <c r="AA225">
        <v>3.0273762034120399</v>
      </c>
      <c r="AB225">
        <v>8.9838109039613006</v>
      </c>
      <c r="AC225">
        <v>1.5167903896442501</v>
      </c>
      <c r="AJ225">
        <v>0.77083319681028895</v>
      </c>
      <c r="AK225">
        <v>0.14354133824207899</v>
      </c>
      <c r="AL225">
        <v>8.5625464947631097E-2</v>
      </c>
    </row>
    <row r="226" spans="1:38" x14ac:dyDescent="0.2">
      <c r="A226">
        <v>323</v>
      </c>
      <c r="B226">
        <v>798</v>
      </c>
      <c r="C226">
        <v>100</v>
      </c>
      <c r="D226">
        <v>0.51173085002101004</v>
      </c>
      <c r="E226">
        <v>2.0965249236777699</v>
      </c>
      <c r="F226">
        <v>2.5695878452488201</v>
      </c>
      <c r="G226">
        <v>-34.303051405917124</v>
      </c>
      <c r="H226">
        <v>-29.468691548448927</v>
      </c>
      <c r="I226">
        <v>4.5132426433909298</v>
      </c>
      <c r="J226">
        <v>2.5422631991101698</v>
      </c>
      <c r="K226">
        <v>0.81589929978625197</v>
      </c>
      <c r="L226">
        <v>3.0126144095582694E-5</v>
      </c>
      <c r="M226">
        <v>1.800348617408395E-6</v>
      </c>
      <c r="N226" s="1">
        <v>-7.0759523224570798E-9</v>
      </c>
      <c r="O226" s="1">
        <v>7.3139696795924599E-12</v>
      </c>
      <c r="P226" s="1">
        <v>3.7993171882004203E-11</v>
      </c>
      <c r="Q226">
        <v>64.623533954845001</v>
      </c>
      <c r="S226">
        <v>21.864362435111701</v>
      </c>
      <c r="AA226">
        <v>2.9593046940717098</v>
      </c>
      <c r="AB226">
        <v>8.9952719842956999</v>
      </c>
      <c r="AC226">
        <v>1.5575269316757601</v>
      </c>
      <c r="AJ226">
        <v>0.77177377891627796</v>
      </c>
      <c r="AK226">
        <v>0.14030598378884601</v>
      </c>
      <c r="AL226">
        <v>8.7920237294875303E-2</v>
      </c>
    </row>
    <row r="227" spans="1:38" x14ac:dyDescent="0.2">
      <c r="A227">
        <v>324</v>
      </c>
      <c r="B227">
        <v>796</v>
      </c>
      <c r="C227">
        <v>100</v>
      </c>
      <c r="D227">
        <v>0.51068652668007097</v>
      </c>
      <c r="E227">
        <v>2.7174577074725201</v>
      </c>
      <c r="F227">
        <v>2.5689510921425298</v>
      </c>
      <c r="G227">
        <v>-44.444774720805107</v>
      </c>
      <c r="H227">
        <v>-38.196168271378362</v>
      </c>
      <c r="I227">
        <v>5.8444619084569496</v>
      </c>
      <c r="J227">
        <v>3.29549910847558</v>
      </c>
      <c r="K227">
        <v>1.0578082688238799</v>
      </c>
      <c r="L227">
        <v>3.0174538814949831E-5</v>
      </c>
      <c r="M227">
        <v>1.8021318110399151E-6</v>
      </c>
      <c r="N227" s="1">
        <v>-9.8670430968931597E-9</v>
      </c>
      <c r="O227" s="1">
        <v>9.4883053914629195E-12</v>
      </c>
      <c r="P227" s="1">
        <v>5.1295152269268802E-11</v>
      </c>
      <c r="Q227">
        <v>64.697289410027196</v>
      </c>
      <c r="S227">
        <v>21.805345161817201</v>
      </c>
      <c r="AA227">
        <v>2.8934050121500601</v>
      </c>
      <c r="AB227">
        <v>9.0049106068490801</v>
      </c>
      <c r="AC227">
        <v>1.5990498091563601</v>
      </c>
      <c r="AJ227">
        <v>0.772564859138823</v>
      </c>
      <c r="AK227">
        <v>0.13717518793095601</v>
      </c>
      <c r="AL227">
        <v>9.0259952930219295E-2</v>
      </c>
    </row>
    <row r="228" spans="1:38" x14ac:dyDescent="0.2">
      <c r="A228">
        <v>325</v>
      </c>
      <c r="B228">
        <v>794</v>
      </c>
      <c r="C228">
        <v>100</v>
      </c>
      <c r="D228">
        <v>0.50963828890034402</v>
      </c>
      <c r="E228">
        <v>3.3370593282726699</v>
      </c>
      <c r="F228">
        <v>2.5683295322483</v>
      </c>
      <c r="G228">
        <v>-54.556471172683977</v>
      </c>
      <c r="H228">
        <v>-46.904738565659237</v>
      </c>
      <c r="I228">
        <v>7.1702502994187602</v>
      </c>
      <c r="J228">
        <v>4.0472800890163203</v>
      </c>
      <c r="K228">
        <v>1.29931120067424</v>
      </c>
      <c r="L228">
        <v>3.022231590885373E-5</v>
      </c>
      <c r="M228">
        <v>1.8038448344989511E-6</v>
      </c>
      <c r="N228" s="1">
        <v>-1.3011509326950501E-8</v>
      </c>
      <c r="O228" s="1">
        <v>1.16609028128145E-11</v>
      </c>
      <c r="P228" s="1">
        <v>6.5625227586935905E-11</v>
      </c>
      <c r="Q228">
        <v>64.768167554690393</v>
      </c>
      <c r="S228">
        <v>21.748088453888201</v>
      </c>
      <c r="AA228">
        <v>2.8296291957559498</v>
      </c>
      <c r="AB228">
        <v>9.0127528481809502</v>
      </c>
      <c r="AC228">
        <v>1.6413619474844099</v>
      </c>
      <c r="AJ228">
        <v>0.77320861746664105</v>
      </c>
      <c r="AK228">
        <v>0.13414656052316401</v>
      </c>
      <c r="AL228">
        <v>9.2644822010194805E-2</v>
      </c>
    </row>
    <row r="229" spans="1:38" x14ac:dyDescent="0.2">
      <c r="A229">
        <v>326</v>
      </c>
      <c r="B229">
        <v>792</v>
      </c>
      <c r="C229">
        <v>100</v>
      </c>
      <c r="D229">
        <v>0.50858611463174297</v>
      </c>
      <c r="E229">
        <v>3.9549352396105801</v>
      </c>
      <c r="F229">
        <v>2.5677227020990001</v>
      </c>
      <c r="G229">
        <v>-64.631670113730323</v>
      </c>
      <c r="H229">
        <v>-55.588830994608344</v>
      </c>
      <c r="I229">
        <v>8.4897330133051305</v>
      </c>
      <c r="J229">
        <v>4.7971460486898101</v>
      </c>
      <c r="K229">
        <v>1.54025013541282</v>
      </c>
      <c r="L229">
        <v>3.0269566921530148E-5</v>
      </c>
      <c r="M229">
        <v>1.8054895380095097E-6</v>
      </c>
      <c r="N229" s="1">
        <v>-1.6532285536794299E-8</v>
      </c>
      <c r="O229" s="1">
        <v>1.38299138597441E-11</v>
      </c>
      <c r="P229" s="1">
        <v>8.1045990763632196E-11</v>
      </c>
      <c r="Q229">
        <v>64.836234835357402</v>
      </c>
      <c r="S229">
        <v>21.692546391660301</v>
      </c>
      <c r="AA229">
        <v>2.7679238563084501</v>
      </c>
      <c r="AB229">
        <v>9.01882639643466</v>
      </c>
      <c r="AC229">
        <v>1.6844685202390199</v>
      </c>
      <c r="AJ229">
        <v>0.773707357460094</v>
      </c>
      <c r="AK229">
        <v>0.13121746055081601</v>
      </c>
      <c r="AL229">
        <v>9.5075181989089194E-2</v>
      </c>
    </row>
    <row r="230" spans="1:38" x14ac:dyDescent="0.2">
      <c r="A230">
        <v>327</v>
      </c>
      <c r="B230">
        <v>790</v>
      </c>
      <c r="C230">
        <v>100</v>
      </c>
      <c r="D230">
        <v>0.507529981658283</v>
      </c>
      <c r="E230">
        <v>5.0972112108817198</v>
      </c>
      <c r="F230">
        <v>2.5665308001529099</v>
      </c>
      <c r="G230">
        <v>-83.25040049652965</v>
      </c>
      <c r="H230">
        <v>-71.62843877044314</v>
      </c>
      <c r="I230">
        <v>10.9316293336655</v>
      </c>
      <c r="J230">
        <v>6.1828318122410497</v>
      </c>
      <c r="K230">
        <v>1.9860315763902101</v>
      </c>
      <c r="L230">
        <v>3.0318994852352212E-5</v>
      </c>
      <c r="M230">
        <v>1.8077310024369249E-6</v>
      </c>
      <c r="N230" s="1">
        <v>-2.2754097610715001E-8</v>
      </c>
      <c r="O230" s="1">
        <v>1.7855299603497301E-11</v>
      </c>
      <c r="P230" s="1">
        <v>1.08686927552953E-10</v>
      </c>
      <c r="Q230">
        <v>64.939378140503806</v>
      </c>
      <c r="S230">
        <v>21.600734616578201</v>
      </c>
      <c r="AA230">
        <v>2.6681111215916902</v>
      </c>
      <c r="AB230">
        <v>9.0079792169073798</v>
      </c>
      <c r="AC230">
        <v>1.78379690441881</v>
      </c>
      <c r="AJ230">
        <v>0.77282008445204797</v>
      </c>
      <c r="AK230">
        <v>0.12649277731306499</v>
      </c>
      <c r="AL230">
        <v>0.100687138234886</v>
      </c>
    </row>
    <row r="231" spans="1:38" x14ac:dyDescent="0.2">
      <c r="A231">
        <v>328</v>
      </c>
      <c r="B231">
        <v>788</v>
      </c>
      <c r="C231">
        <v>100</v>
      </c>
      <c r="D231">
        <v>0.50646986759647905</v>
      </c>
      <c r="E231">
        <v>6.9056567991504902</v>
      </c>
      <c r="F231">
        <v>2.5645190273608902</v>
      </c>
      <c r="G231">
        <v>-112.69073122187855</v>
      </c>
      <c r="H231">
        <v>-96.989401787293147</v>
      </c>
      <c r="I231">
        <v>14.7965221076995</v>
      </c>
      <c r="J231">
        <v>8.3753393926022</v>
      </c>
      <c r="K231">
        <v>2.6927687903555899</v>
      </c>
      <c r="L231">
        <v>3.0362003925051543E-5</v>
      </c>
      <c r="M231">
        <v>1.8105463401518868E-6</v>
      </c>
      <c r="N231" s="1">
        <v>-3.2710181177372201E-8</v>
      </c>
      <c r="O231" s="1">
        <v>2.4266152662883901E-11</v>
      </c>
      <c r="P231" s="1">
        <v>1.5271325701874401E-10</v>
      </c>
      <c r="Q231">
        <v>65.082933895446601</v>
      </c>
      <c r="S231">
        <v>21.461852723427398</v>
      </c>
      <c r="AA231">
        <v>2.5200353648224398</v>
      </c>
      <c r="AB231">
        <v>8.9637885808724906</v>
      </c>
      <c r="AC231">
        <v>1.971389435431</v>
      </c>
      <c r="AJ231">
        <v>0.76920010201459699</v>
      </c>
      <c r="AK231">
        <v>0.11949924302267</v>
      </c>
      <c r="AL231">
        <v>0.111300654962731</v>
      </c>
    </row>
    <row r="232" spans="1:38" x14ac:dyDescent="0.2">
      <c r="A232">
        <v>329</v>
      </c>
      <c r="B232">
        <v>786</v>
      </c>
      <c r="C232">
        <v>100</v>
      </c>
      <c r="D232">
        <v>0.50540574989378495</v>
      </c>
      <c r="E232">
        <v>8.8211696115301592</v>
      </c>
      <c r="F232">
        <v>2.5622498009605201</v>
      </c>
      <c r="G232">
        <v>-143.80737348755821</v>
      </c>
      <c r="H232">
        <v>-123.80806276379998</v>
      </c>
      <c r="I232">
        <v>18.882415827558098</v>
      </c>
      <c r="J232">
        <v>10.6958336419391</v>
      </c>
      <c r="K232">
        <v>3.4427437981352602</v>
      </c>
      <c r="L232">
        <v>3.0388532762727029E-5</v>
      </c>
      <c r="M232">
        <v>1.8130941642874041E-6</v>
      </c>
      <c r="N232" s="1">
        <v>-4.4104180877150302E-8</v>
      </c>
      <c r="O232" s="1">
        <v>3.1105119929050202E-11</v>
      </c>
      <c r="P232" s="1">
        <v>2.0177925618078E-10</v>
      </c>
      <c r="Q232">
        <v>65.224056145973606</v>
      </c>
      <c r="S232">
        <v>21.3146292043728</v>
      </c>
      <c r="AA232">
        <v>2.36564550625845</v>
      </c>
      <c r="AB232">
        <v>8.8923063539344191</v>
      </c>
      <c r="AC232">
        <v>2.2033627894605998</v>
      </c>
      <c r="AJ232">
        <v>0.76333965343824095</v>
      </c>
      <c r="AK232">
        <v>0.11221834595685901</v>
      </c>
      <c r="AL232">
        <v>0.124442000604898</v>
      </c>
    </row>
    <row r="233" spans="1:38" x14ac:dyDescent="0.2">
      <c r="A233">
        <v>330</v>
      </c>
      <c r="B233">
        <v>784</v>
      </c>
      <c r="C233">
        <v>100</v>
      </c>
      <c r="D233">
        <v>0.50433760582698905</v>
      </c>
      <c r="E233">
        <v>10.943446839847899</v>
      </c>
      <c r="F233">
        <v>2.55950256037791</v>
      </c>
      <c r="G233">
        <v>-178.18957301944758</v>
      </c>
      <c r="H233">
        <v>-153.45188090472081</v>
      </c>
      <c r="I233">
        <v>23.4003614574344</v>
      </c>
      <c r="J233">
        <v>13.2631156522183</v>
      </c>
      <c r="K233">
        <v>4.2756147265709803</v>
      </c>
      <c r="L233">
        <v>3.0389672808100665E-5</v>
      </c>
      <c r="M233">
        <v>1.81533935562745E-6</v>
      </c>
      <c r="N233" s="1">
        <v>-5.73088399379986E-8</v>
      </c>
      <c r="O233" s="1">
        <v>3.8750330178436098E-11</v>
      </c>
      <c r="P233" s="1">
        <v>2.5775572229688597E-10</v>
      </c>
      <c r="Q233">
        <v>65.367285437368906</v>
      </c>
      <c r="S233">
        <v>21.149037462115501</v>
      </c>
      <c r="AA233">
        <v>2.1956100262950602</v>
      </c>
      <c r="AB233">
        <v>8.7773648694382107</v>
      </c>
      <c r="AC233">
        <v>2.51070220478225</v>
      </c>
      <c r="AJ233">
        <v>0.75390612794266998</v>
      </c>
      <c r="AK233">
        <v>0.104212332619729</v>
      </c>
      <c r="AL233">
        <v>0.14188153943759901</v>
      </c>
    </row>
    <row r="234" spans="1:38" x14ac:dyDescent="0.2">
      <c r="A234">
        <v>331</v>
      </c>
      <c r="B234">
        <v>782</v>
      </c>
      <c r="C234">
        <v>100</v>
      </c>
      <c r="D234">
        <v>0.50326541250059598</v>
      </c>
      <c r="E234">
        <v>13.411371401102199</v>
      </c>
      <c r="F234">
        <v>2.5621366901593401</v>
      </c>
      <c r="G234">
        <v>-218.36982633786744</v>
      </c>
      <c r="H234">
        <v>-188.15511221969717</v>
      </c>
      <c r="I234">
        <v>28.635468054940201</v>
      </c>
      <c r="J234">
        <v>16.2509183629051</v>
      </c>
      <c r="K234">
        <v>5.2344480497908696</v>
      </c>
      <c r="L234">
        <v>3.0287636820222718E-5</v>
      </c>
      <c r="M234">
        <v>1.80974906027633E-6</v>
      </c>
      <c r="N234" s="1">
        <v>-7.3789363791165704E-8</v>
      </c>
      <c r="O234" s="1">
        <v>4.7237382145141302E-11</v>
      </c>
      <c r="P234" s="1">
        <v>3.2646907734703402E-10</v>
      </c>
      <c r="Q234">
        <v>65.105527951021998</v>
      </c>
      <c r="S234">
        <v>21.338985073923901</v>
      </c>
      <c r="AA234">
        <v>2.4133962819299701</v>
      </c>
      <c r="AB234">
        <v>8.6920247052198807</v>
      </c>
      <c r="AC234">
        <v>2.45006598790417</v>
      </c>
      <c r="AJ234">
        <v>0.74688951032763495</v>
      </c>
      <c r="AK234">
        <v>0.114597419326069</v>
      </c>
      <c r="AL234">
        <v>0.13851307034629501</v>
      </c>
    </row>
    <row r="235" spans="1:38" x14ac:dyDescent="0.2">
      <c r="A235">
        <v>332</v>
      </c>
      <c r="B235">
        <v>780</v>
      </c>
      <c r="C235">
        <v>100</v>
      </c>
      <c r="D235">
        <v>0.50218914684517901</v>
      </c>
      <c r="E235">
        <v>15.436431921541301</v>
      </c>
      <c r="F235">
        <v>2.5662427250876498</v>
      </c>
      <c r="G235">
        <v>-251.45913192597996</v>
      </c>
      <c r="H235">
        <v>-216.80041709574408</v>
      </c>
      <c r="I235">
        <v>32.909571124944897</v>
      </c>
      <c r="J235">
        <v>18.706715266467</v>
      </c>
      <c r="K235">
        <v>6.0151877960078997</v>
      </c>
      <c r="L235">
        <v>3.0195629536407082E-5</v>
      </c>
      <c r="M235">
        <v>1.8029078146091894E-6</v>
      </c>
      <c r="N235" s="1">
        <v>-9.0020472486595705E-8</v>
      </c>
      <c r="O235" s="1">
        <v>5.3933073371403802E-11</v>
      </c>
      <c r="P235" s="1">
        <v>3.9099468787177003E-10</v>
      </c>
      <c r="Q235">
        <v>64.764037490083396</v>
      </c>
      <c r="S235">
        <v>21.617736167736901</v>
      </c>
      <c r="AA235">
        <v>2.7230509190949999</v>
      </c>
      <c r="AB235">
        <v>8.6618137555506394</v>
      </c>
      <c r="AC235">
        <v>2.2333616675339498</v>
      </c>
      <c r="AJ235">
        <v>0.74440045123912701</v>
      </c>
      <c r="AK235">
        <v>0.12931959596510401</v>
      </c>
      <c r="AL235">
        <v>0.12627995279576701</v>
      </c>
    </row>
    <row r="236" spans="1:38" x14ac:dyDescent="0.2">
      <c r="A236">
        <v>333</v>
      </c>
      <c r="B236">
        <v>778</v>
      </c>
      <c r="C236">
        <v>100</v>
      </c>
      <c r="D236">
        <v>0.501108785615755</v>
      </c>
      <c r="E236">
        <v>16.433400836773099</v>
      </c>
      <c r="F236">
        <v>2.56806386567381</v>
      </c>
      <c r="G236">
        <v>-267.71226307462211</v>
      </c>
      <c r="H236">
        <v>-230.93225984835601</v>
      </c>
      <c r="I236">
        <v>34.990251844423803</v>
      </c>
      <c r="J236">
        <v>19.9181432798249</v>
      </c>
      <c r="K236">
        <v>6.3991402458604103</v>
      </c>
      <c r="L236">
        <v>3.0175082183971625E-5</v>
      </c>
      <c r="M236">
        <v>1.8000922293327813E-6</v>
      </c>
      <c r="N236" s="1">
        <v>-1.0191158046770699E-7</v>
      </c>
      <c r="O236" s="1">
        <v>5.71842825094293E-11</v>
      </c>
      <c r="P236" s="1">
        <v>4.3418234994732898E-10</v>
      </c>
      <c r="Q236">
        <v>64.617856626063201</v>
      </c>
      <c r="S236">
        <v>21.736966201093999</v>
      </c>
      <c r="AA236">
        <v>2.85552622363116</v>
      </c>
      <c r="AB236">
        <v>8.6486345713938899</v>
      </c>
      <c r="AC236">
        <v>2.1410163778176399</v>
      </c>
      <c r="AJ236">
        <v>0.74331444508390698</v>
      </c>
      <c r="AK236">
        <v>0.13561944678919</v>
      </c>
      <c r="AL236">
        <v>0.121066108126901</v>
      </c>
    </row>
    <row r="237" spans="1:38" x14ac:dyDescent="0.2">
      <c r="A237">
        <v>334</v>
      </c>
      <c r="B237">
        <v>776</v>
      </c>
      <c r="C237">
        <v>100</v>
      </c>
      <c r="D237">
        <v>0.50002430539008103</v>
      </c>
      <c r="E237">
        <v>17.000095287178599</v>
      </c>
      <c r="F237">
        <v>2.56909767013682</v>
      </c>
      <c r="G237">
        <v>-276.92076519272268</v>
      </c>
      <c r="H237">
        <v>-238.98977794979527</v>
      </c>
      <c r="I237">
        <v>36.1540172929775</v>
      </c>
      <c r="J237">
        <v>20.609527986172498</v>
      </c>
      <c r="K237">
        <v>6.6171463563988597</v>
      </c>
      <c r="L237">
        <v>3.0184988054987855E-5</v>
      </c>
      <c r="M237">
        <v>1.7988035112516604E-6</v>
      </c>
      <c r="N237" s="1">
        <v>-1.12290672782153E-7</v>
      </c>
      <c r="O237" s="1">
        <v>5.8998508567879105E-11</v>
      </c>
      <c r="P237" s="1">
        <v>4.6930936035007002E-10</v>
      </c>
      <c r="Q237">
        <v>64.543409584913405</v>
      </c>
      <c r="S237">
        <v>21.799188778625599</v>
      </c>
      <c r="AA237">
        <v>2.9242316864990201</v>
      </c>
      <c r="AB237">
        <v>8.6458579083684501</v>
      </c>
      <c r="AC237">
        <v>2.0873120415934401</v>
      </c>
      <c r="AJ237">
        <v>0.74308497040440602</v>
      </c>
      <c r="AK237">
        <v>0.13888423553941801</v>
      </c>
      <c r="AL237">
        <v>0.118030794056174</v>
      </c>
    </row>
    <row r="238" spans="1:38" x14ac:dyDescent="0.2">
      <c r="A238">
        <v>335</v>
      </c>
      <c r="B238">
        <v>774</v>
      </c>
      <c r="C238">
        <v>100</v>
      </c>
      <c r="D238">
        <v>0.49893568256697302</v>
      </c>
      <c r="E238">
        <v>17.383758177778201</v>
      </c>
      <c r="F238">
        <v>2.5698049906165301</v>
      </c>
      <c r="G238">
        <v>-283.13165266317191</v>
      </c>
      <c r="H238">
        <v>-244.4628429654658</v>
      </c>
      <c r="I238">
        <v>36.927670054630298</v>
      </c>
      <c r="J238">
        <v>21.0801366226009</v>
      </c>
      <c r="K238">
        <v>6.7646215340283904</v>
      </c>
      <c r="L238">
        <v>3.0209616892432968E-5</v>
      </c>
      <c r="M238">
        <v>1.7981744147577344E-6</v>
      </c>
      <c r="N238" s="1">
        <v>-1.2236930297853199E-7</v>
      </c>
      <c r="O238" s="1">
        <v>6.0201693669707006E-11</v>
      </c>
      <c r="P238" s="1">
        <v>5.0198821959576301E-10</v>
      </c>
      <c r="Q238">
        <v>64.499438010560397</v>
      </c>
      <c r="S238">
        <v>21.837425490606901</v>
      </c>
      <c r="AA238">
        <v>2.9660375311415499</v>
      </c>
      <c r="AB238">
        <v>8.6481121241552206</v>
      </c>
      <c r="AC238">
        <v>2.0489868435357801</v>
      </c>
      <c r="AJ238">
        <v>0.74326970943255799</v>
      </c>
      <c r="AK238">
        <v>0.140868066952684</v>
      </c>
      <c r="AL238">
        <v>0.115862223614756</v>
      </c>
    </row>
    <row r="239" spans="1:38" x14ac:dyDescent="0.2">
      <c r="A239">
        <v>336</v>
      </c>
      <c r="B239">
        <v>772</v>
      </c>
      <c r="C239">
        <v>100</v>
      </c>
      <c r="D239">
        <v>0.49784289336458698</v>
      </c>
      <c r="E239">
        <v>17.6748076811025</v>
      </c>
      <c r="F239">
        <v>2.5703463729582801</v>
      </c>
      <c r="G239">
        <v>-287.82512121072108</v>
      </c>
      <c r="H239">
        <v>-248.62810730002906</v>
      </c>
      <c r="I239">
        <v>37.503720911536099</v>
      </c>
      <c r="J239">
        <v>21.439392911047399</v>
      </c>
      <c r="K239">
        <v>6.87643030023228</v>
      </c>
      <c r="L239">
        <v>3.0243173260156098E-5</v>
      </c>
      <c r="M239">
        <v>1.7978904124602685E-6</v>
      </c>
      <c r="N239" s="1">
        <v>-1.3261392656852499E-7</v>
      </c>
      <c r="O239" s="1">
        <v>6.10942389275342E-11</v>
      </c>
      <c r="P239" s="1">
        <v>5.3433764007204399E-10</v>
      </c>
      <c r="Q239">
        <v>64.471155768036695</v>
      </c>
      <c r="S239">
        <v>21.863370160987699</v>
      </c>
      <c r="AA239">
        <v>2.99404142450775</v>
      </c>
      <c r="AB239">
        <v>8.6531039895647499</v>
      </c>
      <c r="AC239">
        <v>2.0183286569030399</v>
      </c>
      <c r="AJ239">
        <v>0.74367982237386598</v>
      </c>
      <c r="AK239">
        <v>0.14219445810539899</v>
      </c>
      <c r="AL239">
        <v>0.114125719520733</v>
      </c>
    </row>
    <row r="240" spans="1:38" x14ac:dyDescent="0.2">
      <c r="A240">
        <v>337</v>
      </c>
      <c r="B240">
        <v>770</v>
      </c>
      <c r="C240">
        <v>100</v>
      </c>
      <c r="D240">
        <v>0.49674591381872402</v>
      </c>
      <c r="E240">
        <v>17.912657550122599</v>
      </c>
      <c r="F240">
        <v>2.5707911524010698</v>
      </c>
      <c r="G240">
        <v>-291.64649157982029</v>
      </c>
      <c r="H240">
        <v>-252.04220599134848</v>
      </c>
      <c r="I240">
        <v>37.966050509007999</v>
      </c>
      <c r="J240">
        <v>21.735008964768799</v>
      </c>
      <c r="K240">
        <v>6.9677606963103598</v>
      </c>
      <c r="L240">
        <v>3.0283149632971264E-5</v>
      </c>
      <c r="M240">
        <v>1.7978130274348878E-6</v>
      </c>
      <c r="N240" s="1">
        <v>-1.43252979065135E-7</v>
      </c>
      <c r="O240" s="1">
        <v>6.1806428069059898E-11</v>
      </c>
      <c r="P240" s="1">
        <v>5.6735181491850599E-10</v>
      </c>
      <c r="Q240">
        <v>64.452083167783599</v>
      </c>
      <c r="S240">
        <v>21.882116316918498</v>
      </c>
      <c r="AA240">
        <v>3.0139575256258802</v>
      </c>
      <c r="AB240">
        <v>8.6597472074719004</v>
      </c>
      <c r="AC240">
        <v>1.99209578220003</v>
      </c>
      <c r="AJ240">
        <v>0.74422584942359504</v>
      </c>
      <c r="AK240">
        <v>0.143135531185235</v>
      </c>
      <c r="AL240">
        <v>0.112638619391169</v>
      </c>
    </row>
    <row r="241" spans="1:38" x14ac:dyDescent="0.2">
      <c r="A241">
        <v>338</v>
      </c>
      <c r="B241">
        <v>768</v>
      </c>
      <c r="C241">
        <v>100</v>
      </c>
      <c r="D241">
        <v>0.49564471978101199</v>
      </c>
      <c r="E241">
        <v>18.117044990527699</v>
      </c>
      <c r="F241">
        <v>2.5711741753024802</v>
      </c>
      <c r="G241">
        <v>-294.91896799368294</v>
      </c>
      <c r="H241">
        <v>-254.98394001624808</v>
      </c>
      <c r="I241">
        <v>38.3566517576092</v>
      </c>
      <c r="J241">
        <v>21.990898560333498</v>
      </c>
      <c r="K241">
        <v>7.0462145911979599</v>
      </c>
      <c r="L241">
        <v>3.0328341241624942E-5</v>
      </c>
      <c r="M241">
        <v>1.7978720052405228E-6</v>
      </c>
      <c r="N241" s="1">
        <v>-1.5442627197823299E-7</v>
      </c>
      <c r="O241" s="1">
        <v>6.24031185814445E-11</v>
      </c>
      <c r="P241" s="1">
        <v>6.0159995206073495E-10</v>
      </c>
      <c r="Q241">
        <v>64.438934555052199</v>
      </c>
      <c r="S241">
        <v>21.896237163996801</v>
      </c>
      <c r="AA241">
        <v>3.0286754180791902</v>
      </c>
      <c r="AB241">
        <v>8.6674658654515007</v>
      </c>
      <c r="AC241">
        <v>1.9686869974202299</v>
      </c>
      <c r="AJ241">
        <v>0.74486035919677296</v>
      </c>
      <c r="AK241">
        <v>0.143828928530222</v>
      </c>
      <c r="AL241">
        <v>0.111310712273003</v>
      </c>
    </row>
    <row r="242" spans="1:38" x14ac:dyDescent="0.2">
      <c r="A242">
        <v>339</v>
      </c>
      <c r="B242">
        <v>766</v>
      </c>
      <c r="C242">
        <v>100</v>
      </c>
      <c r="D242">
        <v>0.49453928691719501</v>
      </c>
      <c r="E242">
        <v>18.298920236503999</v>
      </c>
      <c r="F242">
        <v>2.57151495832843</v>
      </c>
      <c r="G242">
        <v>-297.82189073097805</v>
      </c>
      <c r="H242">
        <v>-257.60801454171906</v>
      </c>
      <c r="I242">
        <v>38.698817484731798</v>
      </c>
      <c r="J242">
        <v>22.220352063374602</v>
      </c>
      <c r="K242">
        <v>7.1160076970343198</v>
      </c>
      <c r="L242">
        <v>3.0378143983099274E-5</v>
      </c>
      <c r="M242">
        <v>1.7980278945992004E-6</v>
      </c>
      <c r="N242" s="1">
        <v>-1.6623680577378499E-7</v>
      </c>
      <c r="O242" s="1">
        <v>6.2920006536668401E-11</v>
      </c>
      <c r="P242" s="1">
        <v>6.3746910817702001E-10</v>
      </c>
      <c r="Q242">
        <v>64.429858913874895</v>
      </c>
      <c r="S242">
        <v>21.907178726295399</v>
      </c>
      <c r="AA242">
        <v>3.0398199958049101</v>
      </c>
      <c r="AB242">
        <v>8.6759260137701499</v>
      </c>
      <c r="AC242">
        <v>1.9472163502546</v>
      </c>
      <c r="AJ242">
        <v>0.74555584641443595</v>
      </c>
      <c r="AK242">
        <v>0.14435206405495901</v>
      </c>
      <c r="AL242">
        <v>0.110092089530604</v>
      </c>
    </row>
    <row r="243" spans="1:38" x14ac:dyDescent="0.2">
      <c r="A243">
        <v>340</v>
      </c>
      <c r="B243">
        <v>764</v>
      </c>
      <c r="C243">
        <v>100</v>
      </c>
      <c r="D243">
        <v>0.49342959070530001</v>
      </c>
      <c r="E243">
        <v>18.464845538771598</v>
      </c>
      <c r="F243">
        <v>2.5718253473681001</v>
      </c>
      <c r="G243">
        <v>-300.46275064701484</v>
      </c>
      <c r="H243">
        <v>-260.00715478556407</v>
      </c>
      <c r="I243">
        <v>39.0065042293311</v>
      </c>
      <c r="J243">
        <v>22.431357719050599</v>
      </c>
      <c r="K243">
        <v>7.1796654301069696</v>
      </c>
      <c r="L243">
        <v>3.0432266288580266E-5</v>
      </c>
      <c r="M243">
        <v>1.7982568384245413E-6</v>
      </c>
      <c r="N243" s="1">
        <v>-1.7877179945505799E-7</v>
      </c>
      <c r="O243" s="1">
        <v>6.3378237299916395E-11</v>
      </c>
      <c r="P243" s="1">
        <v>6.7526254087027005E-10</v>
      </c>
      <c r="Q243">
        <v>64.423728345171995</v>
      </c>
      <c r="S243">
        <v>21.9158205507057</v>
      </c>
      <c r="AA243">
        <v>3.0483800738251698</v>
      </c>
      <c r="AB243">
        <v>8.6849200363293395</v>
      </c>
      <c r="AC243">
        <v>1.9271509939676601</v>
      </c>
      <c r="AJ243">
        <v>0.74629521023919798</v>
      </c>
      <c r="AK243">
        <v>0.14475205387027901</v>
      </c>
      <c r="AL243">
        <v>0.108952735890522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80A8B-7547-43FF-82EE-A56B591265F4}">
  <sheetPr codeName="Sheet10"/>
  <dimension ref="A1:AL16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734</v>
      </c>
      <c r="C2">
        <v>300</v>
      </c>
      <c r="D2">
        <v>0.25781710768008598</v>
      </c>
      <c r="E2">
        <v>14.192352507547101</v>
      </c>
      <c r="F2">
        <v>2.5846637541270701</v>
      </c>
      <c r="G2">
        <v>-229.11668832606648</v>
      </c>
      <c r="H2">
        <v>-199.46487478757365</v>
      </c>
      <c r="I2">
        <v>29.4413081849703</v>
      </c>
      <c r="J2">
        <v>17.530363530954499</v>
      </c>
      <c r="K2">
        <v>5.4909860073231398</v>
      </c>
      <c r="L2">
        <v>3.2413150508917371E-5</v>
      </c>
      <c r="M2">
        <v>1.7953287499924185E-6</v>
      </c>
      <c r="N2" s="1">
        <v>-4.3401260592391202E-7</v>
      </c>
      <c r="O2" s="1">
        <v>4.61359485736794E-11</v>
      </c>
      <c r="P2" s="1">
        <v>1.36943837562763E-9</v>
      </c>
      <c r="Q2">
        <v>64.443551397707097</v>
      </c>
      <c r="S2">
        <v>21.957890343660601</v>
      </c>
      <c r="AA2">
        <v>3.07846264546267</v>
      </c>
      <c r="AB2">
        <v>8.8393860777117208</v>
      </c>
      <c r="AC2">
        <v>1.6807095354577499</v>
      </c>
      <c r="AJ2">
        <v>0.75898481277267804</v>
      </c>
      <c r="AK2">
        <v>0.146068194553753</v>
      </c>
      <c r="AL2">
        <v>9.4946992673567196E-2</v>
      </c>
    </row>
    <row r="3" spans="1:38" x14ac:dyDescent="0.2">
      <c r="A3">
        <v>15</v>
      </c>
      <c r="B3">
        <v>732</v>
      </c>
      <c r="C3">
        <v>300</v>
      </c>
      <c r="D3">
        <v>0.256201064517732</v>
      </c>
      <c r="E3">
        <v>18.026322527699399</v>
      </c>
      <c r="F3">
        <v>2.5840273345990301</v>
      </c>
      <c r="G3">
        <v>-290.91702063940852</v>
      </c>
      <c r="H3">
        <v>-253.36809297908178</v>
      </c>
      <c r="I3">
        <v>37.3565414717472</v>
      </c>
      <c r="J3">
        <v>22.307067117255102</v>
      </c>
      <c r="K3">
        <v>6.9760572136117096</v>
      </c>
      <c r="L3">
        <v>3.2641360651976709E-5</v>
      </c>
      <c r="M3">
        <v>1.7982111268051454E-6</v>
      </c>
      <c r="N3" s="1">
        <v>-5.9049964369372599E-7</v>
      </c>
      <c r="O3" s="1">
        <v>5.8384825027933899E-11</v>
      </c>
      <c r="P3" s="1">
        <v>1.85018790157399E-9</v>
      </c>
      <c r="Q3">
        <v>64.539651738835701</v>
      </c>
      <c r="S3">
        <v>21.890019023911702</v>
      </c>
      <c r="AA3">
        <v>3.0000444108965199</v>
      </c>
      <c r="AB3">
        <v>8.87560704662679</v>
      </c>
      <c r="AC3">
        <v>1.6946777797292401</v>
      </c>
      <c r="AJ3">
        <v>0.76195899233548603</v>
      </c>
      <c r="AK3">
        <v>0.142321989688977</v>
      </c>
      <c r="AL3">
        <v>9.5719017975535906E-2</v>
      </c>
    </row>
    <row r="4" spans="1:38" x14ac:dyDescent="0.2">
      <c r="A4">
        <v>16</v>
      </c>
      <c r="B4">
        <v>730</v>
      </c>
      <c r="C4">
        <v>300</v>
      </c>
      <c r="D4">
        <v>0.25457857748093798</v>
      </c>
      <c r="E4">
        <v>19.358247277608498</v>
      </c>
      <c r="F4">
        <v>2.5839456732683299</v>
      </c>
      <c r="G4">
        <v>-312.33364165392265</v>
      </c>
      <c r="H4">
        <v>-272.13582694752972</v>
      </c>
      <c r="I4">
        <v>40.071589200411601</v>
      </c>
      <c r="J4">
        <v>23.999316927559601</v>
      </c>
      <c r="K4">
        <v>7.4917392721817802</v>
      </c>
      <c r="L4">
        <v>3.284801762195421E-5</v>
      </c>
      <c r="M4">
        <v>1.7997776630054723E-6</v>
      </c>
      <c r="N4" s="1">
        <v>-6.7772645601219402E-7</v>
      </c>
      <c r="O4" s="1">
        <v>6.2383781256304097E-11</v>
      </c>
      <c r="P4" s="1">
        <v>2.1096865922487702E-9</v>
      </c>
      <c r="Q4">
        <v>64.576117511973194</v>
      </c>
      <c r="S4">
        <v>21.866530054179801</v>
      </c>
      <c r="AA4">
        <v>2.9721569807173398</v>
      </c>
      <c r="AB4">
        <v>8.8952896789206903</v>
      </c>
      <c r="AC4">
        <v>1.6899057742088599</v>
      </c>
      <c r="AJ4">
        <v>0.76357448833295505</v>
      </c>
      <c r="AK4">
        <v>0.14098530506322199</v>
      </c>
      <c r="AL4">
        <v>9.5440206603821798E-2</v>
      </c>
    </row>
    <row r="5" spans="1:38" x14ac:dyDescent="0.2">
      <c r="A5">
        <v>17</v>
      </c>
      <c r="B5">
        <v>728</v>
      </c>
      <c r="C5">
        <v>300</v>
      </c>
      <c r="D5">
        <v>0.25294960795086002</v>
      </c>
      <c r="E5">
        <v>20.0961051618313</v>
      </c>
      <c r="F5">
        <v>2.5839996273725201</v>
      </c>
      <c r="G5">
        <v>-324.16269793022747</v>
      </c>
      <c r="H5">
        <v>-282.56401799442409</v>
      </c>
      <c r="I5">
        <v>41.550896404937703</v>
      </c>
      <c r="J5">
        <v>24.962221017051</v>
      </c>
      <c r="K5">
        <v>7.7771316020914396</v>
      </c>
      <c r="L5">
        <v>3.3058894330703462E-5</v>
      </c>
      <c r="M5">
        <v>1.8010539674633058E-6</v>
      </c>
      <c r="N5" s="1">
        <v>-7.5130436510806803E-7</v>
      </c>
      <c r="O5" s="1">
        <v>6.4397760303024297E-11</v>
      </c>
      <c r="P5" s="1">
        <v>2.3242496901654301E-9</v>
      </c>
      <c r="Q5">
        <v>64.598172781945607</v>
      </c>
      <c r="S5">
        <v>21.853779059223299</v>
      </c>
      <c r="AA5">
        <v>2.9564909835852302</v>
      </c>
      <c r="AB5">
        <v>8.9110102744767605</v>
      </c>
      <c r="AC5">
        <v>1.6805469007690601</v>
      </c>
      <c r="AJ5">
        <v>0.764864457245098</v>
      </c>
      <c r="AK5">
        <v>0.140231275671686</v>
      </c>
      <c r="AL5">
        <v>9.4904267083215296E-2</v>
      </c>
    </row>
    <row r="6" spans="1:38" x14ac:dyDescent="0.2">
      <c r="A6">
        <v>18</v>
      </c>
      <c r="B6">
        <v>726</v>
      </c>
      <c r="C6">
        <v>300</v>
      </c>
      <c r="D6">
        <v>0.251314116999449</v>
      </c>
      <c r="E6">
        <v>20.590281066386598</v>
      </c>
      <c r="F6">
        <v>2.5841086271184102</v>
      </c>
      <c r="G6">
        <v>-332.05875572772482</v>
      </c>
      <c r="H6">
        <v>-289.57210273309698</v>
      </c>
      <c r="I6">
        <v>42.5227973723944</v>
      </c>
      <c r="J6">
        <v>25.6285141104803</v>
      </c>
      <c r="K6">
        <v>7.9680400623666001</v>
      </c>
      <c r="L6">
        <v>3.3279462803723958E-5</v>
      </c>
      <c r="M6">
        <v>1.8022368965070812E-6</v>
      </c>
      <c r="N6" s="1">
        <v>-8.21440829477099E-7</v>
      </c>
      <c r="O6" s="1">
        <v>6.5581109297709006E-11</v>
      </c>
      <c r="P6" s="1">
        <v>2.52617889575598E-9</v>
      </c>
      <c r="Q6">
        <v>64.614452431980396</v>
      </c>
      <c r="S6">
        <v>21.845325854403502</v>
      </c>
      <c r="AA6">
        <v>2.9457183692764701</v>
      </c>
      <c r="AB6">
        <v>8.92512742627272</v>
      </c>
      <c r="AC6">
        <v>1.6693759180668399</v>
      </c>
      <c r="AJ6">
        <v>0.76602262883338401</v>
      </c>
      <c r="AK6">
        <v>0.13971054510505901</v>
      </c>
      <c r="AL6">
        <v>9.4266826061556203E-2</v>
      </c>
    </row>
    <row r="7" spans="1:38" x14ac:dyDescent="0.2">
      <c r="A7">
        <v>19</v>
      </c>
      <c r="B7">
        <v>724</v>
      </c>
      <c r="C7">
        <v>300</v>
      </c>
      <c r="D7">
        <v>0.249672065386352</v>
      </c>
      <c r="E7">
        <v>20.958546523078699</v>
      </c>
      <c r="F7">
        <v>2.5842458100160401</v>
      </c>
      <c r="G7">
        <v>-337.92234572106656</v>
      </c>
      <c r="H7">
        <v>-294.81340996330687</v>
      </c>
      <c r="I7">
        <v>43.232147377786397</v>
      </c>
      <c r="J7">
        <v>26.143809423641802</v>
      </c>
      <c r="K7">
        <v>8.1101211199984995</v>
      </c>
      <c r="L7">
        <v>3.3512025737083763E-5</v>
      </c>
      <c r="M7">
        <v>1.8033932315381176E-6</v>
      </c>
      <c r="N7" s="1">
        <v>-8.9152028409068499E-7</v>
      </c>
      <c r="O7" s="1">
        <v>6.6322960236708498E-11</v>
      </c>
      <c r="P7" s="1">
        <v>2.7261386190650298E-9</v>
      </c>
      <c r="Q7">
        <v>64.627831388564402</v>
      </c>
      <c r="S7">
        <v>21.839023912389798</v>
      </c>
      <c r="AA7">
        <v>2.9373974059716401</v>
      </c>
      <c r="AB7">
        <v>8.9384203533719706</v>
      </c>
      <c r="AC7">
        <v>1.65732693970209</v>
      </c>
      <c r="AJ7">
        <v>0.76711300297625395</v>
      </c>
      <c r="AK7">
        <v>0.13930672005923</v>
      </c>
      <c r="AL7">
        <v>9.3580276964515499E-2</v>
      </c>
    </row>
    <row r="8" spans="1:38" x14ac:dyDescent="0.2">
      <c r="A8">
        <v>32</v>
      </c>
      <c r="B8">
        <v>736</v>
      </c>
      <c r="C8">
        <v>290</v>
      </c>
      <c r="D8">
        <v>0.27032700787792002</v>
      </c>
      <c r="E8">
        <v>11.909590296371199</v>
      </c>
      <c r="F8">
        <v>2.5842174012050201</v>
      </c>
      <c r="G8">
        <v>-192.35722150824782</v>
      </c>
      <c r="H8">
        <v>-167.39576465948031</v>
      </c>
      <c r="I8">
        <v>24.7351304055566</v>
      </c>
      <c r="J8">
        <v>14.6839113526293</v>
      </c>
      <c r="K8">
        <v>4.6085868359286701</v>
      </c>
      <c r="L8">
        <v>3.2203939563747201E-5</v>
      </c>
      <c r="M8">
        <v>1.7945073458410631E-6</v>
      </c>
      <c r="N8" s="1">
        <v>-3.3764935802187898E-7</v>
      </c>
      <c r="O8" s="1">
        <v>3.8915491603204603E-11</v>
      </c>
      <c r="P8" s="1">
        <v>1.0739026077730001E-9</v>
      </c>
      <c r="Q8">
        <v>64.414085888837704</v>
      </c>
      <c r="S8">
        <v>21.9760920286441</v>
      </c>
      <c r="AA8">
        <v>3.1003545956197498</v>
      </c>
      <c r="AB8">
        <v>8.8214418546383992</v>
      </c>
      <c r="AC8">
        <v>1.6880256322599301</v>
      </c>
      <c r="AJ8">
        <v>0.75751125789455398</v>
      </c>
      <c r="AK8">
        <v>0.147119985725158</v>
      </c>
      <c r="AL8">
        <v>9.5368756380286898E-2</v>
      </c>
    </row>
    <row r="9" spans="1:38" x14ac:dyDescent="0.2">
      <c r="A9">
        <v>33</v>
      </c>
      <c r="B9">
        <v>734</v>
      </c>
      <c r="C9">
        <v>290</v>
      </c>
      <c r="D9">
        <v>0.268739016035347</v>
      </c>
      <c r="E9">
        <v>17.470486196950901</v>
      </c>
      <c r="F9">
        <v>2.5833583352171199</v>
      </c>
      <c r="G9">
        <v>-282.07439118048171</v>
      </c>
      <c r="H9">
        <v>-245.5659649299424</v>
      </c>
      <c r="I9">
        <v>36.249244154832297</v>
      </c>
      <c r="J9">
        <v>21.578048592426999</v>
      </c>
      <c r="K9">
        <v>6.7627033999844199</v>
      </c>
      <c r="L9">
        <v>3.2432311455958148E-5</v>
      </c>
      <c r="M9">
        <v>1.7978838388294233E-6</v>
      </c>
      <c r="N9" s="1">
        <v>-5.3105871785427005E-7</v>
      </c>
      <c r="O9" s="1">
        <v>5.6922157568112601E-11</v>
      </c>
      <c r="P9" s="1">
        <v>1.6765192908380399E-9</v>
      </c>
      <c r="Q9">
        <v>64.533716342851903</v>
      </c>
      <c r="S9">
        <v>21.890631179055401</v>
      </c>
      <c r="AA9">
        <v>3.0019343886688201</v>
      </c>
      <c r="AB9">
        <v>8.8639851792150903</v>
      </c>
      <c r="AC9">
        <v>1.70973291020868</v>
      </c>
      <c r="AJ9">
        <v>0.76100519228157704</v>
      </c>
      <c r="AK9">
        <v>0.14241986998009301</v>
      </c>
      <c r="AL9">
        <v>9.6574937738328703E-2</v>
      </c>
    </row>
    <row r="10" spans="1:38" x14ac:dyDescent="0.2">
      <c r="A10">
        <v>34</v>
      </c>
      <c r="B10">
        <v>732</v>
      </c>
      <c r="C10">
        <v>290</v>
      </c>
      <c r="D10">
        <v>0.267144704770434</v>
      </c>
      <c r="E10">
        <v>19.055124243147802</v>
      </c>
      <c r="F10">
        <v>2.5832759835399401</v>
      </c>
      <c r="G10">
        <v>-307.5821341408278</v>
      </c>
      <c r="H10">
        <v>-267.88580873116967</v>
      </c>
      <c r="I10">
        <v>39.492936785214198</v>
      </c>
      <c r="J10">
        <v>23.575353221295099</v>
      </c>
      <c r="K10">
        <v>7.3763408805574002</v>
      </c>
      <c r="L10">
        <v>3.2625708437943149E-5</v>
      </c>
      <c r="M10">
        <v>1.7994082887830259E-6</v>
      </c>
      <c r="N10" s="1">
        <v>-6.1918947068452995E-7</v>
      </c>
      <c r="O10" s="1">
        <v>6.1797173072474902E-11</v>
      </c>
      <c r="P10" s="1">
        <v>1.9414122200164801E-9</v>
      </c>
      <c r="Q10">
        <v>64.570021202113594</v>
      </c>
      <c r="S10">
        <v>21.867244023363</v>
      </c>
      <c r="AA10">
        <v>2.9741685031677898</v>
      </c>
      <c r="AB10">
        <v>8.8835761423058894</v>
      </c>
      <c r="AC10">
        <v>1.70499012904953</v>
      </c>
      <c r="AJ10">
        <v>0.76261335027930199</v>
      </c>
      <c r="AK10">
        <v>0.14108892844559601</v>
      </c>
      <c r="AL10">
        <v>9.6297721275101097E-2</v>
      </c>
    </row>
    <row r="11" spans="1:38" x14ac:dyDescent="0.2">
      <c r="A11">
        <v>35</v>
      </c>
      <c r="B11">
        <v>730</v>
      </c>
      <c r="C11">
        <v>290</v>
      </c>
      <c r="D11">
        <v>0.265544036285703</v>
      </c>
      <c r="E11">
        <v>19.870870261494499</v>
      </c>
      <c r="F11">
        <v>2.58333996790188</v>
      </c>
      <c r="G11">
        <v>-320.67506692252249</v>
      </c>
      <c r="H11">
        <v>-279.40925707437469</v>
      </c>
      <c r="I11">
        <v>41.136230721375497</v>
      </c>
      <c r="J11">
        <v>24.6285920927041</v>
      </c>
      <c r="K11">
        <v>7.6919300240738702</v>
      </c>
      <c r="L11">
        <v>3.2821998506461219E-5</v>
      </c>
      <c r="M11">
        <v>1.8006160180179593E-6</v>
      </c>
      <c r="N11" s="1">
        <v>-6.8975518604445802E-7</v>
      </c>
      <c r="O11" s="1">
        <v>6.4104681839005506E-11</v>
      </c>
      <c r="P11" s="1">
        <v>2.1486346028231299E-9</v>
      </c>
      <c r="Q11">
        <v>64.590819825238199</v>
      </c>
      <c r="S11">
        <v>21.8554275475915</v>
      </c>
      <c r="AA11">
        <v>2.9595667152945402</v>
      </c>
      <c r="AB11">
        <v>8.8989463312795802</v>
      </c>
      <c r="AC11">
        <v>1.69523958059609</v>
      </c>
      <c r="AJ11">
        <v>0.763874703142147</v>
      </c>
      <c r="AK11">
        <v>0.140385568515348</v>
      </c>
      <c r="AL11">
        <v>9.5739728342503702E-2</v>
      </c>
    </row>
    <row r="12" spans="1:38" x14ac:dyDescent="0.2">
      <c r="A12">
        <v>36</v>
      </c>
      <c r="B12">
        <v>728</v>
      </c>
      <c r="C12">
        <v>290</v>
      </c>
      <c r="D12">
        <v>0.26393697248164799</v>
      </c>
      <c r="E12">
        <v>20.398350711936001</v>
      </c>
      <c r="F12">
        <v>2.5834580108125502</v>
      </c>
      <c r="G12">
        <v>-329.11328591644622</v>
      </c>
      <c r="H12">
        <v>-286.88581807932798</v>
      </c>
      <c r="I12">
        <v>42.178962030782799</v>
      </c>
      <c r="J12">
        <v>25.330406792132901</v>
      </c>
      <c r="K12">
        <v>7.8957546925720399</v>
      </c>
      <c r="L12">
        <v>3.3027241510932151E-5</v>
      </c>
      <c r="M12">
        <v>1.8017308818000715E-6</v>
      </c>
      <c r="N12" s="1">
        <v>-7.55996559752228E-7</v>
      </c>
      <c r="O12" s="1">
        <v>6.5432021278729194E-11</v>
      </c>
      <c r="P12" s="1">
        <v>2.3403715892200499E-9</v>
      </c>
      <c r="Q12">
        <v>64.605960269660301</v>
      </c>
      <c r="S12">
        <v>21.8478264090603</v>
      </c>
      <c r="AA12">
        <v>2.94976288245411</v>
      </c>
      <c r="AB12">
        <v>8.91275862700126</v>
      </c>
      <c r="AC12">
        <v>1.68369181182385</v>
      </c>
      <c r="AJ12">
        <v>0.76500798950173199</v>
      </c>
      <c r="AK12">
        <v>0.13991095545283599</v>
      </c>
      <c r="AL12">
        <v>9.5081055045431198E-2</v>
      </c>
    </row>
    <row r="13" spans="1:38" x14ac:dyDescent="0.2">
      <c r="A13">
        <v>37</v>
      </c>
      <c r="B13">
        <v>726</v>
      </c>
      <c r="C13">
        <v>290</v>
      </c>
      <c r="D13">
        <v>0.26232347495371</v>
      </c>
      <c r="E13">
        <v>20.783595297610798</v>
      </c>
      <c r="F13">
        <v>2.5836023230095</v>
      </c>
      <c r="G13">
        <v>-335.25445968245367</v>
      </c>
      <c r="H13">
        <v>-292.36597278030325</v>
      </c>
      <c r="I13">
        <v>42.924973129310203</v>
      </c>
      <c r="J13">
        <v>25.861027762951402</v>
      </c>
      <c r="K13">
        <v>8.0444250697998498</v>
      </c>
      <c r="L13">
        <v>3.324377051812842E-5</v>
      </c>
      <c r="M13">
        <v>1.8028215384562417E-6</v>
      </c>
      <c r="N13" s="1">
        <v>-8.2194763556026298E-7</v>
      </c>
      <c r="O13" s="1">
        <v>6.6262186478226905E-11</v>
      </c>
      <c r="P13" s="1">
        <v>2.5294173635657101E-9</v>
      </c>
      <c r="Q13">
        <v>64.618404269285406</v>
      </c>
      <c r="S13">
        <v>21.842226247049599</v>
      </c>
      <c r="AA13">
        <v>2.94223905426204</v>
      </c>
      <c r="AB13">
        <v>8.9258078601633901</v>
      </c>
      <c r="AC13">
        <v>1.6713225692394</v>
      </c>
      <c r="AJ13">
        <v>0.76607849623306101</v>
      </c>
      <c r="AK13">
        <v>0.13954506562215299</v>
      </c>
      <c r="AL13">
        <v>9.4376438144785094E-2</v>
      </c>
    </row>
    <row r="14" spans="1:38" x14ac:dyDescent="0.2">
      <c r="A14">
        <v>38</v>
      </c>
      <c r="B14">
        <v>724</v>
      </c>
      <c r="C14">
        <v>290</v>
      </c>
      <c r="D14">
        <v>0.26070350498922301</v>
      </c>
      <c r="E14">
        <v>21.087135166437601</v>
      </c>
      <c r="F14">
        <v>2.5837615728942498</v>
      </c>
      <c r="G14">
        <v>-340.07586568562749</v>
      </c>
      <c r="H14">
        <v>-296.69961412890575</v>
      </c>
      <c r="I14">
        <v>43.500227204253797</v>
      </c>
      <c r="J14">
        <v>26.295305831895199</v>
      </c>
      <c r="K14">
        <v>8.1614090818822902</v>
      </c>
      <c r="L14">
        <v>3.3472971703711249E-5</v>
      </c>
      <c r="M14">
        <v>1.8039172095683219E-6</v>
      </c>
      <c r="N14" s="1">
        <v>-8.89244659425995E-7</v>
      </c>
      <c r="O14" s="1">
        <v>6.6796077458253596E-11</v>
      </c>
      <c r="P14" s="1">
        <v>2.7209194363817099E-9</v>
      </c>
      <c r="Q14">
        <v>64.629362187384999</v>
      </c>
      <c r="S14">
        <v>21.837721667192401</v>
      </c>
      <c r="AA14">
        <v>2.9359658493724599</v>
      </c>
      <c r="AB14">
        <v>8.9384176513773301</v>
      </c>
      <c r="AC14">
        <v>1.6585326446726101</v>
      </c>
      <c r="AJ14">
        <v>0.76711280495217604</v>
      </c>
      <c r="AK14">
        <v>0.13923883431878001</v>
      </c>
      <c r="AL14">
        <v>9.3648360729042507E-2</v>
      </c>
    </row>
    <row r="15" spans="1:38" x14ac:dyDescent="0.2">
      <c r="A15">
        <v>51</v>
      </c>
      <c r="B15">
        <v>736</v>
      </c>
      <c r="C15">
        <v>280</v>
      </c>
      <c r="D15">
        <v>0.281227270475152</v>
      </c>
      <c r="E15">
        <v>16.767628972089401</v>
      </c>
      <c r="F15">
        <v>2.58267483329224</v>
      </c>
      <c r="G15">
        <v>-270.84831297255772</v>
      </c>
      <c r="H15">
        <v>-235.69598479122698</v>
      </c>
      <c r="I15">
        <v>34.833600734609</v>
      </c>
      <c r="J15">
        <v>20.6734602881751</v>
      </c>
      <c r="K15">
        <v>6.4923500070332203</v>
      </c>
      <c r="L15">
        <v>3.2237974810180862E-5</v>
      </c>
      <c r="M15">
        <v>1.7976344572594241E-6</v>
      </c>
      <c r="N15" s="1">
        <v>-4.7293635698956902E-7</v>
      </c>
      <c r="O15" s="1">
        <v>5.4936570354930403E-11</v>
      </c>
      <c r="P15" s="1">
        <v>1.5048699721729299E-9</v>
      </c>
      <c r="Q15">
        <v>64.529473558337799</v>
      </c>
      <c r="S15">
        <v>21.8899742799744</v>
      </c>
      <c r="AA15">
        <v>3.00238243596469</v>
      </c>
      <c r="AB15">
        <v>8.8528082150708993</v>
      </c>
      <c r="AC15">
        <v>1.7253615106521001</v>
      </c>
      <c r="AJ15">
        <v>0.76008782366936101</v>
      </c>
      <c r="AK15">
        <v>0.14244903796908401</v>
      </c>
      <c r="AL15">
        <v>9.7463138361554902E-2</v>
      </c>
    </row>
    <row r="16" spans="1:38" x14ac:dyDescent="0.2">
      <c r="A16">
        <v>52</v>
      </c>
      <c r="B16">
        <v>734</v>
      </c>
      <c r="C16">
        <v>280</v>
      </c>
      <c r="D16">
        <v>0.27966092439060802</v>
      </c>
      <c r="E16">
        <v>18.7177755013381</v>
      </c>
      <c r="F16">
        <v>2.58259671809112</v>
      </c>
      <c r="G16">
        <v>-302.27314018705187</v>
      </c>
      <c r="H16">
        <v>-263.1538479860784</v>
      </c>
      <c r="I16">
        <v>38.841574940151403</v>
      </c>
      <c r="J16">
        <v>23.114271494406001</v>
      </c>
      <c r="K16">
        <v>7.2476571236305798</v>
      </c>
      <c r="L16">
        <v>3.2418753421497398E-5</v>
      </c>
      <c r="M16">
        <v>1.7991077537262678E-6</v>
      </c>
      <c r="N16" s="1">
        <v>-5.6440174400412402E-7</v>
      </c>
      <c r="O16" s="1">
        <v>6.1063431995189399E-11</v>
      </c>
      <c r="P16" s="1">
        <v>1.7830644498923199E-9</v>
      </c>
      <c r="Q16">
        <v>64.565100932730402</v>
      </c>
      <c r="S16">
        <v>21.867074758279699</v>
      </c>
      <c r="AA16">
        <v>2.9751769353371298</v>
      </c>
      <c r="AB16">
        <v>8.8721678353777396</v>
      </c>
      <c r="AC16">
        <v>1.7204795382749201</v>
      </c>
      <c r="AJ16">
        <v>0.76167716548667597</v>
      </c>
      <c r="AK16">
        <v>0.14114476534731599</v>
      </c>
      <c r="AL16">
        <v>9.7178069166006895E-2</v>
      </c>
    </row>
    <row r="17" spans="1:38" x14ac:dyDescent="0.2">
      <c r="A17">
        <v>53</v>
      </c>
      <c r="B17">
        <v>732</v>
      </c>
      <c r="C17">
        <v>280</v>
      </c>
      <c r="D17">
        <v>0.27808834502313201</v>
      </c>
      <c r="E17">
        <v>19.631917385508402</v>
      </c>
      <c r="F17">
        <v>2.5826751146263902</v>
      </c>
      <c r="G17">
        <v>-316.96247821769396</v>
      </c>
      <c r="H17">
        <v>-276.06112042298332</v>
      </c>
      <c r="I17">
        <v>40.691795050202103</v>
      </c>
      <c r="J17">
        <v>24.2832276011675</v>
      </c>
      <c r="K17">
        <v>7.6013886819629404</v>
      </c>
      <c r="L17">
        <v>3.2601174375164185E-5</v>
      </c>
      <c r="M17">
        <v>1.8002395467092982E-6</v>
      </c>
      <c r="N17" s="1">
        <v>-6.3245583266172602E-7</v>
      </c>
      <c r="O17" s="1">
        <v>6.3732383415025602E-11</v>
      </c>
      <c r="P17" s="1">
        <v>1.9844764945920601E-9</v>
      </c>
      <c r="Q17">
        <v>64.584195607553696</v>
      </c>
      <c r="S17">
        <v>21.8565297046929</v>
      </c>
      <c r="AA17">
        <v>2.9620216768261902</v>
      </c>
      <c r="AB17">
        <v>8.8870740654777691</v>
      </c>
      <c r="AC17">
        <v>1.71017894544926</v>
      </c>
      <c r="AJ17">
        <v>0.76290056833748998</v>
      </c>
      <c r="AK17">
        <v>0.140510300187209</v>
      </c>
      <c r="AL17">
        <v>9.6589131475299905E-2</v>
      </c>
    </row>
    <row r="18" spans="1:38" x14ac:dyDescent="0.2">
      <c r="A18">
        <v>54</v>
      </c>
      <c r="B18">
        <v>730</v>
      </c>
      <c r="C18">
        <v>280</v>
      </c>
      <c r="D18">
        <v>0.27650949509046802</v>
      </c>
      <c r="E18">
        <v>20.198994941928699</v>
      </c>
      <c r="F18">
        <v>2.5828048156880001</v>
      </c>
      <c r="G18">
        <v>-326.04507023907206</v>
      </c>
      <c r="H18">
        <v>-284.09478882485735</v>
      </c>
      <c r="I18">
        <v>41.818552972351803</v>
      </c>
      <c r="J18">
        <v>25.028582458384498</v>
      </c>
      <c r="K18">
        <v>7.8205657737819196</v>
      </c>
      <c r="L18">
        <v>3.2791921999694161E-5</v>
      </c>
      <c r="M18">
        <v>1.8012832027965039E-6</v>
      </c>
      <c r="N18" s="1">
        <v>-6.9499492674907595E-7</v>
      </c>
      <c r="O18" s="1">
        <v>6.5224488347239204E-11</v>
      </c>
      <c r="P18" s="1">
        <v>2.16653007237918E-9</v>
      </c>
      <c r="Q18">
        <v>64.597936531722198</v>
      </c>
      <c r="S18">
        <v>21.8499773769352</v>
      </c>
      <c r="AA18">
        <v>2.9534096825313099</v>
      </c>
      <c r="AB18">
        <v>8.9005171991505101</v>
      </c>
      <c r="AC18">
        <v>1.6981592096607101</v>
      </c>
      <c r="AJ18">
        <v>0.76400368193563695</v>
      </c>
      <c r="AK18">
        <v>0.14009243774171901</v>
      </c>
      <c r="AL18">
        <v>9.5903880322643506E-2</v>
      </c>
    </row>
    <row r="19" spans="1:38" x14ac:dyDescent="0.2">
      <c r="A19">
        <v>55</v>
      </c>
      <c r="B19">
        <v>728</v>
      </c>
      <c r="C19">
        <v>280</v>
      </c>
      <c r="D19">
        <v>0.27492433701243602</v>
      </c>
      <c r="E19">
        <v>20.603741781570601</v>
      </c>
      <c r="F19">
        <v>2.5829579177584701</v>
      </c>
      <c r="G19">
        <v>-332.50488845451588</v>
      </c>
      <c r="H19">
        <v>-289.84937157234856</v>
      </c>
      <c r="I19">
        <v>42.606519384874602</v>
      </c>
      <c r="J19">
        <v>25.5779549498228</v>
      </c>
      <c r="K19">
        <v>7.9768011859251997</v>
      </c>
      <c r="L19">
        <v>3.2993295624674372E-5</v>
      </c>
      <c r="M19">
        <v>1.8023072428388986E-6</v>
      </c>
      <c r="N19" s="1">
        <v>-7.5686862855092E-7</v>
      </c>
      <c r="O19" s="1">
        <v>6.61518423727626E-11</v>
      </c>
      <c r="P19" s="1">
        <v>2.3447187502673201E-9</v>
      </c>
      <c r="Q19">
        <v>64.609285167318603</v>
      </c>
      <c r="S19">
        <v>21.845200495764601</v>
      </c>
      <c r="AA19">
        <v>2.9468206576835798</v>
      </c>
      <c r="AB19">
        <v>8.9132838100619995</v>
      </c>
      <c r="AC19">
        <v>1.6854098691711099</v>
      </c>
      <c r="AJ19">
        <v>0.76505111943096105</v>
      </c>
      <c r="AK19">
        <v>0.13977104613858901</v>
      </c>
      <c r="AL19">
        <v>9.5177834430449304E-2</v>
      </c>
    </row>
    <row r="20" spans="1:38" x14ac:dyDescent="0.2">
      <c r="A20">
        <v>56</v>
      </c>
      <c r="B20">
        <v>726</v>
      </c>
      <c r="C20">
        <v>280</v>
      </c>
      <c r="D20">
        <v>0.273332832907971</v>
      </c>
      <c r="E20">
        <v>20.918158816809498</v>
      </c>
      <c r="F20">
        <v>2.5831237730963399</v>
      </c>
      <c r="G20">
        <v>-337.50495172377526</v>
      </c>
      <c r="H20">
        <v>-294.33603445305829</v>
      </c>
      <c r="I20">
        <v>43.205642066473303</v>
      </c>
      <c r="J20">
        <v>26.020207380438801</v>
      </c>
      <c r="K20">
        <v>8.0980087112648604</v>
      </c>
      <c r="L20">
        <v>3.3206632410879646E-5</v>
      </c>
      <c r="M20">
        <v>1.803339130127253E-6</v>
      </c>
      <c r="N20" s="1">
        <v>-8.1998371078185204E-7</v>
      </c>
      <c r="O20" s="1">
        <v>6.6753247342422694E-11</v>
      </c>
      <c r="P20" s="1">
        <v>2.52508041489665E-9</v>
      </c>
      <c r="Q20">
        <v>64.619374604484406</v>
      </c>
      <c r="S20">
        <v>21.8413503735805</v>
      </c>
      <c r="AA20">
        <v>2.9412900352284201</v>
      </c>
      <c r="AB20">
        <v>8.9256739839561892</v>
      </c>
      <c r="AC20">
        <v>1.67231100275044</v>
      </c>
      <c r="AJ20">
        <v>0.76606753114260495</v>
      </c>
      <c r="AK20">
        <v>0.13950015099886101</v>
      </c>
      <c r="AL20">
        <v>9.4432317858532899E-2</v>
      </c>
    </row>
    <row r="21" spans="1:38" x14ac:dyDescent="0.2">
      <c r="A21">
        <v>68</v>
      </c>
      <c r="B21">
        <v>738</v>
      </c>
      <c r="C21">
        <v>270</v>
      </c>
      <c r="D21">
        <v>0.29366612273154402</v>
      </c>
      <c r="E21">
        <v>26.8699145074388</v>
      </c>
      <c r="F21">
        <v>2.5256863161749799</v>
      </c>
      <c r="G21">
        <v>-422.3691413297916</v>
      </c>
      <c r="H21">
        <v>-366.81211289921418</v>
      </c>
      <c r="I21">
        <v>54.944398388545203</v>
      </c>
      <c r="J21">
        <v>31.9856878132343</v>
      </c>
      <c r="K21">
        <v>10.6386586233447</v>
      </c>
      <c r="L21">
        <v>2.8615137361023329E-5</v>
      </c>
      <c r="M21">
        <v>1.7901637485572461E-6</v>
      </c>
      <c r="N21" s="1">
        <v>-2.96201616357129E-7</v>
      </c>
      <c r="O21" s="1">
        <v>1.0099208502974899E-10</v>
      </c>
      <c r="P21" s="1">
        <v>1.0677236251828299E-9</v>
      </c>
      <c r="Q21">
        <v>65.885193929461494</v>
      </c>
      <c r="S21">
        <v>18.956740910805902</v>
      </c>
      <c r="AA21">
        <v>0.26609605777637402</v>
      </c>
      <c r="AB21">
        <v>4.1841057476693502</v>
      </c>
      <c r="AC21">
        <v>10.707863354286699</v>
      </c>
      <c r="AJ21">
        <v>0.367796595713546</v>
      </c>
      <c r="AK21">
        <v>1.2925706305247E-2</v>
      </c>
      <c r="AL21">
        <v>0.61927769798120602</v>
      </c>
    </row>
    <row r="22" spans="1:38" x14ac:dyDescent="0.2">
      <c r="A22">
        <v>69</v>
      </c>
      <c r="B22">
        <v>736</v>
      </c>
      <c r="C22">
        <v>270</v>
      </c>
      <c r="D22">
        <v>0.29212753307238798</v>
      </c>
      <c r="E22">
        <v>31.409243787801199</v>
      </c>
      <c r="F22">
        <v>2.5257482019856901</v>
      </c>
      <c r="G22">
        <v>-493.57077956572505</v>
      </c>
      <c r="H22">
        <v>-428.8347834260498</v>
      </c>
      <c r="I22">
        <v>64.149032492369997</v>
      </c>
      <c r="J22">
        <v>37.408187000384899</v>
      </c>
      <c r="K22">
        <v>12.4356195772436</v>
      </c>
      <c r="L22">
        <v>2.8669175251060997E-5</v>
      </c>
      <c r="M22">
        <v>1.7904847707854817E-6</v>
      </c>
      <c r="N22" s="1">
        <v>-3.7119084513121602E-7</v>
      </c>
      <c r="O22" s="1">
        <v>1.1786831793234301E-10</v>
      </c>
      <c r="P22" s="1">
        <v>1.3189296429380799E-9</v>
      </c>
      <c r="Q22">
        <v>65.888091649411294</v>
      </c>
      <c r="S22">
        <v>18.951327253854501</v>
      </c>
      <c r="AA22">
        <v>0.26095359202413498</v>
      </c>
      <c r="AB22">
        <v>4.1763705556865904</v>
      </c>
      <c r="AC22">
        <v>10.7232569490233</v>
      </c>
      <c r="AJ22">
        <v>0.36713113907744499</v>
      </c>
      <c r="AK22">
        <v>1.2676409672530101E-2</v>
      </c>
      <c r="AL22">
        <v>0.62019245125002398</v>
      </c>
    </row>
    <row r="23" spans="1:38" x14ac:dyDescent="0.2">
      <c r="A23">
        <v>70</v>
      </c>
      <c r="B23">
        <v>734</v>
      </c>
      <c r="C23">
        <v>270</v>
      </c>
      <c r="D23">
        <v>0.29058283274586499</v>
      </c>
      <c r="E23">
        <v>33.174935098711302</v>
      </c>
      <c r="F23">
        <v>2.5258083443458799</v>
      </c>
      <c r="G23">
        <v>-521.14001619292071</v>
      </c>
      <c r="H23">
        <v>-452.9859504019646</v>
      </c>
      <c r="I23">
        <v>67.670223691561404</v>
      </c>
      <c r="J23">
        <v>39.530574658212302</v>
      </c>
      <c r="K23">
        <v>13.1343833640325</v>
      </c>
      <c r="L23">
        <v>2.8720271607481619E-5</v>
      </c>
      <c r="M23">
        <v>1.790725300421358E-6</v>
      </c>
      <c r="N23" s="1">
        <v>-4.1922757762329499E-7</v>
      </c>
      <c r="O23" s="1">
        <v>1.24298295777911E-10</v>
      </c>
      <c r="P23" s="1">
        <v>1.46998557477305E-9</v>
      </c>
      <c r="Q23">
        <v>65.888144994019001</v>
      </c>
      <c r="S23">
        <v>18.945468503198502</v>
      </c>
      <c r="AA23">
        <v>0.25610761550918498</v>
      </c>
      <c r="AB23">
        <v>4.1611299547502698</v>
      </c>
      <c r="AC23">
        <v>10.7491489325229</v>
      </c>
      <c r="AJ23">
        <v>0.36581979771872702</v>
      </c>
      <c r="AK23">
        <v>1.24419716934427E-2</v>
      </c>
      <c r="AL23">
        <v>0.62173823058782896</v>
      </c>
    </row>
    <row r="24" spans="1:38" x14ac:dyDescent="0.2">
      <c r="A24">
        <v>71</v>
      </c>
      <c r="B24">
        <v>732</v>
      </c>
      <c r="C24">
        <v>270</v>
      </c>
      <c r="D24">
        <v>0.28903198527583002</v>
      </c>
      <c r="E24">
        <v>34.143634391928202</v>
      </c>
      <c r="F24">
        <v>2.5258693194319402</v>
      </c>
      <c r="G24">
        <v>-536.17018414528786</v>
      </c>
      <c r="H24">
        <v>-466.25432472531088</v>
      </c>
      <c r="I24">
        <v>69.557637586406997</v>
      </c>
      <c r="J24">
        <v>40.7059833528346</v>
      </c>
      <c r="K24">
        <v>13.5175775441965</v>
      </c>
      <c r="L24">
        <v>2.8773299373648376E-5</v>
      </c>
      <c r="M24">
        <v>1.790949882352018E-6</v>
      </c>
      <c r="N24" s="1">
        <v>-4.6088976389598799E-7</v>
      </c>
      <c r="O24" s="1">
        <v>1.2771662274815299E-10</v>
      </c>
      <c r="P24" s="1">
        <v>1.59599150658315E-9</v>
      </c>
      <c r="Q24">
        <v>65.887323332361106</v>
      </c>
      <c r="S24">
        <v>18.939528623732901</v>
      </c>
      <c r="AA24">
        <v>0.25139887764560198</v>
      </c>
      <c r="AB24">
        <v>4.1437267595454204</v>
      </c>
      <c r="AC24">
        <v>10.7780224067148</v>
      </c>
      <c r="AJ24">
        <v>0.364322125330723</v>
      </c>
      <c r="AK24">
        <v>1.22142994085214E-2</v>
      </c>
      <c r="AL24">
        <v>0.62346357526075502</v>
      </c>
    </row>
    <row r="25" spans="1:38" x14ac:dyDescent="0.2">
      <c r="A25">
        <v>72</v>
      </c>
      <c r="B25">
        <v>730</v>
      </c>
      <c r="C25">
        <v>270</v>
      </c>
      <c r="D25">
        <v>0.28747495389523398</v>
      </c>
      <c r="E25">
        <v>34.758037958197903</v>
      </c>
      <c r="F25">
        <v>2.5259317515039799</v>
      </c>
      <c r="G25">
        <v>-545.62623792745967</v>
      </c>
      <c r="H25">
        <v>-474.68488336293842</v>
      </c>
      <c r="I25">
        <v>70.718591002862198</v>
      </c>
      <c r="J25">
        <v>41.461571038605797</v>
      </c>
      <c r="K25">
        <v>13.760481825172899</v>
      </c>
      <c r="L25">
        <v>2.8829581494305942E-5</v>
      </c>
      <c r="M25">
        <v>1.7911741850109843E-6</v>
      </c>
      <c r="N25" s="1">
        <v>-5.00796729793668E-7</v>
      </c>
      <c r="O25" s="1">
        <v>1.2978815836380399E-10</v>
      </c>
      <c r="P25" s="1">
        <v>1.7137710383216101E-9</v>
      </c>
      <c r="Q25">
        <v>65.886089694022701</v>
      </c>
      <c r="S25">
        <v>18.933592273982001</v>
      </c>
      <c r="AA25">
        <v>0.24678918095906499</v>
      </c>
      <c r="AB25">
        <v>4.1254147500029097</v>
      </c>
      <c r="AC25">
        <v>10.808114101033199</v>
      </c>
      <c r="AJ25">
        <v>0.36274595324426101</v>
      </c>
      <c r="AK25">
        <v>1.1991454561629601E-2</v>
      </c>
      <c r="AL25">
        <v>0.62526259219410796</v>
      </c>
    </row>
    <row r="26" spans="1:38" x14ac:dyDescent="0.2">
      <c r="A26">
        <v>73</v>
      </c>
      <c r="B26">
        <v>728</v>
      </c>
      <c r="C26">
        <v>270</v>
      </c>
      <c r="D26">
        <v>0.28591170154322698</v>
      </c>
      <c r="E26">
        <v>35.180135194513198</v>
      </c>
      <c r="F26">
        <v>2.5259958679243502</v>
      </c>
      <c r="G26">
        <v>-552.05698283374875</v>
      </c>
      <c r="H26">
        <v>-480.48961181050561</v>
      </c>
      <c r="I26">
        <v>71.485163085694495</v>
      </c>
      <c r="J26">
        <v>41.9903035397138</v>
      </c>
      <c r="K26">
        <v>13.927233864963201</v>
      </c>
      <c r="L26">
        <v>2.8889740106005619E-5</v>
      </c>
      <c r="M26">
        <v>1.7914041933171929E-6</v>
      </c>
      <c r="N26" s="1">
        <v>-5.4063097475426905E-7</v>
      </c>
      <c r="O26" s="1">
        <v>1.31122272445257E-10</v>
      </c>
      <c r="P26" s="1">
        <v>1.82943119904498E-9</v>
      </c>
      <c r="Q26">
        <v>65.884608830695896</v>
      </c>
      <c r="S26">
        <v>18.927688870625001</v>
      </c>
      <c r="AA26">
        <v>0.24226435195613</v>
      </c>
      <c r="AB26">
        <v>4.1066381860847798</v>
      </c>
      <c r="AC26">
        <v>10.8387997606381</v>
      </c>
      <c r="AJ26">
        <v>0.36112948843926901</v>
      </c>
      <c r="AK26">
        <v>1.17727200364687E-2</v>
      </c>
      <c r="AL26">
        <v>0.62709779152426204</v>
      </c>
    </row>
    <row r="27" spans="1:38" x14ac:dyDescent="0.2">
      <c r="A27">
        <v>84</v>
      </c>
      <c r="B27">
        <v>740</v>
      </c>
      <c r="C27">
        <v>260</v>
      </c>
      <c r="D27">
        <v>0.30605586537038199</v>
      </c>
      <c r="E27">
        <v>24.5329247512698</v>
      </c>
      <c r="F27">
        <v>2.52521078115217</v>
      </c>
      <c r="G27">
        <v>-385.90425453629086</v>
      </c>
      <c r="H27">
        <v>-335.00547807278514</v>
      </c>
      <c r="I27">
        <v>50.238144858614902</v>
      </c>
      <c r="J27">
        <v>29.194255857972099</v>
      </c>
      <c r="K27">
        <v>9.7151988001873608</v>
      </c>
      <c r="L27">
        <v>2.8577644091649998E-5</v>
      </c>
      <c r="M27">
        <v>1.7908359790202992E-6</v>
      </c>
      <c r="N27" s="1">
        <v>-2.5197464697949298E-7</v>
      </c>
      <c r="O27" s="1">
        <v>9.2326440355392301E-11</v>
      </c>
      <c r="P27" s="1">
        <v>9.2237537731208101E-10</v>
      </c>
      <c r="Q27">
        <v>65.892427523867894</v>
      </c>
      <c r="S27">
        <v>18.965730304922001</v>
      </c>
      <c r="AA27">
        <v>0.27182453960102798</v>
      </c>
      <c r="AB27">
        <v>4.2237922903305902</v>
      </c>
      <c r="AC27">
        <v>10.646225341278299</v>
      </c>
      <c r="AJ27">
        <v>0.371210161520938</v>
      </c>
      <c r="AK27">
        <v>1.3201301638157E-2</v>
      </c>
      <c r="AL27">
        <v>0.61558853684090398</v>
      </c>
    </row>
    <row r="28" spans="1:38" x14ac:dyDescent="0.2">
      <c r="A28">
        <v>85</v>
      </c>
      <c r="B28">
        <v>738</v>
      </c>
      <c r="C28">
        <v>260</v>
      </c>
      <c r="D28">
        <v>0.30454482519902998</v>
      </c>
      <c r="E28">
        <v>30.717503038248001</v>
      </c>
      <c r="F28">
        <v>2.5252702768758</v>
      </c>
      <c r="G28">
        <v>-483.03652492835539</v>
      </c>
      <c r="H28">
        <v>-419.50921815040709</v>
      </c>
      <c r="I28">
        <v>62.826788090736599</v>
      </c>
      <c r="J28">
        <v>36.570592591206001</v>
      </c>
      <c r="K28">
        <v>12.164045694249699</v>
      </c>
      <c r="L28">
        <v>2.862690143846045E-5</v>
      </c>
      <c r="M28">
        <v>1.7911337321666487E-6</v>
      </c>
      <c r="N28" s="1">
        <v>-3.3822671631788303E-7</v>
      </c>
      <c r="O28" s="1">
        <v>1.15433994197351E-10</v>
      </c>
      <c r="P28" s="1">
        <v>1.21955880952538E-9</v>
      </c>
      <c r="Q28">
        <v>65.894987495680596</v>
      </c>
      <c r="S28">
        <v>18.960173561045199</v>
      </c>
      <c r="AA28">
        <v>0.26664283458073301</v>
      </c>
      <c r="AB28">
        <v>4.2149293237559897</v>
      </c>
      <c r="AC28">
        <v>10.663266784937299</v>
      </c>
      <c r="AJ28">
        <v>0.37044798096500697</v>
      </c>
      <c r="AK28">
        <v>1.29502348161243E-2</v>
      </c>
      <c r="AL28">
        <v>0.61660178421886802</v>
      </c>
    </row>
    <row r="29" spans="1:38" x14ac:dyDescent="0.2">
      <c r="A29">
        <v>86</v>
      </c>
      <c r="B29">
        <v>736</v>
      </c>
      <c r="C29">
        <v>260</v>
      </c>
      <c r="D29">
        <v>0.30302779566962401</v>
      </c>
      <c r="E29">
        <v>32.873503223216801</v>
      </c>
      <c r="F29">
        <v>2.5253273475006299</v>
      </c>
      <c r="G29">
        <v>-516.76076484482053</v>
      </c>
      <c r="H29">
        <v>-448.9944327384049</v>
      </c>
      <c r="I29">
        <v>67.151892291944307</v>
      </c>
      <c r="J29">
        <v>39.154561577409801</v>
      </c>
      <c r="K29">
        <v>13.017521572303201</v>
      </c>
      <c r="L29">
        <v>2.8672761275257692E-5</v>
      </c>
      <c r="M29">
        <v>1.7913463728320252E-6</v>
      </c>
      <c r="N29" s="1">
        <v>-3.87026153354812E-7</v>
      </c>
      <c r="O29" s="1">
        <v>1.2335721828557199E-10</v>
      </c>
      <c r="P29" s="1">
        <v>1.37624359553183E-9</v>
      </c>
      <c r="Q29">
        <v>65.894583861981502</v>
      </c>
      <c r="S29">
        <v>18.954139052781802</v>
      </c>
      <c r="AA29">
        <v>0.261758485880634</v>
      </c>
      <c r="AB29">
        <v>4.1982095997472202</v>
      </c>
      <c r="AC29">
        <v>10.691308999608699</v>
      </c>
      <c r="AJ29">
        <v>0.36900992261045801</v>
      </c>
      <c r="AK29">
        <v>1.2714096026773E-2</v>
      </c>
      <c r="AL29">
        <v>0.61827598136276796</v>
      </c>
    </row>
    <row r="30" spans="1:38" x14ac:dyDescent="0.2">
      <c r="A30">
        <v>87</v>
      </c>
      <c r="B30">
        <v>734</v>
      </c>
      <c r="C30">
        <v>260</v>
      </c>
      <c r="D30">
        <v>0.30150474110112602</v>
      </c>
      <c r="E30">
        <v>33.995170595433002</v>
      </c>
      <c r="F30">
        <v>2.52538541713982</v>
      </c>
      <c r="G30">
        <v>-534.20438361351557</v>
      </c>
      <c r="H30">
        <v>-464.35364430539556</v>
      </c>
      <c r="I30">
        <v>69.354852115494097</v>
      </c>
      <c r="J30">
        <v>40.509425060612301</v>
      </c>
      <c r="K30">
        <v>13.461379148191501</v>
      </c>
      <c r="L30">
        <v>2.8720798675209829E-5</v>
      </c>
      <c r="M30">
        <v>1.7915489271543062E-6</v>
      </c>
      <c r="N30" s="1">
        <v>-4.2759673978006802E-7</v>
      </c>
      <c r="O30" s="1">
        <v>1.2737141553119199E-10</v>
      </c>
      <c r="P30" s="1">
        <v>1.5006543931904599E-9</v>
      </c>
      <c r="Q30">
        <v>65.893506493953694</v>
      </c>
      <c r="S30">
        <v>18.948059433375299</v>
      </c>
      <c r="AA30">
        <v>0.25699412672067401</v>
      </c>
      <c r="AB30">
        <v>4.17987023018489</v>
      </c>
      <c r="AC30">
        <v>10.7215697157653</v>
      </c>
      <c r="AJ30">
        <v>0.36743227248379001</v>
      </c>
      <c r="AK30">
        <v>1.24838484723063E-2</v>
      </c>
      <c r="AL30">
        <v>0.62008387904390305</v>
      </c>
    </row>
    <row r="31" spans="1:38" x14ac:dyDescent="0.2">
      <c r="A31">
        <v>88</v>
      </c>
      <c r="B31">
        <v>732</v>
      </c>
      <c r="C31">
        <v>260</v>
      </c>
      <c r="D31">
        <v>0.29997562552852802</v>
      </c>
      <c r="E31">
        <v>34.688226132540102</v>
      </c>
      <c r="F31">
        <v>2.5254450570650602</v>
      </c>
      <c r="G31">
        <v>-544.90157325616769</v>
      </c>
      <c r="H31">
        <v>-473.85936289465491</v>
      </c>
      <c r="I31">
        <v>70.678217541175599</v>
      </c>
      <c r="J31">
        <v>41.356115382439398</v>
      </c>
      <c r="K31">
        <v>13.735490319022301</v>
      </c>
      <c r="L31">
        <v>2.8772109085547437E-5</v>
      </c>
      <c r="M31">
        <v>1.7917541412719424E-6</v>
      </c>
      <c r="N31" s="1">
        <v>-4.6588318705964399E-7</v>
      </c>
      <c r="O31" s="1">
        <v>1.2975727764235501E-10</v>
      </c>
      <c r="P31" s="1">
        <v>1.6147532612492E-9</v>
      </c>
      <c r="Q31">
        <v>65.892128581259996</v>
      </c>
      <c r="S31">
        <v>18.942004278211499</v>
      </c>
      <c r="AA31">
        <v>0.25232007880049201</v>
      </c>
      <c r="AB31">
        <v>4.16092524914193</v>
      </c>
      <c r="AC31">
        <v>10.7526218125859</v>
      </c>
      <c r="AJ31">
        <v>0.36580221286070302</v>
      </c>
      <c r="AK31">
        <v>1.2257983050599301E-2</v>
      </c>
      <c r="AL31">
        <v>0.62193980408869698</v>
      </c>
    </row>
    <row r="32" spans="1:38" x14ac:dyDescent="0.2">
      <c r="A32">
        <v>89</v>
      </c>
      <c r="B32">
        <v>730</v>
      </c>
      <c r="C32">
        <v>260</v>
      </c>
      <c r="D32">
        <v>0.29844041269999899</v>
      </c>
      <c r="E32">
        <v>35.157297433941203</v>
      </c>
      <c r="F32">
        <v>2.5255064515692802</v>
      </c>
      <c r="G32">
        <v>-552.07345655190989</v>
      </c>
      <c r="H32">
        <v>-480.30625540737879</v>
      </c>
      <c r="I32">
        <v>71.541844334876302</v>
      </c>
      <c r="J32">
        <v>41.938250343774797</v>
      </c>
      <c r="K32">
        <v>13.9208899712354</v>
      </c>
      <c r="L32">
        <v>2.882720220072983E-5</v>
      </c>
      <c r="M32">
        <v>1.7919665326355711E-6</v>
      </c>
      <c r="N32" s="1">
        <v>-5.03904076102599E-7</v>
      </c>
      <c r="O32" s="1">
        <v>1.3128529242580101E-10</v>
      </c>
      <c r="P32" s="1">
        <v>1.7259644136357801E-9</v>
      </c>
      <c r="Q32">
        <v>65.8905697965168</v>
      </c>
      <c r="S32">
        <v>18.935995102698701</v>
      </c>
      <c r="AA32">
        <v>0.247726168583286</v>
      </c>
      <c r="AB32">
        <v>4.1416977460675897</v>
      </c>
      <c r="AC32">
        <v>10.784011186133499</v>
      </c>
      <c r="AJ32">
        <v>0.36414752158369401</v>
      </c>
      <c r="AK32">
        <v>1.20359848633084E-2</v>
      </c>
      <c r="AL32">
        <v>0.62381649355299695</v>
      </c>
    </row>
    <row r="33" spans="1:38" x14ac:dyDescent="0.2">
      <c r="A33">
        <v>90</v>
      </c>
      <c r="B33">
        <v>728</v>
      </c>
      <c r="C33">
        <v>260</v>
      </c>
      <c r="D33">
        <v>0.29689906607401501</v>
      </c>
      <c r="E33">
        <v>35.492609274893901</v>
      </c>
      <c r="F33">
        <v>2.5255696789983402</v>
      </c>
      <c r="G33">
        <v>-557.14038033933809</v>
      </c>
      <c r="H33">
        <v>-484.926537503818</v>
      </c>
      <c r="I33">
        <v>72.130892309364398</v>
      </c>
      <c r="J33">
        <v>42.363304353232699</v>
      </c>
      <c r="K33">
        <v>14.053308277350901</v>
      </c>
      <c r="L33">
        <v>2.8886428528117526E-5</v>
      </c>
      <c r="M33">
        <v>1.7921883532757086E-6</v>
      </c>
      <c r="N33" s="1">
        <v>-5.4254505286862196E-7</v>
      </c>
      <c r="O33" s="1">
        <v>1.3229534510404E-10</v>
      </c>
      <c r="P33" s="1">
        <v>1.8375247614880601E-9</v>
      </c>
      <c r="Q33">
        <v>65.8888799170102</v>
      </c>
      <c r="S33">
        <v>18.930040204270099</v>
      </c>
      <c r="AA33">
        <v>0.243207626687138</v>
      </c>
      <c r="AB33">
        <v>4.1223203997748001</v>
      </c>
      <c r="AC33">
        <v>10.815551852257499</v>
      </c>
      <c r="AJ33">
        <v>0.36247960610310898</v>
      </c>
      <c r="AK33">
        <v>1.18176143631876E-2</v>
      </c>
      <c r="AL33">
        <v>0.62570277953370201</v>
      </c>
    </row>
    <row r="34" spans="1:38" x14ac:dyDescent="0.2">
      <c r="A34">
        <v>100</v>
      </c>
      <c r="B34">
        <v>742</v>
      </c>
      <c r="C34">
        <v>250</v>
      </c>
      <c r="D34">
        <v>0.318396788651924</v>
      </c>
      <c r="E34">
        <v>21.026590790828401</v>
      </c>
      <c r="F34">
        <v>2.5247415564682498</v>
      </c>
      <c r="G34">
        <v>-330.98636624549863</v>
      </c>
      <c r="H34">
        <v>-287.21230945803791</v>
      </c>
      <c r="I34">
        <v>43.120777015673198</v>
      </c>
      <c r="J34">
        <v>25.015162420390102</v>
      </c>
      <c r="K34">
        <v>8.3282151145171603</v>
      </c>
      <c r="L34">
        <v>2.8546666347301492E-5</v>
      </c>
      <c r="M34">
        <v>1.7915584455127754E-6</v>
      </c>
      <c r="N34" s="1">
        <v>-2.0136685684971901E-7</v>
      </c>
      <c r="O34" s="1">
        <v>7.9220670316288403E-11</v>
      </c>
      <c r="P34" s="1">
        <v>7.4898904428943996E-10</v>
      </c>
      <c r="Q34">
        <v>65.900822812860397</v>
      </c>
      <c r="S34">
        <v>18.975078956829702</v>
      </c>
      <c r="AA34">
        <v>0.277578347231903</v>
      </c>
      <c r="AB34">
        <v>4.2670094480965099</v>
      </c>
      <c r="AC34">
        <v>10.579510434981399</v>
      </c>
      <c r="AJ34">
        <v>0.37492584229096099</v>
      </c>
      <c r="AK34">
        <v>1.34777733018071E-2</v>
      </c>
      <c r="AL34">
        <v>0.61159638440723096</v>
      </c>
    </row>
    <row r="35" spans="1:38" x14ac:dyDescent="0.2">
      <c r="A35">
        <v>101</v>
      </c>
      <c r="B35">
        <v>740</v>
      </c>
      <c r="C35">
        <v>250</v>
      </c>
      <c r="D35">
        <v>0.31691309282929903</v>
      </c>
      <c r="E35">
        <v>29.782456355394999</v>
      </c>
      <c r="F35">
        <v>2.52479755242384</v>
      </c>
      <c r="G35">
        <v>-468.66294314939847</v>
      </c>
      <c r="H35">
        <v>-406.85814014444026</v>
      </c>
      <c r="I35">
        <v>61.002618570752801</v>
      </c>
      <c r="J35">
        <v>35.4460867268808</v>
      </c>
      <c r="K35">
        <v>11.7959779891276</v>
      </c>
      <c r="L35">
        <v>2.8590206562983815E-5</v>
      </c>
      <c r="M35">
        <v>1.7918163920085147E-6</v>
      </c>
      <c r="N35" s="1">
        <v>-3.0561724477121398E-7</v>
      </c>
      <c r="O35" s="1">
        <v>1.1206202018533E-10</v>
      </c>
      <c r="P35" s="1">
        <v>1.11900600922044E-9</v>
      </c>
      <c r="Q35">
        <v>65.902515673603006</v>
      </c>
      <c r="S35">
        <v>18.9692694113537</v>
      </c>
      <c r="AA35">
        <v>0.27239040681782001</v>
      </c>
      <c r="AB35">
        <v>4.2555514187360099</v>
      </c>
      <c r="AC35">
        <v>10.6002730894894</v>
      </c>
      <c r="AJ35">
        <v>0.37394090484614501</v>
      </c>
      <c r="AK35">
        <v>1.3226646021217699E-2</v>
      </c>
      <c r="AL35">
        <v>0.61283244913263601</v>
      </c>
    </row>
    <row r="36" spans="1:38" x14ac:dyDescent="0.2">
      <c r="A36">
        <v>102</v>
      </c>
      <c r="B36">
        <v>738</v>
      </c>
      <c r="C36">
        <v>250</v>
      </c>
      <c r="D36">
        <v>0.31542352766652099</v>
      </c>
      <c r="E36">
        <v>32.524699145905103</v>
      </c>
      <c r="F36">
        <v>2.52485051152768</v>
      </c>
      <c r="G36">
        <v>-511.63166189160887</v>
      </c>
      <c r="H36">
        <v>-444.35488737800881</v>
      </c>
      <c r="I36">
        <v>66.534910264154703</v>
      </c>
      <c r="J36">
        <v>38.724429203599897</v>
      </c>
      <c r="K36">
        <v>12.881831616330301</v>
      </c>
      <c r="L36">
        <v>2.8629944048591247E-5</v>
      </c>
      <c r="M36">
        <v>1.7919855154919534E-6</v>
      </c>
      <c r="N36" s="1">
        <v>-3.5667101765243302E-7</v>
      </c>
      <c r="O36" s="1">
        <v>1.22219974220738E-10</v>
      </c>
      <c r="P36" s="1">
        <v>1.2871562767731601E-9</v>
      </c>
      <c r="Q36">
        <v>65.901154831610796</v>
      </c>
      <c r="S36">
        <v>18.962956454057501</v>
      </c>
      <c r="AA36">
        <v>0.267499686283941</v>
      </c>
      <c r="AB36">
        <v>4.2359686170295401</v>
      </c>
      <c r="AC36">
        <v>10.632420411018</v>
      </c>
      <c r="AJ36">
        <v>0.37225725938860998</v>
      </c>
      <c r="AK36">
        <v>1.29904593770042E-2</v>
      </c>
      <c r="AL36">
        <v>0.61475228123438497</v>
      </c>
    </row>
    <row r="37" spans="1:38" x14ac:dyDescent="0.2">
      <c r="A37">
        <v>103</v>
      </c>
      <c r="B37">
        <v>736</v>
      </c>
      <c r="C37">
        <v>250</v>
      </c>
      <c r="D37">
        <v>0.31392805826685999</v>
      </c>
      <c r="E37">
        <v>33.826728520512702</v>
      </c>
      <c r="F37">
        <v>2.5249053568584601</v>
      </c>
      <c r="G37">
        <v>-531.92244263779264</v>
      </c>
      <c r="H37">
        <v>-462.17980363641857</v>
      </c>
      <c r="I37">
        <v>69.1102799399237</v>
      </c>
      <c r="J37">
        <v>40.291334876889202</v>
      </c>
      <c r="K37">
        <v>13.397226327168401</v>
      </c>
      <c r="L37">
        <v>2.8673011960595581E-5</v>
      </c>
      <c r="M37">
        <v>1.792163092300736E-6</v>
      </c>
      <c r="N37" s="1">
        <v>-3.9630728148955001E-7</v>
      </c>
      <c r="O37" s="1">
        <v>1.2693418565157699E-10</v>
      </c>
      <c r="P37" s="1">
        <v>1.41060617259853E-9</v>
      </c>
      <c r="Q37">
        <v>65.899709542751594</v>
      </c>
      <c r="S37">
        <v>18.9567108328357</v>
      </c>
      <c r="AA37">
        <v>0.26268422322283602</v>
      </c>
      <c r="AB37">
        <v>4.2163741602810196</v>
      </c>
      <c r="AC37">
        <v>10.6645212409087</v>
      </c>
      <c r="AJ37">
        <v>0.37057227509415602</v>
      </c>
      <c r="AK37">
        <v>1.27578814114136E-2</v>
      </c>
      <c r="AL37">
        <v>0.61666984349442899</v>
      </c>
    </row>
    <row r="38" spans="1:38" x14ac:dyDescent="0.2">
      <c r="A38">
        <v>104</v>
      </c>
      <c r="B38">
        <v>734</v>
      </c>
      <c r="C38">
        <v>250</v>
      </c>
      <c r="D38">
        <v>0.31242664945638698</v>
      </c>
      <c r="E38">
        <v>34.608334074584299</v>
      </c>
      <c r="F38">
        <v>2.5249620301226101</v>
      </c>
      <c r="G38">
        <v>-544.01781313230686</v>
      </c>
      <c r="H38">
        <v>-472.89620792925172</v>
      </c>
      <c r="I38">
        <v>70.616695827885906</v>
      </c>
      <c r="J38">
        <v>41.240964265987699</v>
      </c>
      <c r="K38">
        <v>13.7064770328066</v>
      </c>
      <c r="L38">
        <v>2.8719500465467812E-5</v>
      </c>
      <c r="M38">
        <v>1.7923480993936563E-6</v>
      </c>
      <c r="N38" s="1">
        <v>-4.33028347213918E-7</v>
      </c>
      <c r="O38" s="1">
        <v>1.29672175361869E-10</v>
      </c>
      <c r="P38" s="1">
        <v>1.5212188376525901E-9</v>
      </c>
      <c r="Q38">
        <v>65.898130743882703</v>
      </c>
      <c r="S38">
        <v>18.9505225594983</v>
      </c>
      <c r="AA38">
        <v>0.25794722548913201</v>
      </c>
      <c r="AB38">
        <v>4.1966325285690598</v>
      </c>
      <c r="AC38">
        <v>10.6967669425606</v>
      </c>
      <c r="AJ38">
        <v>0.36887429372345998</v>
      </c>
      <c r="AK38">
        <v>1.25290776159279E-2</v>
      </c>
      <c r="AL38">
        <v>0.61859662866061105</v>
      </c>
    </row>
    <row r="39" spans="1:38" x14ac:dyDescent="0.2">
      <c r="A39">
        <v>105</v>
      </c>
      <c r="B39">
        <v>732</v>
      </c>
      <c r="C39">
        <v>250</v>
      </c>
      <c r="D39">
        <v>0.31091926578122597</v>
      </c>
      <c r="E39">
        <v>35.128884201928599</v>
      </c>
      <c r="F39">
        <v>2.5250205982962601</v>
      </c>
      <c r="G39">
        <v>-552.00246711052012</v>
      </c>
      <c r="H39">
        <v>-480.04698214357018</v>
      </c>
      <c r="I39">
        <v>71.586812880614701</v>
      </c>
      <c r="J39">
        <v>41.881948286104503</v>
      </c>
      <c r="K39">
        <v>13.9123158938313</v>
      </c>
      <c r="L39">
        <v>2.876973246516416E-5</v>
      </c>
      <c r="M39">
        <v>1.7925425398266587E-6</v>
      </c>
      <c r="N39" s="1">
        <v>-4.6924361508128602E-7</v>
      </c>
      <c r="O39" s="1">
        <v>1.31411595807989E-10</v>
      </c>
      <c r="P39" s="1">
        <v>1.6279909552618199E-9</v>
      </c>
      <c r="Q39">
        <v>65.896461295580295</v>
      </c>
      <c r="S39">
        <v>18.944398629405502</v>
      </c>
      <c r="AA39">
        <v>0.25328446339711602</v>
      </c>
      <c r="AB39">
        <v>4.17685757363585</v>
      </c>
      <c r="AC39">
        <v>10.7289980379811</v>
      </c>
      <c r="AJ39">
        <v>0.36717310317655599</v>
      </c>
      <c r="AK39">
        <v>1.2303836022909E-2</v>
      </c>
      <c r="AL39">
        <v>0.62052306080053299</v>
      </c>
    </row>
    <row r="40" spans="1:38" x14ac:dyDescent="0.2">
      <c r="A40">
        <v>106</v>
      </c>
      <c r="B40">
        <v>730</v>
      </c>
      <c r="C40">
        <v>250</v>
      </c>
      <c r="D40">
        <v>0.30940587150476501</v>
      </c>
      <c r="E40">
        <v>35.497405141315902</v>
      </c>
      <c r="F40">
        <v>2.52508108235947</v>
      </c>
      <c r="G40">
        <v>-557.59349763947648</v>
      </c>
      <c r="H40">
        <v>-485.12135246623228</v>
      </c>
      <c r="I40">
        <v>72.244574762741607</v>
      </c>
      <c r="J40">
        <v>42.344078095181899</v>
      </c>
      <c r="K40">
        <v>14.0579268480941</v>
      </c>
      <c r="L40">
        <v>2.8823971427947294E-5</v>
      </c>
      <c r="M40">
        <v>1.7927475012827068E-6</v>
      </c>
      <c r="N40" s="1">
        <v>-5.0597923491952696E-7</v>
      </c>
      <c r="O40" s="1">
        <v>1.3256341295781299E-10</v>
      </c>
      <c r="P40" s="1">
        <v>1.7347205140223901E-9</v>
      </c>
      <c r="Q40">
        <v>65.894715409270702</v>
      </c>
      <c r="S40">
        <v>18.9383405598876</v>
      </c>
      <c r="AA40">
        <v>0.24869387271771101</v>
      </c>
      <c r="AB40">
        <v>4.1570849427615704</v>
      </c>
      <c r="AC40">
        <v>10.761165215362301</v>
      </c>
      <c r="AJ40">
        <v>0.36547176928535002</v>
      </c>
      <c r="AK40">
        <v>1.20820551196331E-2</v>
      </c>
      <c r="AL40">
        <v>0.62244617559501603</v>
      </c>
    </row>
    <row r="41" spans="1:38" x14ac:dyDescent="0.2">
      <c r="A41">
        <v>115</v>
      </c>
      <c r="B41">
        <v>744</v>
      </c>
      <c r="C41">
        <v>240</v>
      </c>
      <c r="D41">
        <v>0.33068918055350899</v>
      </c>
      <c r="E41">
        <v>15.462049553039099</v>
      </c>
      <c r="F41">
        <v>2.5242817932825998</v>
      </c>
      <c r="G41">
        <v>-243.57457355226126</v>
      </c>
      <c r="H41">
        <v>-211.27346992944783</v>
      </c>
      <c r="I41">
        <v>31.756479990968302</v>
      </c>
      <c r="J41">
        <v>18.391756547857401</v>
      </c>
      <c r="K41">
        <v>6.1253262588136304</v>
      </c>
      <c r="L41">
        <v>2.8524508739802377E-5</v>
      </c>
      <c r="M41">
        <v>1.7923682681831873E-6</v>
      </c>
      <c r="N41" s="1">
        <v>-1.3831327148322701E-7</v>
      </c>
      <c r="O41" s="1">
        <v>5.8311524535036102E-11</v>
      </c>
      <c r="P41" s="1">
        <v>5.2293627057592604E-10</v>
      </c>
      <c r="Q41">
        <v>65.911531462393199</v>
      </c>
      <c r="S41">
        <v>18.985039017887999</v>
      </c>
      <c r="AA41">
        <v>0.283296782616063</v>
      </c>
      <c r="AB41">
        <v>4.3169846943662904</v>
      </c>
      <c r="AC41">
        <v>10.5031480427362</v>
      </c>
      <c r="AJ41">
        <v>0.37922053354848201</v>
      </c>
      <c r="AK41">
        <v>1.37519336609104E-2</v>
      </c>
      <c r="AL41">
        <v>0.60702753279060595</v>
      </c>
    </row>
    <row r="42" spans="1:38" x14ac:dyDescent="0.2">
      <c r="A42">
        <v>116</v>
      </c>
      <c r="B42">
        <v>742</v>
      </c>
      <c r="C42">
        <v>240</v>
      </c>
      <c r="D42">
        <v>0.32923262572033701</v>
      </c>
      <c r="E42">
        <v>28.819681950296999</v>
      </c>
      <c r="F42">
        <v>2.5243297184312201</v>
      </c>
      <c r="G42">
        <v>-453.8339394751647</v>
      </c>
      <c r="H42">
        <v>-393.82223173979122</v>
      </c>
      <c r="I42">
        <v>59.116098837978001</v>
      </c>
      <c r="J42">
        <v>34.290836367974599</v>
      </c>
      <c r="K42">
        <v>11.416766098292101</v>
      </c>
      <c r="L42">
        <v>2.8557679128829692E-5</v>
      </c>
      <c r="M42">
        <v>1.7925168746452824E-6</v>
      </c>
      <c r="N42" s="1">
        <v>-2.7560132868261798E-7</v>
      </c>
      <c r="O42" s="1">
        <v>1.08564700921672E-10</v>
      </c>
      <c r="P42" s="1">
        <v>1.0254752186861401E-9</v>
      </c>
      <c r="Q42">
        <v>65.910208177480598</v>
      </c>
      <c r="S42">
        <v>18.9785379151791</v>
      </c>
      <c r="AA42">
        <v>0.27824207675909801</v>
      </c>
      <c r="AB42">
        <v>4.2969923389378</v>
      </c>
      <c r="AC42">
        <v>10.5360194916432</v>
      </c>
      <c r="AJ42">
        <v>0.37750274814637103</v>
      </c>
      <c r="AK42">
        <v>1.3507940366305E-2</v>
      </c>
      <c r="AL42">
        <v>0.60898931148732305</v>
      </c>
    </row>
    <row r="43" spans="1:38" x14ac:dyDescent="0.2">
      <c r="A43">
        <v>117</v>
      </c>
      <c r="B43">
        <v>740</v>
      </c>
      <c r="C43">
        <v>240</v>
      </c>
      <c r="D43">
        <v>0.32777032028821201</v>
      </c>
      <c r="E43">
        <v>32.131679534195598</v>
      </c>
      <c r="F43">
        <v>2.5243780883026599</v>
      </c>
      <c r="G43">
        <v>-505.801147853283</v>
      </c>
      <c r="H43">
        <v>-439.11015560696319</v>
      </c>
      <c r="I43">
        <v>65.825388389004402</v>
      </c>
      <c r="J43">
        <v>38.243852564565202</v>
      </c>
      <c r="K43">
        <v>12.7285527009942</v>
      </c>
      <c r="L43">
        <v>2.8591661568577276E-5</v>
      </c>
      <c r="M43">
        <v>1.7926437870576058E-6</v>
      </c>
      <c r="N43" s="1">
        <v>-3.2817758029914999E-7</v>
      </c>
      <c r="O43" s="1">
        <v>1.2089845019536299E-10</v>
      </c>
      <c r="P43" s="1">
        <v>1.20283167161202E-9</v>
      </c>
      <c r="Q43">
        <v>65.907911720585602</v>
      </c>
      <c r="S43">
        <v>18.971936816862101</v>
      </c>
      <c r="AA43">
        <v>0.27333194987961401</v>
      </c>
      <c r="AB43">
        <v>4.2745691704389897</v>
      </c>
      <c r="AC43">
        <v>10.572250342233501</v>
      </c>
      <c r="AJ43">
        <v>0.37557567979059597</v>
      </c>
      <c r="AK43">
        <v>1.32710810847264E-2</v>
      </c>
      <c r="AL43">
        <v>0.61115323912467701</v>
      </c>
    </row>
    <row r="44" spans="1:38" x14ac:dyDescent="0.2">
      <c r="A44">
        <v>118</v>
      </c>
      <c r="B44">
        <v>738</v>
      </c>
      <c r="C44">
        <v>240</v>
      </c>
      <c r="D44">
        <v>0.326302230134007</v>
      </c>
      <c r="E44">
        <v>33.642407108113801</v>
      </c>
      <c r="F44">
        <v>2.5244292522907599</v>
      </c>
      <c r="G44">
        <v>-529.38835953863406</v>
      </c>
      <c r="H44">
        <v>-459.78871668712634</v>
      </c>
      <c r="I44">
        <v>68.832164220449798</v>
      </c>
      <c r="J44">
        <v>40.056481563290802</v>
      </c>
      <c r="K44">
        <v>13.3267379458487</v>
      </c>
      <c r="L44">
        <v>2.8629705813809708E-5</v>
      </c>
      <c r="M44">
        <v>1.7927923652069528E-6</v>
      </c>
      <c r="N44" s="1">
        <v>-3.6702361826551302E-7</v>
      </c>
      <c r="O44" s="1">
        <v>1.2642047587444699E-10</v>
      </c>
      <c r="P44" s="1">
        <v>1.32592866367009E-9</v>
      </c>
      <c r="Q44">
        <v>65.905954796527794</v>
      </c>
      <c r="S44">
        <v>18.965490714220198</v>
      </c>
      <c r="AA44">
        <v>0.26847047067324198</v>
      </c>
      <c r="AB44">
        <v>4.2533089739759502</v>
      </c>
      <c r="AC44">
        <v>10.606775044602699</v>
      </c>
      <c r="AJ44">
        <v>0.37374815366467401</v>
      </c>
      <c r="AK44">
        <v>1.30364528435947E-2</v>
      </c>
      <c r="AL44">
        <v>0.61321539349173004</v>
      </c>
    </row>
    <row r="45" spans="1:38" x14ac:dyDescent="0.2">
      <c r="A45">
        <v>119</v>
      </c>
      <c r="B45">
        <v>736</v>
      </c>
      <c r="C45">
        <v>240</v>
      </c>
      <c r="D45">
        <v>0.32482832086409602</v>
      </c>
      <c r="E45">
        <v>34.521628216372598</v>
      </c>
      <c r="F45">
        <v>2.52448272379945</v>
      </c>
      <c r="G45">
        <v>-543.02609758055564</v>
      </c>
      <c r="H45">
        <v>-471.84001850071286</v>
      </c>
      <c r="I45">
        <v>70.540632294349294</v>
      </c>
      <c r="J45">
        <v>41.119886352544299</v>
      </c>
      <c r="K45">
        <v>13.6747333982211</v>
      </c>
      <c r="L45">
        <v>2.8671493353691874E-5</v>
      </c>
      <c r="M45">
        <v>1.7929556615197746E-6</v>
      </c>
      <c r="N45" s="1">
        <v>-4.0223925675687601E-7</v>
      </c>
      <c r="O45" s="1">
        <v>1.29545109615978E-10</v>
      </c>
      <c r="P45" s="1">
        <v>1.4332612926478201E-9</v>
      </c>
      <c r="Q45">
        <v>65.904107446740497</v>
      </c>
      <c r="S45">
        <v>18.959151793585399</v>
      </c>
      <c r="AA45">
        <v>0.26367185006216898</v>
      </c>
      <c r="AB45">
        <v>4.2325739494658299</v>
      </c>
      <c r="AC45">
        <v>10.640494960146</v>
      </c>
      <c r="AJ45">
        <v>0.37196539061199901</v>
      </c>
      <c r="AK45">
        <v>1.28047922038009E-2</v>
      </c>
      <c r="AL45">
        <v>0.615229817184199</v>
      </c>
    </row>
    <row r="46" spans="1:38" x14ac:dyDescent="0.2">
      <c r="A46">
        <v>120</v>
      </c>
      <c r="B46">
        <v>734</v>
      </c>
      <c r="C46">
        <v>240</v>
      </c>
      <c r="D46">
        <v>0.32334855781164801</v>
      </c>
      <c r="E46">
        <v>35.097412028486502</v>
      </c>
      <c r="F46">
        <v>2.5245383284665799</v>
      </c>
      <c r="G46">
        <v>-551.88345914240426</v>
      </c>
      <c r="H46">
        <v>-479.74616934246529</v>
      </c>
      <c r="I46">
        <v>71.6251698356144</v>
      </c>
      <c r="J46">
        <v>41.824270821877498</v>
      </c>
      <c r="K46">
        <v>13.902507097131201</v>
      </c>
      <c r="L46">
        <v>2.8717056482916539E-5</v>
      </c>
      <c r="M46">
        <v>1.7931316482552005E-6</v>
      </c>
      <c r="N46" s="1">
        <v>-4.3667988819170699E-7</v>
      </c>
      <c r="O46" s="1">
        <v>1.31510328645731E-10</v>
      </c>
      <c r="P46" s="1">
        <v>1.5356701096686399E-9</v>
      </c>
      <c r="Q46">
        <v>65.902289656636498</v>
      </c>
      <c r="S46">
        <v>18.9529025374828</v>
      </c>
      <c r="AA46">
        <v>0.258940306260252</v>
      </c>
      <c r="AB46">
        <v>4.2121398643535199</v>
      </c>
      <c r="AC46">
        <v>10.6737276352668</v>
      </c>
      <c r="AJ46">
        <v>0.370208133484347</v>
      </c>
      <c r="AK46">
        <v>1.25763211817039E-2</v>
      </c>
      <c r="AL46">
        <v>0.61721554533394796</v>
      </c>
    </row>
    <row r="47" spans="1:38" x14ac:dyDescent="0.2">
      <c r="A47">
        <v>121</v>
      </c>
      <c r="B47">
        <v>732</v>
      </c>
      <c r="C47">
        <v>240</v>
      </c>
      <c r="D47">
        <v>0.32186290603392398</v>
      </c>
      <c r="E47">
        <v>35.500964101483298</v>
      </c>
      <c r="F47">
        <v>2.52459598430546</v>
      </c>
      <c r="G47">
        <v>-558.02780008480124</v>
      </c>
      <c r="H47">
        <v>-485.2996431036396</v>
      </c>
      <c r="I47">
        <v>72.3555260221476</v>
      </c>
      <c r="J47">
        <v>42.3257437880156</v>
      </c>
      <c r="K47">
        <v>14.0620377764127</v>
      </c>
      <c r="L47">
        <v>2.8766534502748203E-5</v>
      </c>
      <c r="M47">
        <v>1.793319729430119E-6</v>
      </c>
      <c r="N47" s="1">
        <v>-4.7151255542877202E-7</v>
      </c>
      <c r="O47" s="1">
        <v>1.3281114806377901E-10</v>
      </c>
      <c r="P47" s="1">
        <v>1.6375423277135199E-9</v>
      </c>
      <c r="Q47">
        <v>65.900464559920593</v>
      </c>
      <c r="S47">
        <v>18.9467342123578</v>
      </c>
      <c r="AA47">
        <v>0.25427723624156001</v>
      </c>
      <c r="AB47">
        <v>4.1919016679277297</v>
      </c>
      <c r="AC47">
        <v>10.7066223235522</v>
      </c>
      <c r="AJ47">
        <v>0.36846736133979102</v>
      </c>
      <c r="AK47">
        <v>1.23511162812659E-2</v>
      </c>
      <c r="AL47">
        <v>0.61918152237894197</v>
      </c>
    </row>
    <row r="48" spans="1:38" x14ac:dyDescent="0.2">
      <c r="A48">
        <v>129</v>
      </c>
      <c r="B48">
        <v>746</v>
      </c>
      <c r="C48">
        <v>230</v>
      </c>
      <c r="D48">
        <v>0.342933326791936</v>
      </c>
      <c r="E48">
        <v>2.3400236544238102</v>
      </c>
      <c r="F48">
        <v>2.5238397120448202</v>
      </c>
      <c r="G48">
        <v>-36.892305917775388</v>
      </c>
      <c r="H48">
        <v>-31.98657237493202</v>
      </c>
      <c r="I48">
        <v>4.8135539840488297</v>
      </c>
      <c r="J48">
        <v>2.7832562959227598</v>
      </c>
      <c r="K48">
        <v>0.92716809362188901</v>
      </c>
      <c r="L48">
        <v>2.8517038013988914E-5</v>
      </c>
      <c r="M48">
        <v>1.7933557698151432E-6</v>
      </c>
      <c r="N48" s="1">
        <v>-1.96329880125045E-8</v>
      </c>
      <c r="O48" s="1">
        <v>8.8311527935089505E-12</v>
      </c>
      <c r="P48" s="1">
        <v>7.5434885511020499E-11</v>
      </c>
      <c r="Q48">
        <v>65.927313270040102</v>
      </c>
      <c r="S48">
        <v>18.996219830705702</v>
      </c>
      <c r="AA48">
        <v>0.28883859860973998</v>
      </c>
      <c r="AB48">
        <v>4.3814655609269701</v>
      </c>
      <c r="AC48">
        <v>10.406162739717301</v>
      </c>
      <c r="AJ48">
        <v>0.38475857502190303</v>
      </c>
      <c r="AK48">
        <v>1.4016349712767899E-2</v>
      </c>
      <c r="AL48">
        <v>0.60122507526532798</v>
      </c>
    </row>
    <row r="49" spans="1:38" x14ac:dyDescent="0.2">
      <c r="A49">
        <v>130</v>
      </c>
      <c r="B49">
        <v>744</v>
      </c>
      <c r="C49">
        <v>230</v>
      </c>
      <c r="D49">
        <v>0.34150371135034502</v>
      </c>
      <c r="E49">
        <v>27.715036180043398</v>
      </c>
      <c r="F49">
        <v>2.5238680414236301</v>
      </c>
      <c r="G49">
        <v>-436.75231325208824</v>
      </c>
      <c r="H49">
        <v>-378.84295543808338</v>
      </c>
      <c r="I49">
        <v>56.932957591313901</v>
      </c>
      <c r="J49">
        <v>32.969152277042298</v>
      </c>
      <c r="K49">
        <v>10.9811748178443</v>
      </c>
      <c r="L49">
        <v>2.8530245250203568E-5</v>
      </c>
      <c r="M49">
        <v>1.7932513027057688E-6</v>
      </c>
      <c r="N49" s="1">
        <v>-2.4709340932378999E-7</v>
      </c>
      <c r="O49" s="1">
        <v>1.04511293624368E-10</v>
      </c>
      <c r="P49" s="1">
        <v>9.3496285853873909E-10</v>
      </c>
      <c r="Q49">
        <v>65.918575675027</v>
      </c>
      <c r="S49">
        <v>18.988089203624799</v>
      </c>
      <c r="AA49">
        <v>0.284169546362743</v>
      </c>
      <c r="AB49">
        <v>4.3406788029852601</v>
      </c>
      <c r="AC49">
        <v>10.468486772</v>
      </c>
      <c r="AJ49">
        <v>0.38125597155922702</v>
      </c>
      <c r="AK49">
        <v>1.37926376997569E-2</v>
      </c>
      <c r="AL49">
        <v>0.604951390741015</v>
      </c>
    </row>
    <row r="50" spans="1:38" x14ac:dyDescent="0.2">
      <c r="A50">
        <v>131</v>
      </c>
      <c r="B50">
        <v>742</v>
      </c>
      <c r="C50">
        <v>230</v>
      </c>
      <c r="D50">
        <v>0.34006846278875003</v>
      </c>
      <c r="E50">
        <v>31.705597053001298</v>
      </c>
      <c r="F50">
        <v>2.5239103711274602</v>
      </c>
      <c r="G50">
        <v>-499.44367474308473</v>
      </c>
      <c r="H50">
        <v>-433.41236460734177</v>
      </c>
      <c r="I50">
        <v>65.045865276799404</v>
      </c>
      <c r="J50">
        <v>37.726000177840298</v>
      </c>
      <c r="K50">
        <v>12.562093097956501</v>
      </c>
      <c r="L50">
        <v>2.8557739629038128E-5</v>
      </c>
      <c r="M50">
        <v>1.7933219612817035E-6</v>
      </c>
      <c r="N50" s="1">
        <v>-3.01601615392072E-7</v>
      </c>
      <c r="O50" s="1">
        <v>1.1943498094710601E-10</v>
      </c>
      <c r="P50" s="1">
        <v>1.12355473207623E-9</v>
      </c>
      <c r="Q50">
        <v>65.914898057100302</v>
      </c>
      <c r="S50">
        <v>18.981095798600698</v>
      </c>
      <c r="AA50">
        <v>0.27925803747806999</v>
      </c>
      <c r="AB50">
        <v>4.31414930814611</v>
      </c>
      <c r="AC50">
        <v>10.5105987986747</v>
      </c>
      <c r="AJ50">
        <v>0.37897696011035298</v>
      </c>
      <c r="AK50">
        <v>1.3556079537864E-2</v>
      </c>
      <c r="AL50">
        <v>0.60746696035178205</v>
      </c>
    </row>
    <row r="51" spans="1:38" x14ac:dyDescent="0.2">
      <c r="A51">
        <v>132</v>
      </c>
      <c r="B51">
        <v>740</v>
      </c>
      <c r="C51">
        <v>230</v>
      </c>
      <c r="D51">
        <v>0.33862754774713</v>
      </c>
      <c r="E51">
        <v>33.450077340498297</v>
      </c>
      <c r="F51">
        <v>2.5239572280972098</v>
      </c>
      <c r="G51">
        <v>-526.72565098822349</v>
      </c>
      <c r="H51">
        <v>-457.28788071765723</v>
      </c>
      <c r="I51">
        <v>68.536515097039995</v>
      </c>
      <c r="J51">
        <v>39.814109366955002</v>
      </c>
      <c r="K51">
        <v>13.2530286044965</v>
      </c>
      <c r="L51">
        <v>2.8590634389402974E-5</v>
      </c>
      <c r="M51">
        <v>1.7934364790776231E-6</v>
      </c>
      <c r="N51" s="1">
        <v>-3.3974826343141501E-7</v>
      </c>
      <c r="O51" s="1">
        <v>1.25860359415159E-10</v>
      </c>
      <c r="P51" s="1">
        <v>1.24673041200411E-9</v>
      </c>
      <c r="Q51">
        <v>65.912255816503105</v>
      </c>
      <c r="S51">
        <v>18.974405976128001</v>
      </c>
      <c r="AA51">
        <v>0.27435539616146198</v>
      </c>
      <c r="AB51">
        <v>4.2907229772982296</v>
      </c>
      <c r="AC51">
        <v>10.548259833909</v>
      </c>
      <c r="AJ51">
        <v>0.376964018390754</v>
      </c>
      <c r="AK51">
        <v>1.3319677791077201E-2</v>
      </c>
      <c r="AL51">
        <v>0.60971630381816799</v>
      </c>
    </row>
    <row r="52" spans="1:38" x14ac:dyDescent="0.2">
      <c r="A52">
        <v>133</v>
      </c>
      <c r="B52">
        <v>738</v>
      </c>
      <c r="C52">
        <v>230</v>
      </c>
      <c r="D52">
        <v>0.33718093260149401</v>
      </c>
      <c r="E52">
        <v>34.433476350584101</v>
      </c>
      <c r="F52">
        <v>2.52400719527779</v>
      </c>
      <c r="G52">
        <v>-542.01074529855384</v>
      </c>
      <c r="H52">
        <v>-470.7641409127217</v>
      </c>
      <c r="I52">
        <v>70.460964630205297</v>
      </c>
      <c r="J52">
        <v>40.999141469550402</v>
      </c>
      <c r="K52">
        <v>13.6423843858314</v>
      </c>
      <c r="L52">
        <v>2.8627815954157558E-5</v>
      </c>
      <c r="M52">
        <v>1.7935762405002094E-6</v>
      </c>
      <c r="N52" s="1">
        <v>-3.7350369869782902E-7</v>
      </c>
      <c r="O52" s="1">
        <v>1.2939660823017101E-10</v>
      </c>
      <c r="P52" s="1">
        <v>1.3509306534583199E-9</v>
      </c>
      <c r="Q52">
        <v>65.910063643066806</v>
      </c>
      <c r="S52">
        <v>18.967895833408701</v>
      </c>
      <c r="AA52">
        <v>0.269495975461922</v>
      </c>
      <c r="AB52">
        <v>4.2687706508201497</v>
      </c>
      <c r="AC52">
        <v>10.583773897242301</v>
      </c>
      <c r="AJ52">
        <v>0.37507729906762199</v>
      </c>
      <c r="AK52">
        <v>1.30852201071657E-2</v>
      </c>
      <c r="AL52">
        <v>0.61183748082521106</v>
      </c>
    </row>
    <row r="53" spans="1:38" x14ac:dyDescent="0.2">
      <c r="A53">
        <v>134</v>
      </c>
      <c r="B53">
        <v>736</v>
      </c>
      <c r="C53">
        <v>230</v>
      </c>
      <c r="D53">
        <v>0.335728583461332</v>
      </c>
      <c r="E53">
        <v>35.066719027749301</v>
      </c>
      <c r="F53">
        <v>2.5240596644456001</v>
      </c>
      <c r="G53">
        <v>-551.77675182303722</v>
      </c>
      <c r="H53">
        <v>-479.45627802857257</v>
      </c>
      <c r="I53">
        <v>71.664741410557895</v>
      </c>
      <c r="J53">
        <v>41.769655479388</v>
      </c>
      <c r="K53">
        <v>13.892983403564401</v>
      </c>
      <c r="L53">
        <v>2.8668889702942095E-5</v>
      </c>
      <c r="M53">
        <v>1.7937331404757507E-6</v>
      </c>
      <c r="N53" s="1">
        <v>-4.0620828533601602E-7</v>
      </c>
      <c r="O53" s="1">
        <v>1.3159603983163499E-10</v>
      </c>
      <c r="P53" s="1">
        <v>1.44906603535E-9</v>
      </c>
      <c r="Q53">
        <v>65.908056585719393</v>
      </c>
      <c r="S53">
        <v>18.961509275224699</v>
      </c>
      <c r="AA53">
        <v>0.26469531896069598</v>
      </c>
      <c r="AB53">
        <v>4.2475548385469697</v>
      </c>
      <c r="AC53">
        <v>10.6181839815481</v>
      </c>
      <c r="AJ53">
        <v>0.37325348041609602</v>
      </c>
      <c r="AK53">
        <v>1.2853515416657199E-2</v>
      </c>
      <c r="AL53">
        <v>0.61389300416724601</v>
      </c>
    </row>
    <row r="54" spans="1:38" x14ac:dyDescent="0.2">
      <c r="A54">
        <v>135</v>
      </c>
      <c r="B54">
        <v>734</v>
      </c>
      <c r="C54">
        <v>230</v>
      </c>
      <c r="D54">
        <v>0.33427046616690598</v>
      </c>
      <c r="E54">
        <v>35.506157262745099</v>
      </c>
      <c r="F54">
        <v>2.52411438631434</v>
      </c>
      <c r="G54">
        <v>-558.48842222943517</v>
      </c>
      <c r="H54">
        <v>-485.50066226027315</v>
      </c>
      <c r="I54">
        <v>72.469602312626805</v>
      </c>
      <c r="J54">
        <v>42.311588565277901</v>
      </c>
      <c r="K54">
        <v>14.0667782154636</v>
      </c>
      <c r="L54">
        <v>2.871382769132079E-5</v>
      </c>
      <c r="M54">
        <v>1.7939042637522629E-6</v>
      </c>
      <c r="N54" s="1">
        <v>-4.3916477394124998E-7</v>
      </c>
      <c r="O54" s="1">
        <v>1.33049146823102E-10</v>
      </c>
      <c r="P54" s="1">
        <v>1.54612161183882E-9</v>
      </c>
      <c r="Q54">
        <v>65.906127621033903</v>
      </c>
      <c r="S54">
        <v>18.9552228416301</v>
      </c>
      <c r="AA54">
        <v>0.259959044415977</v>
      </c>
      <c r="AB54">
        <v>4.2267755412118397</v>
      </c>
      <c r="AC54">
        <v>10.6519149517081</v>
      </c>
      <c r="AJ54">
        <v>0.37146680507024898</v>
      </c>
      <c r="AK54">
        <v>1.26248593089839E-2</v>
      </c>
      <c r="AL54">
        <v>0.61590833562076597</v>
      </c>
    </row>
    <row r="55" spans="1:38" x14ac:dyDescent="0.2">
      <c r="A55">
        <v>136</v>
      </c>
      <c r="B55">
        <v>732</v>
      </c>
      <c r="C55">
        <v>230</v>
      </c>
      <c r="D55">
        <v>0.33280654628662198</v>
      </c>
      <c r="E55">
        <v>35.825547621036002</v>
      </c>
      <c r="F55">
        <v>2.5241712361231698</v>
      </c>
      <c r="G55">
        <v>-563.30848861846869</v>
      </c>
      <c r="H55">
        <v>-489.90504471664815</v>
      </c>
      <c r="I55">
        <v>73.027353033696997</v>
      </c>
      <c r="J55">
        <v>42.712704060629498</v>
      </c>
      <c r="K55">
        <v>14.192994163129599</v>
      </c>
      <c r="L55">
        <v>2.8762732710538584E-5</v>
      </c>
      <c r="M55">
        <v>1.7940884800875004E-6</v>
      </c>
      <c r="N55" s="1">
        <v>-4.7301402767584999E-7</v>
      </c>
      <c r="O55" s="1">
        <v>1.3403437391440801E-10</v>
      </c>
      <c r="P55" s="1">
        <v>1.64450646025242E-9</v>
      </c>
      <c r="Q55">
        <v>65.904223592965707</v>
      </c>
      <c r="S55">
        <v>18.949024269509401</v>
      </c>
      <c r="AA55">
        <v>0.255289437868087</v>
      </c>
      <c r="AB55">
        <v>4.2062821540681696</v>
      </c>
      <c r="AC55">
        <v>10.6851805455885</v>
      </c>
      <c r="AJ55">
        <v>0.369704342859771</v>
      </c>
      <c r="AK55">
        <v>1.23993748097532E-2</v>
      </c>
      <c r="AL55">
        <v>0.617896282330474</v>
      </c>
    </row>
    <row r="56" spans="1:38" x14ac:dyDescent="0.2">
      <c r="A56">
        <v>144</v>
      </c>
      <c r="B56">
        <v>746</v>
      </c>
      <c r="C56">
        <v>220</v>
      </c>
      <c r="D56">
        <v>0.35372663494088302</v>
      </c>
      <c r="E56">
        <v>26.527051017313401</v>
      </c>
      <c r="F56">
        <v>2.5234133962462399</v>
      </c>
      <c r="G56">
        <v>-418.33637741295587</v>
      </c>
      <c r="H56">
        <v>-362.71894466102361</v>
      </c>
      <c r="I56">
        <v>54.5723718313617</v>
      </c>
      <c r="J56">
        <v>31.550521883290202</v>
      </c>
      <c r="K56">
        <v>10.5123683090429</v>
      </c>
      <c r="L56">
        <v>2.8507864819880185E-5</v>
      </c>
      <c r="M56">
        <v>1.7940226557787344E-6</v>
      </c>
      <c r="N56" s="1">
        <v>-2.2060717182824401E-7</v>
      </c>
      <c r="O56" s="1">
        <v>1.00122908383013E-10</v>
      </c>
      <c r="P56" s="1">
        <v>8.4945026629052598E-10</v>
      </c>
      <c r="Q56">
        <v>65.927722048020101</v>
      </c>
      <c r="S56">
        <v>18.997961986167098</v>
      </c>
      <c r="AA56">
        <v>0.29018051195039202</v>
      </c>
      <c r="AB56">
        <v>4.3869437877754098</v>
      </c>
      <c r="AC56">
        <v>10.397191666086799</v>
      </c>
      <c r="AJ56">
        <v>0.38522890646826602</v>
      </c>
      <c r="AK56">
        <v>1.40810756325864E-2</v>
      </c>
      <c r="AL56">
        <v>0.600690017899146</v>
      </c>
    </row>
    <row r="57" spans="1:38" x14ac:dyDescent="0.2">
      <c r="A57">
        <v>145</v>
      </c>
      <c r="B57">
        <v>744</v>
      </c>
      <c r="C57">
        <v>220</v>
      </c>
      <c r="D57">
        <v>0.352318242147177</v>
      </c>
      <c r="E57">
        <v>31.2375427131993</v>
      </c>
      <c r="F57">
        <v>2.5234479295333099</v>
      </c>
      <c r="G57">
        <v>-492.41851694542447</v>
      </c>
      <c r="H57">
        <v>-427.1399724815405</v>
      </c>
      <c r="I57">
        <v>64.177893588835303</v>
      </c>
      <c r="J57">
        <v>37.160228266426202</v>
      </c>
      <c r="K57">
        <v>12.378913132151</v>
      </c>
      <c r="L57">
        <v>2.8528253757113113E-5</v>
      </c>
      <c r="M57">
        <v>1.7940242479893091E-6</v>
      </c>
      <c r="N57" s="1">
        <v>-2.7680025934012902E-7</v>
      </c>
      <c r="O57" s="1">
        <v>1.1779619734140801E-10</v>
      </c>
      <c r="P57" s="1">
        <v>1.04887469357607E-9</v>
      </c>
      <c r="Q57">
        <v>65.922260474406201</v>
      </c>
      <c r="S57">
        <v>18.9904715443957</v>
      </c>
      <c r="AA57">
        <v>0.28527520433130799</v>
      </c>
      <c r="AB57">
        <v>4.3551357968871702</v>
      </c>
      <c r="AC57">
        <v>10.446856979979399</v>
      </c>
      <c r="AJ57">
        <v>0.38249765119933099</v>
      </c>
      <c r="AK57">
        <v>1.3845284581513699E-2</v>
      </c>
      <c r="AL57">
        <v>0.60365706421915399</v>
      </c>
    </row>
    <row r="58" spans="1:38" x14ac:dyDescent="0.2">
      <c r="A58">
        <v>146</v>
      </c>
      <c r="B58">
        <v>742</v>
      </c>
      <c r="C58">
        <v>220</v>
      </c>
      <c r="D58">
        <v>0.35090429985716198</v>
      </c>
      <c r="E58">
        <v>33.2628159589039</v>
      </c>
      <c r="F58">
        <v>2.5234893952777302</v>
      </c>
      <c r="G58">
        <v>-524.14009964087165</v>
      </c>
      <c r="H58">
        <v>-454.85601289756681</v>
      </c>
      <c r="I58">
        <v>68.250097762207304</v>
      </c>
      <c r="J58">
        <v>39.579636084597098</v>
      </c>
      <c r="K58">
        <v>13.181278281236001</v>
      </c>
      <c r="L58">
        <v>2.8555524417497048E-5</v>
      </c>
      <c r="M58">
        <v>1.7940946488139823E-6</v>
      </c>
      <c r="N58" s="1">
        <v>-3.14493253195605E-7</v>
      </c>
      <c r="O58" s="1">
        <v>1.25303866128581E-10</v>
      </c>
      <c r="P58" s="1">
        <v>1.1731852078996599E-9</v>
      </c>
      <c r="Q58">
        <v>65.918609047103701</v>
      </c>
      <c r="S58">
        <v>18.983460666582801</v>
      </c>
      <c r="AA58">
        <v>0.280343168992786</v>
      </c>
      <c r="AB58">
        <v>4.3286188592621899</v>
      </c>
      <c r="AC58">
        <v>10.488968258058399</v>
      </c>
      <c r="AJ58">
        <v>0.38022005387346602</v>
      </c>
      <c r="AK58">
        <v>1.360775371326E-2</v>
      </c>
      <c r="AL58">
        <v>0.60617219241327303</v>
      </c>
    </row>
    <row r="59" spans="1:38" x14ac:dyDescent="0.2">
      <c r="A59">
        <v>147</v>
      </c>
      <c r="B59">
        <v>740</v>
      </c>
      <c r="C59">
        <v>220</v>
      </c>
      <c r="D59">
        <v>0.34948477520604299</v>
      </c>
      <c r="E59">
        <v>34.351956689449999</v>
      </c>
      <c r="F59">
        <v>2.5235354917080399</v>
      </c>
      <c r="G59">
        <v>-541.09893340321321</v>
      </c>
      <c r="H59">
        <v>-469.77901364682629</v>
      </c>
      <c r="I59">
        <v>70.394235558788793</v>
      </c>
      <c r="J59">
        <v>40.888202380523403</v>
      </c>
      <c r="K59">
        <v>13.612630693059501</v>
      </c>
      <c r="L59">
        <v>2.8588181763270828E-5</v>
      </c>
      <c r="M59">
        <v>1.7942089289646112E-6</v>
      </c>
      <c r="N59" s="1">
        <v>-3.4679968870252001E-7</v>
      </c>
      <c r="O59" s="1">
        <v>1.29257726347714E-10</v>
      </c>
      <c r="P59" s="1">
        <v>1.27426600483504E-9</v>
      </c>
      <c r="Q59">
        <v>65.915993592087901</v>
      </c>
      <c r="S59">
        <v>18.9767567044941</v>
      </c>
      <c r="AA59">
        <v>0.27542261229893</v>
      </c>
      <c r="AB59">
        <v>4.3052151498045097</v>
      </c>
      <c r="AC59">
        <v>10.526611941314499</v>
      </c>
      <c r="AJ59">
        <v>0.37820935245690102</v>
      </c>
      <c r="AK59">
        <v>1.33705042866425E-2</v>
      </c>
      <c r="AL59">
        <v>0.60842014325645499</v>
      </c>
    </row>
    <row r="60" spans="1:38" x14ac:dyDescent="0.2">
      <c r="A60">
        <v>148</v>
      </c>
      <c r="B60">
        <v>738</v>
      </c>
      <c r="C60">
        <v>220</v>
      </c>
      <c r="D60">
        <v>0.34805963506898102</v>
      </c>
      <c r="E60">
        <v>35.042288801855598</v>
      </c>
      <c r="F60">
        <v>2.52358462167917</v>
      </c>
      <c r="G60">
        <v>-551.76869278753929</v>
      </c>
      <c r="H60">
        <v>-479.25229301988759</v>
      </c>
      <c r="I60">
        <v>71.716757916878606</v>
      </c>
      <c r="J60">
        <v>41.724488974811798</v>
      </c>
      <c r="K60">
        <v>13.8859178728624</v>
      </c>
      <c r="L60">
        <v>2.8624937529673228E-5</v>
      </c>
      <c r="M60">
        <v>1.794346078813194E-6</v>
      </c>
      <c r="N60" s="1">
        <v>-3.7780137299307801E-7</v>
      </c>
      <c r="O60" s="1">
        <v>1.3168982295977301E-10</v>
      </c>
      <c r="P60" s="1">
        <v>1.3681853707682E-9</v>
      </c>
      <c r="Q60">
        <v>65.913756526970701</v>
      </c>
      <c r="S60">
        <v>18.9702200352373</v>
      </c>
      <c r="AA60">
        <v>0.27055178179435901</v>
      </c>
      <c r="AB60">
        <v>4.2830932418559797</v>
      </c>
      <c r="AC60">
        <v>10.5623784141415</v>
      </c>
      <c r="AJ60">
        <v>0.37630833682218601</v>
      </c>
      <c r="AK60">
        <v>1.3135526946373301E-2</v>
      </c>
      <c r="AL60">
        <v>0.61055613623144001</v>
      </c>
    </row>
    <row r="61" spans="1:38" x14ac:dyDescent="0.2">
      <c r="A61">
        <v>149</v>
      </c>
      <c r="B61">
        <v>736</v>
      </c>
      <c r="C61">
        <v>220</v>
      </c>
      <c r="D61">
        <v>0.34662884605856398</v>
      </c>
      <c r="E61">
        <v>35.516959841922301</v>
      </c>
      <c r="F61">
        <v>2.5236362850816501</v>
      </c>
      <c r="G61">
        <v>-559.03796668024552</v>
      </c>
      <c r="H61">
        <v>-485.77877900661218</v>
      </c>
      <c r="I61">
        <v>72.594943936613205</v>
      </c>
      <c r="J61">
        <v>42.3062052443155</v>
      </c>
      <c r="K61">
        <v>14.073723718381601</v>
      </c>
      <c r="L61">
        <v>2.8665550940326141E-5</v>
      </c>
      <c r="M61">
        <v>1.794500160998746E-6</v>
      </c>
      <c r="N61" s="1">
        <v>-4.0891985044240099E-7</v>
      </c>
      <c r="O61" s="1">
        <v>1.33292578903897E-10</v>
      </c>
      <c r="P61" s="1">
        <v>1.4604902510131199E-9</v>
      </c>
      <c r="Q61">
        <v>65.911699603710701</v>
      </c>
      <c r="S61">
        <v>18.963807214870599</v>
      </c>
      <c r="AA61">
        <v>0.26574109425263498</v>
      </c>
      <c r="AB61">
        <v>4.2616974563441996</v>
      </c>
      <c r="AC61">
        <v>10.597054630821599</v>
      </c>
      <c r="AJ61">
        <v>0.37446931296580699</v>
      </c>
      <c r="AK61">
        <v>1.2903369322196699E-2</v>
      </c>
      <c r="AL61">
        <v>0.61262731771199497</v>
      </c>
    </row>
    <row r="62" spans="1:38" x14ac:dyDescent="0.2">
      <c r="A62">
        <v>150</v>
      </c>
      <c r="B62">
        <v>734</v>
      </c>
      <c r="C62">
        <v>220</v>
      </c>
      <c r="D62">
        <v>0.345192374522167</v>
      </c>
      <c r="E62">
        <v>35.860039123103</v>
      </c>
      <c r="F62">
        <v>2.5236902424743</v>
      </c>
      <c r="G62">
        <v>-564.23269804992708</v>
      </c>
      <c r="H62">
        <v>-490.50730777468931</v>
      </c>
      <c r="I62">
        <v>73.201996003810606</v>
      </c>
      <c r="J62">
        <v>42.733332174534098</v>
      </c>
      <c r="K62">
        <v>14.2093663158695</v>
      </c>
      <c r="L62">
        <v>2.8710024195143845E-5</v>
      </c>
      <c r="M62">
        <v>1.7946686736910344E-6</v>
      </c>
      <c r="N62" s="1">
        <v>-4.4084126221219202E-7</v>
      </c>
      <c r="O62" s="1">
        <v>1.3438365886077501E-10</v>
      </c>
      <c r="P62" s="1">
        <v>1.5538070184504401E-9</v>
      </c>
      <c r="Q62">
        <v>65.9097286386245</v>
      </c>
      <c r="S62">
        <v>18.9574969283332</v>
      </c>
      <c r="AA62">
        <v>0.26099494100512199</v>
      </c>
      <c r="AB62">
        <v>4.2407620297773301</v>
      </c>
      <c r="AC62">
        <v>10.631017462259701</v>
      </c>
      <c r="AJ62">
        <v>0.37266947061283601</v>
      </c>
      <c r="AK62">
        <v>1.2674265291761201E-2</v>
      </c>
      <c r="AL62">
        <v>0.61465626409540197</v>
      </c>
    </row>
    <row r="63" spans="1:38" x14ac:dyDescent="0.2">
      <c r="A63">
        <v>157</v>
      </c>
      <c r="B63">
        <v>748</v>
      </c>
      <c r="C63">
        <v>210</v>
      </c>
      <c r="D63">
        <v>0.36590167947901903</v>
      </c>
      <c r="E63">
        <v>25.395718726368901</v>
      </c>
      <c r="F63">
        <v>2.5229663681194099</v>
      </c>
      <c r="G63">
        <v>-400.79169044326187</v>
      </c>
      <c r="H63">
        <v>-347.36320384685058</v>
      </c>
      <c r="I63">
        <v>52.3218788585528</v>
      </c>
      <c r="J63">
        <v>30.201137315932499</v>
      </c>
      <c r="K63">
        <v>10.065817383565999</v>
      </c>
      <c r="L63">
        <v>2.8490111961803893E-5</v>
      </c>
      <c r="M63">
        <v>1.7948282014145297E-6</v>
      </c>
      <c r="N63" s="1">
        <v>-1.9710183507591E-7</v>
      </c>
      <c r="O63" s="1">
        <v>9.5929911955904694E-11</v>
      </c>
      <c r="P63" s="1">
        <v>7.72858346365562E-10</v>
      </c>
      <c r="Q63">
        <v>65.937573045100393</v>
      </c>
      <c r="S63">
        <v>19.0081610854179</v>
      </c>
      <c r="AA63">
        <v>0.29629627776574602</v>
      </c>
      <c r="AB63">
        <v>4.4356344712386901</v>
      </c>
      <c r="AC63">
        <v>10.322335120477099</v>
      </c>
      <c r="AJ63">
        <v>0.389408127484551</v>
      </c>
      <c r="AK63">
        <v>1.4374284877641299E-2</v>
      </c>
      <c r="AL63">
        <v>0.59621758763780697</v>
      </c>
    </row>
    <row r="64" spans="1:38" x14ac:dyDescent="0.2">
      <c r="A64">
        <v>158</v>
      </c>
      <c r="B64">
        <v>746</v>
      </c>
      <c r="C64">
        <v>210</v>
      </c>
      <c r="D64">
        <v>0.36451994308983099</v>
      </c>
      <c r="E64">
        <v>30.886012405269302</v>
      </c>
      <c r="F64">
        <v>2.52298990879531</v>
      </c>
      <c r="G64">
        <v>-487.22145217548353</v>
      </c>
      <c r="H64">
        <v>-422.45784918188747</v>
      </c>
      <c r="I64">
        <v>63.54668399509</v>
      </c>
      <c r="J64">
        <v>36.734552377550301</v>
      </c>
      <c r="K64">
        <v>12.241829544223901</v>
      </c>
      <c r="L64">
        <v>2.8501763195860286E-5</v>
      </c>
      <c r="M64">
        <v>1.7947330660115421E-6</v>
      </c>
      <c r="N64" s="1">
        <v>-2.5487927725122599E-7</v>
      </c>
      <c r="O64" s="1">
        <v>1.1658303744811699E-10</v>
      </c>
      <c r="P64" s="1">
        <v>9.8327692287419193E-10</v>
      </c>
      <c r="Q64">
        <v>65.929478022191702</v>
      </c>
      <c r="S64">
        <v>18.999966437130102</v>
      </c>
      <c r="AA64">
        <v>0.29142447195156901</v>
      </c>
      <c r="AB64">
        <v>4.39611181086123</v>
      </c>
      <c r="AC64">
        <v>10.3830192578652</v>
      </c>
      <c r="AJ64">
        <v>0.38601597404292498</v>
      </c>
      <c r="AK64">
        <v>1.4140779677551601E-2</v>
      </c>
      <c r="AL64">
        <v>0.59984324627952201</v>
      </c>
    </row>
    <row r="65" spans="1:38" x14ac:dyDescent="0.2">
      <c r="A65">
        <v>159</v>
      </c>
      <c r="B65">
        <v>744</v>
      </c>
      <c r="C65">
        <v>210</v>
      </c>
      <c r="D65">
        <v>0.36313277294401303</v>
      </c>
      <c r="E65">
        <v>33.100133956834902</v>
      </c>
      <c r="F65">
        <v>2.5230258077958698</v>
      </c>
      <c r="G65">
        <v>-521.9393440906673</v>
      </c>
      <c r="H65">
        <v>-452.75989976595582</v>
      </c>
      <c r="I65">
        <v>68.013021014315896</v>
      </c>
      <c r="J65">
        <v>39.376104864753401</v>
      </c>
      <c r="K65">
        <v>13.119221315358301</v>
      </c>
      <c r="L65">
        <v>2.8524053434173983E-5</v>
      </c>
      <c r="M65">
        <v>1.7947652031508458E-6</v>
      </c>
      <c r="N65" s="1">
        <v>-2.9128222355584501E-7</v>
      </c>
      <c r="O65" s="1">
        <v>1.2482567363609101E-10</v>
      </c>
      <c r="P65" s="1">
        <v>1.10554824574731E-9</v>
      </c>
      <c r="Q65">
        <v>65.924982485354306</v>
      </c>
      <c r="S65">
        <v>18.992653201417902</v>
      </c>
      <c r="AA65">
        <v>0.28643994967053399</v>
      </c>
      <c r="AB65">
        <v>4.3669211498549796</v>
      </c>
      <c r="AC65">
        <v>10.429003213702099</v>
      </c>
      <c r="AJ65">
        <v>0.38350973212883699</v>
      </c>
      <c r="AK65">
        <v>1.39009799871593E-2</v>
      </c>
      <c r="AL65">
        <v>0.60258928788400301</v>
      </c>
    </row>
    <row r="66" spans="1:38" x14ac:dyDescent="0.2">
      <c r="A66">
        <v>160</v>
      </c>
      <c r="B66">
        <v>742</v>
      </c>
      <c r="C66">
        <v>210</v>
      </c>
      <c r="D66">
        <v>0.361740136925575</v>
      </c>
      <c r="E66">
        <v>34.288341428661901</v>
      </c>
      <c r="F66">
        <v>2.5230676273867898</v>
      </c>
      <c r="G66">
        <v>-540.46843103942444</v>
      </c>
      <c r="H66">
        <v>-469.03880396277287</v>
      </c>
      <c r="I66">
        <v>70.363618260012402</v>
      </c>
      <c r="J66">
        <v>40.800325968555597</v>
      </c>
      <c r="K66">
        <v>13.589941488875199</v>
      </c>
      <c r="L66">
        <v>2.8552280727747777E-5</v>
      </c>
      <c r="M66">
        <v>1.7948523227921459E-6</v>
      </c>
      <c r="N66" s="1">
        <v>-3.2210004368492E-7</v>
      </c>
      <c r="O66" s="1">
        <v>1.29171860233405E-10</v>
      </c>
      <c r="P66" s="1">
        <v>1.20331285004159E-9</v>
      </c>
      <c r="Q66">
        <v>65.921875259170093</v>
      </c>
      <c r="S66">
        <v>18.9857331890592</v>
      </c>
      <c r="AA66">
        <v>0.28145589737093801</v>
      </c>
      <c r="AB66">
        <v>4.3418551508449799</v>
      </c>
      <c r="AC66">
        <v>10.469080503554601</v>
      </c>
      <c r="AJ66">
        <v>0.38135703581747399</v>
      </c>
      <c r="AK66">
        <v>1.36608453766583E-2</v>
      </c>
      <c r="AL66">
        <v>0.60498211880586605</v>
      </c>
    </row>
    <row r="67" spans="1:38" x14ac:dyDescent="0.2">
      <c r="A67">
        <v>161</v>
      </c>
      <c r="B67">
        <v>740</v>
      </c>
      <c r="C67">
        <v>210</v>
      </c>
      <c r="D67">
        <v>0.36034200266496003</v>
      </c>
      <c r="E67">
        <v>35.031504695903699</v>
      </c>
      <c r="F67">
        <v>2.5231131948473502</v>
      </c>
      <c r="G67">
        <v>-551.97573101661942</v>
      </c>
      <c r="H67">
        <v>-479.23521362313573</v>
      </c>
      <c r="I67">
        <v>71.796394801839398</v>
      </c>
      <c r="J67">
        <v>41.697408279971803</v>
      </c>
      <c r="K67">
        <v>13.8842382368909</v>
      </c>
      <c r="L67">
        <v>2.858489243503768E-5</v>
      </c>
      <c r="M67">
        <v>1.7949692085333729E-6</v>
      </c>
      <c r="N67" s="1">
        <v>-3.5141657424967802E-7</v>
      </c>
      <c r="O67" s="1">
        <v>1.3182022547640799E-10</v>
      </c>
      <c r="P67" s="1">
        <v>1.2930016882315799E-9</v>
      </c>
      <c r="Q67">
        <v>65.919373375067494</v>
      </c>
      <c r="S67">
        <v>18.9790339090241</v>
      </c>
      <c r="AA67">
        <v>0.276512703199217</v>
      </c>
      <c r="AB67">
        <v>4.3187168026900702</v>
      </c>
      <c r="AC67">
        <v>10.506363210019</v>
      </c>
      <c r="AJ67">
        <v>0.37936940368213901</v>
      </c>
      <c r="AK67">
        <v>1.34225012715427E-2</v>
      </c>
      <c r="AL67">
        <v>0.60720809504631801</v>
      </c>
    </row>
    <row r="68" spans="1:38" x14ac:dyDescent="0.2">
      <c r="A68">
        <v>162</v>
      </c>
      <c r="B68">
        <v>738</v>
      </c>
      <c r="C68">
        <v>210</v>
      </c>
      <c r="D68">
        <v>0.35893833753646798</v>
      </c>
      <c r="E68">
        <v>35.538610983501002</v>
      </c>
      <c r="F68">
        <v>2.5231616633399998</v>
      </c>
      <c r="G68">
        <v>-559.75906568143444</v>
      </c>
      <c r="H68">
        <v>-486.20567313967859</v>
      </c>
      <c r="I68">
        <v>72.742315721461495</v>
      </c>
      <c r="J68">
        <v>42.315682829801098</v>
      </c>
      <c r="K68">
        <v>14.0849520266003</v>
      </c>
      <c r="L68">
        <v>2.8621395166707834E-5</v>
      </c>
      <c r="M68">
        <v>1.7951062538115157E-6</v>
      </c>
      <c r="N68" s="1">
        <v>-3.8073697154153202E-7</v>
      </c>
      <c r="O68" s="1">
        <v>1.33561707173006E-10</v>
      </c>
      <c r="P68" s="1">
        <v>1.3806138524506401E-9</v>
      </c>
      <c r="Q68">
        <v>65.917168128104805</v>
      </c>
      <c r="S68">
        <v>18.9724866287394</v>
      </c>
      <c r="AA68">
        <v>0.27162569415660398</v>
      </c>
      <c r="AB68">
        <v>4.29663798160355</v>
      </c>
      <c r="AC68">
        <v>10.542081567395501</v>
      </c>
      <c r="AJ68">
        <v>0.37747235198913298</v>
      </c>
      <c r="AK68">
        <v>1.31867576137276E-2</v>
      </c>
      <c r="AL68">
        <v>0.60934089039713901</v>
      </c>
    </row>
    <row r="69" spans="1:38" x14ac:dyDescent="0.2">
      <c r="A69">
        <v>163</v>
      </c>
      <c r="B69">
        <v>736</v>
      </c>
      <c r="C69">
        <v>210</v>
      </c>
      <c r="D69">
        <v>0.35752910865580001</v>
      </c>
      <c r="E69">
        <v>35.9034539824411</v>
      </c>
      <c r="F69">
        <v>2.5232126405764901</v>
      </c>
      <c r="G69">
        <v>-565.29848584924639</v>
      </c>
      <c r="H69">
        <v>-491.23210448547297</v>
      </c>
      <c r="I69">
        <v>73.3948187720096</v>
      </c>
      <c r="J69">
        <v>42.766642946971899</v>
      </c>
      <c r="K69">
        <v>14.229262094310799</v>
      </c>
      <c r="L69">
        <v>2.8661675252277937E-5</v>
      </c>
      <c r="M69">
        <v>1.7952593440897401E-6</v>
      </c>
      <c r="N69" s="1">
        <v>-4.1077444055592401E-7</v>
      </c>
      <c r="O69" s="1">
        <v>1.3475106994120499E-10</v>
      </c>
      <c r="P69" s="1">
        <v>1.4689352906077399E-9</v>
      </c>
      <c r="Q69">
        <v>65.915117255646393</v>
      </c>
      <c r="S69">
        <v>18.9660589393606</v>
      </c>
      <c r="AA69">
        <v>0.26680132765577402</v>
      </c>
      <c r="AB69">
        <v>4.2752166989302003</v>
      </c>
      <c r="AC69">
        <v>10.5768057784069</v>
      </c>
      <c r="AJ69">
        <v>0.37563139024328002</v>
      </c>
      <c r="AK69">
        <v>1.29539591007806E-2</v>
      </c>
      <c r="AL69">
        <v>0.61141465065593803</v>
      </c>
    </row>
    <row r="70" spans="1:38" x14ac:dyDescent="0.2">
      <c r="A70">
        <v>169</v>
      </c>
      <c r="B70">
        <v>750</v>
      </c>
      <c r="C70">
        <v>200</v>
      </c>
      <c r="D70">
        <v>0.37802912573913899</v>
      </c>
      <c r="E70">
        <v>24.557175061239601</v>
      </c>
      <c r="F70">
        <v>2.52252653137288</v>
      </c>
      <c r="G70">
        <v>-387.84726044848179</v>
      </c>
      <c r="H70">
        <v>-336.00545279821608</v>
      </c>
      <c r="I70">
        <v>50.668824366188304</v>
      </c>
      <c r="J70">
        <v>29.2012910550905</v>
      </c>
      <c r="K70">
        <v>9.7351503565254394</v>
      </c>
      <c r="L70">
        <v>2.8475824871375134E-5</v>
      </c>
      <c r="M70">
        <v>1.7956539151652199E-6</v>
      </c>
      <c r="N70" s="1">
        <v>-1.77898442732288E-7</v>
      </c>
      <c r="O70" s="1">
        <v>9.2828533946121098E-11</v>
      </c>
      <c r="P70" s="1">
        <v>7.10924656134514E-10</v>
      </c>
      <c r="Q70">
        <v>65.947708963308102</v>
      </c>
      <c r="S70">
        <v>19.018615410597</v>
      </c>
      <c r="AA70">
        <v>0.30255612513539798</v>
      </c>
      <c r="AB70">
        <v>4.4856291941104498</v>
      </c>
      <c r="AC70">
        <v>10.2454903068489</v>
      </c>
      <c r="AJ70">
        <v>0.393697124317886</v>
      </c>
      <c r="AK70">
        <v>1.46742398306172E-2</v>
      </c>
      <c r="AL70">
        <v>0.59162863585149505</v>
      </c>
    </row>
    <row r="71" spans="1:38" x14ac:dyDescent="0.2">
      <c r="A71">
        <v>170</v>
      </c>
      <c r="B71">
        <v>748</v>
      </c>
      <c r="C71">
        <v>200</v>
      </c>
      <c r="D71">
        <v>0.37667384811242399</v>
      </c>
      <c r="E71">
        <v>30.637057336819002</v>
      </c>
      <c r="F71">
        <v>2.52253670607656</v>
      </c>
      <c r="G71">
        <v>-483.63702487168922</v>
      </c>
      <c r="H71">
        <v>-419.17725595509762</v>
      </c>
      <c r="I71">
        <v>63.124681894522503</v>
      </c>
      <c r="J71">
        <v>36.432273089828101</v>
      </c>
      <c r="K71">
        <v>12.1453365824239</v>
      </c>
      <c r="L71">
        <v>2.8478400187116664E-5</v>
      </c>
      <c r="M71">
        <v>1.7954526554206441E-6</v>
      </c>
      <c r="N71" s="1">
        <v>-2.3541974104578101E-7</v>
      </c>
      <c r="O71" s="1">
        <v>1.15744501551039E-10</v>
      </c>
      <c r="P71" s="1">
        <v>9.2547112807892801E-10</v>
      </c>
      <c r="Q71">
        <v>65.936696037062006</v>
      </c>
      <c r="S71">
        <v>19.009614517418299</v>
      </c>
      <c r="AA71">
        <v>0.29770001188431899</v>
      </c>
      <c r="AB71">
        <v>4.4374904667964801</v>
      </c>
      <c r="AC71">
        <v>10.318498966838799</v>
      </c>
      <c r="AJ71">
        <v>0.38956738042631001</v>
      </c>
      <c r="AK71">
        <v>1.44422478645707E-2</v>
      </c>
      <c r="AL71">
        <v>0.59599037170911795</v>
      </c>
    </row>
    <row r="72" spans="1:38" x14ac:dyDescent="0.2">
      <c r="A72">
        <v>171</v>
      </c>
      <c r="B72">
        <v>746</v>
      </c>
      <c r="C72">
        <v>200</v>
      </c>
      <c r="D72">
        <v>0.37531325123877901</v>
      </c>
      <c r="E72">
        <v>32.948600725927399</v>
      </c>
      <c r="F72">
        <v>2.5225669128313002</v>
      </c>
      <c r="G72">
        <v>-519.91312396216063</v>
      </c>
      <c r="H72">
        <v>-450.81677553390028</v>
      </c>
      <c r="I72">
        <v>67.798016413933496</v>
      </c>
      <c r="J72">
        <v>39.187493202080297</v>
      </c>
      <c r="K72">
        <v>13.061536864822401</v>
      </c>
      <c r="L72">
        <v>2.8496303058254168E-5</v>
      </c>
      <c r="M72">
        <v>1.7954520528938657E-6</v>
      </c>
      <c r="N72" s="1">
        <v>-2.6986445134412901E-7</v>
      </c>
      <c r="O72" s="1">
        <v>1.24375729115019E-10</v>
      </c>
      <c r="P72" s="1">
        <v>1.0430172528839099E-9</v>
      </c>
      <c r="Q72">
        <v>65.931512991821805</v>
      </c>
      <c r="S72">
        <v>19.002017413662401</v>
      </c>
      <c r="AA72">
        <v>0.29264171624762803</v>
      </c>
      <c r="AB72">
        <v>4.4060235331955599</v>
      </c>
      <c r="AC72">
        <v>10.3678043450725</v>
      </c>
      <c r="AJ72">
        <v>0.38686680612901903</v>
      </c>
      <c r="AK72">
        <v>1.4199128224595301E-2</v>
      </c>
      <c r="AL72">
        <v>0.59893406564638496</v>
      </c>
    </row>
    <row r="73" spans="1:38" x14ac:dyDescent="0.2">
      <c r="A73">
        <v>172</v>
      </c>
      <c r="B73">
        <v>744</v>
      </c>
      <c r="C73">
        <v>200</v>
      </c>
      <c r="D73">
        <v>0.373947303740848</v>
      </c>
      <c r="E73">
        <v>34.257172042039898</v>
      </c>
      <c r="F73">
        <v>2.52260355159151</v>
      </c>
      <c r="G73">
        <v>-540.34892107833514</v>
      </c>
      <c r="H73">
        <v>-468.7424659172051</v>
      </c>
      <c r="I73">
        <v>70.399110417470396</v>
      </c>
      <c r="J73">
        <v>40.752638768110998</v>
      </c>
      <c r="K73">
        <v>13.580085551067601</v>
      </c>
      <c r="L73">
        <v>2.85197689644599E-5</v>
      </c>
      <c r="M73">
        <v>1.7955043245625927E-6</v>
      </c>
      <c r="N73" s="1">
        <v>-2.9937125333598399E-7</v>
      </c>
      <c r="O73" s="1">
        <v>1.2919503697181299E-10</v>
      </c>
      <c r="P73" s="1">
        <v>1.1381207137124301E-9</v>
      </c>
      <c r="Q73">
        <v>65.927664282875199</v>
      </c>
      <c r="S73">
        <v>18.994819091409099</v>
      </c>
      <c r="AA73">
        <v>0.28760107030124399</v>
      </c>
      <c r="AB73">
        <v>4.3785755540349003</v>
      </c>
      <c r="AC73">
        <v>10.411340001379401</v>
      </c>
      <c r="AJ73">
        <v>0.38451044829334202</v>
      </c>
      <c r="AK73">
        <v>1.39565021109019E-2</v>
      </c>
      <c r="AL73">
        <v>0.60153304959575604</v>
      </c>
    </row>
    <row r="74" spans="1:38" x14ac:dyDescent="0.2">
      <c r="A74">
        <v>173</v>
      </c>
      <c r="B74">
        <v>742</v>
      </c>
      <c r="C74">
        <v>200</v>
      </c>
      <c r="D74">
        <v>0.37257597399398801</v>
      </c>
      <c r="E74">
        <v>35.043706551939401</v>
      </c>
      <c r="F74">
        <v>2.5226453386686698</v>
      </c>
      <c r="G74">
        <v>-552.54538944327237</v>
      </c>
      <c r="H74">
        <v>-479.53284512734382</v>
      </c>
      <c r="I74">
        <v>71.922912196156602</v>
      </c>
      <c r="J74">
        <v>41.699366337472703</v>
      </c>
      <c r="K74">
        <v>13.8916501716542</v>
      </c>
      <c r="L74">
        <v>2.8548429443978603E-5</v>
      </c>
      <c r="M74">
        <v>1.7956008466869911E-6</v>
      </c>
      <c r="N74" s="1">
        <v>-3.2699954525028298E-7</v>
      </c>
      <c r="O74" s="1">
        <v>1.3202343318241699E-10</v>
      </c>
      <c r="P74" s="1">
        <v>1.22346597390933E-9</v>
      </c>
      <c r="Q74">
        <v>65.924876917631707</v>
      </c>
      <c r="S74">
        <v>18.987946853120199</v>
      </c>
      <c r="AA74">
        <v>0.282581796920648</v>
      </c>
      <c r="AB74">
        <v>4.3543475939160698</v>
      </c>
      <c r="AC74">
        <v>10.4502468384112</v>
      </c>
      <c r="AJ74">
        <v>0.38242998099030301</v>
      </c>
      <c r="AK74">
        <v>1.3714620991659E-2</v>
      </c>
      <c r="AL74">
        <v>0.603855398018037</v>
      </c>
    </row>
    <row r="75" spans="1:38" x14ac:dyDescent="0.2">
      <c r="A75">
        <v>174</v>
      </c>
      <c r="B75">
        <v>740</v>
      </c>
      <c r="C75">
        <v>200</v>
      </c>
      <c r="D75">
        <v>0.37119923012387401</v>
      </c>
      <c r="E75">
        <v>35.577666871197501</v>
      </c>
      <c r="F75">
        <v>2.5226904772079202</v>
      </c>
      <c r="G75">
        <v>-560.75526904447884</v>
      </c>
      <c r="H75">
        <v>-486.87107116143511</v>
      </c>
      <c r="I75">
        <v>72.925231094155606</v>
      </c>
      <c r="J75">
        <v>42.347669351709698</v>
      </c>
      <c r="K75">
        <v>14.1030646417528</v>
      </c>
      <c r="L75">
        <v>2.8581041230498788E-5</v>
      </c>
      <c r="M75">
        <v>1.7957210831532394E-6</v>
      </c>
      <c r="N75" s="1">
        <v>-3.5455747738127401E-7</v>
      </c>
      <c r="O75" s="1">
        <v>1.3388203039206099E-10</v>
      </c>
      <c r="P75" s="1">
        <v>1.3064124120826499E-9</v>
      </c>
      <c r="Q75">
        <v>65.922511067689499</v>
      </c>
      <c r="S75">
        <v>18.9812582241127</v>
      </c>
      <c r="AA75">
        <v>0.277615648244118</v>
      </c>
      <c r="AB75">
        <v>4.3315403136474799</v>
      </c>
      <c r="AC75">
        <v>10.487074746306</v>
      </c>
      <c r="AJ75">
        <v>0.38047104139781202</v>
      </c>
      <c r="AK75">
        <v>1.3475161499154301E-2</v>
      </c>
      <c r="AL75">
        <v>0.60605379710303298</v>
      </c>
    </row>
    <row r="76" spans="1:38" x14ac:dyDescent="0.2">
      <c r="A76">
        <v>175</v>
      </c>
      <c r="B76">
        <v>738</v>
      </c>
      <c r="C76">
        <v>200</v>
      </c>
      <c r="D76">
        <v>0.36981704000395799</v>
      </c>
      <c r="E76">
        <v>35.960676435511601</v>
      </c>
      <c r="F76">
        <v>2.5227383862197001</v>
      </c>
      <c r="G76">
        <v>-566.58298847450487</v>
      </c>
      <c r="H76">
        <v>-492.14628810351036</v>
      </c>
      <c r="I76">
        <v>73.615883272506096</v>
      </c>
      <c r="J76">
        <v>42.818298568355303</v>
      </c>
      <c r="K76">
        <v>14.2546197544479</v>
      </c>
      <c r="L76">
        <v>2.8617367133270867E-5</v>
      </c>
      <c r="M76">
        <v>1.795859164803614E-6</v>
      </c>
      <c r="N76" s="1">
        <v>-3.8276130007543101E-7</v>
      </c>
      <c r="O76" s="1">
        <v>1.3515560080103901E-10</v>
      </c>
      <c r="P76" s="1">
        <v>1.3898205147994201E-9</v>
      </c>
      <c r="Q76">
        <v>65.920372384330804</v>
      </c>
      <c r="S76">
        <v>18.974708158689001</v>
      </c>
      <c r="AA76">
        <v>0.27271080972630202</v>
      </c>
      <c r="AB76">
        <v>4.3096025243792697</v>
      </c>
      <c r="AC76">
        <v>10.5226061228745</v>
      </c>
      <c r="AJ76">
        <v>0.37858635515183398</v>
      </c>
      <c r="AK76">
        <v>1.3238564128449599E-2</v>
      </c>
      <c r="AL76">
        <v>0.60817508071971604</v>
      </c>
    </row>
    <row r="77" spans="1:38" x14ac:dyDescent="0.2">
      <c r="A77">
        <v>181</v>
      </c>
      <c r="B77">
        <v>752</v>
      </c>
      <c r="C77">
        <v>190</v>
      </c>
      <c r="D77">
        <v>0.39010925230454402</v>
      </c>
      <c r="E77">
        <v>24.288537243707498</v>
      </c>
      <c r="F77">
        <v>2.5220916828365998</v>
      </c>
      <c r="G77">
        <v>-383.88934690491482</v>
      </c>
      <c r="H77">
        <v>-332.43929426830096</v>
      </c>
      <c r="I77">
        <v>50.187828743709602</v>
      </c>
      <c r="J77">
        <v>28.879806933620401</v>
      </c>
      <c r="K77">
        <v>9.6303149520679394</v>
      </c>
      <c r="L77">
        <v>2.8462971991823955E-5</v>
      </c>
      <c r="M77">
        <v>1.7964717861308514E-6</v>
      </c>
      <c r="N77" s="1">
        <v>-1.6413547055342101E-7</v>
      </c>
      <c r="O77" s="1">
        <v>9.1872894478757203E-11</v>
      </c>
      <c r="P77" s="1">
        <v>6.6918697320590802E-10</v>
      </c>
      <c r="Q77">
        <v>65.957289289193199</v>
      </c>
      <c r="S77">
        <v>19.029148969453299</v>
      </c>
      <c r="AA77">
        <v>0.309010980973001</v>
      </c>
      <c r="AB77">
        <v>4.5345935306666698</v>
      </c>
      <c r="AC77">
        <v>10.169957229713701</v>
      </c>
      <c r="AJ77">
        <v>0.39789560990600698</v>
      </c>
      <c r="AK77">
        <v>1.4983576393777599E-2</v>
      </c>
      <c r="AL77">
        <v>0.58712081370021396</v>
      </c>
    </row>
    <row r="78" spans="1:38" x14ac:dyDescent="0.2">
      <c r="A78">
        <v>182</v>
      </c>
      <c r="B78">
        <v>750</v>
      </c>
      <c r="C78">
        <v>190</v>
      </c>
      <c r="D78">
        <v>0.38878023750183299</v>
      </c>
      <c r="E78">
        <v>30.556834274729599</v>
      </c>
      <c r="F78">
        <v>2.5220877522731402</v>
      </c>
      <c r="G78">
        <v>-482.71237027337816</v>
      </c>
      <c r="H78">
        <v>-418.20371753963269</v>
      </c>
      <c r="I78">
        <v>63.049066836480797</v>
      </c>
      <c r="J78">
        <v>36.331723807564899</v>
      </c>
      <c r="K78">
        <v>12.115690362949801</v>
      </c>
      <c r="L78">
        <v>2.8457431462005604E-5</v>
      </c>
      <c r="M78">
        <v>1.7961745483281677E-6</v>
      </c>
      <c r="N78" s="1">
        <v>-2.1855867098892601E-7</v>
      </c>
      <c r="O78" s="1">
        <v>1.1553342789247099E-10</v>
      </c>
      <c r="P78" s="1">
        <v>8.7640554173174796E-10</v>
      </c>
      <c r="Q78">
        <v>65.943671380714093</v>
      </c>
      <c r="S78">
        <v>19.019367402687401</v>
      </c>
      <c r="AA78">
        <v>0.30411864101073999</v>
      </c>
      <c r="AB78">
        <v>4.4786031028169404</v>
      </c>
      <c r="AC78">
        <v>10.2542394727706</v>
      </c>
      <c r="AJ78">
        <v>0.39309447362815603</v>
      </c>
      <c r="AK78">
        <v>1.4750549288056899E-2</v>
      </c>
      <c r="AL78">
        <v>0.59215497708378595</v>
      </c>
    </row>
    <row r="79" spans="1:38" x14ac:dyDescent="0.2">
      <c r="A79">
        <v>183</v>
      </c>
      <c r="B79">
        <v>748</v>
      </c>
      <c r="C79">
        <v>190</v>
      </c>
      <c r="D79">
        <v>0.38744601674582602</v>
      </c>
      <c r="E79">
        <v>32.942057270360301</v>
      </c>
      <c r="F79">
        <v>2.52211114362182</v>
      </c>
      <c r="G79">
        <v>-520.17113340574099</v>
      </c>
      <c r="H79">
        <v>-450.85518430020272</v>
      </c>
      <c r="I79">
        <v>67.880281159024904</v>
      </c>
      <c r="J79">
        <v>39.172363841695301</v>
      </c>
      <c r="K79">
        <v>13.0613027715561</v>
      </c>
      <c r="L79">
        <v>2.8470555896131837E-5</v>
      </c>
      <c r="M79">
        <v>1.7961328748971869E-6</v>
      </c>
      <c r="N79" s="1">
        <v>-2.5097495628320097E-7</v>
      </c>
      <c r="O79" s="1">
        <v>1.24463229499663E-10</v>
      </c>
      <c r="P79" s="1">
        <v>9.88804966365291E-10</v>
      </c>
      <c r="Q79">
        <v>65.937536723288403</v>
      </c>
      <c r="S79">
        <v>19.011415886962801</v>
      </c>
      <c r="AA79">
        <v>0.29898999756509698</v>
      </c>
      <c r="AB79">
        <v>4.4440864154310997</v>
      </c>
      <c r="AC79">
        <v>10.3079709767525</v>
      </c>
      <c r="AJ79">
        <v>0.390133350398848</v>
      </c>
      <c r="AK79">
        <v>1.4504342021511799E-2</v>
      </c>
      <c r="AL79">
        <v>0.59536230757963904</v>
      </c>
    </row>
    <row r="80" spans="1:38" x14ac:dyDescent="0.2">
      <c r="A80">
        <v>184</v>
      </c>
      <c r="B80">
        <v>746</v>
      </c>
      <c r="C80">
        <v>190</v>
      </c>
      <c r="D80">
        <v>0.38610655938772698</v>
      </c>
      <c r="E80">
        <v>34.275546279290097</v>
      </c>
      <c r="F80">
        <v>2.5221431104224701</v>
      </c>
      <c r="G80">
        <v>-541.01088981989119</v>
      </c>
      <c r="H80">
        <v>-469.12401525815113</v>
      </c>
      <c r="I80">
        <v>70.536108091782296</v>
      </c>
      <c r="J80">
        <v>40.765286970350601</v>
      </c>
      <c r="K80">
        <v>13.589849892993801</v>
      </c>
      <c r="L80">
        <v>2.8490261295864347E-5</v>
      </c>
      <c r="M80">
        <v>1.7961619863704395E-6</v>
      </c>
      <c r="N80" s="1">
        <v>-2.7856623391865798E-7</v>
      </c>
      <c r="O80" s="1">
        <v>1.2939322414240199E-10</v>
      </c>
      <c r="P80" s="1">
        <v>1.0787166734670401E-9</v>
      </c>
      <c r="Q80">
        <v>65.933289327193094</v>
      </c>
      <c r="S80">
        <v>19.004001527623998</v>
      </c>
      <c r="AA80">
        <v>0.29386414700680302</v>
      </c>
      <c r="AB80">
        <v>4.4151836140298997</v>
      </c>
      <c r="AC80">
        <v>10.3536613841461</v>
      </c>
      <c r="AJ80">
        <v>0.38765303947242802</v>
      </c>
      <c r="AK80">
        <v>1.4257776993460401E-2</v>
      </c>
      <c r="AL80">
        <v>0.598089183534111</v>
      </c>
    </row>
    <row r="81" spans="1:38" x14ac:dyDescent="0.2">
      <c r="A81">
        <v>185</v>
      </c>
      <c r="B81">
        <v>744</v>
      </c>
      <c r="C81">
        <v>190</v>
      </c>
      <c r="D81">
        <v>0.38476183453767998</v>
      </c>
      <c r="E81">
        <v>35.089879691016399</v>
      </c>
      <c r="F81">
        <v>2.52218094463539</v>
      </c>
      <c r="G81">
        <v>-553.65144024222161</v>
      </c>
      <c r="H81">
        <v>-480.29555895449903</v>
      </c>
      <c r="I81">
        <v>72.119039755908702</v>
      </c>
      <c r="J81">
        <v>41.743261047609401</v>
      </c>
      <c r="K81">
        <v>13.9125147883032</v>
      </c>
      <c r="L81">
        <v>2.8515202183161351E-5</v>
      </c>
      <c r="M81">
        <v>1.7962387844711753E-6</v>
      </c>
      <c r="N81" s="1">
        <v>-3.04483449925587E-7</v>
      </c>
      <c r="O81" s="1">
        <v>1.3234207456816599E-10</v>
      </c>
      <c r="P81" s="1">
        <v>1.15950229496078E-9</v>
      </c>
      <c r="Q81">
        <v>65.930219844299103</v>
      </c>
      <c r="S81">
        <v>18.996950616281399</v>
      </c>
      <c r="AA81">
        <v>0.28876329482445601</v>
      </c>
      <c r="AB81">
        <v>4.3898585552143201</v>
      </c>
      <c r="AC81">
        <v>10.394207689380501</v>
      </c>
      <c r="AJ81">
        <v>0.38547916026469098</v>
      </c>
      <c r="AK81">
        <v>1.4012097672421101E-2</v>
      </c>
      <c r="AL81">
        <v>0.60050874206288696</v>
      </c>
    </row>
    <row r="82" spans="1:38" x14ac:dyDescent="0.2">
      <c r="A82">
        <v>186</v>
      </c>
      <c r="B82">
        <v>742</v>
      </c>
      <c r="C82">
        <v>190</v>
      </c>
      <c r="D82">
        <v>0.38341181106240502</v>
      </c>
      <c r="E82">
        <v>35.641857067469303</v>
      </c>
      <c r="F82">
        <v>2.5222226405682302</v>
      </c>
      <c r="G82">
        <v>-562.14883221452521</v>
      </c>
      <c r="H82">
        <v>-487.88079002823207</v>
      </c>
      <c r="I82">
        <v>73.159673138248607</v>
      </c>
      <c r="J82">
        <v>42.411200662086998</v>
      </c>
      <c r="K82">
        <v>14.131130414180801</v>
      </c>
      <c r="L82">
        <v>2.8544158330661875E-5</v>
      </c>
      <c r="M82">
        <v>1.7963428332576656E-6</v>
      </c>
      <c r="N82" s="1">
        <v>-3.3030815851134001E-7</v>
      </c>
      <c r="O82" s="1">
        <v>1.34283699087078E-10</v>
      </c>
      <c r="P82" s="1">
        <v>1.23776895928918E-9</v>
      </c>
      <c r="Q82">
        <v>65.927694426926493</v>
      </c>
      <c r="S82">
        <v>18.990116246245702</v>
      </c>
      <c r="AA82">
        <v>0.28371414118580601</v>
      </c>
      <c r="AB82">
        <v>4.36631360842952</v>
      </c>
      <c r="AC82">
        <v>10.4321615772123</v>
      </c>
      <c r="AJ82">
        <v>0.38345758421653697</v>
      </c>
      <c r="AK82">
        <v>1.3768739383576501E-2</v>
      </c>
      <c r="AL82">
        <v>0.60277367639988599</v>
      </c>
    </row>
    <row r="83" spans="1:38" x14ac:dyDescent="0.2">
      <c r="A83">
        <v>187</v>
      </c>
      <c r="B83">
        <v>740</v>
      </c>
      <c r="C83">
        <v>190</v>
      </c>
      <c r="D83">
        <v>0.382056457582788</v>
      </c>
      <c r="E83">
        <v>36.0374825059721</v>
      </c>
      <c r="F83">
        <v>2.5222674053301799</v>
      </c>
      <c r="G83">
        <v>-568.17754966193934</v>
      </c>
      <c r="H83">
        <v>-493.32894048088349</v>
      </c>
      <c r="I83">
        <v>73.877124987470594</v>
      </c>
      <c r="J83">
        <v>42.895016275182201</v>
      </c>
      <c r="K83">
        <v>14.2877327082037</v>
      </c>
      <c r="L83">
        <v>2.8576774104630991E-5</v>
      </c>
      <c r="M83">
        <v>1.7964665498499933E-6</v>
      </c>
      <c r="N83" s="1">
        <v>-3.56730523723997E-7</v>
      </c>
      <c r="O83" s="1">
        <v>1.3561985637234399E-10</v>
      </c>
      <c r="P83" s="1">
        <v>1.31633937724795E-9</v>
      </c>
      <c r="Q83">
        <v>65.925468215330795</v>
      </c>
      <c r="S83">
        <v>18.983440326557599</v>
      </c>
      <c r="AA83">
        <v>0.27872589512879697</v>
      </c>
      <c r="AB83">
        <v>4.3438508238621001</v>
      </c>
      <c r="AC83">
        <v>10.468514739120501</v>
      </c>
      <c r="AJ83">
        <v>0.38152847279514801</v>
      </c>
      <c r="AK83">
        <v>1.3528204540948699E-2</v>
      </c>
      <c r="AL83">
        <v>0.60494332266390205</v>
      </c>
    </row>
    <row r="84" spans="1:38" x14ac:dyDescent="0.2">
      <c r="A84">
        <v>193</v>
      </c>
      <c r="B84">
        <v>754</v>
      </c>
      <c r="C84">
        <v>180</v>
      </c>
      <c r="D84">
        <v>0.402142335588766</v>
      </c>
      <c r="E84">
        <v>24.7683522499694</v>
      </c>
      <c r="F84">
        <v>2.5216579566464401</v>
      </c>
      <c r="G84">
        <v>-391.75716828847072</v>
      </c>
      <c r="H84">
        <v>-339.11294507309611</v>
      </c>
      <c r="I84">
        <v>51.252712082339002</v>
      </c>
      <c r="J84">
        <v>29.448245915244001</v>
      </c>
      <c r="K84">
        <v>9.8222489631023695</v>
      </c>
      <c r="L84">
        <v>2.8449165651473832E-5</v>
      </c>
      <c r="M84">
        <v>1.7972468942827883E-6</v>
      </c>
      <c r="N84" s="1">
        <v>-1.5589405982807001E-7</v>
      </c>
      <c r="O84" s="1">
        <v>9.3746290113078798E-11</v>
      </c>
      <c r="P84" s="1">
        <v>6.4933119976538205E-10</v>
      </c>
      <c r="Q84">
        <v>65.965274794111195</v>
      </c>
      <c r="S84">
        <v>19.039516297398801</v>
      </c>
      <c r="AA84">
        <v>0.31570082427721502</v>
      </c>
      <c r="AB84">
        <v>4.5795680982644704</v>
      </c>
      <c r="AC84">
        <v>10.099939985948099</v>
      </c>
      <c r="AJ84">
        <v>0.401750142170688</v>
      </c>
      <c r="AK84">
        <v>1.53044604674306E-2</v>
      </c>
      <c r="AL84">
        <v>0.582945397361881</v>
      </c>
    </row>
    <row r="85" spans="1:38" x14ac:dyDescent="0.2">
      <c r="A85">
        <v>194</v>
      </c>
      <c r="B85">
        <v>752</v>
      </c>
      <c r="C85">
        <v>180</v>
      </c>
      <c r="D85">
        <v>0.40083938935765601</v>
      </c>
      <c r="E85">
        <v>30.702546523522098</v>
      </c>
      <c r="F85">
        <v>2.5216419886065302</v>
      </c>
      <c r="G85">
        <v>-485.35556028040253</v>
      </c>
      <c r="H85">
        <v>-420.32085432793224</v>
      </c>
      <c r="I85">
        <v>63.439209825362397</v>
      </c>
      <c r="J85">
        <v>36.500546936804398</v>
      </c>
      <c r="K85">
        <v>12.175616785509</v>
      </c>
      <c r="L85">
        <v>2.8437985508379485E-5</v>
      </c>
      <c r="M85">
        <v>1.7968876512024649E-6</v>
      </c>
      <c r="N85" s="1">
        <v>-2.04266753624484E-7</v>
      </c>
      <c r="O85" s="1">
        <v>1.16169482643282E-10</v>
      </c>
      <c r="P85" s="1">
        <v>8.3647183227719596E-10</v>
      </c>
      <c r="Q85">
        <v>65.9500823810084</v>
      </c>
      <c r="S85">
        <v>19.0291525252151</v>
      </c>
      <c r="AA85">
        <v>0.31069554801307098</v>
      </c>
      <c r="AB85">
        <v>4.5185426440877903</v>
      </c>
      <c r="AC85">
        <v>10.191526901675401</v>
      </c>
      <c r="AJ85">
        <v>0.39651951117101297</v>
      </c>
      <c r="AK85">
        <v>1.50664868671467E-2</v>
      </c>
      <c r="AL85">
        <v>0.58841400196183902</v>
      </c>
    </row>
    <row r="86" spans="1:38" x14ac:dyDescent="0.2">
      <c r="A86">
        <v>195</v>
      </c>
      <c r="B86">
        <v>750</v>
      </c>
      <c r="C86">
        <v>180</v>
      </c>
      <c r="D86">
        <v>0.39953134926452799</v>
      </c>
      <c r="E86">
        <v>33.046848234944797</v>
      </c>
      <c r="F86">
        <v>2.52165871234729</v>
      </c>
      <c r="G86">
        <v>-522.18730777554447</v>
      </c>
      <c r="H86">
        <v>-452.41686394319504</v>
      </c>
      <c r="I86">
        <v>68.191803579484301</v>
      </c>
      <c r="J86">
        <v>39.290644938569997</v>
      </c>
      <c r="K86">
        <v>13.1052025689008</v>
      </c>
      <c r="L86">
        <v>2.8447005960371161E-5</v>
      </c>
      <c r="M86">
        <v>1.7968123291165348E-6</v>
      </c>
      <c r="N86" s="1">
        <v>-2.3408140877881399E-7</v>
      </c>
      <c r="O86" s="1">
        <v>1.2496236631857601E-10</v>
      </c>
      <c r="P86" s="1">
        <v>9.4112847950985608E-10</v>
      </c>
      <c r="Q86">
        <v>65.943212935425905</v>
      </c>
      <c r="S86">
        <v>19.020879711247499</v>
      </c>
      <c r="AA86">
        <v>0.30547328299830301</v>
      </c>
      <c r="AB86">
        <v>4.4815461955767102</v>
      </c>
      <c r="AC86">
        <v>10.2488878747514</v>
      </c>
      <c r="AJ86">
        <v>0.39334690014653001</v>
      </c>
      <c r="AK86">
        <v>1.4816030972979099E-2</v>
      </c>
      <c r="AL86">
        <v>0.59183706888049004</v>
      </c>
    </row>
    <row r="87" spans="1:38" x14ac:dyDescent="0.2">
      <c r="A87">
        <v>196</v>
      </c>
      <c r="B87">
        <v>748</v>
      </c>
      <c r="C87">
        <v>180</v>
      </c>
      <c r="D87">
        <v>0.39821818537923098</v>
      </c>
      <c r="E87">
        <v>34.361286542622501</v>
      </c>
      <c r="F87">
        <v>2.5216860123875602</v>
      </c>
      <c r="G87">
        <v>-542.73682210768834</v>
      </c>
      <c r="H87">
        <v>-470.42749015442507</v>
      </c>
      <c r="I87">
        <v>70.811665233573194</v>
      </c>
      <c r="J87">
        <v>40.859260751607202</v>
      </c>
      <c r="K87">
        <v>13.6263144474869</v>
      </c>
      <c r="L87">
        <v>2.8463332726720032E-5</v>
      </c>
      <c r="M87">
        <v>1.7968214856676034E-6</v>
      </c>
      <c r="N87" s="1">
        <v>-2.5961207508985002E-7</v>
      </c>
      <c r="O87" s="1">
        <v>1.29835383609807E-10</v>
      </c>
      <c r="P87" s="1">
        <v>1.0250553670386599E-9</v>
      </c>
      <c r="Q87">
        <v>65.938651657381399</v>
      </c>
      <c r="S87">
        <v>19.0132598944843</v>
      </c>
      <c r="AA87">
        <v>0.30025116802299001</v>
      </c>
      <c r="AB87">
        <v>4.4514052917321401</v>
      </c>
      <c r="AC87">
        <v>10.296431988379</v>
      </c>
      <c r="AJ87">
        <v>0.39076130870062598</v>
      </c>
      <c r="AK87">
        <v>1.45649807028024E-2</v>
      </c>
      <c r="AL87">
        <v>0.59467371059657104</v>
      </c>
    </row>
    <row r="88" spans="1:38" x14ac:dyDescent="0.2">
      <c r="A88">
        <v>197</v>
      </c>
      <c r="B88">
        <v>746</v>
      </c>
      <c r="C88">
        <v>180</v>
      </c>
      <c r="D88">
        <v>0.396899867536674</v>
      </c>
      <c r="E88">
        <v>35.181812832859997</v>
      </c>
      <c r="F88">
        <v>2.5217198177950699</v>
      </c>
      <c r="G88">
        <v>-555.48068415369892</v>
      </c>
      <c r="H88">
        <v>-481.68478220832009</v>
      </c>
      <c r="I88">
        <v>72.409264529636204</v>
      </c>
      <c r="J88">
        <v>41.842934775432497</v>
      </c>
      <c r="K88">
        <v>13.9515153842991</v>
      </c>
      <c r="L88">
        <v>2.8484842537954752E-5</v>
      </c>
      <c r="M88">
        <v>1.7968802471627624E-6</v>
      </c>
      <c r="N88" s="1">
        <v>-2.8378487291724902E-7</v>
      </c>
      <c r="O88" s="1">
        <v>1.32822012407358E-10</v>
      </c>
      <c r="P88" s="1">
        <v>1.10098945351387E-9</v>
      </c>
      <c r="Q88">
        <v>65.935336649252207</v>
      </c>
      <c r="S88">
        <v>19.006031921770401</v>
      </c>
      <c r="AA88">
        <v>0.295061528353326</v>
      </c>
      <c r="AB88">
        <v>4.42506890368968</v>
      </c>
      <c r="AC88">
        <v>10.3385009969343</v>
      </c>
      <c r="AJ88">
        <v>0.38850143822206101</v>
      </c>
      <c r="AK88">
        <v>1.4315152247102499E-2</v>
      </c>
      <c r="AL88">
        <v>0.59718340953083604</v>
      </c>
    </row>
    <row r="89" spans="1:38" x14ac:dyDescent="0.2">
      <c r="A89">
        <v>198</v>
      </c>
      <c r="B89">
        <v>744</v>
      </c>
      <c r="C89">
        <v>180</v>
      </c>
      <c r="D89">
        <v>0.39557636533451601</v>
      </c>
      <c r="E89">
        <v>35.739650548707999</v>
      </c>
      <c r="F89">
        <v>2.5217580084275499</v>
      </c>
      <c r="G89">
        <v>-564.073917488348</v>
      </c>
      <c r="H89">
        <v>-489.35080623106609</v>
      </c>
      <c r="I89">
        <v>73.463217084286399</v>
      </c>
      <c r="J89">
        <v>42.516184870898101</v>
      </c>
      <c r="K89">
        <v>14.1725139483124</v>
      </c>
      <c r="L89">
        <v>2.8510403665045512E-5</v>
      </c>
      <c r="M89">
        <v>1.7969692931938981E-6</v>
      </c>
      <c r="N89" s="1">
        <v>-3.07901581372996E-7</v>
      </c>
      <c r="O89" s="1">
        <v>1.34799840282234E-10</v>
      </c>
      <c r="P89" s="1">
        <v>1.1745272878013899E-9</v>
      </c>
      <c r="Q89">
        <v>65.932671164499297</v>
      </c>
      <c r="S89">
        <v>18.999051400646099</v>
      </c>
      <c r="AA89">
        <v>0.28992448137855198</v>
      </c>
      <c r="AB89">
        <v>4.4008286701783801</v>
      </c>
      <c r="AC89">
        <v>10.3775242832975</v>
      </c>
      <c r="AJ89">
        <v>0.386420902269906</v>
      </c>
      <c r="AK89">
        <v>1.40676588633407E-2</v>
      </c>
      <c r="AL89">
        <v>0.59951143886675196</v>
      </c>
    </row>
    <row r="90" spans="1:38" x14ac:dyDescent="0.2">
      <c r="A90">
        <v>199</v>
      </c>
      <c r="B90">
        <v>742</v>
      </c>
      <c r="C90">
        <v>180</v>
      </c>
      <c r="D90">
        <v>0.39424764813081797</v>
      </c>
      <c r="E90">
        <v>36.140301118983999</v>
      </c>
      <c r="F90">
        <v>2.5217995815207801</v>
      </c>
      <c r="G90">
        <v>-570.18398833171432</v>
      </c>
      <c r="H90">
        <v>-494.86810811326473</v>
      </c>
      <c r="I90">
        <v>74.191873337387904</v>
      </c>
      <c r="J90">
        <v>43.004284876986901</v>
      </c>
      <c r="K90">
        <v>14.3311551733978</v>
      </c>
      <c r="L90">
        <v>2.8539563823209694E-5</v>
      </c>
      <c r="M90">
        <v>1.7970796215856348E-6</v>
      </c>
      <c r="N90" s="1">
        <v>-3.32595303608055E-7</v>
      </c>
      <c r="O90" s="1">
        <v>1.36169101254866E-10</v>
      </c>
      <c r="P90" s="1">
        <v>1.2483246733498501E-9</v>
      </c>
      <c r="Q90">
        <v>65.9303690895443</v>
      </c>
      <c r="S90">
        <v>18.992248553041499</v>
      </c>
      <c r="AA90">
        <v>0.28484922016860498</v>
      </c>
      <c r="AB90">
        <v>4.3778640701476199</v>
      </c>
      <c r="AC90">
        <v>10.414669067097799</v>
      </c>
      <c r="AJ90">
        <v>0.38444938210815099</v>
      </c>
      <c r="AK90">
        <v>1.3823013097300401E-2</v>
      </c>
      <c r="AL90">
        <v>0.60172760479454801</v>
      </c>
    </row>
    <row r="91" spans="1:38" x14ac:dyDescent="0.2">
      <c r="A91">
        <v>200</v>
      </c>
      <c r="B91">
        <v>740</v>
      </c>
      <c r="C91">
        <v>180</v>
      </c>
      <c r="D91">
        <v>0.39291368504170499</v>
      </c>
      <c r="E91">
        <v>36.438424516442602</v>
      </c>
      <c r="F91">
        <v>2.5218440099149202</v>
      </c>
      <c r="G91">
        <v>-574.67477576440501</v>
      </c>
      <c r="H91">
        <v>-498.98399324605401</v>
      </c>
      <c r="I91">
        <v>74.708367485911197</v>
      </c>
      <c r="J91">
        <v>43.372173761936899</v>
      </c>
      <c r="K91">
        <v>14.449119125997001</v>
      </c>
      <c r="L91">
        <v>2.8572174925670801E-5</v>
      </c>
      <c r="M91">
        <v>1.7972067534597622E-6</v>
      </c>
      <c r="N91" s="1">
        <v>-3.58232704299063E-7</v>
      </c>
      <c r="O91" s="1">
        <v>1.3713691056462301E-10</v>
      </c>
      <c r="P91" s="1">
        <v>1.32385857699068E-9</v>
      </c>
      <c r="Q91">
        <v>65.928280177987403</v>
      </c>
      <c r="S91">
        <v>18.985586088031798</v>
      </c>
      <c r="AA91">
        <v>0.27984003727190199</v>
      </c>
      <c r="AB91">
        <v>4.35574252454344</v>
      </c>
      <c r="AC91">
        <v>10.4505511721653</v>
      </c>
      <c r="AJ91">
        <v>0.38254980377755998</v>
      </c>
      <c r="AK91">
        <v>1.3581458905718401E-2</v>
      </c>
      <c r="AL91">
        <v>0.60386873731672097</v>
      </c>
    </row>
    <row r="92" spans="1:38" x14ac:dyDescent="0.2">
      <c r="A92">
        <v>206</v>
      </c>
      <c r="B92">
        <v>758</v>
      </c>
      <c r="C92">
        <v>170</v>
      </c>
      <c r="D92">
        <v>0.41540076613490101</v>
      </c>
      <c r="E92">
        <v>0.39533357309948203</v>
      </c>
      <c r="F92">
        <v>2.5214760153801601</v>
      </c>
      <c r="G92">
        <v>-6.2646446725149723</v>
      </c>
      <c r="H92">
        <v>-5.4180317042246315</v>
      </c>
      <c r="I92">
        <v>0.82103764562899595</v>
      </c>
      <c r="J92">
        <v>0.47045185145852503</v>
      </c>
      <c r="K92">
        <v>0.15678656893346499</v>
      </c>
      <c r="L92">
        <v>2.8557381602303248E-5</v>
      </c>
      <c r="M92">
        <v>1.8000418600169194E-6</v>
      </c>
      <c r="N92" s="1">
        <v>-2.28755927556685E-9</v>
      </c>
      <c r="O92" s="1">
        <v>1.49542067926311E-12</v>
      </c>
      <c r="P92" s="1">
        <v>9.7930798359608096E-12</v>
      </c>
      <c r="Q92">
        <v>66.036902069989495</v>
      </c>
      <c r="S92">
        <v>19.072968957798398</v>
      </c>
      <c r="AA92">
        <v>0.32658636601607799</v>
      </c>
      <c r="AB92">
        <v>4.8268861404382601</v>
      </c>
      <c r="AC92">
        <v>9.7366564657576298</v>
      </c>
      <c r="AJ92">
        <v>0.42291525973314797</v>
      </c>
      <c r="AK92">
        <v>1.58123035106848E-2</v>
      </c>
      <c r="AL92">
        <v>0.561272436756167</v>
      </c>
    </row>
    <row r="93" spans="1:38" x14ac:dyDescent="0.2">
      <c r="A93">
        <v>207</v>
      </c>
      <c r="B93">
        <v>756</v>
      </c>
      <c r="C93">
        <v>170</v>
      </c>
      <c r="D93">
        <v>0.41412864985667802</v>
      </c>
      <c r="E93">
        <v>25.955071162864801</v>
      </c>
      <c r="F93">
        <v>2.5212213854538801</v>
      </c>
      <c r="G93">
        <v>-410.81454213610232</v>
      </c>
      <c r="H93">
        <v>-355.46343482972873</v>
      </c>
      <c r="I93">
        <v>53.783323428434699</v>
      </c>
      <c r="J93">
        <v>30.8566110764679</v>
      </c>
      <c r="K93">
        <v>10.294641840106401</v>
      </c>
      <c r="L93">
        <v>2.8432714806497245E-5</v>
      </c>
      <c r="M93">
        <v>1.7979534219727124E-6</v>
      </c>
      <c r="N93" s="1">
        <v>-1.5179755510891999E-7</v>
      </c>
      <c r="O93" s="1">
        <v>9.8298843309503E-11</v>
      </c>
      <c r="P93" s="1">
        <v>6.4705358597190103E-10</v>
      </c>
      <c r="Q93">
        <v>65.970912962818304</v>
      </c>
      <c r="S93">
        <v>19.049509540071799</v>
      </c>
      <c r="AA93">
        <v>0.32262976221593298</v>
      </c>
      <c r="AB93">
        <v>4.6183310397991102</v>
      </c>
      <c r="AC93">
        <v>10.038616695094699</v>
      </c>
      <c r="AJ93">
        <v>0.40507088512904099</v>
      </c>
      <c r="AK93">
        <v>1.5637279097775E-2</v>
      </c>
      <c r="AL93">
        <v>0.579291835773182</v>
      </c>
    </row>
    <row r="94" spans="1:38" x14ac:dyDescent="0.2">
      <c r="A94">
        <v>208</v>
      </c>
      <c r="B94">
        <v>754</v>
      </c>
      <c r="C94">
        <v>170</v>
      </c>
      <c r="D94">
        <v>0.412851579613494</v>
      </c>
      <c r="E94">
        <v>31.101340792679601</v>
      </c>
      <c r="F94">
        <v>2.5211980007130901</v>
      </c>
      <c r="G94">
        <v>-492.00153329839372</v>
      </c>
      <c r="H94">
        <v>-425.90143309603212</v>
      </c>
      <c r="I94">
        <v>64.352918466009399</v>
      </c>
      <c r="J94">
        <v>36.970661520027399</v>
      </c>
      <c r="K94">
        <v>12.335937432872299</v>
      </c>
      <c r="L94">
        <v>2.8419210041806803E-5</v>
      </c>
      <c r="M94">
        <v>1.7975805494408209E-6</v>
      </c>
      <c r="N94" s="1">
        <v>-1.92267824621033E-7</v>
      </c>
      <c r="O94" s="1">
        <v>1.1775882036070299E-10</v>
      </c>
      <c r="P94" s="1">
        <v>8.0510240877066498E-10</v>
      </c>
      <c r="Q94">
        <v>65.955600074203204</v>
      </c>
      <c r="S94">
        <v>19.0388865454387</v>
      </c>
      <c r="AA94">
        <v>0.31743873609062301</v>
      </c>
      <c r="AB94">
        <v>4.5563575270505501</v>
      </c>
      <c r="AC94">
        <v>10.1317171172167</v>
      </c>
      <c r="AJ94">
        <v>0.39976106140237699</v>
      </c>
      <c r="AK94">
        <v>1.53905239940152E-2</v>
      </c>
      <c r="AL94">
        <v>0.58484841460360604</v>
      </c>
    </row>
    <row r="95" spans="1:38" x14ac:dyDescent="0.2">
      <c r="A95">
        <v>209</v>
      </c>
      <c r="B95">
        <v>752</v>
      </c>
      <c r="C95">
        <v>170</v>
      </c>
      <c r="D95">
        <v>0.41156952641076899</v>
      </c>
      <c r="E95">
        <v>33.283219965367998</v>
      </c>
      <c r="F95">
        <v>2.5212089098035801</v>
      </c>
      <c r="G95">
        <v>-526.28427598376379</v>
      </c>
      <c r="H95">
        <v>-455.77938767207627</v>
      </c>
      <c r="I95">
        <v>68.775192227174003</v>
      </c>
      <c r="J95">
        <v>39.566155830066897</v>
      </c>
      <c r="K95">
        <v>13.201293964949899</v>
      </c>
      <c r="L95">
        <v>2.8425096282585423E-5</v>
      </c>
      <c r="M95">
        <v>1.7974839826933315E-6</v>
      </c>
      <c r="N95" s="1">
        <v>-2.1903481355861401E-7</v>
      </c>
      <c r="O95" s="1">
        <v>1.2595196399188299E-10</v>
      </c>
      <c r="P95" s="1">
        <v>8.9973553188416604E-10</v>
      </c>
      <c r="Q95">
        <v>65.948362722372906</v>
      </c>
      <c r="S95">
        <v>19.030365464820999</v>
      </c>
      <c r="AA95">
        <v>0.31209749444076101</v>
      </c>
      <c r="AB95">
        <v>4.5178903558926899</v>
      </c>
      <c r="AC95">
        <v>10.1912839624725</v>
      </c>
      <c r="AJ95">
        <v>0.39646357187399001</v>
      </c>
      <c r="AK95">
        <v>1.5134520812151501E-2</v>
      </c>
      <c r="AL95">
        <v>0.588401907313857</v>
      </c>
    </row>
    <row r="96" spans="1:38" x14ac:dyDescent="0.2">
      <c r="A96">
        <v>210</v>
      </c>
      <c r="B96">
        <v>750</v>
      </c>
      <c r="C96">
        <v>170</v>
      </c>
      <c r="D96">
        <v>0.41028246102722199</v>
      </c>
      <c r="E96">
        <v>34.503333828736103</v>
      </c>
      <c r="F96">
        <v>2.52123235133068</v>
      </c>
      <c r="G96">
        <v>-545.35450094703958</v>
      </c>
      <c r="H96">
        <v>-472.50252659200169</v>
      </c>
      <c r="I96">
        <v>71.203610765809302</v>
      </c>
      <c r="J96">
        <v>41.021333922334001</v>
      </c>
      <c r="K96">
        <v>13.685106733826199</v>
      </c>
      <c r="L96">
        <v>2.8438935079407491E-5</v>
      </c>
      <c r="M96">
        <v>1.7974842560444851E-6</v>
      </c>
      <c r="N96" s="1">
        <v>-2.4224712796734699E-7</v>
      </c>
      <c r="O96" s="1">
        <v>1.30480738207807E-10</v>
      </c>
      <c r="P96" s="1">
        <v>9.7631292294153107E-10</v>
      </c>
      <c r="Q96">
        <v>65.943811697014993</v>
      </c>
      <c r="S96">
        <v>19.0226073320244</v>
      </c>
      <c r="AA96">
        <v>0.30675887499745502</v>
      </c>
      <c r="AB96">
        <v>4.4874096861465196</v>
      </c>
      <c r="AC96">
        <v>10.239412409816399</v>
      </c>
      <c r="AJ96">
        <v>0.39384979632738198</v>
      </c>
      <c r="AK96">
        <v>1.4877940957035801E-2</v>
      </c>
      <c r="AL96">
        <v>0.59127226271558198</v>
      </c>
    </row>
    <row r="97" spans="1:38" x14ac:dyDescent="0.2">
      <c r="A97">
        <v>211</v>
      </c>
      <c r="B97">
        <v>748</v>
      </c>
      <c r="C97">
        <v>170</v>
      </c>
      <c r="D97">
        <v>0.40899035401263301</v>
      </c>
      <c r="E97">
        <v>35.330669887450703</v>
      </c>
      <c r="F97">
        <v>2.5212616609086198</v>
      </c>
      <c r="G97">
        <v>-558.21043275665431</v>
      </c>
      <c r="H97">
        <v>-483.85345612315695</v>
      </c>
      <c r="I97">
        <v>72.816899215098005</v>
      </c>
      <c r="J97">
        <v>42.011480286371899</v>
      </c>
      <c r="K97">
        <v>14.013091316637899</v>
      </c>
      <c r="L97">
        <v>2.8456967155366366E-5</v>
      </c>
      <c r="M97">
        <v>1.7975219630699366E-6</v>
      </c>
      <c r="N97" s="1">
        <v>-2.6479812435627901E-7</v>
      </c>
      <c r="O97" s="1">
        <v>1.3350689815531199E-10</v>
      </c>
      <c r="P97" s="1">
        <v>1.04773325812795E-9</v>
      </c>
      <c r="Q97">
        <v>65.940145958839807</v>
      </c>
      <c r="S97">
        <v>19.0151723146456</v>
      </c>
      <c r="AA97">
        <v>0.301480259420778</v>
      </c>
      <c r="AB97">
        <v>4.4597489204954597</v>
      </c>
      <c r="AC97">
        <v>10.283452546598101</v>
      </c>
      <c r="AJ97">
        <v>0.39147713535929801</v>
      </c>
      <c r="AK97">
        <v>1.4623982655059001E-2</v>
      </c>
      <c r="AL97">
        <v>0.593898881985642</v>
      </c>
    </row>
    <row r="98" spans="1:38" x14ac:dyDescent="0.2">
      <c r="A98">
        <v>212</v>
      </c>
      <c r="B98">
        <v>746</v>
      </c>
      <c r="C98">
        <v>170</v>
      </c>
      <c r="D98">
        <v>0.40769317568562202</v>
      </c>
      <c r="E98">
        <v>35.879477406883403</v>
      </c>
      <c r="F98">
        <v>2.5212963630437599</v>
      </c>
      <c r="G98">
        <v>-566.6643386270747</v>
      </c>
      <c r="H98">
        <v>-491.3966071857339</v>
      </c>
      <c r="I98">
        <v>73.853438101693399</v>
      </c>
      <c r="J98">
        <v>42.6724791168716</v>
      </c>
      <c r="K98">
        <v>14.230567232314099</v>
      </c>
      <c r="L98">
        <v>2.8479425399865839E-5</v>
      </c>
      <c r="M98">
        <v>1.7975978751517264E-6</v>
      </c>
      <c r="N98" s="1">
        <v>-2.8723452102615998E-7</v>
      </c>
      <c r="O98" s="1">
        <v>1.3546357537623901E-10</v>
      </c>
      <c r="P98" s="1">
        <v>1.1164814384705499E-9</v>
      </c>
      <c r="Q98">
        <v>65.937381852438804</v>
      </c>
      <c r="S98">
        <v>19.008050530095101</v>
      </c>
      <c r="AA98">
        <v>0.29624968068624502</v>
      </c>
      <c r="AB98">
        <v>4.4349185734916201</v>
      </c>
      <c r="AC98">
        <v>10.3233993632882</v>
      </c>
      <c r="AJ98">
        <v>0.38934669513488801</v>
      </c>
      <c r="AK98">
        <v>1.43720766068584E-2</v>
      </c>
      <c r="AL98">
        <v>0.59628122825825303</v>
      </c>
    </row>
    <row r="99" spans="1:38" x14ac:dyDescent="0.2">
      <c r="A99">
        <v>213</v>
      </c>
      <c r="B99">
        <v>744</v>
      </c>
      <c r="C99">
        <v>170</v>
      </c>
      <c r="D99">
        <v>0.40639089613134799</v>
      </c>
      <c r="E99">
        <v>36.275757208974703</v>
      </c>
      <c r="F99">
        <v>2.5213347444556402</v>
      </c>
      <c r="G99">
        <v>-572.70741471201563</v>
      </c>
      <c r="H99">
        <v>-496.85455133237656</v>
      </c>
      <c r="I99">
        <v>74.573920640651906</v>
      </c>
      <c r="J99">
        <v>43.1538229219953</v>
      </c>
      <c r="K99">
        <v>14.3875212479201</v>
      </c>
      <c r="L99">
        <v>2.850539913557708E-5</v>
      </c>
      <c r="M99">
        <v>1.7976962093445599E-6</v>
      </c>
      <c r="N99" s="1">
        <v>-3.1025468832627802E-7</v>
      </c>
      <c r="O99" s="1">
        <v>1.3682948885406599E-10</v>
      </c>
      <c r="P99" s="1">
        <v>1.18556582629299E-9</v>
      </c>
      <c r="Q99">
        <v>65.9350294539244</v>
      </c>
      <c r="S99">
        <v>19.0011229649912</v>
      </c>
      <c r="AA99">
        <v>0.29108326857691202</v>
      </c>
      <c r="AB99">
        <v>4.4115148669682496</v>
      </c>
      <c r="AC99">
        <v>10.3612494455391</v>
      </c>
      <c r="AJ99">
        <v>0.38733816973887902</v>
      </c>
      <c r="AK99">
        <v>1.4123117822150699E-2</v>
      </c>
      <c r="AL99">
        <v>0.59853871243896895</v>
      </c>
    </row>
    <row r="100" spans="1:38" x14ac:dyDescent="0.2">
      <c r="A100">
        <v>214</v>
      </c>
      <c r="B100">
        <v>742</v>
      </c>
      <c r="C100">
        <v>170</v>
      </c>
      <c r="D100">
        <v>0.40508348519923099</v>
      </c>
      <c r="E100">
        <v>36.5717374391117</v>
      </c>
      <c r="F100">
        <v>2.5213761798524499</v>
      </c>
      <c r="G100">
        <v>-577.16557008051313</v>
      </c>
      <c r="H100">
        <v>-500.94141717250136</v>
      </c>
      <c r="I100">
        <v>75.086591053550407</v>
      </c>
      <c r="J100">
        <v>43.517542612136197</v>
      </c>
      <c r="K100">
        <v>14.5046731746517</v>
      </c>
      <c r="L100">
        <v>2.8534699384345337E-5</v>
      </c>
      <c r="M100">
        <v>1.7978119513140474E-6</v>
      </c>
      <c r="N100" s="1">
        <v>-3.3418486772207702E-7</v>
      </c>
      <c r="O100" s="1">
        <v>1.3780270804909399E-10</v>
      </c>
      <c r="P100" s="1">
        <v>1.2563291378392701E-9</v>
      </c>
      <c r="Q100">
        <v>65.932923811207004</v>
      </c>
      <c r="S100">
        <v>18.9943474632835</v>
      </c>
      <c r="AA100">
        <v>0.28598473323460599</v>
      </c>
      <c r="AB100">
        <v>4.3890596964706097</v>
      </c>
      <c r="AC100">
        <v>10.397684295804099</v>
      </c>
      <c r="AJ100">
        <v>0.38541060002275701</v>
      </c>
      <c r="AK100">
        <v>1.38773265293263E-2</v>
      </c>
      <c r="AL100">
        <v>0.600712073447916</v>
      </c>
    </row>
    <row r="101" spans="1:38" x14ac:dyDescent="0.2">
      <c r="A101">
        <v>221</v>
      </c>
      <c r="B101">
        <v>760</v>
      </c>
      <c r="C101">
        <v>160</v>
      </c>
      <c r="D101">
        <v>0.427315007501331</v>
      </c>
      <c r="E101">
        <v>11.8423099613631</v>
      </c>
      <c r="F101">
        <v>2.5209700661908601</v>
      </c>
      <c r="G101">
        <v>-187.74593565368087</v>
      </c>
      <c r="H101">
        <v>-162.30860284754002</v>
      </c>
      <c r="I101">
        <v>24.621141950482301</v>
      </c>
      <c r="J101">
        <v>14.0871964236048</v>
      </c>
      <c r="K101">
        <v>4.6975210535747003</v>
      </c>
      <c r="L101">
        <v>2.8501846455517549E-5</v>
      </c>
      <c r="M101">
        <v>1.8001004027137795E-6</v>
      </c>
      <c r="N101" s="1">
        <v>-6.2583504895141097E-8</v>
      </c>
      <c r="O101" s="1">
        <v>4.4843438204791203E-11</v>
      </c>
      <c r="P101" s="1">
        <v>2.7608411045431799E-10</v>
      </c>
      <c r="Q101">
        <v>66.022719896115703</v>
      </c>
      <c r="S101">
        <v>19.078688435808701</v>
      </c>
      <c r="AA101">
        <v>0.33461421032807298</v>
      </c>
      <c r="AB101">
        <v>4.81027628156503</v>
      </c>
      <c r="AC101">
        <v>9.7537011761824104</v>
      </c>
      <c r="AJ101">
        <v>0.42149539506732597</v>
      </c>
      <c r="AK101">
        <v>1.6202349049392401E-2</v>
      </c>
      <c r="AL101">
        <v>0.56230225588327998</v>
      </c>
    </row>
    <row r="102" spans="1:38" x14ac:dyDescent="0.2">
      <c r="A102">
        <v>222</v>
      </c>
      <c r="B102">
        <v>758</v>
      </c>
      <c r="C102">
        <v>160</v>
      </c>
      <c r="D102">
        <v>0.426068467245311</v>
      </c>
      <c r="E102">
        <v>27.612936075717901</v>
      </c>
      <c r="F102">
        <v>2.5207797667712502</v>
      </c>
      <c r="G102">
        <v>-437.34847578298258</v>
      </c>
      <c r="H102">
        <v>-378.26750668258126</v>
      </c>
      <c r="I102">
        <v>57.2961926978628</v>
      </c>
      <c r="J102">
        <v>32.8243058587652</v>
      </c>
      <c r="K102">
        <v>10.954124767149301</v>
      </c>
      <c r="L102">
        <v>2.841332472965185E-5</v>
      </c>
      <c r="M102">
        <v>1.798586260720378E-6</v>
      </c>
      <c r="N102" s="1">
        <v>-1.49660953982988E-7</v>
      </c>
      <c r="O102" s="1">
        <v>1.04642599761655E-10</v>
      </c>
      <c r="P102" s="1">
        <v>6.5414608780146003E-10</v>
      </c>
      <c r="Q102">
        <v>65.974080598765795</v>
      </c>
      <c r="S102">
        <v>19.0590522059676</v>
      </c>
      <c r="AA102">
        <v>0.329763434745036</v>
      </c>
      <c r="AB102">
        <v>4.65040728594317</v>
      </c>
      <c r="AC102">
        <v>9.9866964745783502</v>
      </c>
      <c r="AJ102">
        <v>0.40781779092110498</v>
      </c>
      <c r="AK102">
        <v>1.59804301712566E-2</v>
      </c>
      <c r="AL102">
        <v>0.57620177890763802</v>
      </c>
    </row>
    <row r="103" spans="1:38" x14ac:dyDescent="0.2">
      <c r="A103">
        <v>223</v>
      </c>
      <c r="B103">
        <v>756</v>
      </c>
      <c r="C103">
        <v>160</v>
      </c>
      <c r="D103">
        <v>0.424817082058009</v>
      </c>
      <c r="E103">
        <v>31.737667546967302</v>
      </c>
      <c r="F103">
        <v>2.5207543549237799</v>
      </c>
      <c r="G103">
        <v>-502.41073388460291</v>
      </c>
      <c r="H103">
        <v>-434.73395922570182</v>
      </c>
      <c r="I103">
        <v>65.759874322402894</v>
      </c>
      <c r="J103">
        <v>37.723305876959003</v>
      </c>
      <c r="K103">
        <v>12.5905435747732</v>
      </c>
      <c r="L103">
        <v>2.8400469975616969E-5</v>
      </c>
      <c r="M103">
        <v>1.798244607928831E-6</v>
      </c>
      <c r="N103" s="1">
        <v>-1.8205557208826899E-7</v>
      </c>
      <c r="O103" s="1">
        <v>1.20245527875098E-10</v>
      </c>
      <c r="P103" s="1">
        <v>7.8071738318627602E-10</v>
      </c>
      <c r="Q103">
        <v>65.959982223704898</v>
      </c>
      <c r="S103">
        <v>19.048497134029201</v>
      </c>
      <c r="AA103">
        <v>0.32434505540390302</v>
      </c>
      <c r="AB103">
        <v>4.5913183197053797</v>
      </c>
      <c r="AC103">
        <v>10.075857267156399</v>
      </c>
      <c r="AJ103">
        <v>0.40275684029152697</v>
      </c>
      <c r="AK103">
        <v>1.57225720345231E-2</v>
      </c>
      <c r="AL103">
        <v>0.58152058767394899</v>
      </c>
    </row>
    <row r="104" spans="1:38" x14ac:dyDescent="0.2">
      <c r="A104">
        <v>224</v>
      </c>
      <c r="B104">
        <v>754</v>
      </c>
      <c r="C104">
        <v>160</v>
      </c>
      <c r="D104">
        <v>0.42356082363822201</v>
      </c>
      <c r="E104">
        <v>33.657516598001401</v>
      </c>
      <c r="F104">
        <v>2.5207608902112399</v>
      </c>
      <c r="G104">
        <v>-532.56553494021273</v>
      </c>
      <c r="H104">
        <v>-461.03017392478705</v>
      </c>
      <c r="I104">
        <v>69.644512501022902</v>
      </c>
      <c r="J104">
        <v>40.006211448369498</v>
      </c>
      <c r="K104">
        <v>13.3521258318082</v>
      </c>
      <c r="L104">
        <v>2.8404318441472584E-5</v>
      </c>
      <c r="M104">
        <v>1.7981417521533437E-6</v>
      </c>
      <c r="N104" s="1">
        <v>-2.0559571419486099E-7</v>
      </c>
      <c r="O104" s="1">
        <v>1.2745817758977401E-10</v>
      </c>
      <c r="P104" s="1">
        <v>8.6399723311519401E-10</v>
      </c>
      <c r="Q104">
        <v>65.952818565159305</v>
      </c>
      <c r="S104">
        <v>19.039827239547101</v>
      </c>
      <c r="AA104">
        <v>0.31886384547170898</v>
      </c>
      <c r="AB104">
        <v>4.5526252351885601</v>
      </c>
      <c r="AC104">
        <v>10.1358651146331</v>
      </c>
      <c r="AJ104">
        <v>0.39944116067612101</v>
      </c>
      <c r="AK104">
        <v>1.54599107825405E-2</v>
      </c>
      <c r="AL104">
        <v>0.58509892854133705</v>
      </c>
    </row>
    <row r="105" spans="1:38" x14ac:dyDescent="0.2">
      <c r="A105">
        <v>225</v>
      </c>
      <c r="B105">
        <v>752</v>
      </c>
      <c r="C105">
        <v>160</v>
      </c>
      <c r="D105">
        <v>0.42229966346388498</v>
      </c>
      <c r="E105">
        <v>34.775743504530197</v>
      </c>
      <c r="F105">
        <v>2.5207803021021999</v>
      </c>
      <c r="G105">
        <v>-550.03337623889593</v>
      </c>
      <c r="H105">
        <v>-476.36112850981442</v>
      </c>
      <c r="I105">
        <v>71.864846831274804</v>
      </c>
      <c r="J105">
        <v>41.339043249458101</v>
      </c>
      <c r="K105">
        <v>13.795626487373299</v>
      </c>
      <c r="L105">
        <v>2.8415676310921421E-5</v>
      </c>
      <c r="M105">
        <v>1.7981315656963058E-6</v>
      </c>
      <c r="N105" s="1">
        <v>-2.2667945826545399E-7</v>
      </c>
      <c r="O105" s="1">
        <v>1.3161274889740001E-10</v>
      </c>
      <c r="P105" s="1">
        <v>9.3369492099126296E-10</v>
      </c>
      <c r="Q105">
        <v>65.9482174425724</v>
      </c>
      <c r="S105">
        <v>19.031914816240299</v>
      </c>
      <c r="AA105">
        <v>0.31340962428110303</v>
      </c>
      <c r="AB105">
        <v>4.5216284338217498</v>
      </c>
      <c r="AC105">
        <v>10.1848296830844</v>
      </c>
      <c r="AJ105">
        <v>0.39678405769810299</v>
      </c>
      <c r="AK105">
        <v>1.51978607971837E-2</v>
      </c>
      <c r="AL105">
        <v>0.58801808150471202</v>
      </c>
    </row>
    <row r="106" spans="1:38" x14ac:dyDescent="0.2">
      <c r="A106">
        <v>226</v>
      </c>
      <c r="B106">
        <v>750</v>
      </c>
      <c r="C106">
        <v>160</v>
      </c>
      <c r="D106">
        <v>0.42103357278991599</v>
      </c>
      <c r="E106">
        <v>35.545151357207203</v>
      </c>
      <c r="F106">
        <v>2.52080607488623</v>
      </c>
      <c r="G106">
        <v>-561.97943540264566</v>
      </c>
      <c r="H106">
        <v>-486.92086178850246</v>
      </c>
      <c r="I106">
        <v>73.360283061274501</v>
      </c>
      <c r="J106">
        <v>42.259062734677499</v>
      </c>
      <c r="K106">
        <v>14.100708385039599</v>
      </c>
      <c r="L106">
        <v>2.843119268052415E-5</v>
      </c>
      <c r="M106">
        <v>1.7981603769549297E-6</v>
      </c>
      <c r="N106" s="1">
        <v>-2.4739082252083798E-7</v>
      </c>
      <c r="O106" s="1">
        <v>1.3443114235397899E-10</v>
      </c>
      <c r="P106" s="1">
        <v>9.9943920219351793E-10</v>
      </c>
      <c r="Q106">
        <v>65.9445572964528</v>
      </c>
      <c r="S106">
        <v>19.024349057076702</v>
      </c>
      <c r="AA106">
        <v>0.30802184056361698</v>
      </c>
      <c r="AB106">
        <v>4.4936373731803601</v>
      </c>
      <c r="AC106">
        <v>10.2294344327264</v>
      </c>
      <c r="AJ106">
        <v>0.39438389672655499</v>
      </c>
      <c r="AK106">
        <v>1.4938722255879999E-2</v>
      </c>
      <c r="AL106">
        <v>0.59067738101756395</v>
      </c>
    </row>
    <row r="107" spans="1:38" x14ac:dyDescent="0.2">
      <c r="A107">
        <v>227</v>
      </c>
      <c r="B107">
        <v>748</v>
      </c>
      <c r="C107">
        <v>160</v>
      </c>
      <c r="D107">
        <v>0.41976252264603803</v>
      </c>
      <c r="E107">
        <v>36.068650918272397</v>
      </c>
      <c r="F107">
        <v>2.5208374080245002</v>
      </c>
      <c r="G107">
        <v>-570.03653481654146</v>
      </c>
      <c r="H107">
        <v>-494.11843290030481</v>
      </c>
      <c r="I107">
        <v>74.345690560874203</v>
      </c>
      <c r="J107">
        <v>42.888612490548198</v>
      </c>
      <c r="K107">
        <v>14.3082020297922</v>
      </c>
      <c r="L107">
        <v>2.8450870553999877E-5</v>
      </c>
      <c r="M107">
        <v>1.7982257159984587E-6</v>
      </c>
      <c r="N107" s="1">
        <v>-2.6818611626927401E-7</v>
      </c>
      <c r="O107" s="1">
        <v>1.36303890540058E-10</v>
      </c>
      <c r="P107" s="1">
        <v>1.0633619690469099E-9</v>
      </c>
      <c r="Q107">
        <v>65.941757939211499</v>
      </c>
      <c r="S107">
        <v>19.017096861454299</v>
      </c>
      <c r="AA107">
        <v>0.30269189666116902</v>
      </c>
      <c r="AB107">
        <v>4.4683865819897797</v>
      </c>
      <c r="AC107">
        <v>10.270066720683101</v>
      </c>
      <c r="AJ107">
        <v>0.39221812456933802</v>
      </c>
      <c r="AK107">
        <v>1.46821110538251E-2</v>
      </c>
      <c r="AL107">
        <v>0.59309976437683598</v>
      </c>
    </row>
    <row r="108" spans="1:38" x14ac:dyDescent="0.2">
      <c r="A108">
        <v>228</v>
      </c>
      <c r="B108">
        <v>746</v>
      </c>
      <c r="C108">
        <v>160</v>
      </c>
      <c r="D108">
        <v>0.41848648383456999</v>
      </c>
      <c r="E108">
        <v>36.449998844350503</v>
      </c>
      <c r="F108">
        <v>2.5208726622076201</v>
      </c>
      <c r="G108">
        <v>-575.84561413766232</v>
      </c>
      <c r="H108">
        <v>-499.37253195762997</v>
      </c>
      <c r="I108">
        <v>75.036140097171398</v>
      </c>
      <c r="J108">
        <v>43.3507815013201</v>
      </c>
      <c r="K108">
        <v>14.459278086831199</v>
      </c>
      <c r="L108">
        <v>2.8473942614657644E-5</v>
      </c>
      <c r="M108">
        <v>1.7983138982828112E-6</v>
      </c>
      <c r="N108" s="1">
        <v>-2.8959382627557798E-7</v>
      </c>
      <c r="O108" s="1">
        <v>1.3762547045624499E-10</v>
      </c>
      <c r="P108" s="1">
        <v>1.1278044808706E-9</v>
      </c>
      <c r="Q108">
        <v>65.9393954324714</v>
      </c>
      <c r="S108">
        <v>19.010050678426602</v>
      </c>
      <c r="AA108">
        <v>0.29742998216643901</v>
      </c>
      <c r="AB108">
        <v>4.4446493775186502</v>
      </c>
      <c r="AC108">
        <v>10.308474529416801</v>
      </c>
      <c r="AJ108">
        <v>0.39018166830052498</v>
      </c>
      <c r="AK108">
        <v>1.4428623130760401E-2</v>
      </c>
      <c r="AL108">
        <v>0.59538970856871398</v>
      </c>
    </row>
    <row r="109" spans="1:38" x14ac:dyDescent="0.2">
      <c r="A109">
        <v>229</v>
      </c>
      <c r="B109">
        <v>744</v>
      </c>
      <c r="C109">
        <v>160</v>
      </c>
      <c r="D109">
        <v>0.41720542692818402</v>
      </c>
      <c r="E109">
        <v>36.736551871213997</v>
      </c>
      <c r="F109">
        <v>2.5209111434029601</v>
      </c>
      <c r="G109">
        <v>-580.15598632279443</v>
      </c>
      <c r="H109">
        <v>-503.33072764155105</v>
      </c>
      <c r="I109">
        <v>75.529920543915296</v>
      </c>
      <c r="J109">
        <v>43.701801712448599</v>
      </c>
      <c r="K109">
        <v>14.572727788264499</v>
      </c>
      <c r="L109">
        <v>2.8500201444427689E-5</v>
      </c>
      <c r="M109">
        <v>1.7984197092033244E-6</v>
      </c>
      <c r="N109" s="1">
        <v>-3.1189097830956298E-7</v>
      </c>
      <c r="O109" s="1">
        <v>1.3857561018856599E-10</v>
      </c>
      <c r="P109" s="1">
        <v>1.1939299506949099E-9</v>
      </c>
      <c r="Q109">
        <v>65.9373003359661</v>
      </c>
      <c r="S109">
        <v>19.003165722685601</v>
      </c>
      <c r="AA109">
        <v>0.292238685311484</v>
      </c>
      <c r="AB109">
        <v>4.4219307607106897</v>
      </c>
      <c r="AC109">
        <v>10.345364495326001</v>
      </c>
      <c r="AJ109">
        <v>0.38823213914284899</v>
      </c>
      <c r="AK109">
        <v>1.4178426709935601E-2</v>
      </c>
      <c r="AL109">
        <v>0.59758943414721499</v>
      </c>
    </row>
    <row r="110" spans="1:38" x14ac:dyDescent="0.2">
      <c r="A110">
        <v>237</v>
      </c>
      <c r="B110">
        <v>762</v>
      </c>
      <c r="C110">
        <v>150</v>
      </c>
      <c r="D110">
        <v>0.439183210162781</v>
      </c>
      <c r="E110">
        <v>20.7312771636769</v>
      </c>
      <c r="F110">
        <v>2.52045396910902</v>
      </c>
      <c r="G110">
        <v>-328.81428194657485</v>
      </c>
      <c r="H110">
        <v>-284.1502200829845</v>
      </c>
      <c r="I110">
        <v>43.147429709308099</v>
      </c>
      <c r="J110">
        <v>24.6519033215157</v>
      </c>
      <c r="K110">
        <v>8.2252155436131495</v>
      </c>
      <c r="L110">
        <v>2.8445089888946929E-5</v>
      </c>
      <c r="M110">
        <v>1.8001028062141233E-6</v>
      </c>
      <c r="N110" s="1">
        <v>-9.9724220716323896E-8</v>
      </c>
      <c r="O110" s="1">
        <v>7.8585320788560205E-11</v>
      </c>
      <c r="P110" s="1">
        <v>4.5466685937381302E-10</v>
      </c>
      <c r="Q110">
        <v>66.006661106323193</v>
      </c>
      <c r="S110">
        <v>19.0837961031269</v>
      </c>
      <c r="AA110">
        <v>0.34257518722429903</v>
      </c>
      <c r="AB110">
        <v>4.7878805434672103</v>
      </c>
      <c r="AC110">
        <v>9.7790870598582504</v>
      </c>
      <c r="AJ110">
        <v>0.41958058295925099</v>
      </c>
      <c r="AK110">
        <v>1.6589709063047998E-2</v>
      </c>
      <c r="AL110">
        <v>0.56382970797770005</v>
      </c>
    </row>
    <row r="111" spans="1:38" x14ac:dyDescent="0.2">
      <c r="A111">
        <v>238</v>
      </c>
      <c r="B111">
        <v>760</v>
      </c>
      <c r="C111">
        <v>150</v>
      </c>
      <c r="D111">
        <v>0.43796205778444602</v>
      </c>
      <c r="E111">
        <v>29.454874988887902</v>
      </c>
      <c r="F111">
        <v>2.5203331497874601</v>
      </c>
      <c r="G111">
        <v>-466.8241520938754</v>
      </c>
      <c r="H111">
        <v>-403.59660807666961</v>
      </c>
      <c r="I111">
        <v>61.198803675367301</v>
      </c>
      <c r="J111">
        <v>35.010090450661799</v>
      </c>
      <c r="K111">
        <v>11.686897421228499</v>
      </c>
      <c r="L111">
        <v>2.8391851462054922E-5</v>
      </c>
      <c r="M111">
        <v>1.7991583278996347E-6</v>
      </c>
      <c r="N111" s="1">
        <v>-1.47573322604185E-7</v>
      </c>
      <c r="O111" s="1">
        <v>1.11691283119105E-10</v>
      </c>
      <c r="P111" s="1">
        <v>6.6277846617954595E-10</v>
      </c>
      <c r="Q111">
        <v>65.975193905861204</v>
      </c>
      <c r="S111">
        <v>19.0681994825913</v>
      </c>
      <c r="AA111">
        <v>0.33705025662943</v>
      </c>
      <c r="AB111">
        <v>4.6768690060084301</v>
      </c>
      <c r="AC111">
        <v>9.9426873489095193</v>
      </c>
      <c r="AJ111">
        <v>0.41008320032089102</v>
      </c>
      <c r="AK111">
        <v>1.63313552000195E-2</v>
      </c>
      <c r="AL111">
        <v>0.57358544447908899</v>
      </c>
    </row>
    <row r="112" spans="1:38" x14ac:dyDescent="0.2">
      <c r="A112">
        <v>239</v>
      </c>
      <c r="B112">
        <v>758</v>
      </c>
      <c r="C112">
        <v>150</v>
      </c>
      <c r="D112">
        <v>0.43673616835572199</v>
      </c>
      <c r="E112">
        <v>32.558472551875496</v>
      </c>
      <c r="F112">
        <v>2.52030996744723</v>
      </c>
      <c r="G112">
        <v>-515.74937230607793</v>
      </c>
      <c r="H112">
        <v>-446.09328250924045</v>
      </c>
      <c r="I112">
        <v>67.551849679326494</v>
      </c>
      <c r="J112">
        <v>38.695259141937797</v>
      </c>
      <c r="K112">
        <v>12.918439784156099</v>
      </c>
      <c r="L112">
        <v>2.8381473120243956E-5</v>
      </c>
      <c r="M112">
        <v>1.7988761366482926E-6</v>
      </c>
      <c r="N112" s="1">
        <v>-1.7301758339694099E-7</v>
      </c>
      <c r="O112" s="1">
        <v>1.2343065835576799E-10</v>
      </c>
      <c r="P112" s="1">
        <v>7.6112601832088497E-10</v>
      </c>
      <c r="Q112">
        <v>65.963137497601295</v>
      </c>
      <c r="S112">
        <v>19.057941544105201</v>
      </c>
      <c r="AA112">
        <v>0.331400550391243</v>
      </c>
      <c r="AB112">
        <v>4.6231094272756099</v>
      </c>
      <c r="AC112">
        <v>10.0244109806265</v>
      </c>
      <c r="AJ112">
        <v>0.40548007896624799</v>
      </c>
      <c r="AK112">
        <v>1.6061990508843701E-2</v>
      </c>
      <c r="AL112">
        <v>0.57845793052490702</v>
      </c>
    </row>
    <row r="113" spans="1:38" x14ac:dyDescent="0.2">
      <c r="A113">
        <v>240</v>
      </c>
      <c r="B113">
        <v>756</v>
      </c>
      <c r="C113">
        <v>150</v>
      </c>
      <c r="D113">
        <v>0.43550551425934297</v>
      </c>
      <c r="E113">
        <v>34.159600111722902</v>
      </c>
      <c r="F113">
        <v>2.5203138123418598</v>
      </c>
      <c r="G113">
        <v>-540.8740282005657</v>
      </c>
      <c r="H113">
        <v>-468.03102630099886</v>
      </c>
      <c r="I113">
        <v>70.779771558632703</v>
      </c>
      <c r="J113">
        <v>40.598584774840198</v>
      </c>
      <c r="K113">
        <v>13.5537090438678</v>
      </c>
      <c r="L113">
        <v>2.8384283384319623E-5</v>
      </c>
      <c r="M113">
        <v>1.7987810530552916E-6</v>
      </c>
      <c r="N113" s="1">
        <v>-1.9345788525418399E-7</v>
      </c>
      <c r="O113" s="1">
        <v>1.2944442404954599E-10</v>
      </c>
      <c r="P113" s="1">
        <v>8.3295633860180598E-10</v>
      </c>
      <c r="Q113">
        <v>65.956459154227005</v>
      </c>
      <c r="S113">
        <v>19.049225184830199</v>
      </c>
      <c r="AA113">
        <v>0.32576776486863801</v>
      </c>
      <c r="AB113">
        <v>4.5853760281012903</v>
      </c>
      <c r="AC113">
        <v>10.083171867972601</v>
      </c>
      <c r="AJ113">
        <v>0.40224769945292699</v>
      </c>
      <c r="AK113">
        <v>1.5792013667418399E-2</v>
      </c>
      <c r="AL113">
        <v>0.58196028687965295</v>
      </c>
    </row>
    <row r="114" spans="1:38" x14ac:dyDescent="0.2">
      <c r="A114">
        <v>241</v>
      </c>
      <c r="B114">
        <v>754</v>
      </c>
      <c r="C114">
        <v>150</v>
      </c>
      <c r="D114">
        <v>0.43427006766295001</v>
      </c>
      <c r="E114">
        <v>35.139713170270497</v>
      </c>
      <c r="F114">
        <v>2.5203299510900599</v>
      </c>
      <c r="G114">
        <v>-556.16436473462466</v>
      </c>
      <c r="H114">
        <v>-481.47377645737157</v>
      </c>
      <c r="I114">
        <v>72.716339655603306</v>
      </c>
      <c r="J114">
        <v>41.766264221551197</v>
      </c>
      <c r="K114">
        <v>13.942505089491201</v>
      </c>
      <c r="L114">
        <v>2.8393755407288264E-5</v>
      </c>
      <c r="M114">
        <v>1.7987678126411389E-6</v>
      </c>
      <c r="N114" s="1">
        <v>-2.1246340580663699E-7</v>
      </c>
      <c r="O114" s="1">
        <v>1.33085392312481E-10</v>
      </c>
      <c r="P114" s="1">
        <v>8.9561773235391901E-10</v>
      </c>
      <c r="Q114">
        <v>65.952019934828996</v>
      </c>
      <c r="S114">
        <v>19.041207756814</v>
      </c>
      <c r="AA114">
        <v>0.32018913582182701</v>
      </c>
      <c r="AB114">
        <v>4.5544647358129398</v>
      </c>
      <c r="AC114">
        <v>10.132118436721999</v>
      </c>
      <c r="AJ114">
        <v>0.399598810962426</v>
      </c>
      <c r="AK114">
        <v>1.55240211527498E-2</v>
      </c>
      <c r="AL114">
        <v>0.58487716788482402</v>
      </c>
    </row>
    <row r="115" spans="1:38" x14ac:dyDescent="0.2">
      <c r="A115">
        <v>242</v>
      </c>
      <c r="B115">
        <v>752</v>
      </c>
      <c r="C115">
        <v>150</v>
      </c>
      <c r="D115">
        <v>0.43302980051699702</v>
      </c>
      <c r="E115">
        <v>35.829703367355499</v>
      </c>
      <c r="F115">
        <v>2.5203525817455001</v>
      </c>
      <c r="G115">
        <v>-566.85946724373377</v>
      </c>
      <c r="H115">
        <v>-490.94807944070408</v>
      </c>
      <c r="I115">
        <v>74.049054092600599</v>
      </c>
      <c r="J115">
        <v>42.590801472538701</v>
      </c>
      <c r="K115">
        <v>14.2161472275205</v>
      </c>
      <c r="L115">
        <v>2.840715837871933E-5</v>
      </c>
      <c r="M115">
        <v>1.7987919961019281E-6</v>
      </c>
      <c r="N115" s="1">
        <v>-2.3140404974067599E-7</v>
      </c>
      <c r="O115" s="1">
        <v>1.3561303457069501E-10</v>
      </c>
      <c r="P115" s="1">
        <v>9.5569880849752691E-10</v>
      </c>
      <c r="Q115">
        <v>65.948481832053602</v>
      </c>
      <c r="S115">
        <v>19.0335371859181</v>
      </c>
      <c r="AA115">
        <v>0.31468640420606597</v>
      </c>
      <c r="AB115">
        <v>4.5264708646374903</v>
      </c>
      <c r="AC115">
        <v>10.1768237131846</v>
      </c>
      <c r="AJ115">
        <v>0.39719921128692098</v>
      </c>
      <c r="AK115">
        <v>1.52593986273358E-2</v>
      </c>
      <c r="AL115">
        <v>0.58754139008574202</v>
      </c>
    </row>
    <row r="116" spans="1:38" x14ac:dyDescent="0.2">
      <c r="A116">
        <v>243</v>
      </c>
      <c r="B116">
        <v>750</v>
      </c>
      <c r="C116">
        <v>150</v>
      </c>
      <c r="D116">
        <v>0.43178468455260599</v>
      </c>
      <c r="E116">
        <v>36.312178338675302</v>
      </c>
      <c r="F116">
        <v>2.5203807753262102</v>
      </c>
      <c r="G116">
        <v>-574.27073327476114</v>
      </c>
      <c r="H116">
        <v>-497.58498379712984</v>
      </c>
      <c r="I116">
        <v>74.950642112721695</v>
      </c>
      <c r="J116">
        <v>43.170379037220997</v>
      </c>
      <c r="K116">
        <v>14.4074175990234</v>
      </c>
      <c r="L116">
        <v>2.842439800556463E-5</v>
      </c>
      <c r="M116">
        <v>1.7988498696295202E-6</v>
      </c>
      <c r="N116" s="1">
        <v>-2.5061769400705298E-7</v>
      </c>
      <c r="O116" s="1">
        <v>1.37341068058922E-10</v>
      </c>
      <c r="P116" s="1">
        <v>1.01482617837864E-9</v>
      </c>
      <c r="Q116">
        <v>65.945727789055795</v>
      </c>
      <c r="S116">
        <v>19.0261709845872</v>
      </c>
      <c r="AA116">
        <v>0.30925183096756897</v>
      </c>
      <c r="AB116">
        <v>4.5010221730225703</v>
      </c>
      <c r="AC116">
        <v>10.2178272223666</v>
      </c>
      <c r="AJ116">
        <v>0.39501719219666798</v>
      </c>
      <c r="AK116">
        <v>1.4997812341995599E-2</v>
      </c>
      <c r="AL116">
        <v>0.58998499546133498</v>
      </c>
    </row>
    <row r="117" spans="1:38" x14ac:dyDescent="0.2">
      <c r="A117">
        <v>244</v>
      </c>
      <c r="B117">
        <v>748</v>
      </c>
      <c r="C117">
        <v>150</v>
      </c>
      <c r="D117">
        <v>0.43053469127944</v>
      </c>
      <c r="E117">
        <v>36.667887388511701</v>
      </c>
      <c r="F117">
        <v>2.5204130411769201</v>
      </c>
      <c r="G117">
        <v>-579.67623453301815</v>
      </c>
      <c r="H117">
        <v>-502.48871925535559</v>
      </c>
      <c r="I117">
        <v>75.588811905853802</v>
      </c>
      <c r="J117">
        <v>43.600785889610002</v>
      </c>
      <c r="K117">
        <v>14.548364410695701</v>
      </c>
      <c r="L117">
        <v>2.8444864496736364E-5</v>
      </c>
      <c r="M117">
        <v>1.7989301400651389E-6</v>
      </c>
      <c r="N117" s="1">
        <v>-2.7048442909526997E-7</v>
      </c>
      <c r="O117" s="1">
        <v>1.3857667748200801E-10</v>
      </c>
      <c r="P117" s="1">
        <v>1.0747296413370001E-9</v>
      </c>
      <c r="Q117">
        <v>65.943408326471697</v>
      </c>
      <c r="S117">
        <v>19.019016239566199</v>
      </c>
      <c r="AA117">
        <v>0.303890307951381</v>
      </c>
      <c r="AB117">
        <v>4.4770962807655001</v>
      </c>
      <c r="AC117">
        <v>10.256588845245</v>
      </c>
      <c r="AJ117">
        <v>0.39296522786445998</v>
      </c>
      <c r="AK117">
        <v>1.4739587458278299E-2</v>
      </c>
      <c r="AL117">
        <v>0.59229518467725994</v>
      </c>
    </row>
    <row r="118" spans="1:38" x14ac:dyDescent="0.2">
      <c r="A118">
        <v>253</v>
      </c>
      <c r="B118">
        <v>766</v>
      </c>
      <c r="C118">
        <v>140</v>
      </c>
      <c r="D118">
        <v>0.45219698792282498</v>
      </c>
      <c r="E118">
        <v>9.3938354098770098</v>
      </c>
      <c r="F118">
        <v>2.5203023401495099</v>
      </c>
      <c r="G118">
        <v>-149.24655119501247</v>
      </c>
      <c r="H118">
        <v>-128.86176198484003</v>
      </c>
      <c r="I118">
        <v>19.616791810780398</v>
      </c>
      <c r="J118">
        <v>11.1786811600864</v>
      </c>
      <c r="K118">
        <v>3.7272652809264599</v>
      </c>
      <c r="L118">
        <v>2.852895196727292E-5</v>
      </c>
      <c r="M118">
        <v>1.8024018579357776E-6</v>
      </c>
      <c r="N118" s="1">
        <v>-4.0911356503510499E-8</v>
      </c>
      <c r="O118" s="1">
        <v>3.5591227520828903E-11</v>
      </c>
      <c r="P118" s="1">
        <v>1.9371308829566601E-10</v>
      </c>
      <c r="Q118">
        <v>66.060635567236801</v>
      </c>
      <c r="S118">
        <v>19.116053295912302</v>
      </c>
      <c r="AA118">
        <v>0.35659349898342302</v>
      </c>
      <c r="AB118">
        <v>4.9927261602261401</v>
      </c>
      <c r="AC118">
        <v>9.4739914776412295</v>
      </c>
      <c r="AJ118">
        <v>0.43707766874208098</v>
      </c>
      <c r="AK118">
        <v>1.7250634874516901E-2</v>
      </c>
      <c r="AL118">
        <v>0.54567169638340196</v>
      </c>
    </row>
    <row r="119" spans="1:38" x14ac:dyDescent="0.2">
      <c r="A119">
        <v>254</v>
      </c>
      <c r="B119">
        <v>764</v>
      </c>
      <c r="C119">
        <v>140</v>
      </c>
      <c r="D119">
        <v>0.45100564045702202</v>
      </c>
      <c r="E119">
        <v>26.3079419049227</v>
      </c>
      <c r="F119">
        <v>2.5199594219595398</v>
      </c>
      <c r="G119">
        <v>-417.47195186251815</v>
      </c>
      <c r="H119">
        <v>-360.62016782450178</v>
      </c>
      <c r="I119">
        <v>54.815392217149302</v>
      </c>
      <c r="J119">
        <v>31.274743086937399</v>
      </c>
      <c r="K119">
        <v>10.439827592328999</v>
      </c>
      <c r="L119">
        <v>2.8401072019192267E-5</v>
      </c>
      <c r="M119">
        <v>1.8002726512324313E-6</v>
      </c>
      <c r="N119" s="1">
        <v>-1.15493551644936E-7</v>
      </c>
      <c r="O119" s="1">
        <v>9.9808777831962402E-11</v>
      </c>
      <c r="P119" s="1">
        <v>5.4473366735266403E-10</v>
      </c>
      <c r="Q119">
        <v>65.995367402007204</v>
      </c>
      <c r="S119">
        <v>19.090052086340702</v>
      </c>
      <c r="AA119">
        <v>0.35037166893909499</v>
      </c>
      <c r="AB119">
        <v>4.7791140022712497</v>
      </c>
      <c r="AC119">
        <v>9.7850948404417206</v>
      </c>
      <c r="AJ119">
        <v>0.41883089161224202</v>
      </c>
      <c r="AK119">
        <v>1.69680169017081E-2</v>
      </c>
      <c r="AL119">
        <v>0.56420109148604902</v>
      </c>
    </row>
    <row r="120" spans="1:38" x14ac:dyDescent="0.2">
      <c r="A120">
        <v>255</v>
      </c>
      <c r="B120">
        <v>762</v>
      </c>
      <c r="C120">
        <v>140</v>
      </c>
      <c r="D120">
        <v>0.44980968941699401</v>
      </c>
      <c r="E120">
        <v>31.262986292329</v>
      </c>
      <c r="F120">
        <v>2.5198829293247398</v>
      </c>
      <c r="G120">
        <v>-495.79307813435298</v>
      </c>
      <c r="H120">
        <v>-428.46736619810633</v>
      </c>
      <c r="I120">
        <v>65.039571015066997</v>
      </c>
      <c r="J120">
        <v>37.155220348244903</v>
      </c>
      <c r="K120">
        <v>12.406523306504001</v>
      </c>
      <c r="L120">
        <v>2.8369543876612586E-5</v>
      </c>
      <c r="M120">
        <v>1.7996893832627363E-6</v>
      </c>
      <c r="N120" s="1">
        <v>-1.4446883930699001E-7</v>
      </c>
      <c r="O120" s="1">
        <v>1.18617554804107E-10</v>
      </c>
      <c r="P120" s="1">
        <v>6.6812169010395504E-10</v>
      </c>
      <c r="Q120">
        <v>65.974868376168303</v>
      </c>
      <c r="S120">
        <v>19.077069744651599</v>
      </c>
      <c r="AA120">
        <v>0.344444271556966</v>
      </c>
      <c r="AB120">
        <v>4.6993981257457902</v>
      </c>
      <c r="AC120">
        <v>9.9042194818772398</v>
      </c>
      <c r="AJ120">
        <v>0.41201144572413401</v>
      </c>
      <c r="AK120">
        <v>1.6687712090147001E-2</v>
      </c>
      <c r="AL120">
        <v>0.57130084218571797</v>
      </c>
    </row>
    <row r="121" spans="1:38" x14ac:dyDescent="0.2">
      <c r="A121">
        <v>256</v>
      </c>
      <c r="B121">
        <v>760</v>
      </c>
      <c r="C121">
        <v>140</v>
      </c>
      <c r="D121">
        <v>0.44860910806756099</v>
      </c>
      <c r="E121">
        <v>33.492803164681398</v>
      </c>
      <c r="F121">
        <v>2.51986429549132</v>
      </c>
      <c r="G121">
        <v>-530.89835560405209</v>
      </c>
      <c r="H121">
        <v>-459.00874308949847</v>
      </c>
      <c r="I121">
        <v>69.582938116007796</v>
      </c>
      <c r="J121">
        <v>39.802155717577698</v>
      </c>
      <c r="K121">
        <v>13.2915106677008</v>
      </c>
      <c r="L121">
        <v>2.8362254977851923E-5</v>
      </c>
      <c r="M121">
        <v>1.799476438005343E-6</v>
      </c>
      <c r="N121" s="1">
        <v>-1.6459440740803101E-7</v>
      </c>
      <c r="O121" s="1">
        <v>1.27046249631183E-10</v>
      </c>
      <c r="P121" s="1">
        <v>7.4414570594376495E-10</v>
      </c>
      <c r="Q121">
        <v>65.9651249694477</v>
      </c>
      <c r="S121">
        <v>19.06721179094</v>
      </c>
      <c r="AA121">
        <v>0.33858484956482698</v>
      </c>
      <c r="AB121">
        <v>4.6518415590130502</v>
      </c>
      <c r="AC121">
        <v>9.9772368310343502</v>
      </c>
      <c r="AJ121">
        <v>0.407940520439667</v>
      </c>
      <c r="AK121">
        <v>1.6407795810953502E-2</v>
      </c>
      <c r="AL121">
        <v>0.57565168374937903</v>
      </c>
    </row>
    <row r="122" spans="1:38" x14ac:dyDescent="0.2">
      <c r="A122">
        <v>257</v>
      </c>
      <c r="B122">
        <v>758</v>
      </c>
      <c r="C122">
        <v>140</v>
      </c>
      <c r="D122">
        <v>0.44740386946613198</v>
      </c>
      <c r="E122">
        <v>34.765408144862498</v>
      </c>
      <c r="F122">
        <v>2.51986698246299</v>
      </c>
      <c r="G122">
        <v>-550.83193739856938</v>
      </c>
      <c r="H122">
        <v>-476.45300893956659</v>
      </c>
      <c r="I122">
        <v>72.132016155751103</v>
      </c>
      <c r="J122">
        <v>41.314565703044799</v>
      </c>
      <c r="K122">
        <v>13.796525128831</v>
      </c>
      <c r="L122">
        <v>2.8364761859921089E-5</v>
      </c>
      <c r="M122">
        <v>1.7993995403286627E-6</v>
      </c>
      <c r="N122" s="1">
        <v>-1.8229643971231099E-7</v>
      </c>
      <c r="O122" s="1">
        <v>1.3182084026324401E-10</v>
      </c>
      <c r="P122" s="1">
        <v>8.0548770788494695E-10</v>
      </c>
      <c r="Q122">
        <v>65.959231287567604</v>
      </c>
      <c r="S122">
        <v>19.058532390176499</v>
      </c>
      <c r="AA122">
        <v>0.33279946515992798</v>
      </c>
      <c r="AB122">
        <v>4.6159536274493904</v>
      </c>
      <c r="AC122">
        <v>10.0334832296464</v>
      </c>
      <c r="AJ122">
        <v>0.40486716058079802</v>
      </c>
      <c r="AK122">
        <v>1.6130377253788599E-2</v>
      </c>
      <c r="AL122">
        <v>0.57900246216541196</v>
      </c>
    </row>
    <row r="123" spans="1:38" x14ac:dyDescent="0.2">
      <c r="A123">
        <v>258</v>
      </c>
      <c r="B123">
        <v>756</v>
      </c>
      <c r="C123">
        <v>140</v>
      </c>
      <c r="D123">
        <v>0.44619394646067401</v>
      </c>
      <c r="E123">
        <v>35.587458674095302</v>
      </c>
      <c r="F123">
        <v>2.5198806957412598</v>
      </c>
      <c r="G123">
        <v>-563.62644118686637</v>
      </c>
      <c r="H123">
        <v>-487.73421909489144</v>
      </c>
      <c r="I123">
        <v>73.742624585312896</v>
      </c>
      <c r="J123">
        <v>42.293612094747097</v>
      </c>
      <c r="K123">
        <v>14.122676019638501</v>
      </c>
      <c r="L123">
        <v>2.8372880231280743E-5</v>
      </c>
      <c r="M123">
        <v>1.7993900256380136E-6</v>
      </c>
      <c r="N123" s="1">
        <v>-1.9937359982635999E-7</v>
      </c>
      <c r="O123" s="1">
        <v>1.3487052059699099E-10</v>
      </c>
      <c r="P123" s="1">
        <v>8.6137727612198803E-10</v>
      </c>
      <c r="Q123">
        <v>65.955146124198606</v>
      </c>
      <c r="S123">
        <v>19.050459374846199</v>
      </c>
      <c r="AA123">
        <v>0.32709236187574398</v>
      </c>
      <c r="AB123">
        <v>4.58568560066717</v>
      </c>
      <c r="AC123">
        <v>10.081616538412201</v>
      </c>
      <c r="AJ123">
        <v>0.402274212320404</v>
      </c>
      <c r="AK123">
        <v>1.58561998326095E-2</v>
      </c>
      <c r="AL123">
        <v>0.58186958784698595</v>
      </c>
    </row>
    <row r="124" spans="1:38" x14ac:dyDescent="0.2">
      <c r="A124">
        <v>259</v>
      </c>
      <c r="B124">
        <v>754</v>
      </c>
      <c r="C124">
        <v>140</v>
      </c>
      <c r="D124">
        <v>0.44497931168767801</v>
      </c>
      <c r="E124">
        <v>36.183389598461702</v>
      </c>
      <c r="F124">
        <v>2.5199006686037602</v>
      </c>
      <c r="G124">
        <v>-572.83731382920723</v>
      </c>
      <c r="H124">
        <v>-495.92250827271317</v>
      </c>
      <c r="I124">
        <v>74.881765619913295</v>
      </c>
      <c r="J124">
        <v>43.0054406826441</v>
      </c>
      <c r="K124">
        <v>14.359053929895699</v>
      </c>
      <c r="L124">
        <v>2.8384550776620019E-5</v>
      </c>
      <c r="M124">
        <v>1.799413792734275E-6</v>
      </c>
      <c r="N124" s="1">
        <v>-2.1665919552091399E-7</v>
      </c>
      <c r="O124" s="1">
        <v>1.3705035844260999E-10</v>
      </c>
      <c r="P124" s="1">
        <v>9.1600073713972E-10</v>
      </c>
      <c r="Q124">
        <v>65.951844709883105</v>
      </c>
      <c r="S124">
        <v>19.042712374435499</v>
      </c>
      <c r="AA124">
        <v>0.32147134711133002</v>
      </c>
      <c r="AB124">
        <v>4.5580188071245198</v>
      </c>
      <c r="AC124">
        <v>10.125952761445401</v>
      </c>
      <c r="AJ124">
        <v>0.39990340754110199</v>
      </c>
      <c r="AK124">
        <v>1.5585905990008401E-2</v>
      </c>
      <c r="AL124">
        <v>0.58451068646888904</v>
      </c>
    </row>
    <row r="125" spans="1:38" x14ac:dyDescent="0.2">
      <c r="A125">
        <v>260</v>
      </c>
      <c r="B125">
        <v>752</v>
      </c>
      <c r="C125">
        <v>140</v>
      </c>
      <c r="D125">
        <v>0.443759937570114</v>
      </c>
      <c r="E125">
        <v>36.6117743150864</v>
      </c>
      <c r="F125">
        <v>2.5199260471114999</v>
      </c>
      <c r="G125">
        <v>-579.39525749008646</v>
      </c>
      <c r="H125">
        <v>-501.81989255323987</v>
      </c>
      <c r="I125">
        <v>75.672208883428297</v>
      </c>
      <c r="J125">
        <v>43.519673011377201</v>
      </c>
      <c r="K125">
        <v>14.5289082419911</v>
      </c>
      <c r="L125">
        <v>2.8399694669532449E-5</v>
      </c>
      <c r="M125">
        <v>1.7994675646076197E-6</v>
      </c>
      <c r="N125" s="1">
        <v>-2.3437590463940299E-7</v>
      </c>
      <c r="O125" s="1">
        <v>1.3858287116416401E-10</v>
      </c>
      <c r="P125" s="1">
        <v>9.704595838448099E-10</v>
      </c>
      <c r="Q125">
        <v>65.949224658615506</v>
      </c>
      <c r="S125">
        <v>19.0352525096494</v>
      </c>
      <c r="AA125">
        <v>0.31592823542472698</v>
      </c>
      <c r="AB125">
        <v>4.5326231579706899</v>
      </c>
      <c r="AC125">
        <v>10.166971438339599</v>
      </c>
      <c r="AJ125">
        <v>0.39772663646258999</v>
      </c>
      <c r="AK125">
        <v>1.53191368630025E-2</v>
      </c>
      <c r="AL125">
        <v>0.586954226674407</v>
      </c>
    </row>
    <row r="126" spans="1:38" x14ac:dyDescent="0.2">
      <c r="A126">
        <v>261</v>
      </c>
      <c r="B126">
        <v>750</v>
      </c>
      <c r="C126">
        <v>140</v>
      </c>
      <c r="D126">
        <v>0.44253579631530099</v>
      </c>
      <c r="E126">
        <v>36.932215071947901</v>
      </c>
      <c r="F126">
        <v>2.5199555361126</v>
      </c>
      <c r="G126">
        <v>-584.24436808812504</v>
      </c>
      <c r="H126">
        <v>-506.24146429285935</v>
      </c>
      <c r="I126">
        <v>76.237994228867194</v>
      </c>
      <c r="J126">
        <v>43.907011112845403</v>
      </c>
      <c r="K126">
        <v>14.655899496116101</v>
      </c>
      <c r="L126">
        <v>2.8417853490269591E-5</v>
      </c>
      <c r="M126">
        <v>1.7995424198319762E-6</v>
      </c>
      <c r="N126" s="1">
        <v>-2.5278672454985102E-7</v>
      </c>
      <c r="O126" s="1">
        <v>1.3969489829858799E-10</v>
      </c>
      <c r="P126" s="1">
        <v>1.0259773606046899E-9</v>
      </c>
      <c r="Q126">
        <v>65.947009827955796</v>
      </c>
      <c r="S126">
        <v>19.028002579469899</v>
      </c>
      <c r="AA126">
        <v>0.31046376924906599</v>
      </c>
      <c r="AB126">
        <v>4.5086808920793597</v>
      </c>
      <c r="AC126">
        <v>10.205842931245799</v>
      </c>
      <c r="AJ126">
        <v>0.39567392837582299</v>
      </c>
      <c r="AK126">
        <v>1.50560016036437E-2</v>
      </c>
      <c r="AL126">
        <v>0.589270070020533</v>
      </c>
    </row>
    <row r="127" spans="1:38" x14ac:dyDescent="0.2">
      <c r="A127">
        <v>271</v>
      </c>
      <c r="B127">
        <v>768</v>
      </c>
      <c r="C127">
        <v>130</v>
      </c>
      <c r="D127">
        <v>0.46394899870335798</v>
      </c>
      <c r="E127">
        <v>22.9138723438091</v>
      </c>
      <c r="F127">
        <v>2.5196364919607301</v>
      </c>
      <c r="G127">
        <v>-364.08943898072937</v>
      </c>
      <c r="H127">
        <v>-314.2380777465516</v>
      </c>
      <c r="I127">
        <v>47.881055788481703</v>
      </c>
      <c r="J127">
        <v>27.247708293901699</v>
      </c>
      <c r="K127">
        <v>9.0941183051282195</v>
      </c>
      <c r="L127">
        <v>2.8423893198760447E-5</v>
      </c>
      <c r="M127">
        <v>1.8015372324301392E-6</v>
      </c>
      <c r="N127" s="1">
        <v>-8.8283096988870998E-8</v>
      </c>
      <c r="O127" s="1">
        <v>8.6952380439659897E-11</v>
      </c>
      <c r="P127" s="1">
        <v>4.3872551286256599E-10</v>
      </c>
      <c r="Q127">
        <v>66.018882650136106</v>
      </c>
      <c r="S127">
        <v>19.113918193061501</v>
      </c>
      <c r="AA127">
        <v>0.36457448967629802</v>
      </c>
      <c r="AB127">
        <v>4.8940845734635596</v>
      </c>
      <c r="AC127">
        <v>9.6085400936624392</v>
      </c>
      <c r="AJ127">
        <v>0.42865650253375298</v>
      </c>
      <c r="AK127">
        <v>1.7645542420791499E-2</v>
      </c>
      <c r="AL127">
        <v>0.55369795504545405</v>
      </c>
    </row>
    <row r="128" spans="1:38" x14ac:dyDescent="0.2">
      <c r="A128">
        <v>272</v>
      </c>
      <c r="B128">
        <v>766</v>
      </c>
      <c r="C128">
        <v>130</v>
      </c>
      <c r="D128">
        <v>0.46278256267141699</v>
      </c>
      <c r="E128">
        <v>30.0444793843136</v>
      </c>
      <c r="F128">
        <v>2.51947870957415</v>
      </c>
      <c r="G128">
        <v>-477.02053265684225</v>
      </c>
      <c r="H128">
        <v>-411.89313456139433</v>
      </c>
      <c r="I128">
        <v>62.673721883700999</v>
      </c>
      <c r="J128">
        <v>35.709689119746997</v>
      </c>
      <c r="K128">
        <v>11.9248792498793</v>
      </c>
      <c r="L128">
        <v>2.8365684450294321E-5</v>
      </c>
      <c r="M128">
        <v>1.8005494675735334E-6</v>
      </c>
      <c r="N128" s="1">
        <v>-1.20508963720279E-7</v>
      </c>
      <c r="O128" s="1">
        <v>1.14064756699618E-10</v>
      </c>
      <c r="P128" s="1">
        <v>5.8885734701721396E-10</v>
      </c>
      <c r="Q128">
        <v>65.987074442860404</v>
      </c>
      <c r="S128">
        <v>19.097064936651702</v>
      </c>
      <c r="AA128">
        <v>0.35809239089639</v>
      </c>
      <c r="AB128">
        <v>4.7790186862864203</v>
      </c>
      <c r="AC128">
        <v>9.77874954330502</v>
      </c>
      <c r="AJ128">
        <v>0.41882266998635598</v>
      </c>
      <c r="AK128">
        <v>1.7341926273586598E-2</v>
      </c>
      <c r="AL128">
        <v>0.56383540374005603</v>
      </c>
    </row>
    <row r="129" spans="1:38" x14ac:dyDescent="0.2">
      <c r="A129">
        <v>273</v>
      </c>
      <c r="B129">
        <v>764</v>
      </c>
      <c r="C129">
        <v>130</v>
      </c>
      <c r="D129">
        <v>0.461611628019092</v>
      </c>
      <c r="E129">
        <v>32.921394941957701</v>
      </c>
      <c r="F129">
        <v>2.5194307333590298</v>
      </c>
      <c r="G129">
        <v>-522.4174296182498</v>
      </c>
      <c r="H129">
        <v>-451.29264180809525</v>
      </c>
      <c r="I129">
        <v>68.577146806300505</v>
      </c>
      <c r="J129">
        <v>39.122322032644902</v>
      </c>
      <c r="K129">
        <v>13.066997439562501</v>
      </c>
      <c r="L129">
        <v>2.8347462477638971E-5</v>
      </c>
      <c r="M129">
        <v>1.8001969385206483E-6</v>
      </c>
      <c r="N129" s="1">
        <v>-1.4004506817952701E-7</v>
      </c>
      <c r="O129" s="1">
        <v>1.2497939256225201E-10</v>
      </c>
      <c r="P129" s="1">
        <v>6.6837643570492897E-10</v>
      </c>
      <c r="Q129">
        <v>65.973646524489993</v>
      </c>
      <c r="S129">
        <v>19.085779161756999</v>
      </c>
      <c r="AA129">
        <v>0.35191473223150799</v>
      </c>
      <c r="AB129">
        <v>4.7195081640370304</v>
      </c>
      <c r="AC129">
        <v>9.8691514174843498</v>
      </c>
      <c r="AJ129">
        <v>0.413732263446902</v>
      </c>
      <c r="AK129">
        <v>1.70478998693466E-2</v>
      </c>
      <c r="AL129">
        <v>0.56921983668374998</v>
      </c>
    </row>
    <row r="130" spans="1:38" x14ac:dyDescent="0.2">
      <c r="A130">
        <v>274</v>
      </c>
      <c r="B130">
        <v>762</v>
      </c>
      <c r="C130">
        <v>130</v>
      </c>
      <c r="D130">
        <v>0.46043616867121101</v>
      </c>
      <c r="E130">
        <v>34.473114225659103</v>
      </c>
      <c r="F130">
        <v>2.5194172858003601</v>
      </c>
      <c r="G130">
        <v>-546.79021970422093</v>
      </c>
      <c r="H130">
        <v>-472.55586667864168</v>
      </c>
      <c r="I130">
        <v>71.713619306940302</v>
      </c>
      <c r="J130">
        <v>40.963779002608298</v>
      </c>
      <c r="K130">
        <v>13.6829712251131</v>
      </c>
      <c r="L130">
        <v>2.8343056142724363E-5</v>
      </c>
      <c r="M130">
        <v>1.8000501075488641E-6</v>
      </c>
      <c r="N130" s="1">
        <v>-1.5638513129196501E-7</v>
      </c>
      <c r="O130" s="1">
        <v>1.3083622914228799E-10</v>
      </c>
      <c r="P130" s="1">
        <v>7.2807965909405398E-10</v>
      </c>
      <c r="Q130">
        <v>65.966101374003898</v>
      </c>
      <c r="S130">
        <v>19.076326380917301</v>
      </c>
      <c r="AA130">
        <v>0.34587664896718701</v>
      </c>
      <c r="AB130">
        <v>4.67791250681696</v>
      </c>
      <c r="AC130">
        <v>9.9337830892945291</v>
      </c>
      <c r="AJ130">
        <v>0.41017244598709401</v>
      </c>
      <c r="AK130">
        <v>1.6758935164561999E-2</v>
      </c>
      <c r="AL130">
        <v>0.57306861884834304</v>
      </c>
    </row>
    <row r="131" spans="1:38" x14ac:dyDescent="0.2">
      <c r="A131">
        <v>275</v>
      </c>
      <c r="B131">
        <v>760</v>
      </c>
      <c r="C131">
        <v>130</v>
      </c>
      <c r="D131">
        <v>0.45925615835067601</v>
      </c>
      <c r="E131">
        <v>35.443389732246601</v>
      </c>
      <c r="F131">
        <v>2.5194199388506502</v>
      </c>
      <c r="G131">
        <v>-561.94204416957587</v>
      </c>
      <c r="H131">
        <v>-485.86447451231379</v>
      </c>
      <c r="I131">
        <v>73.6365190507303</v>
      </c>
      <c r="J131">
        <v>42.116611763714502</v>
      </c>
      <c r="K131">
        <v>14.0680754270824</v>
      </c>
      <c r="L131">
        <v>2.8345678500011066E-5</v>
      </c>
      <c r="M131">
        <v>1.7999971470669343E-6</v>
      </c>
      <c r="N131" s="1">
        <v>-1.71819438221459E-7</v>
      </c>
      <c r="O131" s="1">
        <v>1.3446858596916201E-10</v>
      </c>
      <c r="P131" s="1">
        <v>7.8050013154619196E-10</v>
      </c>
      <c r="Q131">
        <v>65.961150289701607</v>
      </c>
      <c r="S131">
        <v>19.067737337888399</v>
      </c>
      <c r="AA131">
        <v>0.339945868359874</v>
      </c>
      <c r="AB131">
        <v>4.6443619879637996</v>
      </c>
      <c r="AC131">
        <v>9.9868045160862202</v>
      </c>
      <c r="AJ131">
        <v>0.40730005670340602</v>
      </c>
      <c r="AK131">
        <v>1.64743757110699E-2</v>
      </c>
      <c r="AL131">
        <v>0.57622556758552301</v>
      </c>
    </row>
    <row r="132" spans="1:38" x14ac:dyDescent="0.2">
      <c r="A132">
        <v>276</v>
      </c>
      <c r="B132">
        <v>758</v>
      </c>
      <c r="C132">
        <v>130</v>
      </c>
      <c r="D132">
        <v>0.45807157057654202</v>
      </c>
      <c r="E132">
        <v>36.104335715213203</v>
      </c>
      <c r="F132">
        <v>2.5194320205907399</v>
      </c>
      <c r="G132">
        <v>-572.1897179460957</v>
      </c>
      <c r="H132">
        <v>-494.94220459451589</v>
      </c>
      <c r="I132">
        <v>74.913943996101295</v>
      </c>
      <c r="J132">
        <v>42.903593450785003</v>
      </c>
      <c r="K132">
        <v>14.330347244990399</v>
      </c>
      <c r="L132">
        <v>2.8352856635917314E-5</v>
      </c>
      <c r="M132">
        <v>1.7999965651086259E-6</v>
      </c>
      <c r="N132" s="1">
        <v>-1.87187323589348E-7</v>
      </c>
      <c r="O132" s="1">
        <v>1.36913641190404E-10</v>
      </c>
      <c r="P132" s="1">
        <v>8.3022023261833502E-10</v>
      </c>
      <c r="Q132">
        <v>65.957563168312404</v>
      </c>
      <c r="S132">
        <v>19.059650441252401</v>
      </c>
      <c r="AA132">
        <v>0.33411110156905399</v>
      </c>
      <c r="AB132">
        <v>4.61516742938226</v>
      </c>
      <c r="AC132">
        <v>10.0335078594837</v>
      </c>
      <c r="AJ132">
        <v>0.40479980707054702</v>
      </c>
      <c r="AK132">
        <v>1.6194014821143899E-2</v>
      </c>
      <c r="AL132">
        <v>0.57900617810830801</v>
      </c>
    </row>
    <row r="133" spans="1:38" x14ac:dyDescent="0.2">
      <c r="A133">
        <v>277</v>
      </c>
      <c r="B133">
        <v>756</v>
      </c>
      <c r="C133">
        <v>130</v>
      </c>
      <c r="D133">
        <v>0.45688237866200498</v>
      </c>
      <c r="E133">
        <v>36.579551772880002</v>
      </c>
      <c r="F133">
        <v>2.5194505028528198</v>
      </c>
      <c r="G133">
        <v>-579.49360498993269</v>
      </c>
      <c r="H133">
        <v>-501.48003768654877</v>
      </c>
      <c r="I133">
        <v>75.803884082382396</v>
      </c>
      <c r="J133">
        <v>43.471317463433401</v>
      </c>
      <c r="K133">
        <v>14.5188610498441</v>
      </c>
      <c r="L133">
        <v>2.8363506466153388E-5</v>
      </c>
      <c r="M133">
        <v>1.8000294076748339E-6</v>
      </c>
      <c r="N133" s="1">
        <v>-2.0289122875932199E-7</v>
      </c>
      <c r="O133" s="1">
        <v>1.3864250350864E-10</v>
      </c>
      <c r="P133" s="1">
        <v>8.7937746057142399E-10</v>
      </c>
      <c r="Q133">
        <v>65.954772199120995</v>
      </c>
      <c r="S133">
        <v>19.051898335885198</v>
      </c>
      <c r="AA133">
        <v>0.32836676977171703</v>
      </c>
      <c r="AB133">
        <v>4.5886247521224801</v>
      </c>
      <c r="AC133">
        <v>10.0763379430994</v>
      </c>
      <c r="AJ133">
        <v>0.40252602700608398</v>
      </c>
      <c r="AK133">
        <v>1.59177402800392E-2</v>
      </c>
      <c r="AL133">
        <v>0.58155623271387602</v>
      </c>
    </row>
    <row r="134" spans="1:38" x14ac:dyDescent="0.2">
      <c r="A134">
        <v>278</v>
      </c>
      <c r="B134">
        <v>754</v>
      </c>
      <c r="C134">
        <v>130</v>
      </c>
      <c r="D134">
        <v>0.45568855571240902</v>
      </c>
      <c r="E134">
        <v>36.965407594322599</v>
      </c>
      <c r="F134">
        <v>2.51947278922463</v>
      </c>
      <c r="G134">
        <v>-585.37922475088897</v>
      </c>
      <c r="H134">
        <v>-506.79549215756367</v>
      </c>
      <c r="I134">
        <v>76.506578974176406</v>
      </c>
      <c r="J134">
        <v>43.933957631080602</v>
      </c>
      <c r="K134">
        <v>14.6718820510455</v>
      </c>
      <c r="L134">
        <v>2.8376490915579727E-5</v>
      </c>
      <c r="M134">
        <v>1.8000764680770411E-6</v>
      </c>
      <c r="N134" s="1">
        <v>-2.1929966406216799E-7</v>
      </c>
      <c r="O134" s="1">
        <v>1.40022747877114E-10</v>
      </c>
      <c r="P134" s="1">
        <v>9.2979275669327399E-10</v>
      </c>
      <c r="Q134">
        <v>65.952194768525004</v>
      </c>
      <c r="S134">
        <v>19.0443220721187</v>
      </c>
      <c r="AA134">
        <v>0.32271768278344898</v>
      </c>
      <c r="AB134">
        <v>4.5630189257901899</v>
      </c>
      <c r="AC134">
        <v>10.117746550782501</v>
      </c>
      <c r="AJ134">
        <v>0.40033192178315402</v>
      </c>
      <c r="AK134">
        <v>1.5645934368739699E-2</v>
      </c>
      <c r="AL134">
        <v>0.58402214384810502</v>
      </c>
    </row>
    <row r="135" spans="1:38" x14ac:dyDescent="0.2">
      <c r="A135">
        <v>279</v>
      </c>
      <c r="B135">
        <v>752</v>
      </c>
      <c r="C135">
        <v>130</v>
      </c>
      <c r="D135">
        <v>0.45449007462322599</v>
      </c>
      <c r="E135">
        <v>37.2431628278038</v>
      </c>
      <c r="F135">
        <v>2.5194997701181299</v>
      </c>
      <c r="G135">
        <v>-589.55389524353177</v>
      </c>
      <c r="H135">
        <v>-510.63335906897504</v>
      </c>
      <c r="I135">
        <v>76.984379041658997</v>
      </c>
      <c r="J135">
        <v>44.269543507115301</v>
      </c>
      <c r="K135">
        <v>14.7819671466203</v>
      </c>
      <c r="L135">
        <v>2.8392628533349457E-5</v>
      </c>
      <c r="M135">
        <v>1.8001484516594853E-6</v>
      </c>
      <c r="N135" s="1">
        <v>-2.3635366177125901E-7</v>
      </c>
      <c r="O135" s="1">
        <v>1.4098196090780899E-10</v>
      </c>
      <c r="P135" s="1">
        <v>9.8113891202537209E-10</v>
      </c>
      <c r="Q135">
        <v>65.9501480569687</v>
      </c>
      <c r="S135">
        <v>19.036992364630802</v>
      </c>
      <c r="AA135">
        <v>0.31714817121707201</v>
      </c>
      <c r="AB135">
        <v>4.5392421577208601</v>
      </c>
      <c r="AC135">
        <v>10.156469249462299</v>
      </c>
      <c r="AJ135">
        <v>0.39829403572327499</v>
      </c>
      <c r="AK135">
        <v>1.5377773254573599E-2</v>
      </c>
      <c r="AL135">
        <v>0.58632819102214995</v>
      </c>
    </row>
    <row r="136" spans="1:38" x14ac:dyDescent="0.2">
      <c r="A136">
        <v>290</v>
      </c>
      <c r="B136">
        <v>772</v>
      </c>
      <c r="C136">
        <v>120</v>
      </c>
      <c r="D136">
        <v>0.47679328326077502</v>
      </c>
      <c r="E136">
        <v>21.243330821418599</v>
      </c>
      <c r="F136">
        <v>2.5193192175775398</v>
      </c>
      <c r="G136">
        <v>-337.96959883570361</v>
      </c>
      <c r="H136">
        <v>-291.44571956896783</v>
      </c>
      <c r="I136">
        <v>44.514069049165897</v>
      </c>
      <c r="J136">
        <v>25.267829744691401</v>
      </c>
      <c r="K136">
        <v>8.4321711489364795</v>
      </c>
      <c r="L136">
        <v>2.8441223266406493E-5</v>
      </c>
      <c r="M136">
        <v>1.8026509787605735E-6</v>
      </c>
      <c r="N136" s="1">
        <v>-7.1255079452177905E-8</v>
      </c>
      <c r="O136" s="1">
        <v>8.0630257933897998E-11</v>
      </c>
      <c r="P136" s="1">
        <v>3.75879317300691E-10</v>
      </c>
      <c r="Q136">
        <v>66.0368797006455</v>
      </c>
      <c r="S136">
        <v>19.137392469486901</v>
      </c>
      <c r="AA136">
        <v>0.379741642383713</v>
      </c>
      <c r="AB136">
        <v>4.9957309030737296</v>
      </c>
      <c r="AC136">
        <v>9.4502552844100691</v>
      </c>
      <c r="AJ136">
        <v>0.43733383167925</v>
      </c>
      <c r="AK136">
        <v>1.8370164825956499E-2</v>
      </c>
      <c r="AL136">
        <v>0.54429600349479201</v>
      </c>
    </row>
    <row r="137" spans="1:38" x14ac:dyDescent="0.2">
      <c r="A137">
        <v>291</v>
      </c>
      <c r="B137">
        <v>770</v>
      </c>
      <c r="C137">
        <v>120</v>
      </c>
      <c r="D137">
        <v>0.47565594593299199</v>
      </c>
      <c r="E137">
        <v>29.450857920385399</v>
      </c>
      <c r="F137">
        <v>2.5190847826990401</v>
      </c>
      <c r="G137">
        <v>-468.12847845150424</v>
      </c>
      <c r="H137">
        <v>-403.87147844154481</v>
      </c>
      <c r="I137">
        <v>61.599003029247399</v>
      </c>
      <c r="J137">
        <v>35.007854756251099</v>
      </c>
      <c r="K137">
        <v>11.6910943699285</v>
      </c>
      <c r="L137">
        <v>2.8363558084678916E-5</v>
      </c>
      <c r="M137">
        <v>1.8013635938284226E-6</v>
      </c>
      <c r="N137" s="1">
        <v>-1.01966979399253E-7</v>
      </c>
      <c r="O137" s="1">
        <v>1.11867104739569E-10</v>
      </c>
      <c r="P137" s="1">
        <v>5.3013663238536604E-10</v>
      </c>
      <c r="Q137">
        <v>65.997040930616393</v>
      </c>
      <c r="S137">
        <v>19.117217023506601</v>
      </c>
      <c r="AA137">
        <v>0.37239252522531802</v>
      </c>
      <c r="AB137">
        <v>4.8540597855091701</v>
      </c>
      <c r="AC137">
        <v>9.6592897351424103</v>
      </c>
      <c r="AJ137">
        <v>0.42523708736556898</v>
      </c>
      <c r="AK137">
        <v>1.8027593603267E-2</v>
      </c>
      <c r="AL137">
        <v>0.55673531903116302</v>
      </c>
    </row>
    <row r="138" spans="1:38" x14ac:dyDescent="0.2">
      <c r="A138">
        <v>292</v>
      </c>
      <c r="B138">
        <v>768</v>
      </c>
      <c r="C138">
        <v>120</v>
      </c>
      <c r="D138">
        <v>0.474514239062578</v>
      </c>
      <c r="E138">
        <v>32.682552895121802</v>
      </c>
      <c r="F138">
        <v>2.51900762259271</v>
      </c>
      <c r="G138">
        <v>-519.19577448365419</v>
      </c>
      <c r="H138">
        <v>-448.12893710453881</v>
      </c>
      <c r="I138">
        <v>68.258019861802197</v>
      </c>
      <c r="J138">
        <v>38.839666239469601</v>
      </c>
      <c r="K138">
        <v>12.974376338521299</v>
      </c>
      <c r="L138">
        <v>2.8336512002980416E-5</v>
      </c>
      <c r="M138">
        <v>1.800898263034193E-6</v>
      </c>
      <c r="N138" s="1">
        <v>-1.1978624225850499E-7</v>
      </c>
      <c r="O138" s="1">
        <v>1.2415409093642499E-10</v>
      </c>
      <c r="P138" s="1">
        <v>6.07518458275381E-10</v>
      </c>
      <c r="Q138">
        <v>65.980758358325104</v>
      </c>
      <c r="S138">
        <v>19.104607708894299</v>
      </c>
      <c r="AA138">
        <v>0.36578902720826401</v>
      </c>
      <c r="AB138">
        <v>4.7847179886157303</v>
      </c>
      <c r="AC138">
        <v>9.7641269169565206</v>
      </c>
      <c r="AJ138">
        <v>0.419309949841149</v>
      </c>
      <c r="AK138">
        <v>1.77141487106812E-2</v>
      </c>
      <c r="AL138">
        <v>0.562975901448169</v>
      </c>
    </row>
    <row r="139" spans="1:38" x14ac:dyDescent="0.2">
      <c r="A139">
        <v>293</v>
      </c>
      <c r="B139">
        <v>766</v>
      </c>
      <c r="C139">
        <v>120</v>
      </c>
      <c r="D139">
        <v>0.47336813742000999</v>
      </c>
      <c r="E139">
        <v>34.392262703751598</v>
      </c>
      <c r="F139">
        <v>2.5189778269596101</v>
      </c>
      <c r="G139">
        <v>-546.0936421528022</v>
      </c>
      <c r="H139">
        <v>-471.55367904155628</v>
      </c>
      <c r="I139">
        <v>71.731668297402607</v>
      </c>
      <c r="J139">
        <v>40.866736599334203</v>
      </c>
      <c r="K139">
        <v>13.653261388673201</v>
      </c>
      <c r="L139">
        <v>2.8326285274937532E-5</v>
      </c>
      <c r="M139">
        <v>1.8006929281723174E-6</v>
      </c>
      <c r="N139" s="1">
        <v>-1.3443053248783501E-7</v>
      </c>
      <c r="O139" s="1">
        <v>1.3063064297431101E-10</v>
      </c>
      <c r="P139" s="1">
        <v>6.6361782949650103E-10</v>
      </c>
      <c r="Q139">
        <v>65.971900000513898</v>
      </c>
      <c r="S139">
        <v>19.0944122498036</v>
      </c>
      <c r="AA139">
        <v>0.35944464575905599</v>
      </c>
      <c r="AB139">
        <v>4.7382488916933498</v>
      </c>
      <c r="AC139">
        <v>9.8359942122299895</v>
      </c>
      <c r="AJ139">
        <v>0.41533558732189602</v>
      </c>
      <c r="AK139">
        <v>1.7411014769473099E-2</v>
      </c>
      <c r="AL139">
        <v>0.56725339790863005</v>
      </c>
    </row>
    <row r="140" spans="1:38" x14ac:dyDescent="0.2">
      <c r="A140">
        <v>294</v>
      </c>
      <c r="B140">
        <v>764</v>
      </c>
      <c r="C140">
        <v>120</v>
      </c>
      <c r="D140">
        <v>0.47221761558116099</v>
      </c>
      <c r="E140">
        <v>35.448190950612101</v>
      </c>
      <c r="F140">
        <v>2.5189691819847901</v>
      </c>
      <c r="G140">
        <v>-562.61420948174396</v>
      </c>
      <c r="H140">
        <v>-486.0334445717387</v>
      </c>
      <c r="I140">
        <v>73.837694557204998</v>
      </c>
      <c r="J140">
        <v>42.119372156749101</v>
      </c>
      <c r="K140">
        <v>14.072498863476</v>
      </c>
      <c r="L140">
        <v>2.8324180091498523E-5</v>
      </c>
      <c r="M140">
        <v>1.8006028919992263E-6</v>
      </c>
      <c r="N140" s="1">
        <v>-1.4816803278193001E-7</v>
      </c>
      <c r="O140" s="1">
        <v>1.34605804367623E-10</v>
      </c>
      <c r="P140" s="1">
        <v>7.1188096147993299E-10</v>
      </c>
      <c r="Q140">
        <v>65.966255964492007</v>
      </c>
      <c r="S140">
        <v>19.0853165071908</v>
      </c>
      <c r="AA140">
        <v>0.35325752361728902</v>
      </c>
      <c r="AB140">
        <v>4.70182578825293</v>
      </c>
      <c r="AC140">
        <v>9.8933442164469003</v>
      </c>
      <c r="AJ140">
        <v>0.412219128185638</v>
      </c>
      <c r="AK140">
        <v>1.7114484298030301E-2</v>
      </c>
      <c r="AL140">
        <v>0.57066638751633103</v>
      </c>
    </row>
    <row r="141" spans="1:38" x14ac:dyDescent="0.2">
      <c r="A141">
        <v>295</v>
      </c>
      <c r="B141">
        <v>762</v>
      </c>
      <c r="C141">
        <v>120</v>
      </c>
      <c r="D141">
        <v>0.47106264792542502</v>
      </c>
      <c r="E141">
        <v>36.161698801267598</v>
      </c>
      <c r="F141">
        <v>2.51897245475292</v>
      </c>
      <c r="G141">
        <v>-573.70143289116413</v>
      </c>
      <c r="H141">
        <v>-495.82954544530804</v>
      </c>
      <c r="I141">
        <v>75.227636039082299</v>
      </c>
      <c r="J141">
        <v>42.966883674719199</v>
      </c>
      <c r="K141">
        <v>14.3557341141368</v>
      </c>
      <c r="L141">
        <v>2.8327068967526543E-5</v>
      </c>
      <c r="M141">
        <v>1.8005755196799927E-6</v>
      </c>
      <c r="N141" s="1">
        <v>-1.6180223441540299E-7</v>
      </c>
      <c r="O141" s="1">
        <v>1.37267179013136E-10</v>
      </c>
      <c r="P141" s="1">
        <v>7.5709413928403998E-10</v>
      </c>
      <c r="Q141">
        <v>65.962282283670405</v>
      </c>
      <c r="S141">
        <v>19.076841718711801</v>
      </c>
      <c r="AA141">
        <v>0.347192940443315</v>
      </c>
      <c r="AB141">
        <v>4.6707528938070402</v>
      </c>
      <c r="AC141">
        <v>9.9429301633673006</v>
      </c>
      <c r="AJ141">
        <v>0.409559542897657</v>
      </c>
      <c r="AK141">
        <v>1.68233249803969E-2</v>
      </c>
      <c r="AL141">
        <v>0.57361713212194398</v>
      </c>
    </row>
    <row r="142" spans="1:38" x14ac:dyDescent="0.2">
      <c r="A142">
        <v>296</v>
      </c>
      <c r="B142">
        <v>760</v>
      </c>
      <c r="C142">
        <v>120</v>
      </c>
      <c r="D142">
        <v>0.46990320863379098</v>
      </c>
      <c r="E142">
        <v>36.671949931954501</v>
      </c>
      <c r="F142">
        <v>2.5189835418441402</v>
      </c>
      <c r="G142">
        <v>-581.56443557650584</v>
      </c>
      <c r="H142">
        <v>-502.84603171816229</v>
      </c>
      <c r="I142">
        <v>76.1926185533016</v>
      </c>
      <c r="J142">
        <v>43.5743015381939</v>
      </c>
      <c r="K142">
        <v>14.558233240820201</v>
      </c>
      <c r="L142">
        <v>2.8333582904185418E-5</v>
      </c>
      <c r="M142">
        <v>1.8005871155249577E-6</v>
      </c>
      <c r="N142" s="1">
        <v>-1.7570782542082701E-7</v>
      </c>
      <c r="O142" s="1">
        <v>1.39145673547519E-10</v>
      </c>
      <c r="P142" s="1">
        <v>8.0143706225198796E-10</v>
      </c>
      <c r="Q142">
        <v>65.959277813891504</v>
      </c>
      <c r="S142">
        <v>19.068770487221901</v>
      </c>
      <c r="AA142">
        <v>0.341235143770518</v>
      </c>
      <c r="AB142">
        <v>4.6428978113155104</v>
      </c>
      <c r="AC142">
        <v>9.9878187438004495</v>
      </c>
      <c r="AJ142">
        <v>0.407174666770861</v>
      </c>
      <c r="AK142">
        <v>1.6536978722214001E-2</v>
      </c>
      <c r="AL142">
        <v>0.57628835450692395</v>
      </c>
    </row>
    <row r="143" spans="1:38" x14ac:dyDescent="0.2">
      <c r="A143">
        <v>297</v>
      </c>
      <c r="B143">
        <v>758</v>
      </c>
      <c r="C143">
        <v>120</v>
      </c>
      <c r="D143">
        <v>0.46873927168695301</v>
      </c>
      <c r="E143">
        <v>37.050804176535301</v>
      </c>
      <c r="F143">
        <v>2.5190003232691698</v>
      </c>
      <c r="G143">
        <v>-587.34374022549696</v>
      </c>
      <c r="H143">
        <v>-508.06588797732036</v>
      </c>
      <c r="I143">
        <v>76.882948405349893</v>
      </c>
      <c r="J143">
        <v>44.026844214212502</v>
      </c>
      <c r="K143">
        <v>14.7085349034217</v>
      </c>
      <c r="L143">
        <v>2.8343053421543495E-5</v>
      </c>
      <c r="M143">
        <v>1.8006254445338268E-6</v>
      </c>
      <c r="N143" s="1">
        <v>-1.9009988737048901E-7</v>
      </c>
      <c r="O143" s="1">
        <v>1.40515347844726E-10</v>
      </c>
      <c r="P143" s="1">
        <v>8.4609381362555903E-10</v>
      </c>
      <c r="Q143">
        <v>65.956876043834797</v>
      </c>
      <c r="S143">
        <v>19.060988683137602</v>
      </c>
      <c r="AA143">
        <v>0.335375495930058</v>
      </c>
      <c r="AB143">
        <v>4.6171445844113999</v>
      </c>
      <c r="AC143">
        <v>10.029615192686</v>
      </c>
      <c r="AJ143">
        <v>0.40496914819720398</v>
      </c>
      <c r="AK143">
        <v>1.6255135057696601E-2</v>
      </c>
      <c r="AL143">
        <v>0.57877571674509798</v>
      </c>
    </row>
    <row r="144" spans="1:38" x14ac:dyDescent="0.2">
      <c r="A144">
        <v>298</v>
      </c>
      <c r="B144">
        <v>756</v>
      </c>
      <c r="C144">
        <v>120</v>
      </c>
      <c r="D144">
        <v>0.46757081086333502</v>
      </c>
      <c r="E144">
        <v>37.3675683201445</v>
      </c>
      <c r="F144">
        <v>2.5190205880439702</v>
      </c>
      <c r="G144">
        <v>-592.13662855439622</v>
      </c>
      <c r="H144">
        <v>-512.43645216475409</v>
      </c>
      <c r="I144">
        <v>77.442721070438907</v>
      </c>
      <c r="J144">
        <v>44.406587890716999</v>
      </c>
      <c r="K144">
        <v>14.834165507619099</v>
      </c>
      <c r="L144">
        <v>2.8354570768515964E-5</v>
      </c>
      <c r="M144">
        <v>1.8006748835258959E-6</v>
      </c>
      <c r="N144" s="1">
        <v>-2.0522976950954199E-7</v>
      </c>
      <c r="O144" s="1">
        <v>1.4164078123070899E-10</v>
      </c>
      <c r="P144" s="1">
        <v>8.9233172900847898E-10</v>
      </c>
      <c r="Q144">
        <v>65.954603257696903</v>
      </c>
      <c r="S144">
        <v>19.053363165486601</v>
      </c>
      <c r="AA144">
        <v>0.32961468936324501</v>
      </c>
      <c r="AB144">
        <v>4.5920885164579497</v>
      </c>
      <c r="AC144">
        <v>10.0703303709951</v>
      </c>
      <c r="AJ144">
        <v>0.40282278099240598</v>
      </c>
      <c r="AK144">
        <v>1.5977952316993199E-2</v>
      </c>
      <c r="AL144">
        <v>0.58119926669059896</v>
      </c>
    </row>
    <row r="145" spans="1:38" x14ac:dyDescent="0.2">
      <c r="A145">
        <v>309</v>
      </c>
      <c r="B145">
        <v>778</v>
      </c>
      <c r="C145">
        <v>110</v>
      </c>
      <c r="D145">
        <v>0.49064405650953802</v>
      </c>
      <c r="E145">
        <v>0.32615518626498302</v>
      </c>
      <c r="F145">
        <v>2.51985624128368</v>
      </c>
      <c r="G145">
        <v>-5.2044438927013115</v>
      </c>
      <c r="H145">
        <v>-4.4820771072775214</v>
      </c>
      <c r="I145">
        <v>0.68721570225352202</v>
      </c>
      <c r="J145">
        <v>0.38869480499197101</v>
      </c>
      <c r="K145">
        <v>0.12943404505442299</v>
      </c>
      <c r="L145">
        <v>2.8668703753078342E-5</v>
      </c>
      <c r="M145">
        <v>1.8072146034863875E-6</v>
      </c>
      <c r="N145" s="1">
        <v>-9.8041703392174602E-10</v>
      </c>
      <c r="O145" s="1">
        <v>1.23496162674634E-12</v>
      </c>
      <c r="P145" s="1">
        <v>5.4455551603319803E-12</v>
      </c>
      <c r="Q145">
        <v>66.151673812855904</v>
      </c>
      <c r="S145">
        <v>19.2051737788832</v>
      </c>
      <c r="AA145">
        <v>0.40887627991252401</v>
      </c>
      <c r="AB145">
        <v>5.42924094187397</v>
      </c>
      <c r="AC145">
        <v>8.8050351864742904</v>
      </c>
      <c r="AJ145">
        <v>0.47424181428853102</v>
      </c>
      <c r="AK145">
        <v>1.9736195338783E-2</v>
      </c>
      <c r="AL145">
        <v>0.50602199037268403</v>
      </c>
    </row>
    <row r="146" spans="1:38" x14ac:dyDescent="0.2">
      <c r="A146">
        <v>310</v>
      </c>
      <c r="B146">
        <v>776</v>
      </c>
      <c r="C146">
        <v>110</v>
      </c>
      <c r="D146">
        <v>0.48953962731735601</v>
      </c>
      <c r="E146">
        <v>22.8767385292802</v>
      </c>
      <c r="F146">
        <v>2.5189276669709999</v>
      </c>
      <c r="G146">
        <v>-364.34295071433002</v>
      </c>
      <c r="H146">
        <v>-313.92266587980845</v>
      </c>
      <c r="I146">
        <v>48.0582231659168</v>
      </c>
      <c r="J146">
        <v>27.212607495535</v>
      </c>
      <c r="K146">
        <v>9.0819354716879594</v>
      </c>
      <c r="L146">
        <v>2.8431313738295136E-5</v>
      </c>
      <c r="M146">
        <v>1.8032502634775636E-6</v>
      </c>
      <c r="N146" s="1">
        <v>-6.5372105118666704E-8</v>
      </c>
      <c r="O146" s="1">
        <v>8.6871526075912105E-11</v>
      </c>
      <c r="P146" s="1">
        <v>3.7150220532420802E-10</v>
      </c>
      <c r="Q146">
        <v>66.039108695268794</v>
      </c>
      <c r="S146">
        <v>19.156938746193202</v>
      </c>
      <c r="AA146">
        <v>0.39534741538122897</v>
      </c>
      <c r="AB146">
        <v>5.0519412036528903</v>
      </c>
      <c r="AC146">
        <v>9.3566639395037203</v>
      </c>
      <c r="AJ146">
        <v>0.44212847463556698</v>
      </c>
      <c r="AK146">
        <v>1.91196480095637E-2</v>
      </c>
      <c r="AL146">
        <v>0.53875187735486796</v>
      </c>
    </row>
    <row r="147" spans="1:38" x14ac:dyDescent="0.2">
      <c r="A147">
        <v>311</v>
      </c>
      <c r="B147">
        <v>774</v>
      </c>
      <c r="C147">
        <v>110</v>
      </c>
      <c r="D147">
        <v>0.48843097932483898</v>
      </c>
      <c r="E147">
        <v>29.978400547044799</v>
      </c>
      <c r="F147">
        <v>2.5186782125297098</v>
      </c>
      <c r="G147">
        <v>-477.02676958514223</v>
      </c>
      <c r="H147">
        <v>-411.1995257483353</v>
      </c>
      <c r="I147">
        <v>62.863241977564698</v>
      </c>
      <c r="J147">
        <v>35.6377476953609</v>
      </c>
      <c r="K147">
        <v>11.902433743981501</v>
      </c>
      <c r="L147">
        <v>2.8355540486594085E-5</v>
      </c>
      <c r="M147">
        <v>1.802011293356044E-6</v>
      </c>
      <c r="N147" s="1">
        <v>-8.8610722830923501E-8</v>
      </c>
      <c r="O147" s="1">
        <v>1.13926956744917E-10</v>
      </c>
      <c r="P147" s="1">
        <v>4.9522792706861402E-10</v>
      </c>
      <c r="Q147">
        <v>66.001328022918798</v>
      </c>
      <c r="S147">
        <v>19.136416479290599</v>
      </c>
      <c r="AA147">
        <v>0.38723193845338999</v>
      </c>
      <c r="AB147">
        <v>4.9139472102777404</v>
      </c>
      <c r="AC147">
        <v>9.56107634905932</v>
      </c>
      <c r="AJ147">
        <v>0.430352651111302</v>
      </c>
      <c r="AK147">
        <v>1.8740274874588798E-2</v>
      </c>
      <c r="AL147">
        <v>0.55090707401410799</v>
      </c>
    </row>
    <row r="148" spans="1:38" x14ac:dyDescent="0.2">
      <c r="A148">
        <v>312</v>
      </c>
      <c r="B148">
        <v>772</v>
      </c>
      <c r="C148">
        <v>110</v>
      </c>
      <c r="D148">
        <v>0.48731808831268297</v>
      </c>
      <c r="E148">
        <v>32.997585131762001</v>
      </c>
      <c r="F148">
        <v>2.51858498141591</v>
      </c>
      <c r="G148">
        <v>-524.75915948419402</v>
      </c>
      <c r="H148">
        <v>-452.54696428583202</v>
      </c>
      <c r="I148">
        <v>69.092661530270206</v>
      </c>
      <c r="J148">
        <v>39.215932176160599</v>
      </c>
      <c r="K148">
        <v>13.101636583734001</v>
      </c>
      <c r="L148">
        <v>2.8325447926702451E-5</v>
      </c>
      <c r="M148">
        <v>1.8015230819996605E-6</v>
      </c>
      <c r="N148" s="1">
        <v>-1.03384712705734E-7</v>
      </c>
      <c r="O148" s="1">
        <v>1.2542212361286301E-10</v>
      </c>
      <c r="P148" s="1">
        <v>5.62096967470053E-10</v>
      </c>
      <c r="Q148">
        <v>65.984837428815098</v>
      </c>
      <c r="S148">
        <v>19.1231957980457</v>
      </c>
      <c r="AA148">
        <v>0.38017259575061602</v>
      </c>
      <c r="AB148">
        <v>4.8425390708186598</v>
      </c>
      <c r="AC148">
        <v>9.6692551065697803</v>
      </c>
      <c r="AJ148">
        <v>0.42425253615842801</v>
      </c>
      <c r="AK148">
        <v>1.8405300488440801E-2</v>
      </c>
      <c r="AL148">
        <v>0.55734216335313103</v>
      </c>
    </row>
    <row r="149" spans="1:38" x14ac:dyDescent="0.2">
      <c r="A149">
        <v>313</v>
      </c>
      <c r="B149">
        <v>770</v>
      </c>
      <c r="C149">
        <v>110</v>
      </c>
      <c r="D149">
        <v>0.486200929875856</v>
      </c>
      <c r="E149">
        <v>34.646274299840798</v>
      </c>
      <c r="F149">
        <v>2.5185431395480502</v>
      </c>
      <c r="G149">
        <v>-550.70810226163599</v>
      </c>
      <c r="H149">
        <v>-475.13541424967349</v>
      </c>
      <c r="I149">
        <v>72.446616509574199</v>
      </c>
      <c r="J149">
        <v>41.169136308996798</v>
      </c>
      <c r="K149">
        <v>13.756474429919001</v>
      </c>
      <c r="L149">
        <v>2.8311823092079483E-5</v>
      </c>
      <c r="M149">
        <v>1.8012940012941218E-6</v>
      </c>
      <c r="N149" s="1">
        <v>-1.1594850664309999E-7</v>
      </c>
      <c r="O149" s="1">
        <v>1.3168126292408601E-10</v>
      </c>
      <c r="P149" s="1">
        <v>6.1171666029757496E-10</v>
      </c>
      <c r="Q149">
        <v>65.975685488095706</v>
      </c>
      <c r="S149">
        <v>19.112510104857201</v>
      </c>
      <c r="AA149">
        <v>0.373492269709228</v>
      </c>
      <c r="AB149">
        <v>4.7941305277044801</v>
      </c>
      <c r="AC149">
        <v>9.7441816096332197</v>
      </c>
      <c r="AJ149">
        <v>0.42011468865629997</v>
      </c>
      <c r="AK149">
        <v>1.8086328718561102E-2</v>
      </c>
      <c r="AL149">
        <v>0.56179898262513805</v>
      </c>
    </row>
    <row r="150" spans="1:38" x14ac:dyDescent="0.2">
      <c r="A150">
        <v>314</v>
      </c>
      <c r="B150">
        <v>768</v>
      </c>
      <c r="C150">
        <v>110</v>
      </c>
      <c r="D150">
        <v>0.48507947942179502</v>
      </c>
      <c r="E150">
        <v>35.6807414308429</v>
      </c>
      <c r="F150">
        <v>2.5185249947953698</v>
      </c>
      <c r="G150">
        <v>-566.89918691201058</v>
      </c>
      <c r="H150">
        <v>-489.32042449111339</v>
      </c>
      <c r="I150">
        <v>74.512570158859901</v>
      </c>
      <c r="J150">
        <v>42.394807884723797</v>
      </c>
      <c r="K150">
        <v>14.1673167844585</v>
      </c>
      <c r="L150">
        <v>2.8306353345074608E-5</v>
      </c>
      <c r="M150">
        <v>1.8011841510231568E-6</v>
      </c>
      <c r="N150" s="1">
        <v>-1.2790913055716801E-7</v>
      </c>
      <c r="O150" s="1">
        <v>1.3558880650816201E-10</v>
      </c>
      <c r="P150" s="1">
        <v>6.5471565418151199E-10</v>
      </c>
      <c r="Q150">
        <v>65.969844400908102</v>
      </c>
      <c r="S150">
        <v>19.103019939189199</v>
      </c>
      <c r="AA150">
        <v>0.36702572370401698</v>
      </c>
      <c r="AB150">
        <v>4.7562342749888398</v>
      </c>
      <c r="AC150">
        <v>9.8038756612097906</v>
      </c>
      <c r="AJ150">
        <v>0.41687399882656001</v>
      </c>
      <c r="AK150">
        <v>1.7776606702703101E-2</v>
      </c>
      <c r="AL150">
        <v>0.56534939447073596</v>
      </c>
    </row>
    <row r="151" spans="1:38" x14ac:dyDescent="0.2">
      <c r="A151">
        <v>315</v>
      </c>
      <c r="B151">
        <v>766</v>
      </c>
      <c r="C151">
        <v>110</v>
      </c>
      <c r="D151">
        <v>0.483953712168602</v>
      </c>
      <c r="E151">
        <v>36.386111739277602</v>
      </c>
      <c r="F151">
        <v>2.5185203274924999</v>
      </c>
      <c r="G151">
        <v>-577.86395644728429</v>
      </c>
      <c r="H151">
        <v>-499.00425813083024</v>
      </c>
      <c r="I151">
        <v>75.888657380025904</v>
      </c>
      <c r="J151">
        <v>43.231115889983997</v>
      </c>
      <c r="K151">
        <v>14.447416342874799</v>
      </c>
      <c r="L151">
        <v>2.8305894597894164E-5</v>
      </c>
      <c r="M151">
        <v>1.8011401229724513E-6</v>
      </c>
      <c r="N151" s="1">
        <v>-1.3986302724299099E-7</v>
      </c>
      <c r="O151" s="1">
        <v>1.38233106303013E-10</v>
      </c>
      <c r="P151" s="1">
        <v>6.9506767870837501E-10</v>
      </c>
      <c r="Q151">
        <v>65.965763450137402</v>
      </c>
      <c r="S151">
        <v>19.094214388903598</v>
      </c>
      <c r="AA151">
        <v>0.36071328862894803</v>
      </c>
      <c r="AB151">
        <v>4.7240552001349903</v>
      </c>
      <c r="AC151">
        <v>9.8552536721949497</v>
      </c>
      <c r="AJ151">
        <v>0.41412124041473702</v>
      </c>
      <c r="AK151">
        <v>1.7473724125775199E-2</v>
      </c>
      <c r="AL151">
        <v>0.56840503545948695</v>
      </c>
    </row>
    <row r="152" spans="1:38" x14ac:dyDescent="0.2">
      <c r="A152">
        <v>316</v>
      </c>
      <c r="B152">
        <v>764</v>
      </c>
      <c r="C152">
        <v>110</v>
      </c>
      <c r="D152">
        <v>0.48282360314323097</v>
      </c>
      <c r="E152">
        <v>36.893425373796802</v>
      </c>
      <c r="F152">
        <v>2.5185244810019598</v>
      </c>
      <c r="G152">
        <v>-585.68443219682456</v>
      </c>
      <c r="H152">
        <v>-505.97978086691541</v>
      </c>
      <c r="I152">
        <v>76.849685513097597</v>
      </c>
      <c r="J152">
        <v>43.833440815108197</v>
      </c>
      <c r="K152">
        <v>14.648825394430601</v>
      </c>
      <c r="L152">
        <v>2.8309024509937936E-5</v>
      </c>
      <c r="M152">
        <v>1.8011372045814568E-6</v>
      </c>
      <c r="N152" s="1">
        <v>-1.5209678391551299E-7</v>
      </c>
      <c r="O152" s="1">
        <v>1.4011449164622801E-10</v>
      </c>
      <c r="P152" s="1">
        <v>7.3463131587412502E-10</v>
      </c>
      <c r="Q152">
        <v>65.962719265337896</v>
      </c>
      <c r="S152">
        <v>19.085855603709899</v>
      </c>
      <c r="AA152">
        <v>0.35452752416334299</v>
      </c>
      <c r="AB152">
        <v>4.6953577554303996</v>
      </c>
      <c r="AC152">
        <v>9.9015398513583808</v>
      </c>
      <c r="AJ152">
        <v>0.41166556388154202</v>
      </c>
      <c r="AK152">
        <v>1.71765761591255E-2</v>
      </c>
      <c r="AL152">
        <v>0.57115785995933099</v>
      </c>
    </row>
    <row r="153" spans="1:38" x14ac:dyDescent="0.2">
      <c r="A153">
        <v>317</v>
      </c>
      <c r="B153">
        <v>762</v>
      </c>
      <c r="C153">
        <v>110</v>
      </c>
      <c r="D153">
        <v>0.48168912717963802</v>
      </c>
      <c r="E153">
        <v>37.271537047413403</v>
      </c>
      <c r="F153">
        <v>2.5185350134018298</v>
      </c>
      <c r="G153">
        <v>-591.45438851304198</v>
      </c>
      <c r="H153">
        <v>-511.18883154659761</v>
      </c>
      <c r="I153">
        <v>77.540025084716603</v>
      </c>
      <c r="J153">
        <v>44.283424798508001</v>
      </c>
      <c r="K153">
        <v>14.7988957267146</v>
      </c>
      <c r="L153">
        <v>2.8315027399537055E-5</v>
      </c>
      <c r="M153">
        <v>1.8011623995129838E-6</v>
      </c>
      <c r="N153" s="1">
        <v>-1.6477897868662399E-7</v>
      </c>
      <c r="O153" s="1">
        <v>1.41495807123351E-10</v>
      </c>
      <c r="P153" s="1">
        <v>7.74432042546421E-10</v>
      </c>
      <c r="Q153">
        <v>65.960327399435997</v>
      </c>
      <c r="S153">
        <v>19.077816838958601</v>
      </c>
      <c r="AA153">
        <v>0.34845357014240802</v>
      </c>
      <c r="AB153">
        <v>4.6689529436085397</v>
      </c>
      <c r="AC153">
        <v>9.9444492478543491</v>
      </c>
      <c r="AJ153">
        <v>0.40940544170160598</v>
      </c>
      <c r="AK153">
        <v>1.6884562921503699E-2</v>
      </c>
      <c r="AL153">
        <v>0.57370999537688905</v>
      </c>
    </row>
    <row r="154" spans="1:38" x14ac:dyDescent="0.2">
      <c r="A154">
        <v>318</v>
      </c>
      <c r="B154">
        <v>760</v>
      </c>
      <c r="C154">
        <v>110</v>
      </c>
      <c r="D154">
        <v>0.480550258916906</v>
      </c>
      <c r="E154">
        <v>37.560254507927098</v>
      </c>
      <c r="F154">
        <v>2.5185505101110301</v>
      </c>
      <c r="G154">
        <v>-595.80609060864992</v>
      </c>
      <c r="H154">
        <v>-515.17582675278823</v>
      </c>
      <c r="I154">
        <v>78.043133964924394</v>
      </c>
      <c r="J154">
        <v>44.6282779103175</v>
      </c>
      <c r="K154">
        <v>14.913441027740699</v>
      </c>
      <c r="L154">
        <v>2.8323524132891836E-5</v>
      </c>
      <c r="M154">
        <v>1.8012082425352145E-6</v>
      </c>
      <c r="N154" s="1">
        <v>-1.7802678325025E-7</v>
      </c>
      <c r="O154" s="1">
        <v>1.42528901260288E-10</v>
      </c>
      <c r="P154" s="1">
        <v>8.1511675281373703E-10</v>
      </c>
      <c r="Q154">
        <v>65.958363575605603</v>
      </c>
      <c r="S154">
        <v>19.070023673354299</v>
      </c>
      <c r="AA154">
        <v>0.34248236016685202</v>
      </c>
      <c r="AB154">
        <v>4.6441458706861596</v>
      </c>
      <c r="AC154">
        <v>9.9849845201869893</v>
      </c>
      <c r="AJ154">
        <v>0.40728152789808297</v>
      </c>
      <c r="AK154">
        <v>1.6597315859364099E-2</v>
      </c>
      <c r="AL154">
        <v>0.576121156242552</v>
      </c>
    </row>
    <row r="155" spans="1:38" x14ac:dyDescent="0.2">
      <c r="A155">
        <v>331</v>
      </c>
      <c r="B155">
        <v>782</v>
      </c>
      <c r="C155">
        <v>100</v>
      </c>
      <c r="D155">
        <v>0.50326541250059598</v>
      </c>
      <c r="E155">
        <v>14.3505453307375</v>
      </c>
      <c r="F155">
        <v>2.5190301156087598</v>
      </c>
      <c r="G155">
        <v>-229.06089480383054</v>
      </c>
      <c r="H155">
        <v>-197.10437169947667</v>
      </c>
      <c r="I155">
        <v>30.2862371268102</v>
      </c>
      <c r="J155">
        <v>17.0889338997343</v>
      </c>
      <c r="K155">
        <v>5.6968534206148096</v>
      </c>
      <c r="L155">
        <v>2.8544125837298738E-5</v>
      </c>
      <c r="M155">
        <v>1.805801156973E-6</v>
      </c>
      <c r="N155" s="1">
        <v>-3.4275537501126301E-8</v>
      </c>
      <c r="O155" s="1">
        <v>5.4438200437195601E-11</v>
      </c>
      <c r="P155" s="1">
        <v>2.1340333582040701E-10</v>
      </c>
      <c r="Q155">
        <v>66.096628278332901</v>
      </c>
      <c r="S155">
        <v>19.206435325951301</v>
      </c>
      <c r="AA155">
        <v>0.42276119212117602</v>
      </c>
      <c r="AB155">
        <v>5.3098822292643701</v>
      </c>
      <c r="AC155">
        <v>8.9642929743301902</v>
      </c>
      <c r="AJ155">
        <v>0.46409584033257001</v>
      </c>
      <c r="AK155">
        <v>2.0418728350260901E-2</v>
      </c>
      <c r="AL155">
        <v>0.51548543131716795</v>
      </c>
    </row>
    <row r="156" spans="1:38" x14ac:dyDescent="0.2">
      <c r="A156">
        <v>332</v>
      </c>
      <c r="B156">
        <v>780</v>
      </c>
      <c r="C156">
        <v>100</v>
      </c>
      <c r="D156">
        <v>0.50218914684517901</v>
      </c>
      <c r="E156">
        <v>26.779542761833302</v>
      </c>
      <c r="F156">
        <v>2.5184452414738798</v>
      </c>
      <c r="G156">
        <v>-426.87233275501296</v>
      </c>
      <c r="H156">
        <v>-367.48959487897883</v>
      </c>
      <c r="I156">
        <v>56.385830960484199</v>
      </c>
      <c r="J156">
        <v>31.8517505017692</v>
      </c>
      <c r="K156">
        <v>10.633363124528699</v>
      </c>
      <c r="L156">
        <v>2.8396144668830708E-5</v>
      </c>
      <c r="M156">
        <v>1.8033574101881015E-6</v>
      </c>
      <c r="N156" s="1">
        <v>-6.3501008639802204E-8</v>
      </c>
      <c r="O156" s="1">
        <v>1.0176616231449799E-10</v>
      </c>
      <c r="P156" s="1">
        <v>3.96551682534922E-10</v>
      </c>
      <c r="Q156">
        <v>66.026606120294701</v>
      </c>
      <c r="S156">
        <v>19.172111912379101</v>
      </c>
      <c r="AA156">
        <v>0.410782737794469</v>
      </c>
      <c r="AB156">
        <v>5.0638583134866897</v>
      </c>
      <c r="AC156">
        <v>9.3266409160449903</v>
      </c>
      <c r="AJ156">
        <v>0.44314451497182</v>
      </c>
      <c r="AK156">
        <v>1.9864919430373901E-2</v>
      </c>
      <c r="AL156">
        <v>0.536990565597805</v>
      </c>
    </row>
    <row r="157" spans="1:38" x14ac:dyDescent="0.2">
      <c r="A157">
        <v>333</v>
      </c>
      <c r="B157">
        <v>778</v>
      </c>
      <c r="C157">
        <v>100</v>
      </c>
      <c r="D157">
        <v>0.501108785615755</v>
      </c>
      <c r="E157">
        <v>31.556353694254899</v>
      </c>
      <c r="F157">
        <v>2.5182436045531902</v>
      </c>
      <c r="G157">
        <v>-502.63468550086088</v>
      </c>
      <c r="H157">
        <v>-432.90765561751124</v>
      </c>
      <c r="I157">
        <v>66.334043555486403</v>
      </c>
      <c r="J157">
        <v>37.514653467398901</v>
      </c>
      <c r="K157">
        <v>12.531096529818701</v>
      </c>
      <c r="L157">
        <v>2.833877713980948E-5</v>
      </c>
      <c r="M157">
        <v>1.8024457954163164E-6</v>
      </c>
      <c r="N157" s="1">
        <v>-7.8396116381408699E-8</v>
      </c>
      <c r="O157" s="1">
        <v>1.19987029472638E-10</v>
      </c>
      <c r="P157" s="1">
        <v>4.77608257388208E-10</v>
      </c>
      <c r="Q157">
        <v>65.998732917760904</v>
      </c>
      <c r="S157">
        <v>19.154038744276001</v>
      </c>
      <c r="AA157">
        <v>0.40237601981514598</v>
      </c>
      <c r="AB157">
        <v>4.9543632162871303</v>
      </c>
      <c r="AC157">
        <v>9.4904891018607493</v>
      </c>
      <c r="AJ157">
        <v>0.43380316702067201</v>
      </c>
      <c r="AK157">
        <v>1.9469184307537399E-2</v>
      </c>
      <c r="AL157">
        <v>0.54672764867179002</v>
      </c>
    </row>
    <row r="158" spans="1:38" x14ac:dyDescent="0.2">
      <c r="A158">
        <v>334</v>
      </c>
      <c r="B158">
        <v>776</v>
      </c>
      <c r="C158">
        <v>100</v>
      </c>
      <c r="D158">
        <v>0.50002430539008103</v>
      </c>
      <c r="E158">
        <v>33.899944491077797</v>
      </c>
      <c r="F158">
        <v>2.5181534778389998</v>
      </c>
      <c r="G158">
        <v>-539.6600658574157</v>
      </c>
      <c r="H158">
        <v>-465.00368763738288</v>
      </c>
      <c r="I158">
        <v>71.158917428425596</v>
      </c>
      <c r="J158">
        <v>40.290155029801497</v>
      </c>
      <c r="K158">
        <v>13.4622233272967</v>
      </c>
      <c r="L158">
        <v>2.8311763520992166E-5</v>
      </c>
      <c r="M158">
        <v>1.8020344704997231E-6</v>
      </c>
      <c r="N158" s="1">
        <v>-8.9770568729831604E-8</v>
      </c>
      <c r="O158" s="1">
        <v>1.2891940018115999E-10</v>
      </c>
      <c r="P158" s="1">
        <v>5.2927485226871702E-10</v>
      </c>
      <c r="Q158">
        <v>65.984898311166603</v>
      </c>
      <c r="S158">
        <v>19.141134460112202</v>
      </c>
      <c r="AA158">
        <v>0.39495796956831702</v>
      </c>
      <c r="AB158">
        <v>4.8897032786670804</v>
      </c>
      <c r="AC158">
        <v>9.5893059804856708</v>
      </c>
      <c r="AJ158">
        <v>0.428281988430113</v>
      </c>
      <c r="AK158">
        <v>1.9116526208599001E-2</v>
      </c>
      <c r="AL158">
        <v>0.55260148536128695</v>
      </c>
    </row>
    <row r="159" spans="1:38" x14ac:dyDescent="0.2">
      <c r="A159">
        <v>335</v>
      </c>
      <c r="B159">
        <v>774</v>
      </c>
      <c r="C159">
        <v>100</v>
      </c>
      <c r="D159">
        <v>0.49893568256697302</v>
      </c>
      <c r="E159">
        <v>35.2776332390726</v>
      </c>
      <c r="F159">
        <v>2.51810723102933</v>
      </c>
      <c r="G159">
        <v>-561.32053393243507</v>
      </c>
      <c r="H159">
        <v>-483.88173556025293</v>
      </c>
      <c r="I159">
        <v>73.951963302470602</v>
      </c>
      <c r="J159">
        <v>41.920777000007</v>
      </c>
      <c r="K159">
        <v>14.0095833903992</v>
      </c>
      <c r="L159">
        <v>2.8297628257214421E-5</v>
      </c>
      <c r="M159">
        <v>1.8018261785431526E-6</v>
      </c>
      <c r="N159" s="1">
        <v>-1.0017326524921801E-7</v>
      </c>
      <c r="O159" s="1">
        <v>1.3415674448838699E-10</v>
      </c>
      <c r="P159" s="1">
        <v>5.7051033549481796E-10</v>
      </c>
      <c r="Q159">
        <v>65.976735842599894</v>
      </c>
      <c r="S159">
        <v>19.130347756614899</v>
      </c>
      <c r="AA159">
        <v>0.38796342918793197</v>
      </c>
      <c r="AB159">
        <v>4.8432349095349103</v>
      </c>
      <c r="AC159">
        <v>9.6617180620622491</v>
      </c>
      <c r="AJ159">
        <v>0.42431192844798499</v>
      </c>
      <c r="AK159">
        <v>1.8782408713669901E-2</v>
      </c>
      <c r="AL159">
        <v>0.55690566283834397</v>
      </c>
    </row>
    <row r="160" spans="1:38" x14ac:dyDescent="0.2">
      <c r="A160">
        <v>336</v>
      </c>
      <c r="B160">
        <v>772</v>
      </c>
      <c r="C160">
        <v>100</v>
      </c>
      <c r="D160">
        <v>0.49784289336458698</v>
      </c>
      <c r="E160">
        <v>36.178985792440898</v>
      </c>
      <c r="F160">
        <v>2.5180832516074299</v>
      </c>
      <c r="G160">
        <v>-575.40744311030505</v>
      </c>
      <c r="H160">
        <v>-496.24408655176575</v>
      </c>
      <c r="I160">
        <v>75.743535912107504</v>
      </c>
      <c r="J160">
        <v>42.987362742436503</v>
      </c>
      <c r="K160">
        <v>14.3676686500916</v>
      </c>
      <c r="L160">
        <v>2.8290462172726351E-5</v>
      </c>
      <c r="M160">
        <v>1.8017202181542003E-6</v>
      </c>
      <c r="N160" s="1">
        <v>-1.10396563045014E-7</v>
      </c>
      <c r="O160" s="1">
        <v>1.3756809151436201E-10</v>
      </c>
      <c r="P160" s="1">
        <v>6.0746135568662404E-10</v>
      </c>
      <c r="Q160">
        <v>65.971375059254498</v>
      </c>
      <c r="S160">
        <v>19.120656640975199</v>
      </c>
      <c r="AA160">
        <v>0.38121902506312</v>
      </c>
      <c r="AB160">
        <v>4.8058821717028</v>
      </c>
      <c r="AC160">
        <v>9.7208671030043305</v>
      </c>
      <c r="AJ160">
        <v>0.42111932187705098</v>
      </c>
      <c r="AK160">
        <v>1.8459392580666999E-2</v>
      </c>
      <c r="AL160">
        <v>0.56042128554228099</v>
      </c>
    </row>
    <row r="161" spans="1:38" x14ac:dyDescent="0.2">
      <c r="A161">
        <v>337</v>
      </c>
      <c r="B161">
        <v>770</v>
      </c>
      <c r="C161">
        <v>100</v>
      </c>
      <c r="D161">
        <v>0.49674591381872402</v>
      </c>
      <c r="E161">
        <v>36.809702272741497</v>
      </c>
      <c r="F161">
        <v>2.5180726352307201</v>
      </c>
      <c r="G161">
        <v>-585.19295248100912</v>
      </c>
      <c r="H161">
        <v>-504.90553788101312</v>
      </c>
      <c r="I161">
        <v>76.966317979193605</v>
      </c>
      <c r="J161">
        <v>43.733849070701403</v>
      </c>
      <c r="K161">
        <v>14.618205113598201</v>
      </c>
      <c r="L161">
        <v>2.8287783166681102E-5</v>
      </c>
      <c r="M161">
        <v>1.8016738686930346E-6</v>
      </c>
      <c r="N161" s="1">
        <v>-1.20772770779058E-7</v>
      </c>
      <c r="O161" s="1">
        <v>1.3993930053592101E-10</v>
      </c>
      <c r="P161" s="1">
        <v>6.4270450197744603E-10</v>
      </c>
      <c r="Q161">
        <v>65.967588102992906</v>
      </c>
      <c r="S161">
        <v>19.1116281151976</v>
      </c>
      <c r="AA161">
        <v>0.37465403332457498</v>
      </c>
      <c r="AB161">
        <v>4.77377368860797</v>
      </c>
      <c r="AC161">
        <v>9.7723560598768895</v>
      </c>
      <c r="AJ161">
        <v>0.418373990489178</v>
      </c>
      <c r="AK161">
        <v>1.8144460251729801E-2</v>
      </c>
      <c r="AL161">
        <v>0.563481549259091</v>
      </c>
    </row>
    <row r="162" spans="1:38" x14ac:dyDescent="0.2">
      <c r="A162">
        <v>338</v>
      </c>
      <c r="B162">
        <v>768</v>
      </c>
      <c r="C162">
        <v>100</v>
      </c>
      <c r="D162">
        <v>0.49564471978101199</v>
      </c>
      <c r="E162">
        <v>37.2710777934753</v>
      </c>
      <c r="F162">
        <v>2.51807103625227</v>
      </c>
      <c r="G162">
        <v>-592.28793091489217</v>
      </c>
      <c r="H162">
        <v>-511.25177766113802</v>
      </c>
      <c r="I162">
        <v>77.833312446577295</v>
      </c>
      <c r="J162">
        <v>44.2803338796774</v>
      </c>
      <c r="K162">
        <v>14.801440172612001</v>
      </c>
      <c r="L162">
        <v>2.8288389384731934E-5</v>
      </c>
      <c r="M162">
        <v>1.8016659869044892E-6</v>
      </c>
      <c r="N162" s="1">
        <v>-1.3147717473900599E-7</v>
      </c>
      <c r="O162" s="1">
        <v>1.4165744823781699E-10</v>
      </c>
      <c r="P162" s="1">
        <v>6.7753945980321E-10</v>
      </c>
      <c r="Q162">
        <v>65.964762427738407</v>
      </c>
      <c r="S162">
        <v>19.1030467361633</v>
      </c>
      <c r="AA162">
        <v>0.36823364044617402</v>
      </c>
      <c r="AB162">
        <v>4.7449796220162597</v>
      </c>
      <c r="AC162">
        <v>9.8189775736357596</v>
      </c>
      <c r="AJ162">
        <v>0.41591129089515</v>
      </c>
      <c r="AK162">
        <v>1.7836129244138799E-2</v>
      </c>
      <c r="AL162">
        <v>0.56625257986071098</v>
      </c>
    </row>
    <row r="163" spans="1:38" x14ac:dyDescent="0.2">
      <c r="A163">
        <v>339</v>
      </c>
      <c r="B163">
        <v>766</v>
      </c>
      <c r="C163">
        <v>100</v>
      </c>
      <c r="D163">
        <v>0.49453928691719501</v>
      </c>
      <c r="E163">
        <v>37.618908155943998</v>
      </c>
      <c r="F163">
        <v>2.5180760681477699</v>
      </c>
      <c r="G163">
        <v>-597.57950184578806</v>
      </c>
      <c r="H163">
        <v>-516.04589741256757</v>
      </c>
      <c r="I163">
        <v>78.461824022730596</v>
      </c>
      <c r="J163">
        <v>44.692968771213401</v>
      </c>
      <c r="K163">
        <v>14.9395439763722</v>
      </c>
      <c r="L163">
        <v>2.82916453458239E-5</v>
      </c>
      <c r="M163">
        <v>1.8016849260468009E-6</v>
      </c>
      <c r="N163" s="1">
        <v>-1.4262149630019E-7</v>
      </c>
      <c r="O163" s="1">
        <v>1.4293570007215799E-10</v>
      </c>
      <c r="P163" s="1">
        <v>7.1272360773601002E-10</v>
      </c>
      <c r="Q163">
        <v>65.962557240668403</v>
      </c>
      <c r="S163">
        <v>19.094792402001001</v>
      </c>
      <c r="AA163">
        <v>0.36193828050055399</v>
      </c>
      <c r="AB163">
        <v>4.7184256707248498</v>
      </c>
      <c r="AC163">
        <v>9.86228640610517</v>
      </c>
      <c r="AJ163">
        <v>0.41363954881640702</v>
      </c>
      <c r="AK163">
        <v>1.7533565774324598E-2</v>
      </c>
      <c r="AL163">
        <v>0.56882688540926696</v>
      </c>
    </row>
    <row r="164" spans="1:38" x14ac:dyDescent="0.2">
      <c r="A164">
        <v>340</v>
      </c>
      <c r="B164">
        <v>764</v>
      </c>
      <c r="C164">
        <v>100</v>
      </c>
      <c r="D164">
        <v>0.49342959070530001</v>
      </c>
      <c r="E164">
        <v>37.886568347588899</v>
      </c>
      <c r="F164">
        <v>2.51808630220278</v>
      </c>
      <c r="G164">
        <v>-601.598228971965</v>
      </c>
      <c r="H164">
        <v>-519.74426447334974</v>
      </c>
      <c r="I164">
        <v>78.922011761669296</v>
      </c>
      <c r="J164">
        <v>45.011330847521997</v>
      </c>
      <c r="K164">
        <v>15.045778341451699</v>
      </c>
      <c r="L164">
        <v>2.8297199662720351E-5</v>
      </c>
      <c r="M164">
        <v>1.801723762388148E-6</v>
      </c>
      <c r="N164" s="1">
        <v>-1.54288970848478E-7</v>
      </c>
      <c r="O164" s="1">
        <v>1.43901470778889E-10</v>
      </c>
      <c r="P164" s="1">
        <v>7.4875515907807097E-10</v>
      </c>
      <c r="Q164">
        <v>65.960767080958306</v>
      </c>
      <c r="S164">
        <v>19.0867922825595</v>
      </c>
      <c r="AA164">
        <v>0.35575580934197798</v>
      </c>
      <c r="AB164">
        <v>4.6934630425931703</v>
      </c>
      <c r="AC164">
        <v>9.9032217845469894</v>
      </c>
      <c r="AJ164">
        <v>0.41150339095030303</v>
      </c>
      <c r="AK164">
        <v>1.7236250881959399E-2</v>
      </c>
      <c r="AL164">
        <v>0.57126035816773701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61A09-1B50-4AFC-B280-697A1614348E}">
  <sheetPr codeName="Sheet11"/>
  <dimension ref="A1:AL40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0.30794352246059897</v>
      </c>
      <c r="F2">
        <v>2.52671735635787</v>
      </c>
      <c r="G2">
        <v>-4.8283594906982978</v>
      </c>
      <c r="H2">
        <v>-4.1950239096909367</v>
      </c>
      <c r="I2">
        <v>0.62759310410480296</v>
      </c>
      <c r="J2">
        <v>0.36596247996751502</v>
      </c>
      <c r="K2">
        <v>0.121874938518838</v>
      </c>
      <c r="L2">
        <v>2.8424692294901196E-5</v>
      </c>
      <c r="M2">
        <v>1.7851229146808188E-6</v>
      </c>
      <c r="N2" s="1">
        <v>-3.3933614835455698E-9</v>
      </c>
      <c r="O2" s="1">
        <v>1.1603084950911E-12</v>
      </c>
      <c r="P2" s="1">
        <v>1.2214083944727099E-11</v>
      </c>
      <c r="Q2">
        <v>65.790615185400796</v>
      </c>
      <c r="S2">
        <v>18.909075740657499</v>
      </c>
      <c r="AA2">
        <v>0.24884046130392601</v>
      </c>
      <c r="AB2">
        <v>3.84838164720093</v>
      </c>
      <c r="AC2">
        <v>11.2030869654367</v>
      </c>
      <c r="AJ2">
        <v>0.33886437304347899</v>
      </c>
      <c r="AK2">
        <v>1.2108199399505901E-2</v>
      </c>
      <c r="AL2">
        <v>0.64902742755701404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24.624239258273001</v>
      </c>
      <c r="F3">
        <v>2.5270678571230101</v>
      </c>
      <c r="G3">
        <v>-386.34495595845266</v>
      </c>
      <c r="H3">
        <v>-335.7975165466915</v>
      </c>
      <c r="I3">
        <v>50.188590986209803</v>
      </c>
      <c r="J3">
        <v>29.326945674043799</v>
      </c>
      <c r="K3">
        <v>9.7441939237464599</v>
      </c>
      <c r="L3">
        <v>2.8671076590992572E-5</v>
      </c>
      <c r="M3">
        <v>1.7876321294329031E-6</v>
      </c>
      <c r="N3" s="1">
        <v>-3.1077336476631499E-7</v>
      </c>
      <c r="O3" s="1">
        <v>9.2326239339906504E-11</v>
      </c>
      <c r="P3" s="1">
        <v>1.0896915195053201E-9</v>
      </c>
      <c r="Q3">
        <v>65.852956562744794</v>
      </c>
      <c r="S3">
        <v>18.934483579680499</v>
      </c>
      <c r="AA3">
        <v>0.255255680511348</v>
      </c>
      <c r="AB3">
        <v>4.0539160172440498</v>
      </c>
      <c r="AC3">
        <v>10.903388159819199</v>
      </c>
      <c r="AJ3">
        <v>0.35658880812065302</v>
      </c>
      <c r="AK3">
        <v>1.2407353814500499E-2</v>
      </c>
      <c r="AL3">
        <v>0.63100383806484495</v>
      </c>
    </row>
    <row r="4" spans="1:38" x14ac:dyDescent="0.2">
      <c r="A4">
        <v>14</v>
      </c>
      <c r="B4">
        <v>734</v>
      </c>
      <c r="C4">
        <v>300</v>
      </c>
      <c r="D4">
        <v>0.25781710768008598</v>
      </c>
      <c r="E4">
        <v>14.192352507547101</v>
      </c>
      <c r="F4">
        <v>2.5846637541270701</v>
      </c>
      <c r="G4">
        <v>-229.11668832606648</v>
      </c>
      <c r="H4">
        <v>-199.46487478757365</v>
      </c>
      <c r="I4">
        <v>29.4413081849703</v>
      </c>
      <c r="J4">
        <v>17.530363530954499</v>
      </c>
      <c r="K4">
        <v>5.4909860073231398</v>
      </c>
      <c r="L4">
        <v>3.2413150508917371E-5</v>
      </c>
      <c r="M4">
        <v>1.7953287499924185E-6</v>
      </c>
      <c r="N4" s="1">
        <v>-4.3401260592391202E-7</v>
      </c>
      <c r="O4" s="1">
        <v>4.61359485736794E-11</v>
      </c>
      <c r="P4" s="1">
        <v>1.36943837562763E-9</v>
      </c>
      <c r="Q4">
        <v>64.443551397707097</v>
      </c>
      <c r="S4">
        <v>21.957890343660601</v>
      </c>
      <c r="AA4">
        <v>3.07846264546267</v>
      </c>
      <c r="AB4">
        <v>8.8393860777117208</v>
      </c>
      <c r="AC4">
        <v>1.6807095354577499</v>
      </c>
      <c r="AJ4">
        <v>0.75898481277267804</v>
      </c>
      <c r="AK4">
        <v>0.146068194553753</v>
      </c>
      <c r="AL4">
        <v>9.4946992673567196E-2</v>
      </c>
    </row>
    <row r="5" spans="1:38" x14ac:dyDescent="0.2">
      <c r="A5">
        <v>15</v>
      </c>
      <c r="B5">
        <v>732</v>
      </c>
      <c r="C5">
        <v>300</v>
      </c>
      <c r="D5">
        <v>0.256201064517732</v>
      </c>
      <c r="E5">
        <v>30.753207171882998</v>
      </c>
      <c r="F5">
        <v>2.5271396629934602</v>
      </c>
      <c r="G5">
        <v>-482.41186775190835</v>
      </c>
      <c r="H5">
        <v>-419.47553460067877</v>
      </c>
      <c r="I5">
        <v>62.613871711913298</v>
      </c>
      <c r="J5">
        <v>36.655924842666202</v>
      </c>
      <c r="K5">
        <v>12.169175935237</v>
      </c>
      <c r="L5">
        <v>2.8758273285121629E-5</v>
      </c>
      <c r="M5">
        <v>1.7882956877426251E-6</v>
      </c>
      <c r="N5" s="1">
        <v>-4.1899406694791002E-7</v>
      </c>
      <c r="O5" s="1">
        <v>1.15057213581742E-10</v>
      </c>
      <c r="P5" s="1">
        <v>1.44835099092923E-9</v>
      </c>
      <c r="Q5">
        <v>65.865568937014103</v>
      </c>
      <c r="S5">
        <v>18.930893262638801</v>
      </c>
      <c r="AA5">
        <v>0.24935070707652399</v>
      </c>
      <c r="AB5">
        <v>4.0726095341570101</v>
      </c>
      <c r="AC5">
        <v>10.8815775591133</v>
      </c>
      <c r="AJ5">
        <v>0.35819907029371201</v>
      </c>
      <c r="AK5">
        <v>1.2119175512758E-2</v>
      </c>
      <c r="AL5">
        <v>0.62968175419352901</v>
      </c>
    </row>
    <row r="6" spans="1:38" x14ac:dyDescent="0.2">
      <c r="A6">
        <v>15</v>
      </c>
      <c r="B6">
        <v>732</v>
      </c>
      <c r="C6">
        <v>300</v>
      </c>
      <c r="D6">
        <v>0.256201064517732</v>
      </c>
      <c r="E6">
        <v>18.026322527699399</v>
      </c>
      <c r="F6">
        <v>2.5840273345990301</v>
      </c>
      <c r="G6">
        <v>-290.91702063940852</v>
      </c>
      <c r="H6">
        <v>-253.36809297908178</v>
      </c>
      <c r="I6">
        <v>37.3565414717472</v>
      </c>
      <c r="J6">
        <v>22.307067117255102</v>
      </c>
      <c r="K6">
        <v>6.9760572136117096</v>
      </c>
      <c r="L6">
        <v>3.2641360651976709E-5</v>
      </c>
      <c r="M6">
        <v>1.7982111268051454E-6</v>
      </c>
      <c r="N6" s="1">
        <v>-5.9049964369372599E-7</v>
      </c>
      <c r="O6" s="1">
        <v>5.8384825027933899E-11</v>
      </c>
      <c r="P6" s="1">
        <v>1.85018790157399E-9</v>
      </c>
      <c r="Q6">
        <v>64.539651738835701</v>
      </c>
      <c r="S6">
        <v>21.890019023911702</v>
      </c>
      <c r="AA6">
        <v>3.0000444108965199</v>
      </c>
      <c r="AB6">
        <v>8.87560704662679</v>
      </c>
      <c r="AC6">
        <v>1.6946777797292401</v>
      </c>
      <c r="AJ6">
        <v>0.76195899233548603</v>
      </c>
      <c r="AK6">
        <v>0.142321989688977</v>
      </c>
      <c r="AL6">
        <v>9.5719017975535906E-2</v>
      </c>
    </row>
    <row r="7" spans="1:38" x14ac:dyDescent="0.2">
      <c r="A7">
        <v>16</v>
      </c>
      <c r="B7">
        <v>730</v>
      </c>
      <c r="C7">
        <v>300</v>
      </c>
      <c r="D7">
        <v>0.25457857748093798</v>
      </c>
      <c r="E7">
        <v>32.771540153122402</v>
      </c>
      <c r="F7">
        <v>2.5272070875060799</v>
      </c>
      <c r="G7">
        <v>-513.91638243039097</v>
      </c>
      <c r="H7">
        <v>-447.06440132109549</v>
      </c>
      <c r="I7">
        <v>66.642058624627893</v>
      </c>
      <c r="J7">
        <v>39.087332954909797</v>
      </c>
      <c r="K7">
        <v>12.9674929748089</v>
      </c>
      <c r="L7">
        <v>2.8826167840647069E-5</v>
      </c>
      <c r="M7">
        <v>1.7886608862625928E-6</v>
      </c>
      <c r="N7" s="1">
        <v>-4.7806011993471302E-7</v>
      </c>
      <c r="O7" s="1">
        <v>1.2237278356842401E-10</v>
      </c>
      <c r="P7" s="1">
        <v>1.63238763737053E-9</v>
      </c>
      <c r="Q7">
        <v>65.868553246921394</v>
      </c>
      <c r="S7">
        <v>18.925718446835798</v>
      </c>
      <c r="AA7">
        <v>0.244385083134425</v>
      </c>
      <c r="AB7">
        <v>4.0656934563734204</v>
      </c>
      <c r="AC7">
        <v>10.895649766734801</v>
      </c>
      <c r="AJ7">
        <v>0.35760341030088899</v>
      </c>
      <c r="AK7">
        <v>1.1878251191241701E-2</v>
      </c>
      <c r="AL7">
        <v>0.63051833850786798</v>
      </c>
    </row>
    <row r="8" spans="1:38" x14ac:dyDescent="0.2">
      <c r="A8">
        <v>16</v>
      </c>
      <c r="B8">
        <v>730</v>
      </c>
      <c r="C8">
        <v>300</v>
      </c>
      <c r="D8">
        <v>0.25457857748093798</v>
      </c>
      <c r="E8">
        <v>19.358247277608498</v>
      </c>
      <c r="F8">
        <v>2.5839456732683299</v>
      </c>
      <c r="G8">
        <v>-312.33364165392265</v>
      </c>
      <c r="H8">
        <v>-272.13582694752972</v>
      </c>
      <c r="I8">
        <v>40.071589200411601</v>
      </c>
      <c r="J8">
        <v>23.999316927559601</v>
      </c>
      <c r="K8">
        <v>7.4917392721817802</v>
      </c>
      <c r="L8">
        <v>3.284801762195421E-5</v>
      </c>
      <c r="M8">
        <v>1.7997776630054723E-6</v>
      </c>
      <c r="N8" s="1">
        <v>-6.7772645601219402E-7</v>
      </c>
      <c r="O8" s="1">
        <v>6.2383781256304097E-11</v>
      </c>
      <c r="P8" s="1">
        <v>2.1096865922487702E-9</v>
      </c>
      <c r="Q8">
        <v>64.576117511973194</v>
      </c>
      <c r="S8">
        <v>21.866530054179801</v>
      </c>
      <c r="AA8">
        <v>2.9721569807173398</v>
      </c>
      <c r="AB8">
        <v>8.8952896789206903</v>
      </c>
      <c r="AC8">
        <v>1.6899057742088599</v>
      </c>
      <c r="AJ8">
        <v>0.76357448833295505</v>
      </c>
      <c r="AK8">
        <v>0.14098530506322199</v>
      </c>
      <c r="AL8">
        <v>9.5440206603821798E-2</v>
      </c>
    </row>
    <row r="9" spans="1:38" x14ac:dyDescent="0.2">
      <c r="A9">
        <v>17</v>
      </c>
      <c r="B9">
        <v>728</v>
      </c>
      <c r="C9">
        <v>300</v>
      </c>
      <c r="D9">
        <v>0.25294960795086002</v>
      </c>
      <c r="E9">
        <v>33.817147875669299</v>
      </c>
      <c r="F9">
        <v>2.5272746163616802</v>
      </c>
      <c r="G9">
        <v>-530.1382908756118</v>
      </c>
      <c r="H9">
        <v>-461.3774471099955</v>
      </c>
      <c r="I9">
        <v>68.681859627045199</v>
      </c>
      <c r="J9">
        <v>40.360975408849299</v>
      </c>
      <c r="K9">
        <v>13.3808758481313</v>
      </c>
      <c r="L9">
        <v>2.8892639967361064E-5</v>
      </c>
      <c r="M9">
        <v>1.7889612093373187E-6</v>
      </c>
      <c r="N9" s="1">
        <v>-5.2684823478210103E-7</v>
      </c>
      <c r="O9" s="1">
        <v>1.2603213292379799E-10</v>
      </c>
      <c r="P9" s="1">
        <v>1.77869240373774E-9</v>
      </c>
      <c r="Q9">
        <v>65.869109347203207</v>
      </c>
      <c r="S9">
        <v>18.9202022024405</v>
      </c>
      <c r="AA9">
        <v>0.23970436662810801</v>
      </c>
      <c r="AB9">
        <v>4.0524711441917498</v>
      </c>
      <c r="AC9">
        <v>10.9185129395362</v>
      </c>
      <c r="AJ9">
        <v>0.35646445932888099</v>
      </c>
      <c r="AK9">
        <v>1.16515322211554E-2</v>
      </c>
      <c r="AL9">
        <v>0.63188400844996195</v>
      </c>
    </row>
    <row r="10" spans="1:38" x14ac:dyDescent="0.2">
      <c r="A10">
        <v>17</v>
      </c>
      <c r="B10">
        <v>728</v>
      </c>
      <c r="C10">
        <v>300</v>
      </c>
      <c r="D10">
        <v>0.25294960795086002</v>
      </c>
      <c r="E10">
        <v>20.0961051618313</v>
      </c>
      <c r="F10">
        <v>2.5839996273725201</v>
      </c>
      <c r="G10">
        <v>-324.16269793022747</v>
      </c>
      <c r="H10">
        <v>-282.56401799442409</v>
      </c>
      <c r="I10">
        <v>41.550896404937703</v>
      </c>
      <c r="J10">
        <v>24.962221017051</v>
      </c>
      <c r="K10">
        <v>7.7771316020914396</v>
      </c>
      <c r="L10">
        <v>3.3058894330703462E-5</v>
      </c>
      <c r="M10">
        <v>1.8010539674633058E-6</v>
      </c>
      <c r="N10" s="1">
        <v>-7.5130436510806803E-7</v>
      </c>
      <c r="O10" s="1">
        <v>6.4397760303024297E-11</v>
      </c>
      <c r="P10" s="1">
        <v>2.3242496901654301E-9</v>
      </c>
      <c r="Q10">
        <v>64.598172781945607</v>
      </c>
      <c r="S10">
        <v>21.853779059223299</v>
      </c>
      <c r="AA10">
        <v>2.9564909835852302</v>
      </c>
      <c r="AB10">
        <v>8.9110102744767605</v>
      </c>
      <c r="AC10">
        <v>1.6805469007690601</v>
      </c>
      <c r="AJ10">
        <v>0.764864457245098</v>
      </c>
      <c r="AK10">
        <v>0.140231275671686</v>
      </c>
      <c r="AL10">
        <v>9.4904267083215296E-2</v>
      </c>
    </row>
    <row r="11" spans="1:38" x14ac:dyDescent="0.2">
      <c r="A11">
        <v>18</v>
      </c>
      <c r="B11">
        <v>726</v>
      </c>
      <c r="C11">
        <v>300</v>
      </c>
      <c r="D11">
        <v>0.251314116999449</v>
      </c>
      <c r="E11">
        <v>34.460607374653897</v>
      </c>
      <c r="F11">
        <v>2.5273432931691699</v>
      </c>
      <c r="G11">
        <v>-540.0415486336924</v>
      </c>
      <c r="H11">
        <v>-470.20163510434179</v>
      </c>
      <c r="I11">
        <v>69.899327958115094</v>
      </c>
      <c r="J11">
        <v>41.1572647150225</v>
      </c>
      <c r="K11">
        <v>13.6351114103861</v>
      </c>
      <c r="L11">
        <v>2.8961341864236605E-5</v>
      </c>
      <c r="M11">
        <v>1.7892425969540216E-6</v>
      </c>
      <c r="N11" s="1">
        <v>-5.7245683949099001E-7</v>
      </c>
      <c r="O11" s="1">
        <v>1.28172530047019E-10</v>
      </c>
      <c r="P11" s="1">
        <v>1.91221005695924E-9</v>
      </c>
      <c r="Q11">
        <v>65.868635628185899</v>
      </c>
      <c r="S11">
        <v>18.914584818330599</v>
      </c>
      <c r="AA11">
        <v>0.23518050307655899</v>
      </c>
      <c r="AB11">
        <v>4.03668878400756</v>
      </c>
      <c r="AC11">
        <v>10.9449102663992</v>
      </c>
      <c r="AJ11">
        <v>0.35510478009181401</v>
      </c>
      <c r="AK11">
        <v>1.14325564857242E-2</v>
      </c>
      <c r="AL11">
        <v>0.63346266342246105</v>
      </c>
    </row>
    <row r="12" spans="1:38" x14ac:dyDescent="0.2">
      <c r="A12">
        <v>18</v>
      </c>
      <c r="B12">
        <v>726</v>
      </c>
      <c r="C12">
        <v>300</v>
      </c>
      <c r="D12">
        <v>0.251314116999449</v>
      </c>
      <c r="E12">
        <v>20.590281066386598</v>
      </c>
      <c r="F12">
        <v>2.5841086271184102</v>
      </c>
      <c r="G12">
        <v>-332.05875572772482</v>
      </c>
      <c r="H12">
        <v>-289.57210273309698</v>
      </c>
      <c r="I12">
        <v>42.5227973723944</v>
      </c>
      <c r="J12">
        <v>25.6285141104803</v>
      </c>
      <c r="K12">
        <v>7.9680400623666001</v>
      </c>
      <c r="L12">
        <v>3.3279462803723958E-5</v>
      </c>
      <c r="M12">
        <v>1.8022368965070812E-6</v>
      </c>
      <c r="N12" s="1">
        <v>-8.21440829477099E-7</v>
      </c>
      <c r="O12" s="1">
        <v>6.5581109297709006E-11</v>
      </c>
      <c r="P12" s="1">
        <v>2.52617889575598E-9</v>
      </c>
      <c r="Q12">
        <v>64.614452431980396</v>
      </c>
      <c r="S12">
        <v>21.845325854403502</v>
      </c>
      <c r="AA12">
        <v>2.9457183692764701</v>
      </c>
      <c r="AB12">
        <v>8.92512742627272</v>
      </c>
      <c r="AC12">
        <v>1.6693759180668399</v>
      </c>
      <c r="AJ12">
        <v>0.76602262883338401</v>
      </c>
      <c r="AK12">
        <v>0.13971054510505901</v>
      </c>
      <c r="AL12">
        <v>9.4266826061556203E-2</v>
      </c>
    </row>
    <row r="13" spans="1:38" x14ac:dyDescent="0.2">
      <c r="A13">
        <v>19</v>
      </c>
      <c r="B13">
        <v>724</v>
      </c>
      <c r="C13">
        <v>300</v>
      </c>
      <c r="D13">
        <v>0.249672065386352</v>
      </c>
      <c r="E13">
        <v>34.894495303573599</v>
      </c>
      <c r="F13">
        <v>2.5274134990363302</v>
      </c>
      <c r="G13">
        <v>-546.6520710729452</v>
      </c>
      <c r="H13">
        <v>-476.16538510030938</v>
      </c>
      <c r="I13">
        <v>70.6881471921333</v>
      </c>
      <c r="J13">
        <v>41.705942277048798</v>
      </c>
      <c r="K13">
        <v>13.8064053693146</v>
      </c>
      <c r="L13">
        <v>2.9033641714172345E-5</v>
      </c>
      <c r="M13">
        <v>1.7895208674914574E-6</v>
      </c>
      <c r="N13" s="1">
        <v>-6.1720573145094904E-7</v>
      </c>
      <c r="O13" s="1">
        <v>1.29516029330004E-10</v>
      </c>
      <c r="P13" s="1">
        <v>2.0411084060718598E-9</v>
      </c>
      <c r="Q13">
        <v>65.867601793500398</v>
      </c>
      <c r="S13">
        <v>18.9089463255896</v>
      </c>
      <c r="AA13">
        <v>0.23076992002213001</v>
      </c>
      <c r="AB13">
        <v>4.0196028970683297</v>
      </c>
      <c r="AC13">
        <v>10.9730790638193</v>
      </c>
      <c r="AJ13">
        <v>0.35363254914687298</v>
      </c>
      <c r="AK13">
        <v>1.12191271731393E-2</v>
      </c>
      <c r="AL13">
        <v>0.63514832367998597</v>
      </c>
    </row>
    <row r="14" spans="1:38" x14ac:dyDescent="0.2">
      <c r="A14">
        <v>19</v>
      </c>
      <c r="B14">
        <v>724</v>
      </c>
      <c r="C14">
        <v>300</v>
      </c>
      <c r="D14">
        <v>0.249672065386352</v>
      </c>
      <c r="E14">
        <v>20.958546523078699</v>
      </c>
      <c r="F14">
        <v>2.5842458100160401</v>
      </c>
      <c r="G14">
        <v>-337.92234572106656</v>
      </c>
      <c r="H14">
        <v>-294.81340996330687</v>
      </c>
      <c r="I14">
        <v>43.232147377786397</v>
      </c>
      <c r="J14">
        <v>26.143809423641802</v>
      </c>
      <c r="K14">
        <v>8.1101211199984995</v>
      </c>
      <c r="L14">
        <v>3.3512025737083763E-5</v>
      </c>
      <c r="M14">
        <v>1.8033932315381176E-6</v>
      </c>
      <c r="N14" s="1">
        <v>-8.9152028409068499E-7</v>
      </c>
      <c r="O14" s="1">
        <v>6.6322960236708498E-11</v>
      </c>
      <c r="P14" s="1">
        <v>2.7261386190650298E-9</v>
      </c>
      <c r="Q14">
        <v>64.627831388564402</v>
      </c>
      <c r="S14">
        <v>21.839023912389798</v>
      </c>
      <c r="AA14">
        <v>2.9373974059716401</v>
      </c>
      <c r="AB14">
        <v>8.9384203533719706</v>
      </c>
      <c r="AC14">
        <v>1.65732693970209</v>
      </c>
      <c r="AJ14">
        <v>0.76711300297625395</v>
      </c>
      <c r="AK14">
        <v>0.13930672005923</v>
      </c>
      <c r="AL14">
        <v>9.3580276964515499E-2</v>
      </c>
    </row>
    <row r="15" spans="1:38" x14ac:dyDescent="0.2">
      <c r="A15">
        <v>32</v>
      </c>
      <c r="B15">
        <v>736</v>
      </c>
      <c r="C15">
        <v>290</v>
      </c>
      <c r="D15">
        <v>0.27032700787792002</v>
      </c>
      <c r="E15">
        <v>20.5924842382191</v>
      </c>
      <c r="F15">
        <v>2.5265763729385999</v>
      </c>
      <c r="G15">
        <v>-323.2952426145992</v>
      </c>
      <c r="H15">
        <v>-280.88176293472588</v>
      </c>
      <c r="I15">
        <v>42.028915106647403</v>
      </c>
      <c r="J15">
        <v>24.512616575548599</v>
      </c>
      <c r="K15">
        <v>8.1503509883092899</v>
      </c>
      <c r="L15">
        <v>2.8613496332296066E-5</v>
      </c>
      <c r="M15">
        <v>1.7881185398142241E-6</v>
      </c>
      <c r="N15" s="1">
        <v>-2.41335305559524E-7</v>
      </c>
      <c r="O15" s="1">
        <v>7.7338822761170404E-11</v>
      </c>
      <c r="P15" s="1">
        <v>8.5871566714957599E-10</v>
      </c>
      <c r="Q15">
        <v>65.8552957924949</v>
      </c>
      <c r="S15">
        <v>18.942272645720799</v>
      </c>
      <c r="AA15">
        <v>0.26113591246540102</v>
      </c>
      <c r="AB15">
        <v>4.0795489145900703</v>
      </c>
      <c r="AC15">
        <v>10.8617467347286</v>
      </c>
      <c r="AJ15">
        <v>0.35879664129450001</v>
      </c>
      <c r="AK15">
        <v>1.2691519353399801E-2</v>
      </c>
      <c r="AL15">
        <v>0.62851183935209898</v>
      </c>
    </row>
    <row r="16" spans="1:38" x14ac:dyDescent="0.2">
      <c r="A16">
        <v>32</v>
      </c>
      <c r="B16">
        <v>736</v>
      </c>
      <c r="C16">
        <v>290</v>
      </c>
      <c r="D16">
        <v>0.27032700787792002</v>
      </c>
      <c r="E16">
        <v>11.909590296371199</v>
      </c>
      <c r="F16">
        <v>2.5842174012050201</v>
      </c>
      <c r="G16">
        <v>-192.35722150824782</v>
      </c>
      <c r="H16">
        <v>-167.39576465948031</v>
      </c>
      <c r="I16">
        <v>24.7351304055566</v>
      </c>
      <c r="J16">
        <v>14.6839113526293</v>
      </c>
      <c r="K16">
        <v>4.6085868359286701</v>
      </c>
      <c r="L16">
        <v>3.2203939563747201E-5</v>
      </c>
      <c r="M16">
        <v>1.7945073458410631E-6</v>
      </c>
      <c r="N16" s="1">
        <v>-3.3764935802187898E-7</v>
      </c>
      <c r="O16" s="1">
        <v>3.8915491603204603E-11</v>
      </c>
      <c r="P16" s="1">
        <v>1.0739026077730001E-9</v>
      </c>
      <c r="Q16">
        <v>64.414085888837704</v>
      </c>
      <c r="S16">
        <v>21.9760920286441</v>
      </c>
      <c r="AA16">
        <v>3.1003545956197498</v>
      </c>
      <c r="AB16">
        <v>8.8214418546383992</v>
      </c>
      <c r="AC16">
        <v>1.6880256322599301</v>
      </c>
      <c r="AJ16">
        <v>0.75751125789455398</v>
      </c>
      <c r="AK16">
        <v>0.147119985725158</v>
      </c>
      <c r="AL16">
        <v>9.5368756380286898E-2</v>
      </c>
    </row>
    <row r="17" spans="1:38" x14ac:dyDescent="0.2">
      <c r="A17">
        <v>33</v>
      </c>
      <c r="B17">
        <v>734</v>
      </c>
      <c r="C17">
        <v>290</v>
      </c>
      <c r="D17">
        <v>0.268739016035347</v>
      </c>
      <c r="E17">
        <v>29.870454292665499</v>
      </c>
      <c r="F17">
        <v>2.5266511292195002</v>
      </c>
      <c r="G17">
        <v>-468.88568213771532</v>
      </c>
      <c r="H17">
        <v>-407.54595441990733</v>
      </c>
      <c r="I17">
        <v>60.904262242772198</v>
      </c>
      <c r="J17">
        <v>35.586357860395303</v>
      </c>
      <c r="K17">
        <v>11.8221522343263</v>
      </c>
      <c r="L17">
        <v>2.8705405674827471E-5</v>
      </c>
      <c r="M17">
        <v>1.7888964150632049E-6</v>
      </c>
      <c r="N17" s="1">
        <v>-3.7931837028000601E-7</v>
      </c>
      <c r="O17" s="1">
        <v>1.11940271003291E-10</v>
      </c>
      <c r="P17" s="1">
        <v>1.3287224531551501E-9</v>
      </c>
      <c r="Q17">
        <v>65.8718730155814</v>
      </c>
      <c r="S17">
        <v>18.939349687805802</v>
      </c>
      <c r="AA17">
        <v>0.25485637387476001</v>
      </c>
      <c r="AB17">
        <v>4.1088274532184004</v>
      </c>
      <c r="AC17">
        <v>10.8250934695195</v>
      </c>
      <c r="AJ17">
        <v>0.36131788139882398</v>
      </c>
      <c r="AK17">
        <v>1.23844818557213E-2</v>
      </c>
      <c r="AL17">
        <v>0.62629763674545402</v>
      </c>
    </row>
    <row r="18" spans="1:38" x14ac:dyDescent="0.2">
      <c r="A18">
        <v>33</v>
      </c>
      <c r="B18">
        <v>734</v>
      </c>
      <c r="C18">
        <v>290</v>
      </c>
      <c r="D18">
        <v>0.268739016035347</v>
      </c>
      <c r="E18">
        <v>17.470486196950901</v>
      </c>
      <c r="F18">
        <v>2.5833583352171199</v>
      </c>
      <c r="G18">
        <v>-282.07439118048171</v>
      </c>
      <c r="H18">
        <v>-245.5659649299424</v>
      </c>
      <c r="I18">
        <v>36.249244154832297</v>
      </c>
      <c r="J18">
        <v>21.578048592426999</v>
      </c>
      <c r="K18">
        <v>6.7627033999844199</v>
      </c>
      <c r="L18">
        <v>3.2432311455958148E-5</v>
      </c>
      <c r="M18">
        <v>1.7978838388294233E-6</v>
      </c>
      <c r="N18" s="1">
        <v>-5.3105871785427005E-7</v>
      </c>
      <c r="O18" s="1">
        <v>5.6922157568112601E-11</v>
      </c>
      <c r="P18" s="1">
        <v>1.6765192908380399E-9</v>
      </c>
      <c r="Q18">
        <v>64.533716342851903</v>
      </c>
      <c r="S18">
        <v>21.890631179055401</v>
      </c>
      <c r="AA18">
        <v>3.0019343886688201</v>
      </c>
      <c r="AB18">
        <v>8.8639851792150903</v>
      </c>
      <c r="AC18">
        <v>1.70973291020868</v>
      </c>
      <c r="AJ18">
        <v>0.76100519228157704</v>
      </c>
      <c r="AK18">
        <v>0.14241986998009301</v>
      </c>
      <c r="AL18">
        <v>9.6574937738328703E-2</v>
      </c>
    </row>
    <row r="19" spans="1:38" x14ac:dyDescent="0.2">
      <c r="A19">
        <v>34</v>
      </c>
      <c r="B19">
        <v>732</v>
      </c>
      <c r="C19">
        <v>290</v>
      </c>
      <c r="D19">
        <v>0.267144704770434</v>
      </c>
      <c r="E19">
        <v>32.413293417886798</v>
      </c>
      <c r="F19">
        <v>2.5267168635709898</v>
      </c>
      <c r="G19">
        <v>-508.64692994915833</v>
      </c>
      <c r="H19">
        <v>-442.29803374931856</v>
      </c>
      <c r="I19">
        <v>66.008950106789698</v>
      </c>
      <c r="J19">
        <v>38.639220254737602</v>
      </c>
      <c r="K19">
        <v>12.8282253881336</v>
      </c>
      <c r="L19">
        <v>2.8768757256217367E-5</v>
      </c>
      <c r="M19">
        <v>1.7892509119367016E-6</v>
      </c>
      <c r="N19" s="1">
        <v>-4.4100199480439302E-7</v>
      </c>
      <c r="O19" s="1">
        <v>1.2125012492622501E-10</v>
      </c>
      <c r="P19" s="1">
        <v>1.5248992046939501E-9</v>
      </c>
      <c r="Q19">
        <v>65.874975801825698</v>
      </c>
      <c r="S19">
        <v>18.934123015665499</v>
      </c>
      <c r="AA19">
        <v>0.24982032308982499</v>
      </c>
      <c r="AB19">
        <v>4.1020394454696003</v>
      </c>
      <c r="AC19">
        <v>10.8390414139492</v>
      </c>
      <c r="AJ19">
        <v>0.36073346931211903</v>
      </c>
      <c r="AK19">
        <v>1.2140181016526801E-2</v>
      </c>
      <c r="AL19">
        <v>0.62712634967135295</v>
      </c>
    </row>
    <row r="20" spans="1:38" x14ac:dyDescent="0.2">
      <c r="A20">
        <v>34</v>
      </c>
      <c r="B20">
        <v>732</v>
      </c>
      <c r="C20">
        <v>290</v>
      </c>
      <c r="D20">
        <v>0.267144704770434</v>
      </c>
      <c r="E20">
        <v>19.055124243147802</v>
      </c>
      <c r="F20">
        <v>2.5832759835399401</v>
      </c>
      <c r="G20">
        <v>-307.5821341408278</v>
      </c>
      <c r="H20">
        <v>-267.88580873116967</v>
      </c>
      <c r="I20">
        <v>39.492936785214198</v>
      </c>
      <c r="J20">
        <v>23.575353221295099</v>
      </c>
      <c r="K20">
        <v>7.3763408805574002</v>
      </c>
      <c r="L20">
        <v>3.2625708437943149E-5</v>
      </c>
      <c r="M20">
        <v>1.7994082887830259E-6</v>
      </c>
      <c r="N20" s="1">
        <v>-6.1918947068452995E-7</v>
      </c>
      <c r="O20" s="1">
        <v>6.1797173072474902E-11</v>
      </c>
      <c r="P20" s="1">
        <v>1.9414122200164801E-9</v>
      </c>
      <c r="Q20">
        <v>64.570021202113594</v>
      </c>
      <c r="S20">
        <v>21.867244023363</v>
      </c>
      <c r="AA20">
        <v>2.9741685031677898</v>
      </c>
      <c r="AB20">
        <v>8.8835761423058894</v>
      </c>
      <c r="AC20">
        <v>1.70499012904953</v>
      </c>
      <c r="AJ20">
        <v>0.76261335027930199</v>
      </c>
      <c r="AK20">
        <v>0.14108892844559601</v>
      </c>
      <c r="AL20">
        <v>9.6297721275101097E-2</v>
      </c>
    </row>
    <row r="21" spans="1:38" x14ac:dyDescent="0.2">
      <c r="A21">
        <v>35</v>
      </c>
      <c r="B21">
        <v>730</v>
      </c>
      <c r="C21">
        <v>290</v>
      </c>
      <c r="D21">
        <v>0.265544036285703</v>
      </c>
      <c r="E21">
        <v>33.642920251696502</v>
      </c>
      <c r="F21">
        <v>2.52678209468458</v>
      </c>
      <c r="G21">
        <v>-527.76744669457366</v>
      </c>
      <c r="H21">
        <v>-459.12482623323751</v>
      </c>
      <c r="I21">
        <v>68.427075174536398</v>
      </c>
      <c r="J21">
        <v>40.129145542781501</v>
      </c>
      <c r="K21">
        <v>13.3145316814096</v>
      </c>
      <c r="L21">
        <v>2.8830033832805549E-5</v>
      </c>
      <c r="M21">
        <v>1.7895334711915234E-6</v>
      </c>
      <c r="N21" s="1">
        <v>-4.8916206265074697E-7</v>
      </c>
      <c r="O21" s="1">
        <v>1.2562056541848901E-10</v>
      </c>
      <c r="P21" s="1">
        <v>1.67129625451522E-9</v>
      </c>
      <c r="Q21">
        <v>65.875453716174903</v>
      </c>
      <c r="S21">
        <v>18.928511547872802</v>
      </c>
      <c r="AA21">
        <v>0.245079289924195</v>
      </c>
      <c r="AB21">
        <v>4.0883932596129897</v>
      </c>
      <c r="AC21">
        <v>10.8625621864149</v>
      </c>
      <c r="AJ21">
        <v>0.35955843865336501</v>
      </c>
      <c r="AK21">
        <v>1.1910616077124099E-2</v>
      </c>
      <c r="AL21">
        <v>0.62853094526951003</v>
      </c>
    </row>
    <row r="22" spans="1:38" x14ac:dyDescent="0.2">
      <c r="A22">
        <v>35</v>
      </c>
      <c r="B22">
        <v>730</v>
      </c>
      <c r="C22">
        <v>290</v>
      </c>
      <c r="D22">
        <v>0.265544036285703</v>
      </c>
      <c r="E22">
        <v>19.870870261494499</v>
      </c>
      <c r="F22">
        <v>2.58333996790188</v>
      </c>
      <c r="G22">
        <v>-320.67506692252249</v>
      </c>
      <c r="H22">
        <v>-279.40925707437469</v>
      </c>
      <c r="I22">
        <v>41.136230721375497</v>
      </c>
      <c r="J22">
        <v>24.6285920927041</v>
      </c>
      <c r="K22">
        <v>7.6919300240738702</v>
      </c>
      <c r="L22">
        <v>3.2821998506461219E-5</v>
      </c>
      <c r="M22">
        <v>1.8006160180179593E-6</v>
      </c>
      <c r="N22" s="1">
        <v>-6.8975518604445802E-7</v>
      </c>
      <c r="O22" s="1">
        <v>6.4104681839005506E-11</v>
      </c>
      <c r="P22" s="1">
        <v>2.1486346028231299E-9</v>
      </c>
      <c r="Q22">
        <v>64.590819825238199</v>
      </c>
      <c r="S22">
        <v>21.8554275475915</v>
      </c>
      <c r="AA22">
        <v>2.9595667152945402</v>
      </c>
      <c r="AB22">
        <v>8.8989463312795802</v>
      </c>
      <c r="AC22">
        <v>1.69523958059609</v>
      </c>
      <c r="AJ22">
        <v>0.763874703142147</v>
      </c>
      <c r="AK22">
        <v>0.140385568515348</v>
      </c>
      <c r="AL22">
        <v>9.5739728342503702E-2</v>
      </c>
    </row>
    <row r="23" spans="1:38" x14ac:dyDescent="0.2">
      <c r="A23">
        <v>36</v>
      </c>
      <c r="B23">
        <v>728</v>
      </c>
      <c r="C23">
        <v>290</v>
      </c>
      <c r="D23">
        <v>0.26393697248164799</v>
      </c>
      <c r="E23">
        <v>34.375897104886498</v>
      </c>
      <c r="F23">
        <v>2.5268483103778601</v>
      </c>
      <c r="G23">
        <v>-539.08109753855877</v>
      </c>
      <c r="H23">
        <v>-469.17199687637469</v>
      </c>
      <c r="I23">
        <v>69.828797545007404</v>
      </c>
      <c r="J23">
        <v>41.029271177843498</v>
      </c>
      <c r="K23">
        <v>13.6042583022112</v>
      </c>
      <c r="L23">
        <v>2.8893351916703433E-5</v>
      </c>
      <c r="M23">
        <v>1.7897968125641075E-6</v>
      </c>
      <c r="N23" s="1">
        <v>-5.3339243878752098E-7</v>
      </c>
      <c r="O23" s="1">
        <v>1.28114535686231E-10</v>
      </c>
      <c r="P23" s="1">
        <v>1.8020295616177799E-9</v>
      </c>
      <c r="Q23">
        <v>65.874913441925401</v>
      </c>
      <c r="S23">
        <v>18.922798127081599</v>
      </c>
      <c r="AA23">
        <v>0.240491724880777</v>
      </c>
      <c r="AB23">
        <v>4.0722108120167304</v>
      </c>
      <c r="AC23">
        <v>10.889585894095299</v>
      </c>
      <c r="AJ23">
        <v>0.35816479828981801</v>
      </c>
      <c r="AK23">
        <v>1.1688629007876801E-2</v>
      </c>
      <c r="AL23">
        <v>0.63014657270230401</v>
      </c>
    </row>
    <row r="24" spans="1:38" x14ac:dyDescent="0.2">
      <c r="A24">
        <v>36</v>
      </c>
      <c r="B24">
        <v>728</v>
      </c>
      <c r="C24">
        <v>290</v>
      </c>
      <c r="D24">
        <v>0.26393697248164799</v>
      </c>
      <c r="E24">
        <v>20.398350711936001</v>
      </c>
      <c r="F24">
        <v>2.5834580108125502</v>
      </c>
      <c r="G24">
        <v>-329.11328591644622</v>
      </c>
      <c r="H24">
        <v>-286.88581807932798</v>
      </c>
      <c r="I24">
        <v>42.178962030782799</v>
      </c>
      <c r="J24">
        <v>25.330406792132901</v>
      </c>
      <c r="K24">
        <v>7.8957546925720399</v>
      </c>
      <c r="L24">
        <v>3.3027241510932151E-5</v>
      </c>
      <c r="M24">
        <v>1.8017308818000715E-6</v>
      </c>
      <c r="N24" s="1">
        <v>-7.55996559752228E-7</v>
      </c>
      <c r="O24" s="1">
        <v>6.5432021278729194E-11</v>
      </c>
      <c r="P24" s="1">
        <v>2.3403715892200499E-9</v>
      </c>
      <c r="Q24">
        <v>64.605960269660301</v>
      </c>
      <c r="S24">
        <v>21.8478264090603</v>
      </c>
      <c r="AA24">
        <v>2.94976288245411</v>
      </c>
      <c r="AB24">
        <v>8.91275862700126</v>
      </c>
      <c r="AC24">
        <v>1.68369181182385</v>
      </c>
      <c r="AJ24">
        <v>0.76500798950173199</v>
      </c>
      <c r="AK24">
        <v>0.13991095545283599</v>
      </c>
      <c r="AL24">
        <v>9.5081055045431198E-2</v>
      </c>
    </row>
    <row r="25" spans="1:38" x14ac:dyDescent="0.2">
      <c r="A25">
        <v>37</v>
      </c>
      <c r="B25">
        <v>726</v>
      </c>
      <c r="C25">
        <v>290</v>
      </c>
      <c r="D25">
        <v>0.26232347495371</v>
      </c>
      <c r="E25">
        <v>34.861513981115401</v>
      </c>
      <c r="F25">
        <v>2.5269159914888299</v>
      </c>
      <c r="G25">
        <v>-546.50655908654073</v>
      </c>
      <c r="H25">
        <v>-475.84250778789868</v>
      </c>
      <c r="I25">
        <v>70.724166840456405</v>
      </c>
      <c r="J25">
        <v>41.636797051315</v>
      </c>
      <c r="K25">
        <v>13.7960716139896</v>
      </c>
      <c r="L25">
        <v>2.8960118428969248E-5</v>
      </c>
      <c r="M25">
        <v>1.7900573656039339E-6</v>
      </c>
      <c r="N25" s="1">
        <v>-5.7658728196195397E-7</v>
      </c>
      <c r="O25" s="1">
        <v>1.29667447074894E-10</v>
      </c>
      <c r="P25" s="1">
        <v>1.9273832629429801E-9</v>
      </c>
      <c r="Q25">
        <v>65.873842304930804</v>
      </c>
      <c r="S25">
        <v>18.9170678189633</v>
      </c>
      <c r="AA25">
        <v>0.23601409718383901</v>
      </c>
      <c r="AB25">
        <v>4.0548010929332996</v>
      </c>
      <c r="AC25">
        <v>10.9182746859886</v>
      </c>
      <c r="AJ25">
        <v>0.35666520433738302</v>
      </c>
      <c r="AK25">
        <v>1.1472020702972799E-2</v>
      </c>
      <c r="AL25">
        <v>0.63186277495964305</v>
      </c>
    </row>
    <row r="26" spans="1:38" x14ac:dyDescent="0.2">
      <c r="A26">
        <v>37</v>
      </c>
      <c r="B26">
        <v>726</v>
      </c>
      <c r="C26">
        <v>290</v>
      </c>
      <c r="D26">
        <v>0.26232347495371</v>
      </c>
      <c r="E26">
        <v>20.783595297610798</v>
      </c>
      <c r="F26">
        <v>2.5836023230095</v>
      </c>
      <c r="G26">
        <v>-335.25445968245367</v>
      </c>
      <c r="H26">
        <v>-292.36597278030325</v>
      </c>
      <c r="I26">
        <v>42.924973129310203</v>
      </c>
      <c r="J26">
        <v>25.861027762951402</v>
      </c>
      <c r="K26">
        <v>8.0444250697998498</v>
      </c>
      <c r="L26">
        <v>3.324377051812842E-5</v>
      </c>
      <c r="M26">
        <v>1.8028215384562417E-6</v>
      </c>
      <c r="N26" s="1">
        <v>-8.2194763556026298E-7</v>
      </c>
      <c r="O26" s="1">
        <v>6.6262186478226905E-11</v>
      </c>
      <c r="P26" s="1">
        <v>2.5294173635657101E-9</v>
      </c>
      <c r="Q26">
        <v>64.618404269285406</v>
      </c>
      <c r="S26">
        <v>21.842226247049599</v>
      </c>
      <c r="AA26">
        <v>2.94223905426204</v>
      </c>
      <c r="AB26">
        <v>8.9258078601633901</v>
      </c>
      <c r="AC26">
        <v>1.6713225692394</v>
      </c>
      <c r="AJ26">
        <v>0.76607849623306101</v>
      </c>
      <c r="AK26">
        <v>0.13954506562215299</v>
      </c>
      <c r="AL26">
        <v>9.4376438144785094E-2</v>
      </c>
    </row>
    <row r="27" spans="1:38" x14ac:dyDescent="0.2">
      <c r="A27">
        <v>38</v>
      </c>
      <c r="B27">
        <v>724</v>
      </c>
      <c r="C27">
        <v>290</v>
      </c>
      <c r="D27">
        <v>0.26070350498922301</v>
      </c>
      <c r="E27">
        <v>35.203769579346798</v>
      </c>
      <c r="F27">
        <v>2.5269853465279399</v>
      </c>
      <c r="G27">
        <v>-551.67879201698099</v>
      </c>
      <c r="H27">
        <v>-480.55605210174053</v>
      </c>
      <c r="I27">
        <v>71.326019069588597</v>
      </c>
      <c r="J27">
        <v>42.0757703990461</v>
      </c>
      <c r="K27">
        <v>13.931133248444199</v>
      </c>
      <c r="L27">
        <v>2.9031039676938683E-5</v>
      </c>
      <c r="M27">
        <v>1.7903222310454847E-6</v>
      </c>
      <c r="N27" s="1">
        <v>-6.1988293757088499E-7</v>
      </c>
      <c r="O27" s="1">
        <v>1.3067025538585401E-10</v>
      </c>
      <c r="P27" s="1">
        <v>2.0514137123136798E-9</v>
      </c>
      <c r="Q27">
        <v>65.872440920645005</v>
      </c>
      <c r="S27">
        <v>18.911355048682299</v>
      </c>
      <c r="AA27">
        <v>0.23162799707283699</v>
      </c>
      <c r="AB27">
        <v>4.0367014131891903</v>
      </c>
      <c r="AC27">
        <v>10.9478746204105</v>
      </c>
      <c r="AJ27">
        <v>0.35510589598701697</v>
      </c>
      <c r="AK27">
        <v>1.12598627956752E-2</v>
      </c>
      <c r="AL27">
        <v>0.63363424121730705</v>
      </c>
    </row>
    <row r="28" spans="1:38" x14ac:dyDescent="0.2">
      <c r="A28">
        <v>38</v>
      </c>
      <c r="B28">
        <v>724</v>
      </c>
      <c r="C28">
        <v>290</v>
      </c>
      <c r="D28">
        <v>0.26070350498922301</v>
      </c>
      <c r="E28">
        <v>21.087135166437601</v>
      </c>
      <c r="F28">
        <v>2.5837615728942498</v>
      </c>
      <c r="G28">
        <v>-340.07586568562749</v>
      </c>
      <c r="H28">
        <v>-296.69961412890575</v>
      </c>
      <c r="I28">
        <v>43.500227204253797</v>
      </c>
      <c r="J28">
        <v>26.295305831895199</v>
      </c>
      <c r="K28">
        <v>8.1614090818822902</v>
      </c>
      <c r="L28">
        <v>3.3472971703711249E-5</v>
      </c>
      <c r="M28">
        <v>1.8039172095683219E-6</v>
      </c>
      <c r="N28" s="1">
        <v>-8.89244659425995E-7</v>
      </c>
      <c r="O28" s="1">
        <v>6.6796077458253596E-11</v>
      </c>
      <c r="P28" s="1">
        <v>2.7209194363817099E-9</v>
      </c>
      <c r="Q28">
        <v>64.629362187384999</v>
      </c>
      <c r="S28">
        <v>21.837721667192401</v>
      </c>
      <c r="AA28">
        <v>2.9359658493724599</v>
      </c>
      <c r="AB28">
        <v>8.9384176513773301</v>
      </c>
      <c r="AC28">
        <v>1.6585326446726101</v>
      </c>
      <c r="AJ28">
        <v>0.76711280495217604</v>
      </c>
      <c r="AK28">
        <v>0.13923883431878001</v>
      </c>
      <c r="AL28">
        <v>9.3648360729042507E-2</v>
      </c>
    </row>
    <row r="29" spans="1:38" x14ac:dyDescent="0.2">
      <c r="A29">
        <v>51</v>
      </c>
      <c r="B29">
        <v>736</v>
      </c>
      <c r="C29">
        <v>280</v>
      </c>
      <c r="D29">
        <v>0.281227270475152</v>
      </c>
      <c r="E29">
        <v>28.657447463390401</v>
      </c>
      <c r="F29">
        <v>2.5261665188931199</v>
      </c>
      <c r="G29">
        <v>-450.15451885851974</v>
      </c>
      <c r="H29">
        <v>-391.1039471600692</v>
      </c>
      <c r="I29">
        <v>58.515158002725499</v>
      </c>
      <c r="J29">
        <v>34.126423349024499</v>
      </c>
      <c r="K29">
        <v>11.344243243294599</v>
      </c>
      <c r="L29">
        <v>2.8657568407536378E-5</v>
      </c>
      <c r="M29">
        <v>1.7895163089484089E-6</v>
      </c>
      <c r="N29" s="1">
        <v>-3.3906542824956102E-7</v>
      </c>
      <c r="O29" s="1">
        <v>1.07559524650568E-10</v>
      </c>
      <c r="P29" s="1">
        <v>1.20444050110359E-9</v>
      </c>
      <c r="Q29">
        <v>65.878321268347506</v>
      </c>
      <c r="S29">
        <v>18.947946770548199</v>
      </c>
      <c r="AA29">
        <v>0.26044444353458002</v>
      </c>
      <c r="AB29">
        <v>4.14573540887225</v>
      </c>
      <c r="AC29">
        <v>10.7675521086974</v>
      </c>
      <c r="AJ29">
        <v>0.36449492973687603</v>
      </c>
      <c r="AK29">
        <v>1.2653649406210599E-2</v>
      </c>
      <c r="AL29">
        <v>0.62285142085691203</v>
      </c>
    </row>
    <row r="30" spans="1:38" x14ac:dyDescent="0.2">
      <c r="A30">
        <v>51</v>
      </c>
      <c r="B30">
        <v>736</v>
      </c>
      <c r="C30">
        <v>280</v>
      </c>
      <c r="D30">
        <v>0.281227270475152</v>
      </c>
      <c r="E30">
        <v>16.767628972089401</v>
      </c>
      <c r="F30">
        <v>2.58267483329224</v>
      </c>
      <c r="G30">
        <v>-270.84831297255772</v>
      </c>
      <c r="H30">
        <v>-235.69598479122698</v>
      </c>
      <c r="I30">
        <v>34.833600734609</v>
      </c>
      <c r="J30">
        <v>20.6734602881751</v>
      </c>
      <c r="K30">
        <v>6.4923500070332203</v>
      </c>
      <c r="L30">
        <v>3.2237974810180862E-5</v>
      </c>
      <c r="M30">
        <v>1.7976344572594241E-6</v>
      </c>
      <c r="N30" s="1">
        <v>-4.7293635698956902E-7</v>
      </c>
      <c r="O30" s="1">
        <v>5.4936570354930403E-11</v>
      </c>
      <c r="P30" s="1">
        <v>1.5048699721729299E-9</v>
      </c>
      <c r="Q30">
        <v>64.529473558337799</v>
      </c>
      <c r="S30">
        <v>21.8899742799744</v>
      </c>
      <c r="AA30">
        <v>3.00238243596469</v>
      </c>
      <c r="AB30">
        <v>8.8528082150708993</v>
      </c>
      <c r="AC30">
        <v>1.7253615106521001</v>
      </c>
      <c r="AJ30">
        <v>0.76008782366936101</v>
      </c>
      <c r="AK30">
        <v>0.14244903796908401</v>
      </c>
      <c r="AL30">
        <v>9.7463138361554902E-2</v>
      </c>
    </row>
    <row r="31" spans="1:38" x14ac:dyDescent="0.2">
      <c r="A31">
        <v>52</v>
      </c>
      <c r="B31">
        <v>734</v>
      </c>
      <c r="C31">
        <v>280</v>
      </c>
      <c r="D31">
        <v>0.27966092439060802</v>
      </c>
      <c r="E31">
        <v>31.966100266475902</v>
      </c>
      <c r="F31">
        <v>2.5262305029108201</v>
      </c>
      <c r="G31">
        <v>-501.97438393596542</v>
      </c>
      <c r="H31">
        <v>-436.31598439039436</v>
      </c>
      <c r="I31">
        <v>65.1922747808878</v>
      </c>
      <c r="J31">
        <v>38.087727403527097</v>
      </c>
      <c r="K31">
        <v>12.653675200914201</v>
      </c>
      <c r="L31">
        <v>2.8716453447379916E-5</v>
      </c>
      <c r="M31">
        <v>1.789858173169997E-6</v>
      </c>
      <c r="N31" s="1">
        <v>-4.0540775783656499E-7</v>
      </c>
      <c r="O31" s="1">
        <v>1.19775012197995E-10</v>
      </c>
      <c r="P31" s="1">
        <v>1.4205364173521999E-9</v>
      </c>
      <c r="Q31">
        <v>65.881459495149997</v>
      </c>
      <c r="S31">
        <v>18.942652708163202</v>
      </c>
      <c r="AA31">
        <v>0.255344525538101</v>
      </c>
      <c r="AB31">
        <v>4.1388497062194904</v>
      </c>
      <c r="AC31">
        <v>10.781693564929</v>
      </c>
      <c r="AJ31">
        <v>0.36390232939886202</v>
      </c>
      <c r="AK31">
        <v>1.24063069193826E-2</v>
      </c>
      <c r="AL31">
        <v>0.62369136368175404</v>
      </c>
    </row>
    <row r="32" spans="1:38" x14ac:dyDescent="0.2">
      <c r="A32">
        <v>52</v>
      </c>
      <c r="B32">
        <v>734</v>
      </c>
      <c r="C32">
        <v>280</v>
      </c>
      <c r="D32">
        <v>0.27966092439060802</v>
      </c>
      <c r="E32">
        <v>18.7177755013381</v>
      </c>
      <c r="F32">
        <v>2.58259671809112</v>
      </c>
      <c r="G32">
        <v>-302.27314018705187</v>
      </c>
      <c r="H32">
        <v>-263.1538479860784</v>
      </c>
      <c r="I32">
        <v>38.841574940151403</v>
      </c>
      <c r="J32">
        <v>23.114271494406001</v>
      </c>
      <c r="K32">
        <v>7.2476571236305798</v>
      </c>
      <c r="L32">
        <v>3.2418753421497398E-5</v>
      </c>
      <c r="M32">
        <v>1.7991077537262678E-6</v>
      </c>
      <c r="N32" s="1">
        <v>-5.6440174400412402E-7</v>
      </c>
      <c r="O32" s="1">
        <v>6.1063431995189399E-11</v>
      </c>
      <c r="P32" s="1">
        <v>1.7830644498923199E-9</v>
      </c>
      <c r="Q32">
        <v>64.565100932730402</v>
      </c>
      <c r="S32">
        <v>21.867074758279699</v>
      </c>
      <c r="AA32">
        <v>2.9751769353371298</v>
      </c>
      <c r="AB32">
        <v>8.8721678353777396</v>
      </c>
      <c r="AC32">
        <v>1.7204795382749201</v>
      </c>
      <c r="AJ32">
        <v>0.76167716548667597</v>
      </c>
      <c r="AK32">
        <v>0.14114476534731599</v>
      </c>
      <c r="AL32">
        <v>9.7178069166006895E-2</v>
      </c>
    </row>
    <row r="33" spans="1:38" x14ac:dyDescent="0.2">
      <c r="A33">
        <v>53</v>
      </c>
      <c r="B33">
        <v>732</v>
      </c>
      <c r="C33">
        <v>280</v>
      </c>
      <c r="D33">
        <v>0.27808834502313201</v>
      </c>
      <c r="E33">
        <v>33.430266051316799</v>
      </c>
      <c r="F33">
        <v>2.5262933067326601</v>
      </c>
      <c r="G33">
        <v>-524.79060379203122</v>
      </c>
      <c r="H33">
        <v>-456.34707786731838</v>
      </c>
      <c r="I33">
        <v>68.092847758755099</v>
      </c>
      <c r="J33">
        <v>39.854054207956302</v>
      </c>
      <c r="K33">
        <v>13.232931410705101</v>
      </c>
      <c r="L33">
        <v>2.877263796476513E-5</v>
      </c>
      <c r="M33">
        <v>1.7901212818604758E-6</v>
      </c>
      <c r="N33" s="1">
        <v>-4.53275505228935E-7</v>
      </c>
      <c r="O33" s="1">
        <v>1.2504826222303001E-10</v>
      </c>
      <c r="P33" s="1">
        <v>1.5683505596197001E-9</v>
      </c>
      <c r="Q33">
        <v>65.881784592823806</v>
      </c>
      <c r="S33">
        <v>18.9369301748117</v>
      </c>
      <c r="AA33">
        <v>0.25054751983123302</v>
      </c>
      <c r="AB33">
        <v>4.1245718037935903</v>
      </c>
      <c r="AC33">
        <v>10.8061659087394</v>
      </c>
      <c r="AJ33">
        <v>0.36267335947398999</v>
      </c>
      <c r="AK33">
        <v>1.2174122992740699E-2</v>
      </c>
      <c r="AL33">
        <v>0.62515251753326795</v>
      </c>
    </row>
    <row r="34" spans="1:38" x14ac:dyDescent="0.2">
      <c r="A34">
        <v>53</v>
      </c>
      <c r="B34">
        <v>732</v>
      </c>
      <c r="C34">
        <v>280</v>
      </c>
      <c r="D34">
        <v>0.27808834502313201</v>
      </c>
      <c r="E34">
        <v>19.631917385508402</v>
      </c>
      <c r="F34">
        <v>2.5826751146263902</v>
      </c>
      <c r="G34">
        <v>-316.96247821769396</v>
      </c>
      <c r="H34">
        <v>-276.06112042298332</v>
      </c>
      <c r="I34">
        <v>40.691795050202103</v>
      </c>
      <c r="J34">
        <v>24.2832276011675</v>
      </c>
      <c r="K34">
        <v>7.6013886819629404</v>
      </c>
      <c r="L34">
        <v>3.2601174375164185E-5</v>
      </c>
      <c r="M34">
        <v>1.8002395467092982E-6</v>
      </c>
      <c r="N34" s="1">
        <v>-6.3245583266172602E-7</v>
      </c>
      <c r="O34" s="1">
        <v>6.3732383415025602E-11</v>
      </c>
      <c r="P34" s="1">
        <v>1.9844764945920601E-9</v>
      </c>
      <c r="Q34">
        <v>64.584195607553696</v>
      </c>
      <c r="S34">
        <v>21.8565297046929</v>
      </c>
      <c r="AA34">
        <v>2.9620216768261902</v>
      </c>
      <c r="AB34">
        <v>8.8870740654777691</v>
      </c>
      <c r="AC34">
        <v>1.71017894544926</v>
      </c>
      <c r="AJ34">
        <v>0.76290056833748998</v>
      </c>
      <c r="AK34">
        <v>0.140510300187209</v>
      </c>
      <c r="AL34">
        <v>9.6589131475299905E-2</v>
      </c>
    </row>
    <row r="35" spans="1:38" x14ac:dyDescent="0.2">
      <c r="A35">
        <v>54</v>
      </c>
      <c r="B35">
        <v>730</v>
      </c>
      <c r="C35">
        <v>280</v>
      </c>
      <c r="D35">
        <v>0.27650949509046802</v>
      </c>
      <c r="E35">
        <v>34.270543622482698</v>
      </c>
      <c r="F35">
        <v>2.5263569723636601</v>
      </c>
      <c r="G35">
        <v>-537.79558654466109</v>
      </c>
      <c r="H35">
        <v>-467.86041329362979</v>
      </c>
      <c r="I35">
        <v>69.715569208026096</v>
      </c>
      <c r="J35">
        <v>40.879234580129001</v>
      </c>
      <c r="K35">
        <v>13.5652023832638</v>
      </c>
      <c r="L35">
        <v>2.8830742463348716E-5</v>
      </c>
      <c r="M35">
        <v>1.7903658765279649E-6</v>
      </c>
      <c r="N35" s="1">
        <v>-4.9617056755917396E-7</v>
      </c>
      <c r="O35" s="1">
        <v>1.27964111414575E-10</v>
      </c>
      <c r="P35" s="1">
        <v>1.6965121531752501E-9</v>
      </c>
      <c r="Q35">
        <v>65.881134342634098</v>
      </c>
      <c r="S35">
        <v>18.9311105909335</v>
      </c>
      <c r="AA35">
        <v>0.24589803053617501</v>
      </c>
      <c r="AB35">
        <v>4.1078659603763796</v>
      </c>
      <c r="AC35">
        <v>10.8339910755197</v>
      </c>
      <c r="AJ35">
        <v>0.36123516983802501</v>
      </c>
      <c r="AK35">
        <v>1.19492212670843E-2</v>
      </c>
      <c r="AL35">
        <v>0.62681560889488996</v>
      </c>
    </row>
    <row r="36" spans="1:38" x14ac:dyDescent="0.2">
      <c r="A36">
        <v>54</v>
      </c>
      <c r="B36">
        <v>730</v>
      </c>
      <c r="C36">
        <v>280</v>
      </c>
      <c r="D36">
        <v>0.27650949509046802</v>
      </c>
      <c r="E36">
        <v>20.198994941928699</v>
      </c>
      <c r="F36">
        <v>2.5828048156880001</v>
      </c>
      <c r="G36">
        <v>-326.04507023907206</v>
      </c>
      <c r="H36">
        <v>-284.09478882485735</v>
      </c>
      <c r="I36">
        <v>41.818552972351803</v>
      </c>
      <c r="J36">
        <v>25.028582458384498</v>
      </c>
      <c r="K36">
        <v>7.8205657737819196</v>
      </c>
      <c r="L36">
        <v>3.2791921999694161E-5</v>
      </c>
      <c r="M36">
        <v>1.8012832027965039E-6</v>
      </c>
      <c r="N36" s="1">
        <v>-6.9499492674907595E-7</v>
      </c>
      <c r="O36" s="1">
        <v>6.5224488347239204E-11</v>
      </c>
      <c r="P36" s="1">
        <v>2.16653007237918E-9</v>
      </c>
      <c r="Q36">
        <v>64.597936531722198</v>
      </c>
      <c r="S36">
        <v>21.8499773769352</v>
      </c>
      <c r="AA36">
        <v>2.9534096825313099</v>
      </c>
      <c r="AB36">
        <v>8.9005171991505101</v>
      </c>
      <c r="AC36">
        <v>1.6981592096607101</v>
      </c>
      <c r="AJ36">
        <v>0.76400368193563695</v>
      </c>
      <c r="AK36">
        <v>0.14009243774171901</v>
      </c>
      <c r="AL36">
        <v>9.5903880322643506E-2</v>
      </c>
    </row>
    <row r="37" spans="1:38" x14ac:dyDescent="0.2">
      <c r="A37">
        <v>55</v>
      </c>
      <c r="B37">
        <v>728</v>
      </c>
      <c r="C37">
        <v>280</v>
      </c>
      <c r="D37">
        <v>0.27492433701243602</v>
      </c>
      <c r="E37">
        <v>34.816029673644302</v>
      </c>
      <c r="F37">
        <v>2.5264220718952299</v>
      </c>
      <c r="G37">
        <v>-546.16473478221224</v>
      </c>
      <c r="H37">
        <v>-475.34904428690743</v>
      </c>
      <c r="I37">
        <v>70.734345997407701</v>
      </c>
      <c r="J37">
        <v>41.555370766100303</v>
      </c>
      <c r="K37">
        <v>13.7807653206285</v>
      </c>
      <c r="L37">
        <v>2.889217112578164E-5</v>
      </c>
      <c r="M37">
        <v>1.7906085203373809E-6</v>
      </c>
      <c r="N37" s="1">
        <v>-5.3772871671683396E-7</v>
      </c>
      <c r="O37" s="1">
        <v>1.2975873804704301E-10</v>
      </c>
      <c r="P37" s="1">
        <v>1.8180901421105901E-9</v>
      </c>
      <c r="Q37">
        <v>65.879999557313695</v>
      </c>
      <c r="S37">
        <v>18.925281684547802</v>
      </c>
      <c r="AA37">
        <v>0.241353909725743</v>
      </c>
      <c r="AB37">
        <v>4.0900559162349799</v>
      </c>
      <c r="AC37">
        <v>10.8633089321777</v>
      </c>
      <c r="AJ37">
        <v>0.35970164763698498</v>
      </c>
      <c r="AK37">
        <v>1.1729467884021801E-2</v>
      </c>
      <c r="AL37">
        <v>0.62856888447899195</v>
      </c>
    </row>
    <row r="38" spans="1:38" x14ac:dyDescent="0.2">
      <c r="A38">
        <v>55</v>
      </c>
      <c r="B38">
        <v>728</v>
      </c>
      <c r="C38">
        <v>280</v>
      </c>
      <c r="D38">
        <v>0.27492433701243602</v>
      </c>
      <c r="E38">
        <v>20.603741781570601</v>
      </c>
      <c r="F38">
        <v>2.5829579177584701</v>
      </c>
      <c r="G38">
        <v>-332.50488845451588</v>
      </c>
      <c r="H38">
        <v>-289.84937157234856</v>
      </c>
      <c r="I38">
        <v>42.606519384874602</v>
      </c>
      <c r="J38">
        <v>25.5779549498228</v>
      </c>
      <c r="K38">
        <v>7.9768011859251997</v>
      </c>
      <c r="L38">
        <v>3.2993295624674372E-5</v>
      </c>
      <c r="M38">
        <v>1.8023072428388986E-6</v>
      </c>
      <c r="N38" s="1">
        <v>-7.5686862855092E-7</v>
      </c>
      <c r="O38" s="1">
        <v>6.61518423727626E-11</v>
      </c>
      <c r="P38" s="1">
        <v>2.3447187502673201E-9</v>
      </c>
      <c r="Q38">
        <v>64.609285167318603</v>
      </c>
      <c r="S38">
        <v>21.845200495764601</v>
      </c>
      <c r="AA38">
        <v>2.9468206576835798</v>
      </c>
      <c r="AB38">
        <v>8.9132838100619995</v>
      </c>
      <c r="AC38">
        <v>1.6854098691711099</v>
      </c>
      <c r="AJ38">
        <v>0.76505111943096105</v>
      </c>
      <c r="AK38">
        <v>0.13977104613858901</v>
      </c>
      <c r="AL38">
        <v>9.5177834430449304E-2</v>
      </c>
    </row>
    <row r="39" spans="1:38" x14ac:dyDescent="0.2">
      <c r="A39">
        <v>56</v>
      </c>
      <c r="B39">
        <v>726</v>
      </c>
      <c r="C39">
        <v>280</v>
      </c>
      <c r="D39">
        <v>0.273332832907971</v>
      </c>
      <c r="E39">
        <v>35.195885836004997</v>
      </c>
      <c r="F39">
        <v>2.5264888341201601</v>
      </c>
      <c r="G39">
        <v>-551.92945103928207</v>
      </c>
      <c r="H39">
        <v>-480.57641921714497</v>
      </c>
      <c r="I39">
        <v>71.413733495608298</v>
      </c>
      <c r="J39">
        <v>42.036420254468702</v>
      </c>
      <c r="K39">
        <v>13.9307505977012</v>
      </c>
      <c r="L39">
        <v>2.8957606573954003E-5</v>
      </c>
      <c r="M39">
        <v>1.7908559760993718E-6</v>
      </c>
      <c r="N39" s="1">
        <v>-5.7934238271169499E-7</v>
      </c>
      <c r="O39" s="1">
        <v>1.3091771515226299E-10</v>
      </c>
      <c r="P39" s="1">
        <v>1.9380861766151701E-9</v>
      </c>
      <c r="Q39">
        <v>65.878569362633002</v>
      </c>
      <c r="S39">
        <v>18.919476618089501</v>
      </c>
      <c r="AA39">
        <v>0.23689838683529599</v>
      </c>
      <c r="AB39">
        <v>4.0716500676426497</v>
      </c>
      <c r="AC39">
        <v>10.8934055647994</v>
      </c>
      <c r="AJ39">
        <v>0.35811652963825902</v>
      </c>
      <c r="AK39">
        <v>1.15140156363227E-2</v>
      </c>
      <c r="AL39">
        <v>0.63036945472541706</v>
      </c>
    </row>
    <row r="40" spans="1:38" x14ac:dyDescent="0.2">
      <c r="A40">
        <v>56</v>
      </c>
      <c r="B40">
        <v>726</v>
      </c>
      <c r="C40">
        <v>280</v>
      </c>
      <c r="D40">
        <v>0.273332832907971</v>
      </c>
      <c r="E40">
        <v>20.918158816809498</v>
      </c>
      <c r="F40">
        <v>2.5831237730963399</v>
      </c>
      <c r="G40">
        <v>-337.50495172377526</v>
      </c>
      <c r="H40">
        <v>-294.33603445305829</v>
      </c>
      <c r="I40">
        <v>43.205642066473303</v>
      </c>
      <c r="J40">
        <v>26.020207380438801</v>
      </c>
      <c r="K40">
        <v>8.0980087112648604</v>
      </c>
      <c r="L40">
        <v>3.3206632410879646E-5</v>
      </c>
      <c r="M40">
        <v>1.803339130127253E-6</v>
      </c>
      <c r="N40" s="1">
        <v>-8.1998371078185204E-7</v>
      </c>
      <c r="O40" s="1">
        <v>6.6753247342422694E-11</v>
      </c>
      <c r="P40" s="1">
        <v>2.52508041489665E-9</v>
      </c>
      <c r="Q40">
        <v>64.619374604484406</v>
      </c>
      <c r="S40">
        <v>21.8413503735805</v>
      </c>
      <c r="AA40">
        <v>2.9412900352284201</v>
      </c>
      <c r="AB40">
        <v>8.9256739839561892</v>
      </c>
      <c r="AC40">
        <v>1.67231100275044</v>
      </c>
      <c r="AJ40">
        <v>0.76606753114260495</v>
      </c>
      <c r="AK40">
        <v>0.13950015099886101</v>
      </c>
      <c r="AL40">
        <v>9.4432317858532899E-2</v>
      </c>
    </row>
    <row r="41" spans="1:38" x14ac:dyDescent="0.2">
      <c r="A41">
        <v>68</v>
      </c>
      <c r="B41">
        <v>738</v>
      </c>
      <c r="C41">
        <v>270</v>
      </c>
      <c r="D41">
        <v>0.29366612273154402</v>
      </c>
      <c r="E41">
        <v>15.812808830662799</v>
      </c>
      <c r="F41">
        <v>2.5819606711377898</v>
      </c>
      <c r="G41">
        <v>-255.5391863018607</v>
      </c>
      <c r="H41">
        <v>-222.2821396056317</v>
      </c>
      <c r="I41">
        <v>32.890319632328499</v>
      </c>
      <c r="J41">
        <v>19.464550368688599</v>
      </c>
      <c r="K41">
        <v>6.1243414771668698</v>
      </c>
      <c r="L41">
        <v>3.2058232181637276E-5</v>
      </c>
      <c r="M41">
        <v>1.7974978866130624E-6</v>
      </c>
      <c r="N41" s="1">
        <v>-4.1388728913087101E-7</v>
      </c>
      <c r="O41" s="1">
        <v>5.2079290294891103E-11</v>
      </c>
      <c r="P41" s="1">
        <v>1.3279279773209E-9</v>
      </c>
      <c r="Q41">
        <v>64.528606864561993</v>
      </c>
      <c r="S41">
        <v>21.886783013123299</v>
      </c>
      <c r="AA41">
        <v>2.9999518392806301</v>
      </c>
      <c r="AB41">
        <v>8.8425105135186399</v>
      </c>
      <c r="AC41">
        <v>1.74214776951531</v>
      </c>
      <c r="AJ41">
        <v>0.75924257820681595</v>
      </c>
      <c r="AK41">
        <v>0.14234101010960901</v>
      </c>
      <c r="AL41">
        <v>9.8416411683573499E-2</v>
      </c>
    </row>
    <row r="42" spans="1:38" x14ac:dyDescent="0.2">
      <c r="A42">
        <v>68</v>
      </c>
      <c r="B42">
        <v>738</v>
      </c>
      <c r="C42">
        <v>270</v>
      </c>
      <c r="D42">
        <v>0.29366612273154402</v>
      </c>
      <c r="E42">
        <v>26.8699145074388</v>
      </c>
      <c r="F42">
        <v>2.5256863161749799</v>
      </c>
      <c r="G42">
        <v>-422.3691413297916</v>
      </c>
      <c r="H42">
        <v>-366.81211289921418</v>
      </c>
      <c r="I42">
        <v>54.944398388545203</v>
      </c>
      <c r="J42">
        <v>31.9856878132343</v>
      </c>
      <c r="K42">
        <v>10.6386586233447</v>
      </c>
      <c r="L42">
        <v>2.8615137361023329E-5</v>
      </c>
      <c r="M42">
        <v>1.7901637485572461E-6</v>
      </c>
      <c r="N42" s="1">
        <v>-2.96201616357129E-7</v>
      </c>
      <c r="O42" s="1">
        <v>1.0099208502974899E-10</v>
      </c>
      <c r="P42" s="1">
        <v>1.0677236251828299E-9</v>
      </c>
      <c r="Q42">
        <v>65.885193929461494</v>
      </c>
      <c r="S42">
        <v>18.956740910805902</v>
      </c>
      <c r="AA42">
        <v>0.26609605777637402</v>
      </c>
      <c r="AB42">
        <v>4.1841057476693502</v>
      </c>
      <c r="AC42">
        <v>10.707863354286699</v>
      </c>
      <c r="AJ42">
        <v>0.367796595713546</v>
      </c>
      <c r="AK42">
        <v>1.2925706305247E-2</v>
      </c>
      <c r="AL42">
        <v>0.61927769798120602</v>
      </c>
    </row>
    <row r="43" spans="1:38" x14ac:dyDescent="0.2">
      <c r="A43">
        <v>69</v>
      </c>
      <c r="B43">
        <v>736</v>
      </c>
      <c r="C43">
        <v>270</v>
      </c>
      <c r="D43">
        <v>0.29212753307238798</v>
      </c>
      <c r="E43">
        <v>18.3406416258162</v>
      </c>
      <c r="F43">
        <v>2.5819027117964901</v>
      </c>
      <c r="G43">
        <v>-296.31590351327543</v>
      </c>
      <c r="H43">
        <v>-257.86149669713433</v>
      </c>
      <c r="I43">
        <v>38.105739301531997</v>
      </c>
      <c r="J43">
        <v>22.609034376858201</v>
      </c>
      <c r="K43">
        <v>7.1035370705562899</v>
      </c>
      <c r="L43">
        <v>3.2226384346389553E-5</v>
      </c>
      <c r="M43">
        <v>1.798884855261487E-6</v>
      </c>
      <c r="N43" s="1">
        <v>-5.1315391883470103E-7</v>
      </c>
      <c r="O43" s="1">
        <v>6.0164837833849701E-11</v>
      </c>
      <c r="P43" s="1">
        <v>1.6340748577827699E-9</v>
      </c>
      <c r="Q43">
        <v>64.561881050830493</v>
      </c>
      <c r="S43">
        <v>21.865626276250701</v>
      </c>
      <c r="AA43">
        <v>2.9747332382546001</v>
      </c>
      <c r="AB43">
        <v>8.8611951172524392</v>
      </c>
      <c r="AC43">
        <v>1.7365643174116401</v>
      </c>
      <c r="AJ43">
        <v>0.76077664881184903</v>
      </c>
      <c r="AK43">
        <v>0.14113141337500101</v>
      </c>
      <c r="AL43">
        <v>9.8091937813148594E-2</v>
      </c>
    </row>
    <row r="44" spans="1:38" x14ac:dyDescent="0.2">
      <c r="A44">
        <v>69</v>
      </c>
      <c r="B44">
        <v>736</v>
      </c>
      <c r="C44">
        <v>270</v>
      </c>
      <c r="D44">
        <v>0.29212753307238798</v>
      </c>
      <c r="E44">
        <v>31.409243787801199</v>
      </c>
      <c r="F44">
        <v>2.5257482019856901</v>
      </c>
      <c r="G44">
        <v>-493.57077956572505</v>
      </c>
      <c r="H44">
        <v>-428.8347834260498</v>
      </c>
      <c r="I44">
        <v>64.149032492369997</v>
      </c>
      <c r="J44">
        <v>37.408187000384899</v>
      </c>
      <c r="K44">
        <v>12.4356195772436</v>
      </c>
      <c r="L44">
        <v>2.8669175251060997E-5</v>
      </c>
      <c r="M44">
        <v>1.7904847707854817E-6</v>
      </c>
      <c r="N44" s="1">
        <v>-3.7119084513121602E-7</v>
      </c>
      <c r="O44" s="1">
        <v>1.1786831793234301E-10</v>
      </c>
      <c r="P44" s="1">
        <v>1.3189296429380799E-9</v>
      </c>
      <c r="Q44">
        <v>65.888091649411294</v>
      </c>
      <c r="S44">
        <v>18.951327253854501</v>
      </c>
      <c r="AA44">
        <v>0.26095359202413498</v>
      </c>
      <c r="AB44">
        <v>4.1763705556865904</v>
      </c>
      <c r="AC44">
        <v>10.7232569490233</v>
      </c>
      <c r="AJ44">
        <v>0.36713113907744499</v>
      </c>
      <c r="AK44">
        <v>1.2676409672530101E-2</v>
      </c>
      <c r="AL44">
        <v>0.62019245125002398</v>
      </c>
    </row>
    <row r="45" spans="1:38" x14ac:dyDescent="0.2">
      <c r="A45">
        <v>70</v>
      </c>
      <c r="B45">
        <v>734</v>
      </c>
      <c r="C45">
        <v>270</v>
      </c>
      <c r="D45">
        <v>0.29058283274586499</v>
      </c>
      <c r="E45">
        <v>19.3794057204193</v>
      </c>
      <c r="F45">
        <v>2.5820023897133302</v>
      </c>
      <c r="G45">
        <v>-313.02709707694072</v>
      </c>
      <c r="H45">
        <v>-272.52169119438975</v>
      </c>
      <c r="I45">
        <v>40.217848267438598</v>
      </c>
      <c r="J45">
        <v>23.926021950530899</v>
      </c>
      <c r="K45">
        <v>7.50557234091906</v>
      </c>
      <c r="L45">
        <v>3.2395492632818128E-5</v>
      </c>
      <c r="M45">
        <v>1.7999275378495469E-6</v>
      </c>
      <c r="N45" s="1">
        <v>-5.7930063627280505E-7</v>
      </c>
      <c r="O45" s="1">
        <v>6.3282074596784506E-11</v>
      </c>
      <c r="P45" s="1">
        <v>1.83156793210261E-9</v>
      </c>
      <c r="Q45">
        <v>64.578566841593002</v>
      </c>
      <c r="S45">
        <v>21.8568841405345</v>
      </c>
      <c r="AA45">
        <v>2.96362748561143</v>
      </c>
      <c r="AB45">
        <v>8.8754598619752993</v>
      </c>
      <c r="AC45">
        <v>1.7254616702855701</v>
      </c>
      <c r="AJ45">
        <v>0.76194750976813597</v>
      </c>
      <c r="AK45">
        <v>0.14059458493431801</v>
      </c>
      <c r="AL45">
        <v>9.7457905297545402E-2</v>
      </c>
    </row>
    <row r="46" spans="1:38" x14ac:dyDescent="0.2">
      <c r="A46">
        <v>70</v>
      </c>
      <c r="B46">
        <v>734</v>
      </c>
      <c r="C46">
        <v>270</v>
      </c>
      <c r="D46">
        <v>0.29058283274586499</v>
      </c>
      <c r="E46">
        <v>33.174935098711302</v>
      </c>
      <c r="F46">
        <v>2.5258083443458799</v>
      </c>
      <c r="G46">
        <v>-521.14001619292071</v>
      </c>
      <c r="H46">
        <v>-452.9859504019646</v>
      </c>
      <c r="I46">
        <v>67.670223691561404</v>
      </c>
      <c r="J46">
        <v>39.530574658212302</v>
      </c>
      <c r="K46">
        <v>13.1343833640325</v>
      </c>
      <c r="L46">
        <v>2.8720271607481619E-5</v>
      </c>
      <c r="M46">
        <v>1.790725300421358E-6</v>
      </c>
      <c r="N46" s="1">
        <v>-4.1922757762329499E-7</v>
      </c>
      <c r="O46" s="1">
        <v>1.24298295777911E-10</v>
      </c>
      <c r="P46" s="1">
        <v>1.46998557477305E-9</v>
      </c>
      <c r="Q46">
        <v>65.888144994019001</v>
      </c>
      <c r="S46">
        <v>18.945468503198502</v>
      </c>
      <c r="AA46">
        <v>0.25610761550918498</v>
      </c>
      <c r="AB46">
        <v>4.1611299547502698</v>
      </c>
      <c r="AC46">
        <v>10.7491489325229</v>
      </c>
      <c r="AJ46">
        <v>0.36581979771872702</v>
      </c>
      <c r="AK46">
        <v>1.24419716934427E-2</v>
      </c>
      <c r="AL46">
        <v>0.62173823058782896</v>
      </c>
    </row>
    <row r="47" spans="1:38" x14ac:dyDescent="0.2">
      <c r="A47">
        <v>71</v>
      </c>
      <c r="B47">
        <v>732</v>
      </c>
      <c r="C47">
        <v>270</v>
      </c>
      <c r="D47">
        <v>0.28903198527583002</v>
      </c>
      <c r="E47">
        <v>19.993089006902199</v>
      </c>
      <c r="F47">
        <v>2.5821473677306499</v>
      </c>
      <c r="G47">
        <v>-322.86801225015216</v>
      </c>
      <c r="H47">
        <v>-281.21122356697259</v>
      </c>
      <c r="I47">
        <v>41.443355402854799</v>
      </c>
      <c r="J47">
        <v>24.723778560718198</v>
      </c>
      <c r="K47">
        <v>7.7428148589649703</v>
      </c>
      <c r="L47">
        <v>3.2572505701524031E-5</v>
      </c>
      <c r="M47">
        <v>1.8008945132940131E-6</v>
      </c>
      <c r="N47" s="1">
        <v>-6.3838922842263905E-7</v>
      </c>
      <c r="O47" s="1">
        <v>6.4961572133032605E-11</v>
      </c>
      <c r="P47" s="1">
        <v>2.0046353483063502E-9</v>
      </c>
      <c r="Q47">
        <v>64.590544521675199</v>
      </c>
      <c r="S47">
        <v>21.851655731216599</v>
      </c>
      <c r="AA47">
        <v>2.9565191664877202</v>
      </c>
      <c r="AB47">
        <v>8.8884445250542701</v>
      </c>
      <c r="AC47">
        <v>1.71283605556611</v>
      </c>
      <c r="AJ47">
        <v>0.76301310767510899</v>
      </c>
      <c r="AK47">
        <v>0.14024833741464199</v>
      </c>
      <c r="AL47">
        <v>9.6738554910247895E-2</v>
      </c>
    </row>
    <row r="48" spans="1:38" x14ac:dyDescent="0.2">
      <c r="A48">
        <v>71</v>
      </c>
      <c r="B48">
        <v>732</v>
      </c>
      <c r="C48">
        <v>270</v>
      </c>
      <c r="D48">
        <v>0.28903198527583002</v>
      </c>
      <c r="E48">
        <v>34.143634391928202</v>
      </c>
      <c r="F48">
        <v>2.5258693194319402</v>
      </c>
      <c r="G48">
        <v>-536.17018414528786</v>
      </c>
      <c r="H48">
        <v>-466.25432472531088</v>
      </c>
      <c r="I48">
        <v>69.557637586406997</v>
      </c>
      <c r="J48">
        <v>40.7059833528346</v>
      </c>
      <c r="K48">
        <v>13.5175775441965</v>
      </c>
      <c r="L48">
        <v>2.8773299373648376E-5</v>
      </c>
      <c r="M48">
        <v>1.790949882352018E-6</v>
      </c>
      <c r="N48" s="1">
        <v>-4.6088976389598799E-7</v>
      </c>
      <c r="O48" s="1">
        <v>1.2771662274815299E-10</v>
      </c>
      <c r="P48" s="1">
        <v>1.59599150658315E-9</v>
      </c>
      <c r="Q48">
        <v>65.887323332361106</v>
      </c>
      <c r="S48">
        <v>18.939528623732901</v>
      </c>
      <c r="AA48">
        <v>0.25139887764560198</v>
      </c>
      <c r="AB48">
        <v>4.1437267595454204</v>
      </c>
      <c r="AC48">
        <v>10.7780224067148</v>
      </c>
      <c r="AJ48">
        <v>0.364322125330723</v>
      </c>
      <c r="AK48">
        <v>1.22142994085214E-2</v>
      </c>
      <c r="AL48">
        <v>0.62346357526075502</v>
      </c>
    </row>
    <row r="49" spans="1:38" x14ac:dyDescent="0.2">
      <c r="A49">
        <v>72</v>
      </c>
      <c r="B49">
        <v>730</v>
      </c>
      <c r="C49">
        <v>270</v>
      </c>
      <c r="D49">
        <v>0.28747495389523398</v>
      </c>
      <c r="E49">
        <v>20.419870645855902</v>
      </c>
      <c r="F49">
        <v>2.5823114099400799</v>
      </c>
      <c r="G49">
        <v>-329.6877593123989</v>
      </c>
      <c r="H49">
        <v>-287.27597608322662</v>
      </c>
      <c r="I49">
        <v>42.278605621464699</v>
      </c>
      <c r="J49">
        <v>25.295323143414599</v>
      </c>
      <c r="K49">
        <v>7.9075941682532198</v>
      </c>
      <c r="L49">
        <v>3.2759578820804935E-5</v>
      </c>
      <c r="M49">
        <v>1.8018499038813267E-6</v>
      </c>
      <c r="N49" s="1">
        <v>-6.9632107348221597E-7</v>
      </c>
      <c r="O49" s="1">
        <v>6.59941957948863E-11</v>
      </c>
      <c r="P49" s="1">
        <v>2.1722797082394499E-9</v>
      </c>
      <c r="Q49">
        <v>64.600586940112194</v>
      </c>
      <c r="S49">
        <v>21.8478619465265</v>
      </c>
      <c r="AA49">
        <v>2.9510459942195002</v>
      </c>
      <c r="AB49">
        <v>8.9008776162973895</v>
      </c>
      <c r="AC49">
        <v>1.69962750284431</v>
      </c>
      <c r="AJ49">
        <v>0.76403328992050701</v>
      </c>
      <c r="AK49">
        <v>0.13998007463908799</v>
      </c>
      <c r="AL49">
        <v>9.5986635440403603E-2</v>
      </c>
    </row>
    <row r="50" spans="1:38" x14ac:dyDescent="0.2">
      <c r="A50">
        <v>72</v>
      </c>
      <c r="B50">
        <v>730</v>
      </c>
      <c r="C50">
        <v>270</v>
      </c>
      <c r="D50">
        <v>0.28747495389523398</v>
      </c>
      <c r="E50">
        <v>34.758037958197903</v>
      </c>
      <c r="F50">
        <v>2.5259317515039799</v>
      </c>
      <c r="G50">
        <v>-545.62623792745967</v>
      </c>
      <c r="H50">
        <v>-474.68488336293842</v>
      </c>
      <c r="I50">
        <v>70.718591002862198</v>
      </c>
      <c r="J50">
        <v>41.461571038605797</v>
      </c>
      <c r="K50">
        <v>13.760481825172899</v>
      </c>
      <c r="L50">
        <v>2.8829581494305942E-5</v>
      </c>
      <c r="M50">
        <v>1.7911741850109843E-6</v>
      </c>
      <c r="N50" s="1">
        <v>-5.00796729793668E-7</v>
      </c>
      <c r="O50" s="1">
        <v>1.2978815836380399E-10</v>
      </c>
      <c r="P50" s="1">
        <v>1.7137710383216101E-9</v>
      </c>
      <c r="Q50">
        <v>65.886089694022701</v>
      </c>
      <c r="S50">
        <v>18.933592273982001</v>
      </c>
      <c r="AA50">
        <v>0.24678918095906499</v>
      </c>
      <c r="AB50">
        <v>4.1254147500029097</v>
      </c>
      <c r="AC50">
        <v>10.808114101033199</v>
      </c>
      <c r="AJ50">
        <v>0.36274595324426101</v>
      </c>
      <c r="AK50">
        <v>1.1991454561629601E-2</v>
      </c>
      <c r="AL50">
        <v>0.62526259219410796</v>
      </c>
    </row>
    <row r="51" spans="1:38" x14ac:dyDescent="0.2">
      <c r="A51">
        <v>73</v>
      </c>
      <c r="B51">
        <v>728</v>
      </c>
      <c r="C51">
        <v>270</v>
      </c>
      <c r="D51">
        <v>0.28591170154322698</v>
      </c>
      <c r="E51">
        <v>20.746254188777499</v>
      </c>
      <c r="F51">
        <v>2.58248528036833</v>
      </c>
      <c r="G51">
        <v>-334.88429495409787</v>
      </c>
      <c r="H51">
        <v>-291.93106624231268</v>
      </c>
      <c r="I51">
        <v>42.9038892391602</v>
      </c>
      <c r="J51">
        <v>25.7472224330931</v>
      </c>
      <c r="K51">
        <v>8.0334452809808692</v>
      </c>
      <c r="L51">
        <v>3.2957944924377415E-5</v>
      </c>
      <c r="M51">
        <v>1.8028176650438119E-6</v>
      </c>
      <c r="N51" s="1">
        <v>-7.5529324083795798E-7</v>
      </c>
      <c r="O51" s="1">
        <v>6.6667069016771406E-11</v>
      </c>
      <c r="P51" s="1">
        <v>2.3415127328706398E-9</v>
      </c>
      <c r="Q51">
        <v>64.609673810937693</v>
      </c>
      <c r="S51">
        <v>21.8447680400457</v>
      </c>
      <c r="AA51">
        <v>2.9463731926121199</v>
      </c>
      <c r="AB51">
        <v>8.9130161426386305</v>
      </c>
      <c r="AC51">
        <v>1.68616881376581</v>
      </c>
      <c r="AJ51">
        <v>0.765029169615558</v>
      </c>
      <c r="AK51">
        <v>0.13975000956568101</v>
      </c>
      <c r="AL51">
        <v>9.5220820818760599E-2</v>
      </c>
    </row>
    <row r="52" spans="1:38" x14ac:dyDescent="0.2">
      <c r="A52">
        <v>73</v>
      </c>
      <c r="B52">
        <v>728</v>
      </c>
      <c r="C52">
        <v>270</v>
      </c>
      <c r="D52">
        <v>0.28591170154322698</v>
      </c>
      <c r="E52">
        <v>35.180135194513198</v>
      </c>
      <c r="F52">
        <v>2.5259958679243502</v>
      </c>
      <c r="G52">
        <v>-552.05698283374875</v>
      </c>
      <c r="H52">
        <v>-480.48961181050561</v>
      </c>
      <c r="I52">
        <v>71.485163085694495</v>
      </c>
      <c r="J52">
        <v>41.9903035397138</v>
      </c>
      <c r="K52">
        <v>13.927233864963201</v>
      </c>
      <c r="L52">
        <v>2.8889740106005619E-5</v>
      </c>
      <c r="M52">
        <v>1.7914041933171929E-6</v>
      </c>
      <c r="N52" s="1">
        <v>-5.4063097475426905E-7</v>
      </c>
      <c r="O52" s="1">
        <v>1.31122272445257E-10</v>
      </c>
      <c r="P52" s="1">
        <v>1.82943119904498E-9</v>
      </c>
      <c r="Q52">
        <v>65.884608830695896</v>
      </c>
      <c r="S52">
        <v>18.927688870625001</v>
      </c>
      <c r="AA52">
        <v>0.24226435195613</v>
      </c>
      <c r="AB52">
        <v>4.1066381860847798</v>
      </c>
      <c r="AC52">
        <v>10.8387997606381</v>
      </c>
      <c r="AJ52">
        <v>0.36112948843926901</v>
      </c>
      <c r="AK52">
        <v>1.17727200364687E-2</v>
      </c>
      <c r="AL52">
        <v>0.62709779152426204</v>
      </c>
    </row>
    <row r="53" spans="1:38" x14ac:dyDescent="0.2">
      <c r="A53">
        <v>83</v>
      </c>
      <c r="B53">
        <v>742</v>
      </c>
      <c r="C53">
        <v>260</v>
      </c>
      <c r="D53">
        <v>0.30756095158350699</v>
      </c>
      <c r="E53">
        <v>1.23123019813028</v>
      </c>
      <c r="F53">
        <v>2.5828139675669401</v>
      </c>
      <c r="G53">
        <v>-19.916382303440571</v>
      </c>
      <c r="H53">
        <v>-17.311188129472573</v>
      </c>
      <c r="I53">
        <v>2.56631450915431</v>
      </c>
      <c r="J53">
        <v>1.51121736710532</v>
      </c>
      <c r="K53">
        <v>0.47670107626455299</v>
      </c>
      <c r="L53">
        <v>3.1683318414602412E-5</v>
      </c>
      <c r="M53">
        <v>1.7930500442791569E-6</v>
      </c>
      <c r="N53" s="1">
        <v>-2.79205290385535E-8</v>
      </c>
      <c r="O53" s="1">
        <v>4.0765051318391301E-12</v>
      </c>
      <c r="P53" s="1">
        <v>9.1143887342860402E-11</v>
      </c>
      <c r="Q53">
        <v>64.353780847943995</v>
      </c>
      <c r="S53">
        <v>22.017688554509</v>
      </c>
      <c r="AA53">
        <v>3.1487435122424898</v>
      </c>
      <c r="AB53">
        <v>8.7961060049060098</v>
      </c>
      <c r="AC53">
        <v>1.6836810803983899</v>
      </c>
      <c r="AJ53">
        <v>0.75542998391678096</v>
      </c>
      <c r="AK53">
        <v>0.14943483209879399</v>
      </c>
      <c r="AL53">
        <v>9.5135183984423097E-2</v>
      </c>
    </row>
    <row r="54" spans="1:38" x14ac:dyDescent="0.2">
      <c r="A54">
        <v>84</v>
      </c>
      <c r="B54">
        <v>740</v>
      </c>
      <c r="C54">
        <v>260</v>
      </c>
      <c r="D54">
        <v>0.30605586537038199</v>
      </c>
      <c r="E54">
        <v>14.619128010185999</v>
      </c>
      <c r="F54">
        <v>2.5812195036061398</v>
      </c>
      <c r="G54">
        <v>-236.35366389640021</v>
      </c>
      <c r="H54">
        <v>-205.50857506765362</v>
      </c>
      <c r="I54">
        <v>30.444740491286101</v>
      </c>
      <c r="J54">
        <v>17.968238450215601</v>
      </c>
      <c r="K54">
        <v>5.6636516149680602</v>
      </c>
      <c r="L54">
        <v>3.1891848942245424E-5</v>
      </c>
      <c r="M54">
        <v>1.7974612398343334E-6</v>
      </c>
      <c r="N54" s="1">
        <v>-3.5515637113166998E-7</v>
      </c>
      <c r="O54" s="1">
        <v>4.8384238816973898E-11</v>
      </c>
      <c r="P54" s="1">
        <v>1.1494307529311799E-9</v>
      </c>
      <c r="Q54">
        <v>64.530676998174798</v>
      </c>
      <c r="S54">
        <v>21.881374632379899</v>
      </c>
      <c r="AA54">
        <v>2.9950068324119798</v>
      </c>
      <c r="AB54">
        <v>8.8329449220224792</v>
      </c>
      <c r="AC54">
        <v>1.7599966150106601</v>
      </c>
      <c r="AJ54">
        <v>0.75845739122287803</v>
      </c>
      <c r="AK54">
        <v>0.14211315243572201</v>
      </c>
      <c r="AL54">
        <v>9.9429456341399797E-2</v>
      </c>
    </row>
    <row r="55" spans="1:38" x14ac:dyDescent="0.2">
      <c r="A55">
        <v>84</v>
      </c>
      <c r="B55">
        <v>740</v>
      </c>
      <c r="C55">
        <v>260</v>
      </c>
      <c r="D55">
        <v>0.30605586537038199</v>
      </c>
      <c r="E55">
        <v>24.5329247512698</v>
      </c>
      <c r="F55">
        <v>2.52521078115217</v>
      </c>
      <c r="G55">
        <v>-385.90425453629086</v>
      </c>
      <c r="H55">
        <v>-335.00547807278514</v>
      </c>
      <c r="I55">
        <v>50.238144858614902</v>
      </c>
      <c r="J55">
        <v>29.194255857972099</v>
      </c>
      <c r="K55">
        <v>9.7151988001873608</v>
      </c>
      <c r="L55">
        <v>2.8577644091649998E-5</v>
      </c>
      <c r="M55">
        <v>1.7908359790202992E-6</v>
      </c>
      <c r="N55" s="1">
        <v>-2.5197464697949298E-7</v>
      </c>
      <c r="O55" s="1">
        <v>9.2326440355392301E-11</v>
      </c>
      <c r="P55" s="1">
        <v>9.2237537731208101E-10</v>
      </c>
      <c r="Q55">
        <v>65.892427523867894</v>
      </c>
      <c r="S55">
        <v>18.965730304922001</v>
      </c>
      <c r="AA55">
        <v>0.27182453960102798</v>
      </c>
      <c r="AB55">
        <v>4.2237922903305902</v>
      </c>
      <c r="AC55">
        <v>10.646225341278299</v>
      </c>
      <c r="AJ55">
        <v>0.371210161520938</v>
      </c>
      <c r="AK55">
        <v>1.3201301638157E-2</v>
      </c>
      <c r="AL55">
        <v>0.61558853684090398</v>
      </c>
    </row>
    <row r="56" spans="1:38" x14ac:dyDescent="0.2">
      <c r="A56">
        <v>85</v>
      </c>
      <c r="B56">
        <v>738</v>
      </c>
      <c r="C56">
        <v>260</v>
      </c>
      <c r="D56">
        <v>0.30454482519902998</v>
      </c>
      <c r="E56">
        <v>17.9173034068086</v>
      </c>
      <c r="F56">
        <v>2.5811872743538302</v>
      </c>
      <c r="G56">
        <v>-289.6055671745624</v>
      </c>
      <c r="H56">
        <v>-251.9181597062215</v>
      </c>
      <c r="I56">
        <v>37.271826601731597</v>
      </c>
      <c r="J56">
        <v>22.0515848685279</v>
      </c>
      <c r="K56">
        <v>6.94149687813489</v>
      </c>
      <c r="L56">
        <v>3.204794592641066E-5</v>
      </c>
      <c r="M56">
        <v>1.798751819979884E-6</v>
      </c>
      <c r="N56" s="1">
        <v>-4.6520526693361502E-7</v>
      </c>
      <c r="O56" s="1">
        <v>5.9081068769001201E-11</v>
      </c>
      <c r="P56" s="1">
        <v>1.4937665975512499E-9</v>
      </c>
      <c r="Q56">
        <v>64.561037242451306</v>
      </c>
      <c r="S56">
        <v>21.862386386448701</v>
      </c>
      <c r="AA56">
        <v>2.9722571871438701</v>
      </c>
      <c r="AB56">
        <v>8.8508209431923994</v>
      </c>
      <c r="AC56">
        <v>1.75349824076355</v>
      </c>
      <c r="AJ56">
        <v>0.75992519707709005</v>
      </c>
      <c r="AK56">
        <v>0.14102121956268401</v>
      </c>
      <c r="AL56">
        <v>9.9053583360224295E-2</v>
      </c>
    </row>
    <row r="57" spans="1:38" x14ac:dyDescent="0.2">
      <c r="A57">
        <v>85</v>
      </c>
      <c r="B57">
        <v>738</v>
      </c>
      <c r="C57">
        <v>260</v>
      </c>
      <c r="D57">
        <v>0.30454482519902998</v>
      </c>
      <c r="E57">
        <v>30.717503038248001</v>
      </c>
      <c r="F57">
        <v>2.5252702768758</v>
      </c>
      <c r="G57">
        <v>-483.03652492835539</v>
      </c>
      <c r="H57">
        <v>-419.50921815040709</v>
      </c>
      <c r="I57">
        <v>62.826788090736599</v>
      </c>
      <c r="J57">
        <v>36.570592591206001</v>
      </c>
      <c r="K57">
        <v>12.164045694249699</v>
      </c>
      <c r="L57">
        <v>2.862690143846045E-5</v>
      </c>
      <c r="M57">
        <v>1.7911337321666487E-6</v>
      </c>
      <c r="N57" s="1">
        <v>-3.3822671631788303E-7</v>
      </c>
      <c r="O57" s="1">
        <v>1.15433994197351E-10</v>
      </c>
      <c r="P57" s="1">
        <v>1.21955880952538E-9</v>
      </c>
      <c r="Q57">
        <v>65.894987495680596</v>
      </c>
      <c r="S57">
        <v>18.960173561045199</v>
      </c>
      <c r="AA57">
        <v>0.26664283458073301</v>
      </c>
      <c r="AB57">
        <v>4.2149293237559897</v>
      </c>
      <c r="AC57">
        <v>10.663266784937299</v>
      </c>
      <c r="AJ57">
        <v>0.37044798096500697</v>
      </c>
      <c r="AK57">
        <v>1.29502348161243E-2</v>
      </c>
      <c r="AL57">
        <v>0.61660178421886802</v>
      </c>
    </row>
    <row r="58" spans="1:38" x14ac:dyDescent="0.2">
      <c r="A58">
        <v>86</v>
      </c>
      <c r="B58">
        <v>736</v>
      </c>
      <c r="C58">
        <v>260</v>
      </c>
      <c r="D58">
        <v>0.30302779566962401</v>
      </c>
      <c r="E58">
        <v>19.114097085297701</v>
      </c>
      <c r="F58">
        <v>2.5813188097962301</v>
      </c>
      <c r="G58">
        <v>-308.88082295006603</v>
      </c>
      <c r="H58">
        <v>-268.80151901965604</v>
      </c>
      <c r="I58">
        <v>39.715903414170199</v>
      </c>
      <c r="J58">
        <v>23.557616946225998</v>
      </c>
      <c r="K58">
        <v>7.4047796857787498</v>
      </c>
      <c r="L58">
        <v>3.2204068517520303E-5</v>
      </c>
      <c r="M58">
        <v>1.799683655912426E-6</v>
      </c>
      <c r="N58" s="1">
        <v>-5.30141908408699E-7</v>
      </c>
      <c r="O58" s="1">
        <v>6.2757512672232904E-11</v>
      </c>
      <c r="P58" s="1">
        <v>1.6895742273662301E-9</v>
      </c>
      <c r="Q58">
        <v>64.574228455591395</v>
      </c>
      <c r="S58">
        <v>21.856267048274301</v>
      </c>
      <c r="AA58">
        <v>2.9641306812421799</v>
      </c>
      <c r="AB58">
        <v>8.8641742137980106</v>
      </c>
      <c r="AC58">
        <v>1.7411996010939601</v>
      </c>
      <c r="AJ58">
        <v>0.76102132430255298</v>
      </c>
      <c r="AK58">
        <v>0.14062634208668101</v>
      </c>
      <c r="AL58">
        <v>9.8352333610764897E-2</v>
      </c>
    </row>
    <row r="59" spans="1:38" x14ac:dyDescent="0.2">
      <c r="A59">
        <v>86</v>
      </c>
      <c r="B59">
        <v>736</v>
      </c>
      <c r="C59">
        <v>260</v>
      </c>
      <c r="D59">
        <v>0.30302779566962401</v>
      </c>
      <c r="E59">
        <v>32.873503223216801</v>
      </c>
      <c r="F59">
        <v>2.5253273475006299</v>
      </c>
      <c r="G59">
        <v>-516.76076484482053</v>
      </c>
      <c r="H59">
        <v>-448.9944327384049</v>
      </c>
      <c r="I59">
        <v>67.151892291944307</v>
      </c>
      <c r="J59">
        <v>39.154561577409801</v>
      </c>
      <c r="K59">
        <v>13.017521572303201</v>
      </c>
      <c r="L59">
        <v>2.8672761275257692E-5</v>
      </c>
      <c r="M59">
        <v>1.7913463728320252E-6</v>
      </c>
      <c r="N59" s="1">
        <v>-3.87026153354812E-7</v>
      </c>
      <c r="O59" s="1">
        <v>1.2335721828557199E-10</v>
      </c>
      <c r="P59" s="1">
        <v>1.37624359553183E-9</v>
      </c>
      <c r="Q59">
        <v>65.894583861981502</v>
      </c>
      <c r="S59">
        <v>18.954139052781802</v>
      </c>
      <c r="AA59">
        <v>0.261758485880634</v>
      </c>
      <c r="AB59">
        <v>4.1982095997472202</v>
      </c>
      <c r="AC59">
        <v>10.691308999608699</v>
      </c>
      <c r="AJ59">
        <v>0.36900992261045801</v>
      </c>
      <c r="AK59">
        <v>1.2714096026773E-2</v>
      </c>
      <c r="AL59">
        <v>0.61827598136276796</v>
      </c>
    </row>
    <row r="60" spans="1:38" x14ac:dyDescent="0.2">
      <c r="A60">
        <v>87</v>
      </c>
      <c r="B60">
        <v>734</v>
      </c>
      <c r="C60">
        <v>260</v>
      </c>
      <c r="D60">
        <v>0.30150474110112602</v>
      </c>
      <c r="E60">
        <v>19.781921504632098</v>
      </c>
      <c r="F60">
        <v>2.5814839533435499</v>
      </c>
      <c r="G60">
        <v>-319.60271878917024</v>
      </c>
      <c r="H60">
        <v>-278.25314795200444</v>
      </c>
      <c r="I60">
        <v>41.056020292077399</v>
      </c>
      <c r="J60">
        <v>24.417241366675299</v>
      </c>
      <c r="K60">
        <v>7.6630038621818697</v>
      </c>
      <c r="L60">
        <v>3.2368012063646996E-5</v>
      </c>
      <c r="M60">
        <v>1.8005655324190741E-6</v>
      </c>
      <c r="N60" s="1">
        <v>-5.8605953589310704E-7</v>
      </c>
      <c r="O60" s="1">
        <v>6.4648460435799001E-11</v>
      </c>
      <c r="P60" s="1">
        <v>1.8544487625760199E-9</v>
      </c>
      <c r="Q60">
        <v>64.583949717677797</v>
      </c>
      <c r="S60">
        <v>21.852736091409099</v>
      </c>
      <c r="AA60">
        <v>2.9589492820645802</v>
      </c>
      <c r="AB60">
        <v>8.8765806626463704</v>
      </c>
      <c r="AC60">
        <v>1.7277842462020601</v>
      </c>
      <c r="AJ60">
        <v>0.76203956117828398</v>
      </c>
      <c r="AK60">
        <v>0.140371883041184</v>
      </c>
      <c r="AL60">
        <v>9.7588555780530703E-2</v>
      </c>
    </row>
    <row r="61" spans="1:38" x14ac:dyDescent="0.2">
      <c r="A61">
        <v>87</v>
      </c>
      <c r="B61">
        <v>734</v>
      </c>
      <c r="C61">
        <v>260</v>
      </c>
      <c r="D61">
        <v>0.30150474110112602</v>
      </c>
      <c r="E61">
        <v>33.995170595433002</v>
      </c>
      <c r="F61">
        <v>2.52538541713982</v>
      </c>
      <c r="G61">
        <v>-534.20438361351557</v>
      </c>
      <c r="H61">
        <v>-464.35364430539556</v>
      </c>
      <c r="I61">
        <v>69.354852115494097</v>
      </c>
      <c r="J61">
        <v>40.509425060612301</v>
      </c>
      <c r="K61">
        <v>13.461379148191501</v>
      </c>
      <c r="L61">
        <v>2.8720798675209829E-5</v>
      </c>
      <c r="M61">
        <v>1.7915489271543062E-6</v>
      </c>
      <c r="N61" s="1">
        <v>-4.2759673978006802E-7</v>
      </c>
      <c r="O61" s="1">
        <v>1.2737141553119199E-10</v>
      </c>
      <c r="P61" s="1">
        <v>1.5006543931904599E-9</v>
      </c>
      <c r="Q61">
        <v>65.893506493953694</v>
      </c>
      <c r="S61">
        <v>18.948059433375299</v>
      </c>
      <c r="AA61">
        <v>0.25699412672067401</v>
      </c>
      <c r="AB61">
        <v>4.17987023018489</v>
      </c>
      <c r="AC61">
        <v>10.7215697157653</v>
      </c>
      <c r="AJ61">
        <v>0.36743227248379001</v>
      </c>
      <c r="AK61">
        <v>1.24838484723063E-2</v>
      </c>
      <c r="AL61">
        <v>0.62008387904390305</v>
      </c>
    </row>
    <row r="62" spans="1:38" x14ac:dyDescent="0.2">
      <c r="A62">
        <v>88</v>
      </c>
      <c r="B62">
        <v>732</v>
      </c>
      <c r="C62">
        <v>260</v>
      </c>
      <c r="D62">
        <v>0.29997562552852802</v>
      </c>
      <c r="E62">
        <v>20.233116046812</v>
      </c>
      <c r="F62">
        <v>2.5816616493008002</v>
      </c>
      <c r="G62">
        <v>-326.82125729839333</v>
      </c>
      <c r="H62">
        <v>-284.66167176816418</v>
      </c>
      <c r="I62">
        <v>41.943576113245904</v>
      </c>
      <c r="J62">
        <v>25.014166882651502</v>
      </c>
      <c r="K62">
        <v>7.8372454625461296</v>
      </c>
      <c r="L62">
        <v>3.2541591719328299E-5</v>
      </c>
      <c r="M62">
        <v>1.8014489338472923E-6</v>
      </c>
      <c r="N62" s="1">
        <v>-6.4023442195121202E-7</v>
      </c>
      <c r="O62" s="1">
        <v>6.5793354222880298E-11</v>
      </c>
      <c r="P62" s="1">
        <v>2.0120144314545401E-9</v>
      </c>
      <c r="Q62">
        <v>64.5924177509158</v>
      </c>
      <c r="S62">
        <v>21.850128925838401</v>
      </c>
      <c r="AA62">
        <v>2.9548224439828199</v>
      </c>
      <c r="AB62">
        <v>8.8886161971811397</v>
      </c>
      <c r="AC62">
        <v>1.7140146820817601</v>
      </c>
      <c r="AJ62">
        <v>0.76302722143512902</v>
      </c>
      <c r="AK62">
        <v>0.14016773555513201</v>
      </c>
      <c r="AL62">
        <v>9.6805043009737801E-2</v>
      </c>
    </row>
    <row r="63" spans="1:38" x14ac:dyDescent="0.2">
      <c r="A63">
        <v>88</v>
      </c>
      <c r="B63">
        <v>732</v>
      </c>
      <c r="C63">
        <v>260</v>
      </c>
      <c r="D63">
        <v>0.29997562552852802</v>
      </c>
      <c r="E63">
        <v>34.688226132540102</v>
      </c>
      <c r="F63">
        <v>2.5254450570650602</v>
      </c>
      <c r="G63">
        <v>-544.90157325616769</v>
      </c>
      <c r="H63">
        <v>-473.85936289465491</v>
      </c>
      <c r="I63">
        <v>70.678217541175599</v>
      </c>
      <c r="J63">
        <v>41.356115382439398</v>
      </c>
      <c r="K63">
        <v>13.735490319022301</v>
      </c>
      <c r="L63">
        <v>2.8772109085547437E-5</v>
      </c>
      <c r="M63">
        <v>1.7917541412719424E-6</v>
      </c>
      <c r="N63" s="1">
        <v>-4.6588318705964399E-7</v>
      </c>
      <c r="O63" s="1">
        <v>1.2975727764235501E-10</v>
      </c>
      <c r="P63" s="1">
        <v>1.6147532612492E-9</v>
      </c>
      <c r="Q63">
        <v>65.892128581259996</v>
      </c>
      <c r="S63">
        <v>18.942004278211499</v>
      </c>
      <c r="AA63">
        <v>0.25232007880049201</v>
      </c>
      <c r="AB63">
        <v>4.16092524914193</v>
      </c>
      <c r="AC63">
        <v>10.7526218125859</v>
      </c>
      <c r="AJ63">
        <v>0.36580221286070302</v>
      </c>
      <c r="AK63">
        <v>1.2257983050599301E-2</v>
      </c>
      <c r="AL63">
        <v>0.62193980408869698</v>
      </c>
    </row>
    <row r="64" spans="1:38" x14ac:dyDescent="0.2">
      <c r="A64">
        <v>89</v>
      </c>
      <c r="B64">
        <v>730</v>
      </c>
      <c r="C64">
        <v>260</v>
      </c>
      <c r="D64">
        <v>0.29844041269999899</v>
      </c>
      <c r="E64">
        <v>20.572354604372102</v>
      </c>
      <c r="F64">
        <v>2.5818452387858</v>
      </c>
      <c r="G64">
        <v>-332.22886896924047</v>
      </c>
      <c r="H64">
        <v>-289.49778704184575</v>
      </c>
      <c r="I64">
        <v>42.596901687080397</v>
      </c>
      <c r="J64">
        <v>25.4771272849881</v>
      </c>
      <c r="K64">
        <v>7.9680820117812097</v>
      </c>
      <c r="L64">
        <v>3.2725864423112215E-5</v>
      </c>
      <c r="M64">
        <v>1.8023515781225959E-6</v>
      </c>
      <c r="N64" s="1">
        <v>-6.9518363765363105E-7</v>
      </c>
      <c r="O64" s="1">
        <v>6.6540169799115005E-11</v>
      </c>
      <c r="P64" s="1">
        <v>2.1703741903494698E-9</v>
      </c>
      <c r="Q64">
        <v>64.600337924244499</v>
      </c>
      <c r="S64">
        <v>21.847915957990502</v>
      </c>
      <c r="AA64">
        <v>2.9511486586787701</v>
      </c>
      <c r="AB64">
        <v>8.90046429586274</v>
      </c>
      <c r="AC64">
        <v>1.70013316322339</v>
      </c>
      <c r="AJ64">
        <v>0.76399937873476598</v>
      </c>
      <c r="AK64">
        <v>0.13998523162085799</v>
      </c>
      <c r="AL64">
        <v>9.6015389644375101E-2</v>
      </c>
    </row>
    <row r="65" spans="1:38" x14ac:dyDescent="0.2">
      <c r="A65">
        <v>89</v>
      </c>
      <c r="B65">
        <v>730</v>
      </c>
      <c r="C65">
        <v>260</v>
      </c>
      <c r="D65">
        <v>0.29844041269999899</v>
      </c>
      <c r="E65">
        <v>35.157297433941203</v>
      </c>
      <c r="F65">
        <v>2.5255064515692802</v>
      </c>
      <c r="G65">
        <v>-552.07345655190989</v>
      </c>
      <c r="H65">
        <v>-480.30625540737879</v>
      </c>
      <c r="I65">
        <v>71.541844334876302</v>
      </c>
      <c r="J65">
        <v>41.938250343774797</v>
      </c>
      <c r="K65">
        <v>13.9208899712354</v>
      </c>
      <c r="L65">
        <v>2.882720220072983E-5</v>
      </c>
      <c r="M65">
        <v>1.7919665326355711E-6</v>
      </c>
      <c r="N65" s="1">
        <v>-5.03904076102599E-7</v>
      </c>
      <c r="O65" s="1">
        <v>1.3128529242580101E-10</v>
      </c>
      <c r="P65" s="1">
        <v>1.7259644136357801E-9</v>
      </c>
      <c r="Q65">
        <v>65.8905697965168</v>
      </c>
      <c r="S65">
        <v>18.935995102698701</v>
      </c>
      <c r="AA65">
        <v>0.247726168583286</v>
      </c>
      <c r="AB65">
        <v>4.1416977460675897</v>
      </c>
      <c r="AC65">
        <v>10.784011186133499</v>
      </c>
      <c r="AJ65">
        <v>0.36414752158369401</v>
      </c>
      <c r="AK65">
        <v>1.20359848633084E-2</v>
      </c>
      <c r="AL65">
        <v>0.62381649355299695</v>
      </c>
    </row>
    <row r="66" spans="1:38" x14ac:dyDescent="0.2">
      <c r="A66">
        <v>90</v>
      </c>
      <c r="B66">
        <v>728</v>
      </c>
      <c r="C66">
        <v>260</v>
      </c>
      <c r="D66">
        <v>0.29689906607401501</v>
      </c>
      <c r="E66">
        <v>20.8454014602219</v>
      </c>
      <c r="F66">
        <v>2.5820320309319098</v>
      </c>
      <c r="G66">
        <v>-336.56551947495069</v>
      </c>
      <c r="H66">
        <v>-293.40447974102744</v>
      </c>
      <c r="I66">
        <v>43.111461553136998</v>
      </c>
      <c r="J66">
        <v>25.862538729659398</v>
      </c>
      <c r="K66">
        <v>8.0732544021532906</v>
      </c>
      <c r="L66">
        <v>3.292169550006711E-5</v>
      </c>
      <c r="M66">
        <v>1.803281931308195E-6</v>
      </c>
      <c r="N66" s="1">
        <v>-7.5206033725491698E-7</v>
      </c>
      <c r="O66" s="1">
        <v>6.7040829226810703E-11</v>
      </c>
      <c r="P66" s="1">
        <v>2.33318268320945E-9</v>
      </c>
      <c r="Q66">
        <v>64.607999585505297</v>
      </c>
      <c r="S66">
        <v>21.8458800813486</v>
      </c>
      <c r="AA66">
        <v>2.9476812956899701</v>
      </c>
      <c r="AB66">
        <v>8.9122005818819492</v>
      </c>
      <c r="AC66">
        <v>1.68623845557403</v>
      </c>
      <c r="AJ66">
        <v>0.76496224609428398</v>
      </c>
      <c r="AK66">
        <v>0.139812617092539</v>
      </c>
      <c r="AL66">
        <v>9.5225136813176098E-2</v>
      </c>
    </row>
    <row r="67" spans="1:38" x14ac:dyDescent="0.2">
      <c r="A67">
        <v>90</v>
      </c>
      <c r="B67">
        <v>728</v>
      </c>
      <c r="C67">
        <v>260</v>
      </c>
      <c r="D67">
        <v>0.29689906607401501</v>
      </c>
      <c r="E67">
        <v>35.492609274893901</v>
      </c>
      <c r="F67">
        <v>2.5255696789983402</v>
      </c>
      <c r="G67">
        <v>-557.14038033933809</v>
      </c>
      <c r="H67">
        <v>-484.926537503818</v>
      </c>
      <c r="I67">
        <v>72.130892309364398</v>
      </c>
      <c r="J67">
        <v>42.363304353232699</v>
      </c>
      <c r="K67">
        <v>14.053308277350901</v>
      </c>
      <c r="L67">
        <v>2.8886428528117526E-5</v>
      </c>
      <c r="M67">
        <v>1.7921883532757086E-6</v>
      </c>
      <c r="N67" s="1">
        <v>-5.4254505286862196E-7</v>
      </c>
      <c r="O67" s="1">
        <v>1.3229534510404E-10</v>
      </c>
      <c r="P67" s="1">
        <v>1.8375247614880601E-9</v>
      </c>
      <c r="Q67">
        <v>65.8888799170102</v>
      </c>
      <c r="S67">
        <v>18.930040204270099</v>
      </c>
      <c r="AA67">
        <v>0.243207626687138</v>
      </c>
      <c r="AB67">
        <v>4.1223203997748001</v>
      </c>
      <c r="AC67">
        <v>10.815551852257499</v>
      </c>
      <c r="AJ67">
        <v>0.36247960610310898</v>
      </c>
      <c r="AK67">
        <v>1.18176143631876E-2</v>
      </c>
      <c r="AL67">
        <v>0.62570277953370201</v>
      </c>
    </row>
    <row r="68" spans="1:38" x14ac:dyDescent="0.2">
      <c r="A68">
        <v>99</v>
      </c>
      <c r="B68">
        <v>744</v>
      </c>
      <c r="C68">
        <v>250</v>
      </c>
      <c r="D68">
        <v>0.31987464975667701</v>
      </c>
      <c r="E68">
        <v>1.3380452044890101</v>
      </c>
      <c r="F68">
        <v>2.5821371634446399</v>
      </c>
      <c r="G68">
        <v>-21.655951556992125</v>
      </c>
      <c r="H68">
        <v>-18.815606681686475</v>
      </c>
      <c r="I68">
        <v>2.7924542843293998</v>
      </c>
      <c r="J68">
        <v>1.64050074100793</v>
      </c>
      <c r="K68">
        <v>0.51819292306843401</v>
      </c>
      <c r="L68">
        <v>3.1564047346387883E-5</v>
      </c>
      <c r="M68">
        <v>1.7936040087531194E-6</v>
      </c>
      <c r="N68" s="1">
        <v>-2.8271694796042201E-8</v>
      </c>
      <c r="O68" s="1">
        <v>4.44809856343549E-12</v>
      </c>
      <c r="P68" s="1">
        <v>9.3138753417957495E-11</v>
      </c>
      <c r="Q68">
        <v>64.371744029735893</v>
      </c>
      <c r="S68">
        <v>22.009258771231401</v>
      </c>
      <c r="AA68">
        <v>3.1375973918256501</v>
      </c>
      <c r="AB68">
        <v>8.8140362195731008</v>
      </c>
      <c r="AC68">
        <v>1.66736358763384</v>
      </c>
      <c r="AJ68">
        <v>0.75690258260016496</v>
      </c>
      <c r="AK68">
        <v>0.148892616507666</v>
      </c>
      <c r="AL68">
        <v>9.4204800892167498E-2</v>
      </c>
    </row>
    <row r="69" spans="1:38" x14ac:dyDescent="0.2">
      <c r="A69">
        <v>100</v>
      </c>
      <c r="B69">
        <v>742</v>
      </c>
      <c r="C69">
        <v>250</v>
      </c>
      <c r="D69">
        <v>0.318396788651924</v>
      </c>
      <c r="E69">
        <v>12.927366694227199</v>
      </c>
      <c r="F69">
        <v>2.5804058681341902</v>
      </c>
      <c r="G69">
        <v>-209.09276457865485</v>
      </c>
      <c r="H69">
        <v>-181.72964426829077</v>
      </c>
      <c r="I69">
        <v>26.954755760591102</v>
      </c>
      <c r="J69">
        <v>15.8670806176113</v>
      </c>
      <c r="K69">
        <v>5.0098191349931396</v>
      </c>
      <c r="L69">
        <v>3.1740346767260073E-5</v>
      </c>
      <c r="M69">
        <v>1.7976272953638135E-6</v>
      </c>
      <c r="N69" s="1">
        <v>-2.91618023273746E-7</v>
      </c>
      <c r="O69" s="1">
        <v>4.2986005511824401E-11</v>
      </c>
      <c r="P69" s="1">
        <v>9.5240710707154899E-10</v>
      </c>
      <c r="Q69">
        <v>64.540401000555093</v>
      </c>
      <c r="S69">
        <v>21.870193562182699</v>
      </c>
      <c r="AA69">
        <v>2.9835133719944298</v>
      </c>
      <c r="AB69">
        <v>8.8253017107863698</v>
      </c>
      <c r="AC69">
        <v>1.7805903544813</v>
      </c>
      <c r="AJ69">
        <v>0.75783007085226595</v>
      </c>
      <c r="AK69">
        <v>0.14157320098923301</v>
      </c>
      <c r="AL69">
        <v>0.100596728158499</v>
      </c>
    </row>
    <row r="70" spans="1:38" x14ac:dyDescent="0.2">
      <c r="A70">
        <v>100</v>
      </c>
      <c r="B70">
        <v>742</v>
      </c>
      <c r="C70">
        <v>250</v>
      </c>
      <c r="D70">
        <v>0.318396788651924</v>
      </c>
      <c r="E70">
        <v>21.026590790828401</v>
      </c>
      <c r="F70">
        <v>2.5247415564682498</v>
      </c>
      <c r="G70">
        <v>-330.98636624549863</v>
      </c>
      <c r="H70">
        <v>-287.21230945803791</v>
      </c>
      <c r="I70">
        <v>43.120777015673198</v>
      </c>
      <c r="J70">
        <v>25.015162420390102</v>
      </c>
      <c r="K70">
        <v>8.3282151145171603</v>
      </c>
      <c r="L70">
        <v>2.8546666347301492E-5</v>
      </c>
      <c r="M70">
        <v>1.7915584455127754E-6</v>
      </c>
      <c r="N70" s="1">
        <v>-2.0136685684971901E-7</v>
      </c>
      <c r="O70" s="1">
        <v>7.9220670316288403E-11</v>
      </c>
      <c r="P70" s="1">
        <v>7.4898904428943996E-10</v>
      </c>
      <c r="Q70">
        <v>65.900822812860397</v>
      </c>
      <c r="S70">
        <v>18.975078956829702</v>
      </c>
      <c r="AA70">
        <v>0.277578347231903</v>
      </c>
      <c r="AB70">
        <v>4.2670094480965099</v>
      </c>
      <c r="AC70">
        <v>10.579510434981399</v>
      </c>
      <c r="AJ70">
        <v>0.37492584229096099</v>
      </c>
      <c r="AK70">
        <v>1.34777733018071E-2</v>
      </c>
      <c r="AL70">
        <v>0.61159638440723096</v>
      </c>
    </row>
    <row r="71" spans="1:38" x14ac:dyDescent="0.2">
      <c r="A71">
        <v>101</v>
      </c>
      <c r="B71">
        <v>740</v>
      </c>
      <c r="C71">
        <v>250</v>
      </c>
      <c r="D71">
        <v>0.31691309282929903</v>
      </c>
      <c r="E71">
        <v>17.413467650501399</v>
      </c>
      <c r="F71">
        <v>2.5804294256362699</v>
      </c>
      <c r="G71">
        <v>-281.58583497276402</v>
      </c>
      <c r="H71">
        <v>-244.84071176092831</v>
      </c>
      <c r="I71">
        <v>36.268196428796998</v>
      </c>
      <c r="J71">
        <v>21.399699836869299</v>
      </c>
      <c r="K71">
        <v>6.7482828545902498</v>
      </c>
      <c r="L71">
        <v>3.1883597173122949E-5</v>
      </c>
      <c r="M71">
        <v>1.7987541704470871E-6</v>
      </c>
      <c r="N71" s="1">
        <v>-4.1966874329054399E-7</v>
      </c>
      <c r="O71" s="1">
        <v>5.7700862702750003E-11</v>
      </c>
      <c r="P71" s="1">
        <v>1.3593501854115401E-9</v>
      </c>
      <c r="Q71">
        <v>64.564730605302699</v>
      </c>
      <c r="S71">
        <v>21.855723176637799</v>
      </c>
      <c r="AA71">
        <v>2.96589817509413</v>
      </c>
      <c r="AB71">
        <v>8.8415829334806908</v>
      </c>
      <c r="AC71">
        <v>1.7720651094845601</v>
      </c>
      <c r="AJ71">
        <v>0.75916698882002898</v>
      </c>
      <c r="AK71">
        <v>0.14072599156292501</v>
      </c>
      <c r="AL71">
        <v>0.100107019617045</v>
      </c>
    </row>
    <row r="72" spans="1:38" x14ac:dyDescent="0.2">
      <c r="A72">
        <v>101</v>
      </c>
      <c r="B72">
        <v>740</v>
      </c>
      <c r="C72">
        <v>250</v>
      </c>
      <c r="D72">
        <v>0.31691309282929903</v>
      </c>
      <c r="E72">
        <v>29.782456355394999</v>
      </c>
      <c r="F72">
        <v>2.52479755242384</v>
      </c>
      <c r="G72">
        <v>-468.66294314939847</v>
      </c>
      <c r="H72">
        <v>-406.85814014444026</v>
      </c>
      <c r="I72">
        <v>61.002618570752801</v>
      </c>
      <c r="J72">
        <v>35.4460867268808</v>
      </c>
      <c r="K72">
        <v>11.7959779891276</v>
      </c>
      <c r="L72">
        <v>2.8590206562983815E-5</v>
      </c>
      <c r="M72">
        <v>1.7918163920085147E-6</v>
      </c>
      <c r="N72" s="1">
        <v>-3.0561724477121398E-7</v>
      </c>
      <c r="O72" s="1">
        <v>1.1206202018533E-10</v>
      </c>
      <c r="P72" s="1">
        <v>1.11900600922044E-9</v>
      </c>
      <c r="Q72">
        <v>65.902515673603006</v>
      </c>
      <c r="S72">
        <v>18.9692694113537</v>
      </c>
      <c r="AA72">
        <v>0.27239040681782001</v>
      </c>
      <c r="AB72">
        <v>4.2555514187360099</v>
      </c>
      <c r="AC72">
        <v>10.6002730894894</v>
      </c>
      <c r="AJ72">
        <v>0.37394090484614501</v>
      </c>
      <c r="AK72">
        <v>1.3226646021217699E-2</v>
      </c>
      <c r="AL72">
        <v>0.61283244913263601</v>
      </c>
    </row>
    <row r="73" spans="1:38" x14ac:dyDescent="0.2">
      <c r="A73">
        <v>102</v>
      </c>
      <c r="B73">
        <v>738</v>
      </c>
      <c r="C73">
        <v>250</v>
      </c>
      <c r="D73">
        <v>0.31542352766652099</v>
      </c>
      <c r="E73">
        <v>18.837921549556398</v>
      </c>
      <c r="F73">
        <v>2.58062115689351</v>
      </c>
      <c r="G73">
        <v>-304.55445979167013</v>
      </c>
      <c r="H73">
        <v>-264.92758109635656</v>
      </c>
      <c r="I73">
        <v>39.189911185594198</v>
      </c>
      <c r="J73">
        <v>23.180095727520602</v>
      </c>
      <c r="K73">
        <v>7.2997625006814602</v>
      </c>
      <c r="L73">
        <v>3.2026068493121034E-5</v>
      </c>
      <c r="M73">
        <v>1.7995120842248196E-6</v>
      </c>
      <c r="N73" s="1">
        <v>-4.8482040764242697E-7</v>
      </c>
      <c r="O73" s="1">
        <v>6.2166717969993903E-11</v>
      </c>
      <c r="P73" s="1">
        <v>1.5581270582751299E-9</v>
      </c>
      <c r="Q73">
        <v>64.571495083443693</v>
      </c>
      <c r="S73">
        <v>21.8544383017698</v>
      </c>
      <c r="AA73">
        <v>2.96325974167411</v>
      </c>
      <c r="AB73">
        <v>8.8532887438094203</v>
      </c>
      <c r="AC73">
        <v>1.7575181293028901</v>
      </c>
      <c r="AJ73">
        <v>0.76012790419333198</v>
      </c>
      <c r="AK73">
        <v>0.14059263098692301</v>
      </c>
      <c r="AL73">
        <v>9.9279464819744298E-2</v>
      </c>
    </row>
    <row r="74" spans="1:38" x14ac:dyDescent="0.2">
      <c r="A74">
        <v>102</v>
      </c>
      <c r="B74">
        <v>738</v>
      </c>
      <c r="C74">
        <v>250</v>
      </c>
      <c r="D74">
        <v>0.31542352766652099</v>
      </c>
      <c r="E74">
        <v>32.524699145905103</v>
      </c>
      <c r="F74">
        <v>2.52485051152768</v>
      </c>
      <c r="G74">
        <v>-511.63166189160887</v>
      </c>
      <c r="H74">
        <v>-444.35488737800881</v>
      </c>
      <c r="I74">
        <v>66.534910264154703</v>
      </c>
      <c r="J74">
        <v>38.724429203599897</v>
      </c>
      <c r="K74">
        <v>12.881831616330301</v>
      </c>
      <c r="L74">
        <v>2.8629944048591247E-5</v>
      </c>
      <c r="M74">
        <v>1.7919855154919534E-6</v>
      </c>
      <c r="N74" s="1">
        <v>-3.5667101765243302E-7</v>
      </c>
      <c r="O74" s="1">
        <v>1.22219974220738E-10</v>
      </c>
      <c r="P74" s="1">
        <v>1.2871562767731601E-9</v>
      </c>
      <c r="Q74">
        <v>65.901154831610796</v>
      </c>
      <c r="S74">
        <v>18.962956454057501</v>
      </c>
      <c r="AA74">
        <v>0.267499686283941</v>
      </c>
      <c r="AB74">
        <v>4.2359686170295401</v>
      </c>
      <c r="AC74">
        <v>10.632420411018</v>
      </c>
      <c r="AJ74">
        <v>0.37225725938860998</v>
      </c>
      <c r="AK74">
        <v>1.29904593770042E-2</v>
      </c>
      <c r="AL74">
        <v>0.61475228123438497</v>
      </c>
    </row>
    <row r="75" spans="1:38" x14ac:dyDescent="0.2">
      <c r="A75">
        <v>103</v>
      </c>
      <c r="B75">
        <v>736</v>
      </c>
      <c r="C75">
        <v>250</v>
      </c>
      <c r="D75">
        <v>0.31392805826685999</v>
      </c>
      <c r="E75">
        <v>19.567431036945301</v>
      </c>
      <c r="F75">
        <v>2.5808128992705499</v>
      </c>
      <c r="G75">
        <v>-316.2803438562035</v>
      </c>
      <c r="H75">
        <v>-275.24773902885988</v>
      </c>
      <c r="I75">
        <v>40.6605606969663</v>
      </c>
      <c r="J75">
        <v>24.111019603750599</v>
      </c>
      <c r="K75">
        <v>7.5818867158002501</v>
      </c>
      <c r="L75">
        <v>3.2177491514255715E-5</v>
      </c>
      <c r="M75">
        <v>1.8002969030212572E-6</v>
      </c>
      <c r="N75" s="1">
        <v>-5.3784406266559004E-7</v>
      </c>
      <c r="O75" s="1">
        <v>6.4293023212038495E-11</v>
      </c>
      <c r="P75" s="1">
        <v>1.71560508603441E-9</v>
      </c>
      <c r="Q75">
        <v>64.578311133924004</v>
      </c>
      <c r="S75">
        <v>21.8530971408473</v>
      </c>
      <c r="AA75">
        <v>2.9605628379825002</v>
      </c>
      <c r="AB75">
        <v>8.8649619191216509</v>
      </c>
      <c r="AC75">
        <v>1.7430669681244499</v>
      </c>
      <c r="AJ75">
        <v>0.76108603044505996</v>
      </c>
      <c r="AK75">
        <v>0.14045653489378199</v>
      </c>
      <c r="AL75">
        <v>9.8457434661156598E-2</v>
      </c>
    </row>
    <row r="76" spans="1:38" x14ac:dyDescent="0.2">
      <c r="A76">
        <v>103</v>
      </c>
      <c r="B76">
        <v>736</v>
      </c>
      <c r="C76">
        <v>250</v>
      </c>
      <c r="D76">
        <v>0.31392805826685999</v>
      </c>
      <c r="E76">
        <v>33.826728520512702</v>
      </c>
      <c r="F76">
        <v>2.5249053568584601</v>
      </c>
      <c r="G76">
        <v>-531.92244263779264</v>
      </c>
      <c r="H76">
        <v>-462.17980363641857</v>
      </c>
      <c r="I76">
        <v>69.1102799399237</v>
      </c>
      <c r="J76">
        <v>40.291334876889202</v>
      </c>
      <c r="K76">
        <v>13.397226327168401</v>
      </c>
      <c r="L76">
        <v>2.8673011960595581E-5</v>
      </c>
      <c r="M76">
        <v>1.792163092300736E-6</v>
      </c>
      <c r="N76" s="1">
        <v>-3.9630728148955001E-7</v>
      </c>
      <c r="O76" s="1">
        <v>1.2693418565157699E-10</v>
      </c>
      <c r="P76" s="1">
        <v>1.41060617259853E-9</v>
      </c>
      <c r="Q76">
        <v>65.899709542751594</v>
      </c>
      <c r="S76">
        <v>18.9567108328357</v>
      </c>
      <c r="AA76">
        <v>0.26268422322283602</v>
      </c>
      <c r="AB76">
        <v>4.2163741602810196</v>
      </c>
      <c r="AC76">
        <v>10.6645212409087</v>
      </c>
      <c r="AJ76">
        <v>0.37057227509415602</v>
      </c>
      <c r="AK76">
        <v>1.27578814114136E-2</v>
      </c>
      <c r="AL76">
        <v>0.61666984349442899</v>
      </c>
    </row>
    <row r="77" spans="1:38" x14ac:dyDescent="0.2">
      <c r="A77">
        <v>104</v>
      </c>
      <c r="B77">
        <v>734</v>
      </c>
      <c r="C77">
        <v>250</v>
      </c>
      <c r="D77">
        <v>0.31242664945638698</v>
      </c>
      <c r="E77">
        <v>20.044975828242499</v>
      </c>
      <c r="F77">
        <v>2.58100757758793</v>
      </c>
      <c r="G77">
        <v>-323.92948243375815</v>
      </c>
      <c r="H77">
        <v>-282.0274703324049</v>
      </c>
      <c r="I77">
        <v>41.604539642906502</v>
      </c>
      <c r="J77">
        <v>24.7359697884459</v>
      </c>
      <c r="K77">
        <v>7.7663374576278601</v>
      </c>
      <c r="L77">
        <v>3.2338321422335533E-5</v>
      </c>
      <c r="M77">
        <v>1.8011035356408255E-6</v>
      </c>
      <c r="N77" s="1">
        <v>-5.8846762066487504E-7</v>
      </c>
      <c r="O77" s="1">
        <v>6.5555342147318001E-11</v>
      </c>
      <c r="P77" s="1">
        <v>1.86362465084946E-9</v>
      </c>
      <c r="Q77">
        <v>64.584874964723497</v>
      </c>
      <c r="S77">
        <v>21.851927373090799</v>
      </c>
      <c r="AA77">
        <v>2.9580661874222001</v>
      </c>
      <c r="AB77">
        <v>8.8765223658660499</v>
      </c>
      <c r="AC77">
        <v>1.7286091088973099</v>
      </c>
      <c r="AJ77">
        <v>0.76203479171413602</v>
      </c>
      <c r="AK77">
        <v>0.140330032547136</v>
      </c>
      <c r="AL77">
        <v>9.7635175738726807E-2</v>
      </c>
    </row>
    <row r="78" spans="1:38" x14ac:dyDescent="0.2">
      <c r="A78">
        <v>104</v>
      </c>
      <c r="B78">
        <v>734</v>
      </c>
      <c r="C78">
        <v>250</v>
      </c>
      <c r="D78">
        <v>0.31242664945638698</v>
      </c>
      <c r="E78">
        <v>34.608334074584299</v>
      </c>
      <c r="F78">
        <v>2.5249620301226101</v>
      </c>
      <c r="G78">
        <v>-544.01781313230686</v>
      </c>
      <c r="H78">
        <v>-472.89620792925172</v>
      </c>
      <c r="I78">
        <v>70.616695827885906</v>
      </c>
      <c r="J78">
        <v>41.240964265987699</v>
      </c>
      <c r="K78">
        <v>13.7064770328066</v>
      </c>
      <c r="L78">
        <v>2.8719500465467812E-5</v>
      </c>
      <c r="M78">
        <v>1.7923480993936563E-6</v>
      </c>
      <c r="N78" s="1">
        <v>-4.33028347213918E-7</v>
      </c>
      <c r="O78" s="1">
        <v>1.29672175361869E-10</v>
      </c>
      <c r="P78" s="1">
        <v>1.5212188376525901E-9</v>
      </c>
      <c r="Q78">
        <v>65.898130743882703</v>
      </c>
      <c r="S78">
        <v>18.9505225594983</v>
      </c>
      <c r="AA78">
        <v>0.25794722548913201</v>
      </c>
      <c r="AB78">
        <v>4.1966325285690598</v>
      </c>
      <c r="AC78">
        <v>10.6967669425606</v>
      </c>
      <c r="AJ78">
        <v>0.36887429372345998</v>
      </c>
      <c r="AK78">
        <v>1.25290776159279E-2</v>
      </c>
      <c r="AL78">
        <v>0.61859662866061105</v>
      </c>
    </row>
    <row r="79" spans="1:38" x14ac:dyDescent="0.2">
      <c r="A79">
        <v>105</v>
      </c>
      <c r="B79">
        <v>732</v>
      </c>
      <c r="C79">
        <v>250</v>
      </c>
      <c r="D79">
        <v>0.31091926578122597</v>
      </c>
      <c r="E79">
        <v>20.397608668033001</v>
      </c>
      <c r="F79">
        <v>2.5812028886005098</v>
      </c>
      <c r="G79">
        <v>-329.55715743095249</v>
      </c>
      <c r="H79">
        <v>-287.0523126945065</v>
      </c>
      <c r="I79">
        <v>42.287066344770302</v>
      </c>
      <c r="J79">
        <v>25.210961036303399</v>
      </c>
      <c r="K79">
        <v>7.9023655049031296</v>
      </c>
      <c r="L79">
        <v>3.2509341582072113E-5</v>
      </c>
      <c r="M79">
        <v>1.8019393675974219E-6</v>
      </c>
      <c r="N79" s="1">
        <v>-6.3956188990141396E-7</v>
      </c>
      <c r="O79" s="1">
        <v>6.6376850067976305E-11</v>
      </c>
      <c r="P79" s="1">
        <v>2.01151359804697E-9</v>
      </c>
      <c r="Q79">
        <v>64.591434355692101</v>
      </c>
      <c r="S79">
        <v>21.850743106400198</v>
      </c>
      <c r="AA79">
        <v>2.9555586110665999</v>
      </c>
      <c r="AB79">
        <v>8.8880349078444691</v>
      </c>
      <c r="AC79">
        <v>1.7142290189964899</v>
      </c>
      <c r="AJ79">
        <v>0.76297951357678095</v>
      </c>
      <c r="AK79">
        <v>0.140203059842295</v>
      </c>
      <c r="AL79">
        <v>9.6817426580922294E-2</v>
      </c>
    </row>
    <row r="80" spans="1:38" x14ac:dyDescent="0.2">
      <c r="A80">
        <v>105</v>
      </c>
      <c r="B80">
        <v>732</v>
      </c>
      <c r="C80">
        <v>250</v>
      </c>
      <c r="D80">
        <v>0.31091926578122597</v>
      </c>
      <c r="E80">
        <v>35.128884201928599</v>
      </c>
      <c r="F80">
        <v>2.5250205982962601</v>
      </c>
      <c r="G80">
        <v>-552.00246711052012</v>
      </c>
      <c r="H80">
        <v>-480.04698214357018</v>
      </c>
      <c r="I80">
        <v>71.586812880614701</v>
      </c>
      <c r="J80">
        <v>41.881948286104503</v>
      </c>
      <c r="K80">
        <v>13.9123158938313</v>
      </c>
      <c r="L80">
        <v>2.876973246516416E-5</v>
      </c>
      <c r="M80">
        <v>1.7925425398266587E-6</v>
      </c>
      <c r="N80" s="1">
        <v>-4.6924361508128602E-7</v>
      </c>
      <c r="O80" s="1">
        <v>1.31411595807989E-10</v>
      </c>
      <c r="P80" s="1">
        <v>1.6279909552618199E-9</v>
      </c>
      <c r="Q80">
        <v>65.896461295580295</v>
      </c>
      <c r="S80">
        <v>18.944398629405502</v>
      </c>
      <c r="AA80">
        <v>0.25328446339711602</v>
      </c>
      <c r="AB80">
        <v>4.17685757363585</v>
      </c>
      <c r="AC80">
        <v>10.7289980379811</v>
      </c>
      <c r="AJ80">
        <v>0.36717310317655599</v>
      </c>
      <c r="AK80">
        <v>1.2303836022909E-2</v>
      </c>
      <c r="AL80">
        <v>0.62052306080053299</v>
      </c>
    </row>
    <row r="81" spans="1:38" x14ac:dyDescent="0.2">
      <c r="A81">
        <v>106</v>
      </c>
      <c r="B81">
        <v>730</v>
      </c>
      <c r="C81">
        <v>250</v>
      </c>
      <c r="D81">
        <v>0.30940587150476501</v>
      </c>
      <c r="E81">
        <v>20.678268108176798</v>
      </c>
      <c r="F81">
        <v>2.5813981533280601</v>
      </c>
      <c r="G81">
        <v>-334.01976694947928</v>
      </c>
      <c r="H81">
        <v>-291.06623037888681</v>
      </c>
      <c r="I81">
        <v>42.818657798527099</v>
      </c>
      <c r="J81">
        <v>25.601128993326299</v>
      </c>
      <c r="K81">
        <v>8.0104915553292209</v>
      </c>
      <c r="L81">
        <v>3.2691278436912913E-5</v>
      </c>
      <c r="M81">
        <v>1.8028080692245676E-6</v>
      </c>
      <c r="N81" s="1">
        <v>-6.9239851681902702E-7</v>
      </c>
      <c r="O81" s="1">
        <v>6.6933419023290199E-11</v>
      </c>
      <c r="P81" s="1">
        <v>2.1633400330735099E-9</v>
      </c>
      <c r="Q81">
        <v>64.598067443575303</v>
      </c>
      <c r="S81">
        <v>21.849485986067599</v>
      </c>
      <c r="AA81">
        <v>2.9529737335428701</v>
      </c>
      <c r="AB81">
        <v>8.8995206841513603</v>
      </c>
      <c r="AC81">
        <v>1.6999521526628001</v>
      </c>
      <c r="AJ81">
        <v>0.76392193279606702</v>
      </c>
      <c r="AK81">
        <v>0.14007245378102301</v>
      </c>
      <c r="AL81">
        <v>9.6005613422908795E-2</v>
      </c>
    </row>
    <row r="82" spans="1:38" x14ac:dyDescent="0.2">
      <c r="A82">
        <v>106</v>
      </c>
      <c r="B82">
        <v>730</v>
      </c>
      <c r="C82">
        <v>250</v>
      </c>
      <c r="D82">
        <v>0.30940587150476501</v>
      </c>
      <c r="E82">
        <v>35.497405141315902</v>
      </c>
      <c r="F82">
        <v>2.52508108235947</v>
      </c>
      <c r="G82">
        <v>-557.59349763947648</v>
      </c>
      <c r="H82">
        <v>-485.12135246623228</v>
      </c>
      <c r="I82">
        <v>72.244574762741607</v>
      </c>
      <c r="J82">
        <v>42.344078095181899</v>
      </c>
      <c r="K82">
        <v>14.0579268480941</v>
      </c>
      <c r="L82">
        <v>2.8823971427947294E-5</v>
      </c>
      <c r="M82">
        <v>1.7927475012827068E-6</v>
      </c>
      <c r="N82" s="1">
        <v>-5.0597923491952696E-7</v>
      </c>
      <c r="O82" s="1">
        <v>1.3256341295781299E-10</v>
      </c>
      <c r="P82" s="1">
        <v>1.7347205140223901E-9</v>
      </c>
      <c r="Q82">
        <v>65.894715409270702</v>
      </c>
      <c r="S82">
        <v>18.9383405598876</v>
      </c>
      <c r="AA82">
        <v>0.24869387271771101</v>
      </c>
      <c r="AB82">
        <v>4.1570849427615704</v>
      </c>
      <c r="AC82">
        <v>10.761165215362301</v>
      </c>
      <c r="AJ82">
        <v>0.36547176928535002</v>
      </c>
      <c r="AK82">
        <v>1.20820551196331E-2</v>
      </c>
      <c r="AL82">
        <v>0.62244617559501603</v>
      </c>
    </row>
    <row r="83" spans="1:38" x14ac:dyDescent="0.2">
      <c r="A83">
        <v>114</v>
      </c>
      <c r="B83">
        <v>746</v>
      </c>
      <c r="C83">
        <v>240</v>
      </c>
      <c r="D83">
        <v>0.33214001864298798</v>
      </c>
      <c r="E83">
        <v>1.48572494712842</v>
      </c>
      <c r="F83">
        <v>2.5813891672852498</v>
      </c>
      <c r="G83">
        <v>-24.058703438570205</v>
      </c>
      <c r="H83">
        <v>-20.894695316106823</v>
      </c>
      <c r="I83">
        <v>3.1045558774109598</v>
      </c>
      <c r="J83">
        <v>1.8196935384892301</v>
      </c>
      <c r="K83">
        <v>0.57555248389412705</v>
      </c>
      <c r="L83">
        <v>3.1454405779168182E-5</v>
      </c>
      <c r="M83">
        <v>1.7942884331402947E-6</v>
      </c>
      <c r="N83" s="1">
        <v>-2.9254827868117001E-8</v>
      </c>
      <c r="O83" s="1">
        <v>4.9583766496066504E-12</v>
      </c>
      <c r="P83" s="1">
        <v>9.73053380164985E-11</v>
      </c>
      <c r="Q83">
        <v>64.395161829385799</v>
      </c>
      <c r="S83">
        <v>21.995871228366799</v>
      </c>
      <c r="AA83">
        <v>3.1210883084784502</v>
      </c>
      <c r="AB83">
        <v>8.8311243463619107</v>
      </c>
      <c r="AC83">
        <v>1.6567542874068799</v>
      </c>
      <c r="AJ83">
        <v>0.75830587328700205</v>
      </c>
      <c r="AK83">
        <v>0.148096661004289</v>
      </c>
      <c r="AL83">
        <v>9.3597465708707805E-2</v>
      </c>
    </row>
    <row r="84" spans="1:38" x14ac:dyDescent="0.2">
      <c r="A84">
        <v>115</v>
      </c>
      <c r="B84">
        <v>744</v>
      </c>
      <c r="C84">
        <v>240</v>
      </c>
      <c r="D84">
        <v>0.33068918055350899</v>
      </c>
      <c r="E84">
        <v>10.372006565346901</v>
      </c>
      <c r="F84">
        <v>2.5794553570271699</v>
      </c>
      <c r="G84">
        <v>-167.83075164968011</v>
      </c>
      <c r="H84">
        <v>-145.8057945687562</v>
      </c>
      <c r="I84">
        <v>21.653597877327702</v>
      </c>
      <c r="J84">
        <v>12.714732036928201</v>
      </c>
      <c r="K84">
        <v>4.0210064256745799</v>
      </c>
      <c r="L84">
        <v>3.1606100677590819E-5</v>
      </c>
      <c r="M84">
        <v>1.798139056267597E-6</v>
      </c>
      <c r="N84" s="1">
        <v>-2.1740380763652201E-7</v>
      </c>
      <c r="O84" s="1">
        <v>3.4648623672483199E-11</v>
      </c>
      <c r="P84" s="1">
        <v>7.1678523892418901E-10</v>
      </c>
      <c r="Q84">
        <v>64.564340597340106</v>
      </c>
      <c r="S84">
        <v>21.8482596841014</v>
      </c>
      <c r="AA84">
        <v>2.9598317203578999</v>
      </c>
      <c r="AB84">
        <v>8.8211473056431906</v>
      </c>
      <c r="AC84">
        <v>1.8064206925572299</v>
      </c>
      <c r="AJ84">
        <v>0.75748935945738405</v>
      </c>
      <c r="AK84">
        <v>0.140452434923241</v>
      </c>
      <c r="AL84">
        <v>0.102058205619373</v>
      </c>
    </row>
    <row r="85" spans="1:38" x14ac:dyDescent="0.2">
      <c r="A85">
        <v>115</v>
      </c>
      <c r="B85">
        <v>744</v>
      </c>
      <c r="C85">
        <v>240</v>
      </c>
      <c r="D85">
        <v>0.33068918055350899</v>
      </c>
      <c r="E85">
        <v>15.462049553039099</v>
      </c>
      <c r="F85">
        <v>2.5242817932825998</v>
      </c>
      <c r="G85">
        <v>-243.57457355226126</v>
      </c>
      <c r="H85">
        <v>-211.27346992944783</v>
      </c>
      <c r="I85">
        <v>31.756479990968302</v>
      </c>
      <c r="J85">
        <v>18.391756547857401</v>
      </c>
      <c r="K85">
        <v>6.1253262588136304</v>
      </c>
      <c r="L85">
        <v>2.8524508739802377E-5</v>
      </c>
      <c r="M85">
        <v>1.7923682681831873E-6</v>
      </c>
      <c r="N85" s="1">
        <v>-1.3831327148322701E-7</v>
      </c>
      <c r="O85" s="1">
        <v>5.8311524535036102E-11</v>
      </c>
      <c r="P85" s="1">
        <v>5.2293627057592604E-10</v>
      </c>
      <c r="Q85">
        <v>65.911531462393199</v>
      </c>
      <c r="S85">
        <v>18.985039017887999</v>
      </c>
      <c r="AA85">
        <v>0.283296782616063</v>
      </c>
      <c r="AB85">
        <v>4.3169846943662904</v>
      </c>
      <c r="AC85">
        <v>10.5031480427362</v>
      </c>
      <c r="AJ85">
        <v>0.37922053354848201</v>
      </c>
      <c r="AK85">
        <v>1.37519336609104E-2</v>
      </c>
      <c r="AL85">
        <v>0.60702753279060595</v>
      </c>
    </row>
    <row r="86" spans="1:38" x14ac:dyDescent="0.2">
      <c r="A86">
        <v>116</v>
      </c>
      <c r="B86">
        <v>742</v>
      </c>
      <c r="C86">
        <v>240</v>
      </c>
      <c r="D86">
        <v>0.32923262572033701</v>
      </c>
      <c r="E86">
        <v>16.910674767248899</v>
      </c>
      <c r="F86">
        <v>2.5796557589143898</v>
      </c>
      <c r="G86">
        <v>-273.57520499043704</v>
      </c>
      <c r="H86">
        <v>-237.77685044169135</v>
      </c>
      <c r="I86">
        <v>35.2641033825007</v>
      </c>
      <c r="J86">
        <v>20.753339462033701</v>
      </c>
      <c r="K86">
        <v>6.5553997694504504</v>
      </c>
      <c r="L86">
        <v>3.1730904025646473E-5</v>
      </c>
      <c r="M86">
        <v>1.7988251051391238E-6</v>
      </c>
      <c r="N86" s="1">
        <v>-3.7838041773648298E-7</v>
      </c>
      <c r="O86" s="1">
        <v>5.6291472750005699E-11</v>
      </c>
      <c r="P86" s="1">
        <v>1.2368755113245801E-9</v>
      </c>
      <c r="Q86">
        <v>64.570109199262603</v>
      </c>
      <c r="S86">
        <v>21.847764219827301</v>
      </c>
      <c r="AA86">
        <v>2.9580769328618501</v>
      </c>
      <c r="AB86">
        <v>8.8327034017178896</v>
      </c>
      <c r="AC86">
        <v>1.7913462463302801</v>
      </c>
      <c r="AJ86">
        <v>0.758438164592938</v>
      </c>
      <c r="AK86">
        <v>0.14036110755051201</v>
      </c>
      <c r="AL86">
        <v>0.101200727856548</v>
      </c>
    </row>
    <row r="87" spans="1:38" x14ac:dyDescent="0.2">
      <c r="A87">
        <v>116</v>
      </c>
      <c r="B87">
        <v>742</v>
      </c>
      <c r="C87">
        <v>240</v>
      </c>
      <c r="D87">
        <v>0.32923262572033701</v>
      </c>
      <c r="E87">
        <v>28.819681950296999</v>
      </c>
      <c r="F87">
        <v>2.5243297184312201</v>
      </c>
      <c r="G87">
        <v>-453.8339394751647</v>
      </c>
      <c r="H87">
        <v>-393.82223173979122</v>
      </c>
      <c r="I87">
        <v>59.116098837978001</v>
      </c>
      <c r="J87">
        <v>34.290836367974599</v>
      </c>
      <c r="K87">
        <v>11.416766098292101</v>
      </c>
      <c r="L87">
        <v>2.8557679128829692E-5</v>
      </c>
      <c r="M87">
        <v>1.7925168746452824E-6</v>
      </c>
      <c r="N87" s="1">
        <v>-2.7560132868261798E-7</v>
      </c>
      <c r="O87" s="1">
        <v>1.08564700921672E-10</v>
      </c>
      <c r="P87" s="1">
        <v>1.0254752186861401E-9</v>
      </c>
      <c r="Q87">
        <v>65.910208177480598</v>
      </c>
      <c r="S87">
        <v>18.9785379151791</v>
      </c>
      <c r="AA87">
        <v>0.27824207675909801</v>
      </c>
      <c r="AB87">
        <v>4.2969923389378</v>
      </c>
      <c r="AC87">
        <v>10.5360194916432</v>
      </c>
      <c r="AJ87">
        <v>0.37750274814637103</v>
      </c>
      <c r="AK87">
        <v>1.3507940366305E-2</v>
      </c>
      <c r="AL87">
        <v>0.60898931148732305</v>
      </c>
    </row>
    <row r="88" spans="1:38" x14ac:dyDescent="0.2">
      <c r="A88">
        <v>117</v>
      </c>
      <c r="B88">
        <v>740</v>
      </c>
      <c r="C88">
        <v>240</v>
      </c>
      <c r="D88">
        <v>0.32777032028821201</v>
      </c>
      <c r="E88">
        <v>18.554834157622899</v>
      </c>
      <c r="F88">
        <v>2.5799062337030101</v>
      </c>
      <c r="G88">
        <v>-300.11162636359035</v>
      </c>
      <c r="H88">
        <v>-260.95534724503705</v>
      </c>
      <c r="I88">
        <v>38.6480571668097</v>
      </c>
      <c r="J88">
        <v>22.798027411349601</v>
      </c>
      <c r="K88">
        <v>7.1920575698561997</v>
      </c>
      <c r="L88">
        <v>3.1860702325705605E-5</v>
      </c>
      <c r="M88">
        <v>1.7994169177983503E-6</v>
      </c>
      <c r="N88" s="1">
        <v>-4.4319174929943698E-7</v>
      </c>
      <c r="O88" s="1">
        <v>6.1524725204143101E-11</v>
      </c>
      <c r="P88" s="1">
        <v>1.43690915090419E-9</v>
      </c>
      <c r="Q88">
        <v>64.570673260630102</v>
      </c>
      <c r="S88">
        <v>21.851162056804199</v>
      </c>
      <c r="AA88">
        <v>2.9607485671499498</v>
      </c>
      <c r="AB88">
        <v>8.8428682536154692</v>
      </c>
      <c r="AC88">
        <v>1.77454786180021</v>
      </c>
      <c r="AJ88">
        <v>0.75927258383946294</v>
      </c>
      <c r="AK88">
        <v>0.14048077092723299</v>
      </c>
      <c r="AL88">
        <v>0.100246645233303</v>
      </c>
    </row>
    <row r="89" spans="1:38" x14ac:dyDescent="0.2">
      <c r="A89">
        <v>117</v>
      </c>
      <c r="B89">
        <v>740</v>
      </c>
      <c r="C89">
        <v>240</v>
      </c>
      <c r="D89">
        <v>0.32777032028821201</v>
      </c>
      <c r="E89">
        <v>32.131679534195598</v>
      </c>
      <c r="F89">
        <v>2.5243780883026599</v>
      </c>
      <c r="G89">
        <v>-505.801147853283</v>
      </c>
      <c r="H89">
        <v>-439.11015560696319</v>
      </c>
      <c r="I89">
        <v>65.825388389004402</v>
      </c>
      <c r="J89">
        <v>38.243852564565202</v>
      </c>
      <c r="K89">
        <v>12.7285527009942</v>
      </c>
      <c r="L89">
        <v>2.8591661568577276E-5</v>
      </c>
      <c r="M89">
        <v>1.7926437870576058E-6</v>
      </c>
      <c r="N89" s="1">
        <v>-3.2817758029914999E-7</v>
      </c>
      <c r="O89" s="1">
        <v>1.2089845019536299E-10</v>
      </c>
      <c r="P89" s="1">
        <v>1.20283167161202E-9</v>
      </c>
      <c r="Q89">
        <v>65.907911720585602</v>
      </c>
      <c r="S89">
        <v>18.971936816862101</v>
      </c>
      <c r="AA89">
        <v>0.27333194987961401</v>
      </c>
      <c r="AB89">
        <v>4.2745691704389897</v>
      </c>
      <c r="AC89">
        <v>10.572250342233501</v>
      </c>
      <c r="AJ89">
        <v>0.37557567979059597</v>
      </c>
      <c r="AK89">
        <v>1.32710810847264E-2</v>
      </c>
      <c r="AL89">
        <v>0.61115323912467701</v>
      </c>
    </row>
    <row r="90" spans="1:38" x14ac:dyDescent="0.2">
      <c r="A90">
        <v>118</v>
      </c>
      <c r="B90">
        <v>738</v>
      </c>
      <c r="C90">
        <v>240</v>
      </c>
      <c r="D90">
        <v>0.326302230134007</v>
      </c>
      <c r="E90">
        <v>19.352500409720399</v>
      </c>
      <c r="F90">
        <v>2.5801327408069401</v>
      </c>
      <c r="G90">
        <v>-312.94737679957314</v>
      </c>
      <c r="H90">
        <v>-272.23547384808268</v>
      </c>
      <c r="I90">
        <v>40.262970826771898</v>
      </c>
      <c r="J90">
        <v>23.808324704021299</v>
      </c>
      <c r="K90">
        <v>7.5005832466076496</v>
      </c>
      <c r="L90">
        <v>3.2000027617300094E-5</v>
      </c>
      <c r="M90">
        <v>1.8000888288036437E-6</v>
      </c>
      <c r="N90" s="1">
        <v>-4.9356259157782995E-7</v>
      </c>
      <c r="O90" s="1">
        <v>6.3906625323879699E-11</v>
      </c>
      <c r="P90" s="1">
        <v>1.5876835336206E-9</v>
      </c>
      <c r="Q90">
        <v>64.573763573050002</v>
      </c>
      <c r="S90">
        <v>21.852634929201098</v>
      </c>
      <c r="AA90">
        <v>2.9612426198025301</v>
      </c>
      <c r="AB90">
        <v>8.8536161756222</v>
      </c>
      <c r="AC90">
        <v>1.75874270232412</v>
      </c>
      <c r="AJ90">
        <v>0.76015481277439501</v>
      </c>
      <c r="AK90">
        <v>0.140496705556511</v>
      </c>
      <c r="AL90">
        <v>9.93484816690932E-2</v>
      </c>
    </row>
    <row r="91" spans="1:38" x14ac:dyDescent="0.2">
      <c r="A91">
        <v>118</v>
      </c>
      <c r="B91">
        <v>738</v>
      </c>
      <c r="C91">
        <v>240</v>
      </c>
      <c r="D91">
        <v>0.326302230134007</v>
      </c>
      <c r="E91">
        <v>33.642407108113801</v>
      </c>
      <c r="F91">
        <v>2.5244292522907599</v>
      </c>
      <c r="G91">
        <v>-529.38835953863406</v>
      </c>
      <c r="H91">
        <v>-459.78871668712634</v>
      </c>
      <c r="I91">
        <v>68.832164220449798</v>
      </c>
      <c r="J91">
        <v>40.056481563290802</v>
      </c>
      <c r="K91">
        <v>13.3267379458487</v>
      </c>
      <c r="L91">
        <v>2.8629705813809708E-5</v>
      </c>
      <c r="M91">
        <v>1.7927923652069528E-6</v>
      </c>
      <c r="N91" s="1">
        <v>-3.6702361826551302E-7</v>
      </c>
      <c r="O91" s="1">
        <v>1.2642047587444699E-10</v>
      </c>
      <c r="P91" s="1">
        <v>1.32592866367009E-9</v>
      </c>
      <c r="Q91">
        <v>65.905954796527794</v>
      </c>
      <c r="S91">
        <v>18.965490714220198</v>
      </c>
      <c r="AA91">
        <v>0.26847047067324198</v>
      </c>
      <c r="AB91">
        <v>4.2533089739759502</v>
      </c>
      <c r="AC91">
        <v>10.606775044602699</v>
      </c>
      <c r="AJ91">
        <v>0.37374815366467401</v>
      </c>
      <c r="AK91">
        <v>1.30364528435947E-2</v>
      </c>
      <c r="AL91">
        <v>0.61321539349173004</v>
      </c>
    </row>
    <row r="92" spans="1:38" x14ac:dyDescent="0.2">
      <c r="A92">
        <v>119</v>
      </c>
      <c r="B92">
        <v>736</v>
      </c>
      <c r="C92">
        <v>240</v>
      </c>
      <c r="D92">
        <v>0.32482832086409602</v>
      </c>
      <c r="E92">
        <v>19.857436862134598</v>
      </c>
      <c r="F92">
        <v>2.58034833407332</v>
      </c>
      <c r="G92">
        <v>-321.04449395425979</v>
      </c>
      <c r="H92">
        <v>-279.40127961554452</v>
      </c>
      <c r="I92">
        <v>41.2656337895409</v>
      </c>
      <c r="J92">
        <v>24.462821334271599</v>
      </c>
      <c r="K92">
        <v>7.69564194101957</v>
      </c>
      <c r="L92">
        <v>3.2148781633504135E-5</v>
      </c>
      <c r="M92">
        <v>1.8008125079252902E-6</v>
      </c>
      <c r="N92" s="1">
        <v>-5.4083721760634301E-7</v>
      </c>
      <c r="O92" s="1">
        <v>6.5288290323161303E-11</v>
      </c>
      <c r="P92" s="1">
        <v>1.72668243024762E-9</v>
      </c>
      <c r="Q92">
        <v>64.5780341505954</v>
      </c>
      <c r="S92">
        <v>21.853199120845701</v>
      </c>
      <c r="AA92">
        <v>2.9607116027985398</v>
      </c>
      <c r="AB92">
        <v>8.8646120304492992</v>
      </c>
      <c r="AC92">
        <v>1.7434430953109401</v>
      </c>
      <c r="AJ92">
        <v>0.76105731232654905</v>
      </c>
      <c r="AK92">
        <v>0.14046383647390301</v>
      </c>
      <c r="AL92">
        <v>9.8478851199546802E-2</v>
      </c>
    </row>
    <row r="93" spans="1:38" x14ac:dyDescent="0.2">
      <c r="A93">
        <v>119</v>
      </c>
      <c r="B93">
        <v>736</v>
      </c>
      <c r="C93">
        <v>240</v>
      </c>
      <c r="D93">
        <v>0.32482832086409602</v>
      </c>
      <c r="E93">
        <v>34.521628216372598</v>
      </c>
      <c r="F93">
        <v>2.52448272379945</v>
      </c>
      <c r="G93">
        <v>-543.02609758055564</v>
      </c>
      <c r="H93">
        <v>-471.84001850071286</v>
      </c>
      <c r="I93">
        <v>70.540632294349294</v>
      </c>
      <c r="J93">
        <v>41.119886352544299</v>
      </c>
      <c r="K93">
        <v>13.6747333982211</v>
      </c>
      <c r="L93">
        <v>2.8671493353691874E-5</v>
      </c>
      <c r="M93">
        <v>1.7929556615197746E-6</v>
      </c>
      <c r="N93" s="1">
        <v>-4.0223925675687601E-7</v>
      </c>
      <c r="O93" s="1">
        <v>1.29545109615978E-10</v>
      </c>
      <c r="P93" s="1">
        <v>1.4332612926478201E-9</v>
      </c>
      <c r="Q93">
        <v>65.904107446740497</v>
      </c>
      <c r="S93">
        <v>18.959151793585399</v>
      </c>
      <c r="AA93">
        <v>0.26367185006216898</v>
      </c>
      <c r="AB93">
        <v>4.2325739494658299</v>
      </c>
      <c r="AC93">
        <v>10.640494960146</v>
      </c>
      <c r="AJ93">
        <v>0.37196539061199901</v>
      </c>
      <c r="AK93">
        <v>1.28047922038009E-2</v>
      </c>
      <c r="AL93">
        <v>0.615229817184199</v>
      </c>
    </row>
    <row r="94" spans="1:38" x14ac:dyDescent="0.2">
      <c r="A94">
        <v>120</v>
      </c>
      <c r="B94">
        <v>734</v>
      </c>
      <c r="C94">
        <v>240</v>
      </c>
      <c r="D94">
        <v>0.32334855781164801</v>
      </c>
      <c r="E94">
        <v>20.2234434385032</v>
      </c>
      <c r="F94">
        <v>2.5805576356711901</v>
      </c>
      <c r="G94">
        <v>-326.89218608904014</v>
      </c>
      <c r="H94">
        <v>-284.61469054511019</v>
      </c>
      <c r="I94">
        <v>41.977357438246401</v>
      </c>
      <c r="J94">
        <v>24.950109193763801</v>
      </c>
      <c r="K94">
        <v>7.8368501284193197</v>
      </c>
      <c r="L94">
        <v>3.2307342578479088E-5</v>
      </c>
      <c r="M94">
        <v>1.8015791770958502E-6</v>
      </c>
      <c r="N94" s="1">
        <v>-5.8826718875562499E-7</v>
      </c>
      <c r="O94" s="1">
        <v>6.6182998272921002E-11</v>
      </c>
      <c r="P94" s="1">
        <v>1.8645742349619202E-9</v>
      </c>
      <c r="Q94">
        <v>64.583012634944893</v>
      </c>
      <c r="S94">
        <v>21.853211569320599</v>
      </c>
      <c r="AA94">
        <v>2.9595602116550501</v>
      </c>
      <c r="AB94">
        <v>8.8757389511818996</v>
      </c>
      <c r="AC94">
        <v>1.7284766328973999</v>
      </c>
      <c r="AJ94">
        <v>0.761970478950177</v>
      </c>
      <c r="AK94">
        <v>0.140401450852978</v>
      </c>
      <c r="AL94">
        <v>9.7628070196843997E-2</v>
      </c>
    </row>
    <row r="95" spans="1:38" x14ac:dyDescent="0.2">
      <c r="A95">
        <v>120</v>
      </c>
      <c r="B95">
        <v>734</v>
      </c>
      <c r="C95">
        <v>240</v>
      </c>
      <c r="D95">
        <v>0.32334855781164801</v>
      </c>
      <c r="E95">
        <v>35.097412028486502</v>
      </c>
      <c r="F95">
        <v>2.5245383284665799</v>
      </c>
      <c r="G95">
        <v>-551.88345914240426</v>
      </c>
      <c r="H95">
        <v>-479.74616934246529</v>
      </c>
      <c r="I95">
        <v>71.6251698356144</v>
      </c>
      <c r="J95">
        <v>41.824270821877498</v>
      </c>
      <c r="K95">
        <v>13.902507097131201</v>
      </c>
      <c r="L95">
        <v>2.8717056482916539E-5</v>
      </c>
      <c r="M95">
        <v>1.7931316482552005E-6</v>
      </c>
      <c r="N95" s="1">
        <v>-4.3667988819170699E-7</v>
      </c>
      <c r="O95" s="1">
        <v>1.31510328645731E-10</v>
      </c>
      <c r="P95" s="1">
        <v>1.5356701096686399E-9</v>
      </c>
      <c r="Q95">
        <v>65.902289656636498</v>
      </c>
      <c r="S95">
        <v>18.9529025374828</v>
      </c>
      <c r="AA95">
        <v>0.258940306260252</v>
      </c>
      <c r="AB95">
        <v>4.2121398643535199</v>
      </c>
      <c r="AC95">
        <v>10.6737276352668</v>
      </c>
      <c r="AJ95">
        <v>0.370208133484347</v>
      </c>
      <c r="AK95">
        <v>1.25763211817039E-2</v>
      </c>
      <c r="AL95">
        <v>0.61721554533394796</v>
      </c>
    </row>
    <row r="96" spans="1:38" x14ac:dyDescent="0.2">
      <c r="A96">
        <v>121</v>
      </c>
      <c r="B96">
        <v>732</v>
      </c>
      <c r="C96">
        <v>240</v>
      </c>
      <c r="D96">
        <v>0.32186290603392398</v>
      </c>
      <c r="E96">
        <v>20.511472827404202</v>
      </c>
      <c r="F96">
        <v>2.5807628427696399</v>
      </c>
      <c r="G96">
        <v>-331.47700310392071</v>
      </c>
      <c r="H96">
        <v>-288.73250558729268</v>
      </c>
      <c r="I96">
        <v>42.525491236758697</v>
      </c>
      <c r="J96">
        <v>25.345053793216099</v>
      </c>
      <c r="K96">
        <v>7.94783328691741</v>
      </c>
      <c r="L96">
        <v>3.2476249482534436E-5</v>
      </c>
      <c r="M96">
        <v>1.8023857456577628E-6</v>
      </c>
      <c r="N96" s="1">
        <v>-6.3723091490443301E-7</v>
      </c>
      <c r="O96" s="1">
        <v>6.67935389793547E-11</v>
      </c>
      <c r="P96" s="1">
        <v>2.0058134071510301E-9</v>
      </c>
      <c r="Q96">
        <v>64.588478043473003</v>
      </c>
      <c r="S96">
        <v>21.8528394514776</v>
      </c>
      <c r="AA96">
        <v>2.9579779322612199</v>
      </c>
      <c r="AB96">
        <v>8.8869427657391107</v>
      </c>
      <c r="AC96">
        <v>1.71376180704896</v>
      </c>
      <c r="AJ96">
        <v>0.76288986105253098</v>
      </c>
      <c r="AK96">
        <v>0.140318579612423</v>
      </c>
      <c r="AL96">
        <v>9.6791559335045005E-2</v>
      </c>
    </row>
    <row r="97" spans="1:38" x14ac:dyDescent="0.2">
      <c r="A97">
        <v>121</v>
      </c>
      <c r="B97">
        <v>732</v>
      </c>
      <c r="C97">
        <v>240</v>
      </c>
      <c r="D97">
        <v>0.32186290603392398</v>
      </c>
      <c r="E97">
        <v>35.500964101483298</v>
      </c>
      <c r="F97">
        <v>2.52459598430546</v>
      </c>
      <c r="G97">
        <v>-558.02780008480124</v>
      </c>
      <c r="H97">
        <v>-485.2996431036396</v>
      </c>
      <c r="I97">
        <v>72.3555260221476</v>
      </c>
      <c r="J97">
        <v>42.3257437880156</v>
      </c>
      <c r="K97">
        <v>14.0620377764127</v>
      </c>
      <c r="L97">
        <v>2.8766534502748203E-5</v>
      </c>
      <c r="M97">
        <v>1.793319729430119E-6</v>
      </c>
      <c r="N97" s="1">
        <v>-4.7151255542877202E-7</v>
      </c>
      <c r="O97" s="1">
        <v>1.3281114806377901E-10</v>
      </c>
      <c r="P97" s="1">
        <v>1.6375423277135199E-9</v>
      </c>
      <c r="Q97">
        <v>65.900464559920593</v>
      </c>
      <c r="S97">
        <v>18.9467342123578</v>
      </c>
      <c r="AA97">
        <v>0.25427723624156001</v>
      </c>
      <c r="AB97">
        <v>4.1919016679277297</v>
      </c>
      <c r="AC97">
        <v>10.7066223235522</v>
      </c>
      <c r="AJ97">
        <v>0.36846736133979102</v>
      </c>
      <c r="AK97">
        <v>1.23511162812659E-2</v>
      </c>
      <c r="AL97">
        <v>0.61918152237894197</v>
      </c>
    </row>
    <row r="98" spans="1:38" x14ac:dyDescent="0.2">
      <c r="A98">
        <v>128</v>
      </c>
      <c r="B98">
        <v>748</v>
      </c>
      <c r="C98">
        <v>230</v>
      </c>
      <c r="D98">
        <v>0.34435734221221198</v>
      </c>
      <c r="E98">
        <v>1.6865522581009</v>
      </c>
      <c r="F98">
        <v>2.5805562296213198</v>
      </c>
      <c r="G98">
        <v>-27.324467025688147</v>
      </c>
      <c r="H98">
        <v>-23.721185878194177</v>
      </c>
      <c r="I98">
        <v>3.5286501958517</v>
      </c>
      <c r="J98">
        <v>2.06370394706979</v>
      </c>
      <c r="K98">
        <v>0.653561522411929</v>
      </c>
      <c r="L98">
        <v>3.1354184687747251E-5</v>
      </c>
      <c r="M98">
        <v>1.795125572694967E-6</v>
      </c>
      <c r="N98" s="1">
        <v>-3.0954777547772898E-8</v>
      </c>
      <c r="O98" s="1">
        <v>5.6501561363009399E-12</v>
      </c>
      <c r="P98" s="1">
        <v>1.0399718038463499E-10</v>
      </c>
      <c r="Q98">
        <v>64.425192422287495</v>
      </c>
      <c r="S98">
        <v>21.976546602988499</v>
      </c>
      <c r="AA98">
        <v>3.09813806636385</v>
      </c>
      <c r="AB98">
        <v>8.8473838946651302</v>
      </c>
      <c r="AC98">
        <v>1.65273901369496</v>
      </c>
      <c r="AJ98">
        <v>0.75964101817142504</v>
      </c>
      <c r="AK98">
        <v>0.146995856597115</v>
      </c>
      <c r="AL98">
        <v>9.3363125231458399E-2</v>
      </c>
    </row>
    <row r="99" spans="1:38" x14ac:dyDescent="0.2">
      <c r="A99">
        <v>129</v>
      </c>
      <c r="B99">
        <v>746</v>
      </c>
      <c r="C99">
        <v>230</v>
      </c>
      <c r="D99">
        <v>0.342933326791936</v>
      </c>
      <c r="E99">
        <v>4.45775022745842</v>
      </c>
      <c r="F99">
        <v>2.5782155171459</v>
      </c>
      <c r="G99">
        <v>-72.158344043354319</v>
      </c>
      <c r="H99">
        <v>-62.661461773839996</v>
      </c>
      <c r="I99">
        <v>9.3184342535586602</v>
      </c>
      <c r="J99">
        <v>5.4585521032828801</v>
      </c>
      <c r="K99">
        <v>1.7290060500423801</v>
      </c>
      <c r="L99">
        <v>3.1495704668130402E-5</v>
      </c>
      <c r="M99">
        <v>1.7993328989815871E-6</v>
      </c>
      <c r="N99" s="1">
        <v>-8.6923388519260599E-8</v>
      </c>
      <c r="O99" s="1">
        <v>1.49641235830472E-11</v>
      </c>
      <c r="P99" s="1">
        <v>2.8941068035292102E-10</v>
      </c>
      <c r="Q99">
        <v>64.617855815345806</v>
      </c>
      <c r="S99">
        <v>21.803864366148801</v>
      </c>
      <c r="AA99">
        <v>2.91071808395359</v>
      </c>
      <c r="AB99">
        <v>8.8240150017995997</v>
      </c>
      <c r="AC99">
        <v>1.84354673275208</v>
      </c>
      <c r="AJ99">
        <v>0.75772561187023302</v>
      </c>
      <c r="AK99">
        <v>0.13812002991519101</v>
      </c>
      <c r="AL99">
        <v>0.104154358214575</v>
      </c>
    </row>
    <row r="100" spans="1:38" x14ac:dyDescent="0.2">
      <c r="A100">
        <v>129</v>
      </c>
      <c r="B100">
        <v>746</v>
      </c>
      <c r="C100">
        <v>230</v>
      </c>
      <c r="D100">
        <v>0.342933326791936</v>
      </c>
      <c r="E100">
        <v>2.3400236544238102</v>
      </c>
      <c r="F100">
        <v>2.5238397120448202</v>
      </c>
      <c r="G100">
        <v>-36.892305917775388</v>
      </c>
      <c r="H100">
        <v>-31.98657237493202</v>
      </c>
      <c r="I100">
        <v>4.8135539840488297</v>
      </c>
      <c r="J100">
        <v>2.7832562959227598</v>
      </c>
      <c r="K100">
        <v>0.92716809362188901</v>
      </c>
      <c r="L100">
        <v>2.8517038013988914E-5</v>
      </c>
      <c r="M100">
        <v>1.7933557698151432E-6</v>
      </c>
      <c r="N100" s="1">
        <v>-1.96329880125045E-8</v>
      </c>
      <c r="O100" s="1">
        <v>8.8311527935089505E-12</v>
      </c>
      <c r="P100" s="1">
        <v>7.5434885511020499E-11</v>
      </c>
      <c r="Q100">
        <v>65.927313270040102</v>
      </c>
      <c r="S100">
        <v>18.996219830705702</v>
      </c>
      <c r="AA100">
        <v>0.28883859860973998</v>
      </c>
      <c r="AB100">
        <v>4.3814655609269701</v>
      </c>
      <c r="AC100">
        <v>10.406162739717301</v>
      </c>
      <c r="AJ100">
        <v>0.38475857502190303</v>
      </c>
      <c r="AK100">
        <v>1.4016349712767899E-2</v>
      </c>
      <c r="AL100">
        <v>0.60122507526532798</v>
      </c>
    </row>
    <row r="101" spans="1:38" x14ac:dyDescent="0.2">
      <c r="A101">
        <v>130</v>
      </c>
      <c r="B101">
        <v>744</v>
      </c>
      <c r="C101">
        <v>230</v>
      </c>
      <c r="D101">
        <v>0.34150371135034502</v>
      </c>
      <c r="E101">
        <v>16.379215279031101</v>
      </c>
      <c r="F101">
        <v>2.5788373681652899</v>
      </c>
      <c r="G101">
        <v>-265.09184917926484</v>
      </c>
      <c r="H101">
        <v>-230.30765782344452</v>
      </c>
      <c r="I101">
        <v>34.1977007873178</v>
      </c>
      <c r="J101">
        <v>20.0757855245092</v>
      </c>
      <c r="K101">
        <v>6.35139519894736</v>
      </c>
      <c r="L101">
        <v>3.1590539707393503E-5</v>
      </c>
      <c r="M101">
        <v>1.7990282305557461E-6</v>
      </c>
      <c r="N101" s="1">
        <v>-3.4038076450368899E-7</v>
      </c>
      <c r="O101" s="1">
        <v>5.4759188039313403E-11</v>
      </c>
      <c r="P101" s="1">
        <v>1.1233742800852199E-9</v>
      </c>
      <c r="Q101">
        <v>64.580137447977606</v>
      </c>
      <c r="S101">
        <v>21.836266019045699</v>
      </c>
      <c r="AA101">
        <v>2.94625084474215</v>
      </c>
      <c r="AB101">
        <v>8.8249067880691605</v>
      </c>
      <c r="AC101">
        <v>1.8124389001652399</v>
      </c>
      <c r="AJ101">
        <v>0.75779825278506996</v>
      </c>
      <c r="AK101">
        <v>0.13980541180697101</v>
      </c>
      <c r="AL101">
        <v>0.10239633540795801</v>
      </c>
    </row>
    <row r="102" spans="1:38" x14ac:dyDescent="0.2">
      <c r="A102">
        <v>130</v>
      </c>
      <c r="B102">
        <v>744</v>
      </c>
      <c r="C102">
        <v>230</v>
      </c>
      <c r="D102">
        <v>0.34150371135034502</v>
      </c>
      <c r="E102">
        <v>27.715036180043398</v>
      </c>
      <c r="F102">
        <v>2.5238680414236301</v>
      </c>
      <c r="G102">
        <v>-436.75231325208824</v>
      </c>
      <c r="H102">
        <v>-378.84295543808338</v>
      </c>
      <c r="I102">
        <v>56.932957591313901</v>
      </c>
      <c r="J102">
        <v>32.969152277042298</v>
      </c>
      <c r="K102">
        <v>10.9811748178443</v>
      </c>
      <c r="L102">
        <v>2.8530245250203568E-5</v>
      </c>
      <c r="M102">
        <v>1.7932513027057688E-6</v>
      </c>
      <c r="N102" s="1">
        <v>-2.4709340932378999E-7</v>
      </c>
      <c r="O102" s="1">
        <v>1.04511293624368E-10</v>
      </c>
      <c r="P102" s="1">
        <v>9.3496285853873909E-10</v>
      </c>
      <c r="Q102">
        <v>65.918575675027</v>
      </c>
      <c r="S102">
        <v>18.988089203624799</v>
      </c>
      <c r="AA102">
        <v>0.284169546362743</v>
      </c>
      <c r="AB102">
        <v>4.3406788029852601</v>
      </c>
      <c r="AC102">
        <v>10.468486772</v>
      </c>
      <c r="AJ102">
        <v>0.38125597155922702</v>
      </c>
      <c r="AK102">
        <v>1.37926376997569E-2</v>
      </c>
      <c r="AL102">
        <v>0.604951390741015</v>
      </c>
    </row>
    <row r="103" spans="1:38" x14ac:dyDescent="0.2">
      <c r="A103">
        <v>131</v>
      </c>
      <c r="B103">
        <v>742</v>
      </c>
      <c r="C103">
        <v>230</v>
      </c>
      <c r="D103">
        <v>0.34006846278875003</v>
      </c>
      <c r="E103">
        <v>18.2719954529042</v>
      </c>
      <c r="F103">
        <v>2.5791714510723498</v>
      </c>
      <c r="G103">
        <v>-295.66795494850419</v>
      </c>
      <c r="H103">
        <v>-256.98541507269221</v>
      </c>
      <c r="I103">
        <v>38.105245407882499</v>
      </c>
      <c r="J103">
        <v>22.4199007666151</v>
      </c>
      <c r="K103">
        <v>7.0844438997288099</v>
      </c>
      <c r="L103">
        <v>3.1707195195636659E-5</v>
      </c>
      <c r="M103">
        <v>1.7994007903609677E-6</v>
      </c>
      <c r="N103" s="1">
        <v>-4.0514871178267298E-7</v>
      </c>
      <c r="O103" s="1">
        <v>6.0857475252467097E-11</v>
      </c>
      <c r="P103" s="1">
        <v>1.32573004458979E-9</v>
      </c>
      <c r="Q103">
        <v>64.571999587375501</v>
      </c>
      <c r="S103">
        <v>21.846253133480602</v>
      </c>
      <c r="AA103">
        <v>2.9563891749306301</v>
      </c>
      <c r="AB103">
        <v>8.8329545209563793</v>
      </c>
      <c r="AC103">
        <v>1.7924035832568199</v>
      </c>
      <c r="AJ103">
        <v>0.75845880821898903</v>
      </c>
      <c r="AK103">
        <v>0.140280853214483</v>
      </c>
      <c r="AL103">
        <v>0.101260338566527</v>
      </c>
    </row>
    <row r="104" spans="1:38" x14ac:dyDescent="0.2">
      <c r="A104">
        <v>131</v>
      </c>
      <c r="B104">
        <v>742</v>
      </c>
      <c r="C104">
        <v>230</v>
      </c>
      <c r="D104">
        <v>0.34006846278875003</v>
      </c>
      <c r="E104">
        <v>31.705597053001298</v>
      </c>
      <c r="F104">
        <v>2.5239103711274602</v>
      </c>
      <c r="G104">
        <v>-499.44367474308473</v>
      </c>
      <c r="H104">
        <v>-433.41236460734177</v>
      </c>
      <c r="I104">
        <v>65.045865276799404</v>
      </c>
      <c r="J104">
        <v>37.726000177840298</v>
      </c>
      <c r="K104">
        <v>12.562093097956501</v>
      </c>
      <c r="L104">
        <v>2.8557739629038128E-5</v>
      </c>
      <c r="M104">
        <v>1.7933219612817035E-6</v>
      </c>
      <c r="N104" s="1">
        <v>-3.01601615392072E-7</v>
      </c>
      <c r="O104" s="1">
        <v>1.1943498094710601E-10</v>
      </c>
      <c r="P104" s="1">
        <v>1.12355473207623E-9</v>
      </c>
      <c r="Q104">
        <v>65.914898057100302</v>
      </c>
      <c r="S104">
        <v>18.981095798600698</v>
      </c>
      <c r="AA104">
        <v>0.27925803747806999</v>
      </c>
      <c r="AB104">
        <v>4.31414930814611</v>
      </c>
      <c r="AC104">
        <v>10.5105987986747</v>
      </c>
      <c r="AJ104">
        <v>0.37897696011035298</v>
      </c>
      <c r="AK104">
        <v>1.3556079537864E-2</v>
      </c>
      <c r="AL104">
        <v>0.60746696035178205</v>
      </c>
    </row>
    <row r="105" spans="1:38" x14ac:dyDescent="0.2">
      <c r="A105">
        <v>132</v>
      </c>
      <c r="B105">
        <v>740</v>
      </c>
      <c r="C105">
        <v>230</v>
      </c>
      <c r="D105">
        <v>0.33862754774713</v>
      </c>
      <c r="E105">
        <v>19.1412806988975</v>
      </c>
      <c r="F105">
        <v>2.5794425191283801</v>
      </c>
      <c r="G105">
        <v>-309.67093142054375</v>
      </c>
      <c r="H105">
        <v>-269.27470479956918</v>
      </c>
      <c r="I105">
        <v>39.871910991437197</v>
      </c>
      <c r="J105">
        <v>23.5139240024195</v>
      </c>
      <c r="K105">
        <v>7.4207044960108401</v>
      </c>
      <c r="L105">
        <v>3.1834728421355556E-5</v>
      </c>
      <c r="M105">
        <v>1.799940408709923E-6</v>
      </c>
      <c r="N105" s="1">
        <v>-4.5303275082232399E-7</v>
      </c>
      <c r="O105" s="1">
        <v>6.3505089677942804E-11</v>
      </c>
      <c r="P105" s="1">
        <v>1.4702585749556001E-9</v>
      </c>
      <c r="Q105">
        <v>64.570386805656099</v>
      </c>
      <c r="S105">
        <v>21.851286123448102</v>
      </c>
      <c r="AA105">
        <v>2.9609177637536401</v>
      </c>
      <c r="AB105">
        <v>8.8425551609017194</v>
      </c>
      <c r="AC105">
        <v>1.7748541462403999</v>
      </c>
      <c r="AJ105">
        <v>0.75924687963274295</v>
      </c>
      <c r="AK105">
        <v>0.14048901703880801</v>
      </c>
      <c r="AL105">
        <v>0.100264103328447</v>
      </c>
    </row>
    <row r="106" spans="1:38" x14ac:dyDescent="0.2">
      <c r="A106">
        <v>132</v>
      </c>
      <c r="B106">
        <v>740</v>
      </c>
      <c r="C106">
        <v>230</v>
      </c>
      <c r="D106">
        <v>0.33862754774713</v>
      </c>
      <c r="E106">
        <v>33.450077340498297</v>
      </c>
      <c r="F106">
        <v>2.5239572280972098</v>
      </c>
      <c r="G106">
        <v>-526.72565098822349</v>
      </c>
      <c r="H106">
        <v>-457.28788071765723</v>
      </c>
      <c r="I106">
        <v>68.536515097039995</v>
      </c>
      <c r="J106">
        <v>39.814109366955002</v>
      </c>
      <c r="K106">
        <v>13.2530286044965</v>
      </c>
      <c r="L106">
        <v>2.8590634389402974E-5</v>
      </c>
      <c r="M106">
        <v>1.7934364790776231E-6</v>
      </c>
      <c r="N106" s="1">
        <v>-3.3974826343141501E-7</v>
      </c>
      <c r="O106" s="1">
        <v>1.25860359415159E-10</v>
      </c>
      <c r="P106" s="1">
        <v>1.24673041200411E-9</v>
      </c>
      <c r="Q106">
        <v>65.912255816503105</v>
      </c>
      <c r="S106">
        <v>18.974405976128001</v>
      </c>
      <c r="AA106">
        <v>0.27435539616146198</v>
      </c>
      <c r="AB106">
        <v>4.2907229772982296</v>
      </c>
      <c r="AC106">
        <v>10.548259833909</v>
      </c>
      <c r="AJ106">
        <v>0.376964018390754</v>
      </c>
      <c r="AK106">
        <v>1.3319677791077201E-2</v>
      </c>
      <c r="AL106">
        <v>0.60971630381816799</v>
      </c>
    </row>
    <row r="107" spans="1:38" x14ac:dyDescent="0.2">
      <c r="A107">
        <v>133</v>
      </c>
      <c r="B107">
        <v>738</v>
      </c>
      <c r="C107">
        <v>230</v>
      </c>
      <c r="D107">
        <v>0.33718093260149401</v>
      </c>
      <c r="E107">
        <v>19.6730934950075</v>
      </c>
      <c r="F107">
        <v>2.5796834238453399</v>
      </c>
      <c r="G107">
        <v>-318.20825102729088</v>
      </c>
      <c r="H107">
        <v>-276.81957976669281</v>
      </c>
      <c r="I107">
        <v>40.932276378972396</v>
      </c>
      <c r="J107">
        <v>24.197562292232899</v>
      </c>
      <c r="K107">
        <v>7.6261657973839201</v>
      </c>
      <c r="L107">
        <v>3.1972014737327073E-5</v>
      </c>
      <c r="M107">
        <v>1.8005738926503031E-6</v>
      </c>
      <c r="N107" s="1">
        <v>-4.9713723895801804E-7</v>
      </c>
      <c r="O107" s="1">
        <v>6.5002660886586494E-11</v>
      </c>
      <c r="P107" s="1">
        <v>1.60068945758653E-9</v>
      </c>
      <c r="Q107">
        <v>64.571931754805107</v>
      </c>
      <c r="S107">
        <v>21.853915000776201</v>
      </c>
      <c r="AA107">
        <v>2.9627261217037901</v>
      </c>
      <c r="AB107">
        <v>8.8528899409366506</v>
      </c>
      <c r="AC107">
        <v>1.7585371817781099</v>
      </c>
      <c r="AJ107">
        <v>0.76009517897655099</v>
      </c>
      <c r="AK107">
        <v>0.140567593479315</v>
      </c>
      <c r="AL107">
        <v>9.9337227544132004E-2</v>
      </c>
    </row>
    <row r="108" spans="1:38" x14ac:dyDescent="0.2">
      <c r="A108">
        <v>133</v>
      </c>
      <c r="B108">
        <v>738</v>
      </c>
      <c r="C108">
        <v>230</v>
      </c>
      <c r="D108">
        <v>0.33718093260149401</v>
      </c>
      <c r="E108">
        <v>34.433476350584101</v>
      </c>
      <c r="F108">
        <v>2.52400719527779</v>
      </c>
      <c r="G108">
        <v>-542.01074529855384</v>
      </c>
      <c r="H108">
        <v>-470.7641409127217</v>
      </c>
      <c r="I108">
        <v>70.460964630205297</v>
      </c>
      <c r="J108">
        <v>40.999141469550402</v>
      </c>
      <c r="K108">
        <v>13.6423843858314</v>
      </c>
      <c r="L108">
        <v>2.8627815954157558E-5</v>
      </c>
      <c r="M108">
        <v>1.7935762405002094E-6</v>
      </c>
      <c r="N108" s="1">
        <v>-3.7350369869782902E-7</v>
      </c>
      <c r="O108" s="1">
        <v>1.2939660823017101E-10</v>
      </c>
      <c r="P108" s="1">
        <v>1.3509306534583199E-9</v>
      </c>
      <c r="Q108">
        <v>65.910063643066806</v>
      </c>
      <c r="S108">
        <v>18.967895833408701</v>
      </c>
      <c r="AA108">
        <v>0.269495975461922</v>
      </c>
      <c r="AB108">
        <v>4.2687706508201497</v>
      </c>
      <c r="AC108">
        <v>10.583773897242301</v>
      </c>
      <c r="AJ108">
        <v>0.37507729906762199</v>
      </c>
      <c r="AK108">
        <v>1.30852201071657E-2</v>
      </c>
      <c r="AL108">
        <v>0.61183748082521106</v>
      </c>
    </row>
    <row r="109" spans="1:38" x14ac:dyDescent="0.2">
      <c r="A109">
        <v>134</v>
      </c>
      <c r="B109">
        <v>736</v>
      </c>
      <c r="C109">
        <v>230</v>
      </c>
      <c r="D109">
        <v>0.335728583461332</v>
      </c>
      <c r="E109">
        <v>20.051617265884101</v>
      </c>
      <c r="F109">
        <v>2.5799091566664498</v>
      </c>
      <c r="G109">
        <v>-324.26239192132857</v>
      </c>
      <c r="H109">
        <v>-282.20964909698597</v>
      </c>
      <c r="I109">
        <v>41.6714490653941</v>
      </c>
      <c r="J109">
        <v>24.6963715931218</v>
      </c>
      <c r="K109">
        <v>7.7722183411268499</v>
      </c>
      <c r="L109">
        <v>3.2118859570384082E-5</v>
      </c>
      <c r="M109">
        <v>1.801268604008308E-6</v>
      </c>
      <c r="N109" s="1">
        <v>-5.4109694343944601E-7</v>
      </c>
      <c r="O109" s="1">
        <v>6.5966042699372596E-11</v>
      </c>
      <c r="P109" s="1">
        <v>1.7290700556773799E-9</v>
      </c>
      <c r="Q109">
        <v>64.575093624088495</v>
      </c>
      <c r="S109">
        <v>21.8553047073386</v>
      </c>
      <c r="AA109">
        <v>2.9631348648754501</v>
      </c>
      <c r="AB109">
        <v>8.8635792935296607</v>
      </c>
      <c r="AC109">
        <v>1.74288751016757</v>
      </c>
      <c r="AJ109">
        <v>0.76097251447627101</v>
      </c>
      <c r="AK109">
        <v>0.140579516531149</v>
      </c>
      <c r="AL109">
        <v>9.8447968992578697E-2</v>
      </c>
    </row>
    <row r="110" spans="1:38" x14ac:dyDescent="0.2">
      <c r="A110">
        <v>134</v>
      </c>
      <c r="B110">
        <v>736</v>
      </c>
      <c r="C110">
        <v>230</v>
      </c>
      <c r="D110">
        <v>0.335728583461332</v>
      </c>
      <c r="E110">
        <v>35.066719027749301</v>
      </c>
      <c r="F110">
        <v>2.5240596644456001</v>
      </c>
      <c r="G110">
        <v>-551.77675182303722</v>
      </c>
      <c r="H110">
        <v>-479.45627802857257</v>
      </c>
      <c r="I110">
        <v>71.664741410557895</v>
      </c>
      <c r="J110">
        <v>41.769655479388</v>
      </c>
      <c r="K110">
        <v>13.892983403564401</v>
      </c>
      <c r="L110">
        <v>2.8668889702942095E-5</v>
      </c>
      <c r="M110">
        <v>1.7937331404757507E-6</v>
      </c>
      <c r="N110" s="1">
        <v>-4.0620828533601602E-7</v>
      </c>
      <c r="O110" s="1">
        <v>1.3159603983163499E-10</v>
      </c>
      <c r="P110" s="1">
        <v>1.44906603535E-9</v>
      </c>
      <c r="Q110">
        <v>65.908056585719393</v>
      </c>
      <c r="S110">
        <v>18.961509275224699</v>
      </c>
      <c r="AA110">
        <v>0.26469531896069598</v>
      </c>
      <c r="AB110">
        <v>4.2475548385469697</v>
      </c>
      <c r="AC110">
        <v>10.6181839815481</v>
      </c>
      <c r="AJ110">
        <v>0.37325348041609602</v>
      </c>
      <c r="AK110">
        <v>1.2853515416657199E-2</v>
      </c>
      <c r="AL110">
        <v>0.61389300416724601</v>
      </c>
    </row>
    <row r="111" spans="1:38" x14ac:dyDescent="0.2">
      <c r="A111">
        <v>135</v>
      </c>
      <c r="B111">
        <v>734</v>
      </c>
      <c r="C111">
        <v>230</v>
      </c>
      <c r="D111">
        <v>0.33427046616690598</v>
      </c>
      <c r="E111">
        <v>20.346284626155299</v>
      </c>
      <c r="F111">
        <v>2.5801258495099302</v>
      </c>
      <c r="G111">
        <v>-328.95774465885086</v>
      </c>
      <c r="H111">
        <v>-286.42115247980115</v>
      </c>
      <c r="I111">
        <v>42.234614684058599</v>
      </c>
      <c r="J111">
        <v>25.0954982853793</v>
      </c>
      <c r="K111">
        <v>7.88577217271005</v>
      </c>
      <c r="L111">
        <v>3.2275560991968142E-5</v>
      </c>
      <c r="M111">
        <v>1.8020123284719042E-6</v>
      </c>
      <c r="N111" s="1">
        <v>-5.8637959975306196E-7</v>
      </c>
      <c r="O111" s="1">
        <v>6.6626627864727095E-11</v>
      </c>
      <c r="P111" s="1">
        <v>1.86019424961542E-9</v>
      </c>
      <c r="Q111">
        <v>64.579245682093401</v>
      </c>
      <c r="S111">
        <v>21.855929250400202</v>
      </c>
      <c r="AA111">
        <v>2.9626812933229099</v>
      </c>
      <c r="AB111">
        <v>8.8744692530011307</v>
      </c>
      <c r="AC111">
        <v>1.72767452118219</v>
      </c>
      <c r="AJ111">
        <v>0.76186623327667702</v>
      </c>
      <c r="AK111">
        <v>0.14055039231640501</v>
      </c>
      <c r="AL111">
        <v>9.7583374406917195E-2</v>
      </c>
    </row>
    <row r="112" spans="1:38" x14ac:dyDescent="0.2">
      <c r="A112">
        <v>135</v>
      </c>
      <c r="B112">
        <v>734</v>
      </c>
      <c r="C112">
        <v>230</v>
      </c>
      <c r="D112">
        <v>0.33427046616690598</v>
      </c>
      <c r="E112">
        <v>35.506157262745099</v>
      </c>
      <c r="F112">
        <v>2.52411438631434</v>
      </c>
      <c r="G112">
        <v>-558.48842222943517</v>
      </c>
      <c r="H112">
        <v>-485.50066226027315</v>
      </c>
      <c r="I112">
        <v>72.469602312626805</v>
      </c>
      <c r="J112">
        <v>42.311588565277901</v>
      </c>
      <c r="K112">
        <v>14.0667782154636</v>
      </c>
      <c r="L112">
        <v>2.871382769132079E-5</v>
      </c>
      <c r="M112">
        <v>1.7939042637522629E-6</v>
      </c>
      <c r="N112" s="1">
        <v>-4.3916477394124998E-7</v>
      </c>
      <c r="O112" s="1">
        <v>1.33049146823102E-10</v>
      </c>
      <c r="P112" s="1">
        <v>1.54612161183882E-9</v>
      </c>
      <c r="Q112">
        <v>65.906127621033903</v>
      </c>
      <c r="S112">
        <v>18.9552228416301</v>
      </c>
      <c r="AA112">
        <v>0.259959044415977</v>
      </c>
      <c r="AB112">
        <v>4.2267755412118397</v>
      </c>
      <c r="AC112">
        <v>10.6519149517081</v>
      </c>
      <c r="AJ112">
        <v>0.37146680507024898</v>
      </c>
      <c r="AK112">
        <v>1.26248593089839E-2</v>
      </c>
      <c r="AL112">
        <v>0.61590833562076597</v>
      </c>
    </row>
    <row r="113" spans="1:38" x14ac:dyDescent="0.2">
      <c r="A113">
        <v>136</v>
      </c>
      <c r="B113">
        <v>732</v>
      </c>
      <c r="C113">
        <v>230</v>
      </c>
      <c r="D113">
        <v>0.33280654628662198</v>
      </c>
      <c r="E113">
        <v>20.589541002684999</v>
      </c>
      <c r="F113">
        <v>2.5803366121516098</v>
      </c>
      <c r="G113">
        <v>-332.81976074949466</v>
      </c>
      <c r="H113">
        <v>-289.91028872650054</v>
      </c>
      <c r="I113">
        <v>42.689620477534802</v>
      </c>
      <c r="J113">
        <v>25.434844240366701</v>
      </c>
      <c r="K113">
        <v>7.9794011780177998</v>
      </c>
      <c r="L113">
        <v>3.2442607410803755E-5</v>
      </c>
      <c r="M113">
        <v>1.8027998825671473E-6</v>
      </c>
      <c r="N113" s="1">
        <v>-6.3375402104590405E-7</v>
      </c>
      <c r="O113" s="1">
        <v>6.7091966433884997E-11</v>
      </c>
      <c r="P113" s="1">
        <v>1.9965125453702802E-9</v>
      </c>
      <c r="Q113">
        <v>64.584073244730902</v>
      </c>
      <c r="S113">
        <v>21.8560267641517</v>
      </c>
      <c r="AA113">
        <v>2.9616352974218501</v>
      </c>
      <c r="AB113">
        <v>8.8854828624722106</v>
      </c>
      <c r="AC113">
        <v>1.7127818312232701</v>
      </c>
      <c r="AJ113">
        <v>0.76277001105500397</v>
      </c>
      <c r="AK113">
        <v>0.14049308346376399</v>
      </c>
      <c r="AL113">
        <v>9.67369054812314E-2</v>
      </c>
    </row>
    <row r="114" spans="1:38" x14ac:dyDescent="0.2">
      <c r="A114">
        <v>136</v>
      </c>
      <c r="B114">
        <v>732</v>
      </c>
      <c r="C114">
        <v>230</v>
      </c>
      <c r="D114">
        <v>0.33280654628662198</v>
      </c>
      <c r="E114">
        <v>35.825547621036002</v>
      </c>
      <c r="F114">
        <v>2.5241712361231698</v>
      </c>
      <c r="G114">
        <v>-563.30848861846869</v>
      </c>
      <c r="H114">
        <v>-489.90504471664815</v>
      </c>
      <c r="I114">
        <v>73.027353033696997</v>
      </c>
      <c r="J114">
        <v>42.712704060629498</v>
      </c>
      <c r="K114">
        <v>14.192994163129599</v>
      </c>
      <c r="L114">
        <v>2.8762732710538584E-5</v>
      </c>
      <c r="M114">
        <v>1.7940884800875004E-6</v>
      </c>
      <c r="N114" s="1">
        <v>-4.7301402767584999E-7</v>
      </c>
      <c r="O114" s="1">
        <v>1.3403437391440801E-10</v>
      </c>
      <c r="P114" s="1">
        <v>1.64450646025242E-9</v>
      </c>
      <c r="Q114">
        <v>65.904223592965707</v>
      </c>
      <c r="S114">
        <v>18.949024269509401</v>
      </c>
      <c r="AA114">
        <v>0.255289437868087</v>
      </c>
      <c r="AB114">
        <v>4.2062821540681696</v>
      </c>
      <c r="AC114">
        <v>10.6851805455885</v>
      </c>
      <c r="AJ114">
        <v>0.369704342859771</v>
      </c>
      <c r="AK114">
        <v>1.23993748097532E-2</v>
      </c>
      <c r="AL114">
        <v>0.617896282330474</v>
      </c>
    </row>
    <row r="115" spans="1:38" x14ac:dyDescent="0.2">
      <c r="A115">
        <v>142</v>
      </c>
      <c r="B115">
        <v>750</v>
      </c>
      <c r="C115">
        <v>220</v>
      </c>
      <c r="D115">
        <v>0.356526902213751</v>
      </c>
      <c r="E115">
        <v>1.95435038955371</v>
      </c>
      <c r="F115">
        <v>2.57962272317139</v>
      </c>
      <c r="G115">
        <v>-31.678283824199617</v>
      </c>
      <c r="H115">
        <v>-27.489373547104893</v>
      </c>
      <c r="I115">
        <v>4.0941311411764802</v>
      </c>
      <c r="J115">
        <v>2.3892882288010102</v>
      </c>
      <c r="K115">
        <v>0.75761093744399399</v>
      </c>
      <c r="L115">
        <v>3.1263152267088256E-5</v>
      </c>
      <c r="M115">
        <v>1.796138157905905E-6</v>
      </c>
      <c r="N115" s="1">
        <v>-3.3441637324763003E-8</v>
      </c>
      <c r="O115" s="1">
        <v>6.5721168734677104E-12</v>
      </c>
      <c r="P115" s="1">
        <v>1.13537640558562E-10</v>
      </c>
      <c r="Q115">
        <v>64.463056620023195</v>
      </c>
      <c r="S115">
        <v>21.950212062064399</v>
      </c>
      <c r="AA115">
        <v>3.0675767075525102</v>
      </c>
      <c r="AB115">
        <v>8.8627228063657295</v>
      </c>
      <c r="AC115">
        <v>1.65643180399402</v>
      </c>
      <c r="AJ115">
        <v>0.76090051440448403</v>
      </c>
      <c r="AK115">
        <v>0.14553482671822199</v>
      </c>
      <c r="AL115">
        <v>9.35646588772929E-2</v>
      </c>
    </row>
    <row r="116" spans="1:38" x14ac:dyDescent="0.2">
      <c r="A116">
        <v>143</v>
      </c>
      <c r="B116">
        <v>748</v>
      </c>
      <c r="C116">
        <v>220</v>
      </c>
      <c r="D116">
        <v>0.355129510845618</v>
      </c>
      <c r="E116">
        <v>4.0189929780783196</v>
      </c>
      <c r="F116">
        <v>2.5767567686941799</v>
      </c>
      <c r="G116">
        <v>-65.078330121563866</v>
      </c>
      <c r="H116">
        <v>-56.488077299149658</v>
      </c>
      <c r="I116">
        <v>8.4123320006014897</v>
      </c>
      <c r="J116">
        <v>4.9163850783102099</v>
      </c>
      <c r="K116">
        <v>1.5597098751835301</v>
      </c>
      <c r="L116">
        <v>3.1404050697095203E-5</v>
      </c>
      <c r="M116">
        <v>1.8010284777276611E-6</v>
      </c>
      <c r="N116" s="1">
        <v>-7.29731805933696E-8</v>
      </c>
      <c r="O116" s="1">
        <v>1.35588359990484E-11</v>
      </c>
      <c r="P116" s="1">
        <v>2.4544586457940399E-10</v>
      </c>
      <c r="Q116">
        <v>64.693149124177495</v>
      </c>
      <c r="S116">
        <v>21.742802534905099</v>
      </c>
      <c r="AA116">
        <v>2.84277278366402</v>
      </c>
      <c r="AB116">
        <v>8.8317205742802791</v>
      </c>
      <c r="AC116">
        <v>1.8895549829728999</v>
      </c>
      <c r="AJ116">
        <v>0.75835935459636905</v>
      </c>
      <c r="AK116">
        <v>0.13489090472148901</v>
      </c>
      <c r="AL116">
        <v>0.10674974068214101</v>
      </c>
    </row>
    <row r="117" spans="1:38" x14ac:dyDescent="0.2">
      <c r="A117">
        <v>144</v>
      </c>
      <c r="B117">
        <v>746</v>
      </c>
      <c r="C117">
        <v>220</v>
      </c>
      <c r="D117">
        <v>0.35372663494088302</v>
      </c>
      <c r="E117">
        <v>15.8524146637813</v>
      </c>
      <c r="F117">
        <v>2.57796858982354</v>
      </c>
      <c r="G117">
        <v>-256.67466984122592</v>
      </c>
      <c r="H117">
        <v>-222.90161683060245</v>
      </c>
      <c r="I117">
        <v>33.138451661309396</v>
      </c>
      <c r="J117">
        <v>19.4075939226618</v>
      </c>
      <c r="K117">
        <v>6.1491884448702301</v>
      </c>
      <c r="L117">
        <v>3.1461908723224113E-5</v>
      </c>
      <c r="M117">
        <v>1.7993716653810015E-6</v>
      </c>
      <c r="N117" s="1">
        <v>-3.0608777533698998E-7</v>
      </c>
      <c r="O117" s="1">
        <v>5.3217477893088802E-11</v>
      </c>
      <c r="P117" s="1">
        <v>1.0203868658352599E-9</v>
      </c>
      <c r="Q117">
        <v>64.595307864566905</v>
      </c>
      <c r="S117">
        <v>21.820832518237399</v>
      </c>
      <c r="AA117">
        <v>2.9299782392306999</v>
      </c>
      <c r="AB117">
        <v>8.8182523191721494</v>
      </c>
      <c r="AC117">
        <v>1.83562905879274</v>
      </c>
      <c r="AJ117">
        <v>0.75725214419241504</v>
      </c>
      <c r="AK117">
        <v>0.13903789232522201</v>
      </c>
      <c r="AL117">
        <v>0.103709963482362</v>
      </c>
    </row>
    <row r="118" spans="1:38" x14ac:dyDescent="0.2">
      <c r="A118">
        <v>144</v>
      </c>
      <c r="B118">
        <v>746</v>
      </c>
      <c r="C118">
        <v>220</v>
      </c>
      <c r="D118">
        <v>0.35372663494088302</v>
      </c>
      <c r="E118">
        <v>26.527051017313401</v>
      </c>
      <c r="F118">
        <v>2.5234133962462399</v>
      </c>
      <c r="G118">
        <v>-418.33637741295587</v>
      </c>
      <c r="H118">
        <v>-362.71894466102361</v>
      </c>
      <c r="I118">
        <v>54.5723718313617</v>
      </c>
      <c r="J118">
        <v>31.550521883290202</v>
      </c>
      <c r="K118">
        <v>10.5123683090429</v>
      </c>
      <c r="L118">
        <v>2.8507864819880185E-5</v>
      </c>
      <c r="M118">
        <v>1.7940226557787344E-6</v>
      </c>
      <c r="N118" s="1">
        <v>-2.2060717182824401E-7</v>
      </c>
      <c r="O118" s="1">
        <v>1.00122908383013E-10</v>
      </c>
      <c r="P118" s="1">
        <v>8.4945026629052598E-10</v>
      </c>
      <c r="Q118">
        <v>65.927722048020101</v>
      </c>
      <c r="S118">
        <v>18.997961986167098</v>
      </c>
      <c r="AA118">
        <v>0.29018051195039202</v>
      </c>
      <c r="AB118">
        <v>4.3869437877754098</v>
      </c>
      <c r="AC118">
        <v>10.397191666086799</v>
      </c>
      <c r="AJ118">
        <v>0.38522890646826602</v>
      </c>
      <c r="AK118">
        <v>1.40810756325864E-2</v>
      </c>
      <c r="AL118">
        <v>0.600690017899146</v>
      </c>
    </row>
    <row r="119" spans="1:38" x14ac:dyDescent="0.2">
      <c r="A119">
        <v>145</v>
      </c>
      <c r="B119">
        <v>744</v>
      </c>
      <c r="C119">
        <v>220</v>
      </c>
      <c r="D119">
        <v>0.352318242147177</v>
      </c>
      <c r="E119">
        <v>17.991937476080501</v>
      </c>
      <c r="F119">
        <v>2.5784084332469899</v>
      </c>
      <c r="G119">
        <v>-291.26412615541892</v>
      </c>
      <c r="H119">
        <v>-253.05303277132617</v>
      </c>
      <c r="I119">
        <v>37.566822380270999</v>
      </c>
      <c r="J119">
        <v>22.048528594032799</v>
      </c>
      <c r="K119">
        <v>6.9779237626147497</v>
      </c>
      <c r="L119">
        <v>3.1565127993676401E-5</v>
      </c>
      <c r="M119">
        <v>1.7994796863348022E-6</v>
      </c>
      <c r="N119" s="1">
        <v>-3.7045606794853902E-7</v>
      </c>
      <c r="O119" s="1">
        <v>6.0176454085496096E-11</v>
      </c>
      <c r="P119" s="1">
        <v>1.22398286082683E-9</v>
      </c>
      <c r="Q119">
        <v>64.576304277435398</v>
      </c>
      <c r="S119">
        <v>21.8390765871968</v>
      </c>
      <c r="AA119">
        <v>2.9494640101880099</v>
      </c>
      <c r="AB119">
        <v>8.8237330428491703</v>
      </c>
      <c r="AC119">
        <v>1.8114220823304801</v>
      </c>
      <c r="AJ119">
        <v>0.75770183135760405</v>
      </c>
      <c r="AK119">
        <v>0.13995868977676101</v>
      </c>
      <c r="AL119">
        <v>0.10233947886563401</v>
      </c>
    </row>
    <row r="120" spans="1:38" x14ac:dyDescent="0.2">
      <c r="A120">
        <v>145</v>
      </c>
      <c r="B120">
        <v>744</v>
      </c>
      <c r="C120">
        <v>220</v>
      </c>
      <c r="D120">
        <v>0.352318242147177</v>
      </c>
      <c r="E120">
        <v>31.2375427131993</v>
      </c>
      <c r="F120">
        <v>2.5234479295333099</v>
      </c>
      <c r="G120">
        <v>-492.41851694542447</v>
      </c>
      <c r="H120">
        <v>-427.1399724815405</v>
      </c>
      <c r="I120">
        <v>64.177893588835303</v>
      </c>
      <c r="J120">
        <v>37.160228266426202</v>
      </c>
      <c r="K120">
        <v>12.378913132151</v>
      </c>
      <c r="L120">
        <v>2.8528253757113113E-5</v>
      </c>
      <c r="M120">
        <v>1.7940242479893091E-6</v>
      </c>
      <c r="N120" s="1">
        <v>-2.7680025934012902E-7</v>
      </c>
      <c r="O120" s="1">
        <v>1.1779619734140801E-10</v>
      </c>
      <c r="P120" s="1">
        <v>1.04887469357607E-9</v>
      </c>
      <c r="Q120">
        <v>65.922260474406201</v>
      </c>
      <c r="S120">
        <v>18.9904715443957</v>
      </c>
      <c r="AA120">
        <v>0.28527520433130799</v>
      </c>
      <c r="AB120">
        <v>4.3551357968871702</v>
      </c>
      <c r="AC120">
        <v>10.446856979979399</v>
      </c>
      <c r="AJ120">
        <v>0.38249765119933099</v>
      </c>
      <c r="AK120">
        <v>1.3845284581513699E-2</v>
      </c>
      <c r="AL120">
        <v>0.60365706421915399</v>
      </c>
    </row>
    <row r="121" spans="1:38" x14ac:dyDescent="0.2">
      <c r="A121">
        <v>146</v>
      </c>
      <c r="B121">
        <v>742</v>
      </c>
      <c r="C121">
        <v>220</v>
      </c>
      <c r="D121">
        <v>0.35090429985716198</v>
      </c>
      <c r="E121">
        <v>18.939458610512599</v>
      </c>
      <c r="F121">
        <v>2.5787422437791001</v>
      </c>
      <c r="G121">
        <v>-306.54313753342666</v>
      </c>
      <c r="H121">
        <v>-266.44544521775993</v>
      </c>
      <c r="I121">
        <v>39.499278250176403</v>
      </c>
      <c r="J121">
        <v>23.234461405536699</v>
      </c>
      <c r="K121">
        <v>7.3444558703770202</v>
      </c>
      <c r="L121">
        <v>3.168070716592364E-5</v>
      </c>
      <c r="M121">
        <v>1.7998486030425366E-6</v>
      </c>
      <c r="N121" s="1">
        <v>-4.1607887243647898E-7</v>
      </c>
      <c r="O121" s="1">
        <v>6.3109506906075395E-11</v>
      </c>
      <c r="P121" s="1">
        <v>1.3629288811379899E-9</v>
      </c>
      <c r="Q121">
        <v>64.568158407151699</v>
      </c>
      <c r="S121">
        <v>21.849063803165901</v>
      </c>
      <c r="AA121">
        <v>2.95960429309295</v>
      </c>
      <c r="AB121">
        <v>8.8317631927758296</v>
      </c>
      <c r="AC121">
        <v>1.7914103038134199</v>
      </c>
      <c r="AJ121">
        <v>0.75836095092257505</v>
      </c>
      <c r="AK121">
        <v>0.14043423268545699</v>
      </c>
      <c r="AL121">
        <v>0.101204816391967</v>
      </c>
    </row>
    <row r="122" spans="1:38" x14ac:dyDescent="0.2">
      <c r="A122">
        <v>146</v>
      </c>
      <c r="B122">
        <v>742</v>
      </c>
      <c r="C122">
        <v>220</v>
      </c>
      <c r="D122">
        <v>0.35090429985716198</v>
      </c>
      <c r="E122">
        <v>33.2628159589039</v>
      </c>
      <c r="F122">
        <v>2.5234893952777302</v>
      </c>
      <c r="G122">
        <v>-524.14009964087165</v>
      </c>
      <c r="H122">
        <v>-454.85601289756681</v>
      </c>
      <c r="I122">
        <v>68.250097762207304</v>
      </c>
      <c r="J122">
        <v>39.579636084597098</v>
      </c>
      <c r="K122">
        <v>13.181278281236001</v>
      </c>
      <c r="L122">
        <v>2.8555524417497048E-5</v>
      </c>
      <c r="M122">
        <v>1.7940946488139823E-6</v>
      </c>
      <c r="N122" s="1">
        <v>-3.14493253195605E-7</v>
      </c>
      <c r="O122" s="1">
        <v>1.25303866128581E-10</v>
      </c>
      <c r="P122" s="1">
        <v>1.1731852078996599E-9</v>
      </c>
      <c r="Q122">
        <v>65.918609047103701</v>
      </c>
      <c r="S122">
        <v>18.983460666582801</v>
      </c>
      <c r="AA122">
        <v>0.280343168992786</v>
      </c>
      <c r="AB122">
        <v>4.3286188592621899</v>
      </c>
      <c r="AC122">
        <v>10.488968258058399</v>
      </c>
      <c r="AJ122">
        <v>0.38022005387346602</v>
      </c>
      <c r="AK122">
        <v>1.360775371326E-2</v>
      </c>
      <c r="AL122">
        <v>0.60617219241327303</v>
      </c>
    </row>
    <row r="123" spans="1:38" x14ac:dyDescent="0.2">
      <c r="A123">
        <v>147</v>
      </c>
      <c r="B123">
        <v>740</v>
      </c>
      <c r="C123">
        <v>220</v>
      </c>
      <c r="D123">
        <v>0.34948477520604299</v>
      </c>
      <c r="E123">
        <v>19.495220001389999</v>
      </c>
      <c r="F123">
        <v>2.5790129594364601</v>
      </c>
      <c r="G123">
        <v>-315.47381729036175</v>
      </c>
      <c r="H123">
        <v>-274.3284559213846</v>
      </c>
      <c r="I123">
        <v>40.611322478386299</v>
      </c>
      <c r="J123">
        <v>23.943871727103499</v>
      </c>
      <c r="K123">
        <v>7.5591787664571699</v>
      </c>
      <c r="L123">
        <v>3.1807086247019172E-5</v>
      </c>
      <c r="M123">
        <v>1.8003844513062613E-6</v>
      </c>
      <c r="N123" s="1">
        <v>-4.5715188235055399E-7</v>
      </c>
      <c r="O123" s="1">
        <v>6.4711362491074899E-11</v>
      </c>
      <c r="P123" s="1">
        <v>1.4851153334178301E-9</v>
      </c>
      <c r="Q123">
        <v>64.566540554153704</v>
      </c>
      <c r="S123">
        <v>21.854093503416099</v>
      </c>
      <c r="AA123">
        <v>2.9641313511789402</v>
      </c>
      <c r="AB123">
        <v>8.8413439072268396</v>
      </c>
      <c r="AC123">
        <v>1.77389068402435</v>
      </c>
      <c r="AJ123">
        <v>0.75914739596796599</v>
      </c>
      <c r="AK123">
        <v>0.140642331697057</v>
      </c>
      <c r="AL123">
        <v>0.100210272334975</v>
      </c>
    </row>
    <row r="124" spans="1:38" x14ac:dyDescent="0.2">
      <c r="A124">
        <v>147</v>
      </c>
      <c r="B124">
        <v>740</v>
      </c>
      <c r="C124">
        <v>220</v>
      </c>
      <c r="D124">
        <v>0.34948477520604299</v>
      </c>
      <c r="E124">
        <v>34.351956689449999</v>
      </c>
      <c r="F124">
        <v>2.5235354917080399</v>
      </c>
      <c r="G124">
        <v>-541.09893340321321</v>
      </c>
      <c r="H124">
        <v>-469.77901364682629</v>
      </c>
      <c r="I124">
        <v>70.394235558788793</v>
      </c>
      <c r="J124">
        <v>40.888202380523403</v>
      </c>
      <c r="K124">
        <v>13.612630693059501</v>
      </c>
      <c r="L124">
        <v>2.8588181763270828E-5</v>
      </c>
      <c r="M124">
        <v>1.7942089289646112E-6</v>
      </c>
      <c r="N124" s="1">
        <v>-3.4679968870252001E-7</v>
      </c>
      <c r="O124" s="1">
        <v>1.29257726347714E-10</v>
      </c>
      <c r="P124" s="1">
        <v>1.27426600483504E-9</v>
      </c>
      <c r="Q124">
        <v>65.915993592087901</v>
      </c>
      <c r="S124">
        <v>18.9767567044941</v>
      </c>
      <c r="AA124">
        <v>0.27542261229893</v>
      </c>
      <c r="AB124">
        <v>4.3052151498045097</v>
      </c>
      <c r="AC124">
        <v>10.526611941314499</v>
      </c>
      <c r="AJ124">
        <v>0.37820935245690102</v>
      </c>
      <c r="AK124">
        <v>1.33705042866425E-2</v>
      </c>
      <c r="AL124">
        <v>0.60842014325645499</v>
      </c>
    </row>
    <row r="125" spans="1:38" x14ac:dyDescent="0.2">
      <c r="A125">
        <v>148</v>
      </c>
      <c r="B125">
        <v>738</v>
      </c>
      <c r="C125">
        <v>220</v>
      </c>
      <c r="D125">
        <v>0.34805963506898102</v>
      </c>
      <c r="E125">
        <v>19.884242859396299</v>
      </c>
      <c r="F125">
        <v>2.57925754421293</v>
      </c>
      <c r="G125">
        <v>-321.70201459666441</v>
      </c>
      <c r="H125">
        <v>-279.86693070830131</v>
      </c>
      <c r="I125">
        <v>41.373766393080302</v>
      </c>
      <c r="J125">
        <v>24.451991673976298</v>
      </c>
      <c r="K125">
        <v>7.7092894053990602</v>
      </c>
      <c r="L125">
        <v>3.1942913600586927E-5</v>
      </c>
      <c r="M125">
        <v>1.801004404522003E-6</v>
      </c>
      <c r="N125" s="1">
        <v>-4.9782484700386602E-7</v>
      </c>
      <c r="O125" s="1">
        <v>6.5734859154551094E-11</v>
      </c>
      <c r="P125" s="1">
        <v>1.6044389625927699E-9</v>
      </c>
      <c r="Q125">
        <v>64.567654798180797</v>
      </c>
      <c r="S125">
        <v>21.857038356128399</v>
      </c>
      <c r="AA125">
        <v>2.9663008912084301</v>
      </c>
      <c r="AB125">
        <v>8.8515472545400709</v>
      </c>
      <c r="AC125">
        <v>1.7574586999422499</v>
      </c>
      <c r="AJ125">
        <v>0.75998491136354995</v>
      </c>
      <c r="AK125">
        <v>0.14073812808327901</v>
      </c>
      <c r="AL125">
        <v>9.9276960553169299E-2</v>
      </c>
    </row>
    <row r="126" spans="1:38" x14ac:dyDescent="0.2">
      <c r="A126">
        <v>148</v>
      </c>
      <c r="B126">
        <v>738</v>
      </c>
      <c r="C126">
        <v>220</v>
      </c>
      <c r="D126">
        <v>0.34805963506898102</v>
      </c>
      <c r="E126">
        <v>35.042288801855598</v>
      </c>
      <c r="F126">
        <v>2.52358462167917</v>
      </c>
      <c r="G126">
        <v>-551.76869278753929</v>
      </c>
      <c r="H126">
        <v>-479.25229301988759</v>
      </c>
      <c r="I126">
        <v>71.716757916878606</v>
      </c>
      <c r="J126">
        <v>41.724488974811798</v>
      </c>
      <c r="K126">
        <v>13.8859178728624</v>
      </c>
      <c r="L126">
        <v>2.8624937529673228E-5</v>
      </c>
      <c r="M126">
        <v>1.794346078813194E-6</v>
      </c>
      <c r="N126" s="1">
        <v>-3.7780137299307801E-7</v>
      </c>
      <c r="O126" s="1">
        <v>1.3168982295977301E-10</v>
      </c>
      <c r="P126" s="1">
        <v>1.3681853707682E-9</v>
      </c>
      <c r="Q126">
        <v>65.913756526970701</v>
      </c>
      <c r="S126">
        <v>18.9702200352373</v>
      </c>
      <c r="AA126">
        <v>0.27055178179435901</v>
      </c>
      <c r="AB126">
        <v>4.2830932418559797</v>
      </c>
      <c r="AC126">
        <v>10.5623784141415</v>
      </c>
      <c r="AJ126">
        <v>0.37630833682218601</v>
      </c>
      <c r="AK126">
        <v>1.3135526946373301E-2</v>
      </c>
      <c r="AL126">
        <v>0.61055613623144001</v>
      </c>
    </row>
    <row r="127" spans="1:38" x14ac:dyDescent="0.2">
      <c r="A127">
        <v>149</v>
      </c>
      <c r="B127">
        <v>736</v>
      </c>
      <c r="C127">
        <v>220</v>
      </c>
      <c r="D127">
        <v>0.34662884605856398</v>
      </c>
      <c r="E127">
        <v>20.184177597016198</v>
      </c>
      <c r="F127">
        <v>2.57948722751612</v>
      </c>
      <c r="G127">
        <v>-326.48587621406938</v>
      </c>
      <c r="H127">
        <v>-284.15292502176754</v>
      </c>
      <c r="I127">
        <v>41.949116773821203</v>
      </c>
      <c r="J127">
        <v>24.853909320038799</v>
      </c>
      <c r="K127">
        <v>7.8248798372427801</v>
      </c>
      <c r="L127">
        <v>3.2088192308138532E-5</v>
      </c>
      <c r="M127">
        <v>1.8016845845725769E-6</v>
      </c>
      <c r="N127" s="1">
        <v>-5.3962635687421697E-7</v>
      </c>
      <c r="O127" s="1">
        <v>6.6439205239650204E-11</v>
      </c>
      <c r="P127" s="1">
        <v>1.72594789601145E-9</v>
      </c>
      <c r="Q127">
        <v>64.570353121004601</v>
      </c>
      <c r="S127">
        <v>21.858767745793301</v>
      </c>
      <c r="AA127">
        <v>2.9670980386470598</v>
      </c>
      <c r="AB127">
        <v>8.8620941421172503</v>
      </c>
      <c r="AC127">
        <v>1.7416869524377001</v>
      </c>
      <c r="AJ127">
        <v>0.76085055962542603</v>
      </c>
      <c r="AK127">
        <v>0.140768567769428</v>
      </c>
      <c r="AL127">
        <v>9.8380872605144803E-2</v>
      </c>
    </row>
    <row r="128" spans="1:38" x14ac:dyDescent="0.2">
      <c r="A128">
        <v>149</v>
      </c>
      <c r="B128">
        <v>736</v>
      </c>
      <c r="C128">
        <v>220</v>
      </c>
      <c r="D128">
        <v>0.34662884605856398</v>
      </c>
      <c r="E128">
        <v>35.516959841922301</v>
      </c>
      <c r="F128">
        <v>2.5236362850816501</v>
      </c>
      <c r="G128">
        <v>-559.03796668024552</v>
      </c>
      <c r="H128">
        <v>-485.77877900661218</v>
      </c>
      <c r="I128">
        <v>72.594943936613205</v>
      </c>
      <c r="J128">
        <v>42.3062052443155</v>
      </c>
      <c r="K128">
        <v>14.073723718381601</v>
      </c>
      <c r="L128">
        <v>2.8665550940326141E-5</v>
      </c>
      <c r="M128">
        <v>1.794500160998746E-6</v>
      </c>
      <c r="N128" s="1">
        <v>-4.0891985044240099E-7</v>
      </c>
      <c r="O128" s="1">
        <v>1.33292578903897E-10</v>
      </c>
      <c r="P128" s="1">
        <v>1.4604902510131199E-9</v>
      </c>
      <c r="Q128">
        <v>65.911699603710701</v>
      </c>
      <c r="S128">
        <v>18.963807214870599</v>
      </c>
      <c r="AA128">
        <v>0.26574109425263498</v>
      </c>
      <c r="AB128">
        <v>4.2616974563441996</v>
      </c>
      <c r="AC128">
        <v>10.597054630821599</v>
      </c>
      <c r="AJ128">
        <v>0.37446931296580699</v>
      </c>
      <c r="AK128">
        <v>1.2903369322196699E-2</v>
      </c>
      <c r="AL128">
        <v>0.61262731771199497</v>
      </c>
    </row>
    <row r="129" spans="1:38" x14ac:dyDescent="0.2">
      <c r="A129">
        <v>150</v>
      </c>
      <c r="B129">
        <v>734</v>
      </c>
      <c r="C129">
        <v>220</v>
      </c>
      <c r="D129">
        <v>0.345192374522167</v>
      </c>
      <c r="E129">
        <v>20.4303297638128</v>
      </c>
      <c r="F129">
        <v>2.5797074125547899</v>
      </c>
      <c r="G129">
        <v>-330.39748699449854</v>
      </c>
      <c r="H129">
        <v>-287.68298281263435</v>
      </c>
      <c r="I129">
        <v>42.4112636467896</v>
      </c>
      <c r="J129">
        <v>25.192966222633299</v>
      </c>
      <c r="K129">
        <v>7.9196306001151697</v>
      </c>
      <c r="L129">
        <v>3.2243256889577972E-5</v>
      </c>
      <c r="M129">
        <v>1.8024144968306619E-6</v>
      </c>
      <c r="N129" s="1">
        <v>-5.8334115286837699E-7</v>
      </c>
      <c r="O129" s="1">
        <v>6.6941579107939694E-11</v>
      </c>
      <c r="P129" s="1">
        <v>1.8521706195754201E-9</v>
      </c>
      <c r="Q129">
        <v>64.574085985716394</v>
      </c>
      <c r="S129">
        <v>21.8596979097575</v>
      </c>
      <c r="AA129">
        <v>2.9669944204926502</v>
      </c>
      <c r="AB129">
        <v>8.8728511767409994</v>
      </c>
      <c r="AC129">
        <v>1.7263705072923601</v>
      </c>
      <c r="AJ129">
        <v>0.76173337743941705</v>
      </c>
      <c r="AK129">
        <v>0.14075612704135601</v>
      </c>
      <c r="AL129">
        <v>9.7510495519226401E-2</v>
      </c>
    </row>
    <row r="130" spans="1:38" x14ac:dyDescent="0.2">
      <c r="A130">
        <v>150</v>
      </c>
      <c r="B130">
        <v>734</v>
      </c>
      <c r="C130">
        <v>220</v>
      </c>
      <c r="D130">
        <v>0.345192374522167</v>
      </c>
      <c r="E130">
        <v>35.860039123103</v>
      </c>
      <c r="F130">
        <v>2.5236902424743</v>
      </c>
      <c r="G130">
        <v>-564.23269804992708</v>
      </c>
      <c r="H130">
        <v>-490.50730777468931</v>
      </c>
      <c r="I130">
        <v>73.201996003810606</v>
      </c>
      <c r="J130">
        <v>42.733332174534098</v>
      </c>
      <c r="K130">
        <v>14.2093663158695</v>
      </c>
      <c r="L130">
        <v>2.8710024195143845E-5</v>
      </c>
      <c r="M130">
        <v>1.7946686736910344E-6</v>
      </c>
      <c r="N130" s="1">
        <v>-4.4084126221219202E-7</v>
      </c>
      <c r="O130" s="1">
        <v>1.3438365886077501E-10</v>
      </c>
      <c r="P130" s="1">
        <v>1.5538070184504401E-9</v>
      </c>
      <c r="Q130">
        <v>65.9097286386245</v>
      </c>
      <c r="S130">
        <v>18.9574969283332</v>
      </c>
      <c r="AA130">
        <v>0.26099494100512199</v>
      </c>
      <c r="AB130">
        <v>4.2407620297773301</v>
      </c>
      <c r="AC130">
        <v>10.631017462259701</v>
      </c>
      <c r="AJ130">
        <v>0.37266947061283601</v>
      </c>
      <c r="AK130">
        <v>1.2674265291761201E-2</v>
      </c>
      <c r="AL130">
        <v>0.61465626409540197</v>
      </c>
    </row>
    <row r="131" spans="1:38" x14ac:dyDescent="0.2">
      <c r="A131">
        <v>154</v>
      </c>
      <c r="B131">
        <v>754</v>
      </c>
      <c r="C131">
        <v>210</v>
      </c>
      <c r="D131">
        <v>0.37001460351457899</v>
      </c>
      <c r="E131">
        <v>0.36853896707848399</v>
      </c>
      <c r="F131">
        <v>2.5810706172253601</v>
      </c>
      <c r="G131">
        <v>-5.9814738485691077</v>
      </c>
      <c r="H131">
        <v>-5.1868317104563459</v>
      </c>
      <c r="I131">
        <v>0.77363786994378803</v>
      </c>
      <c r="J131">
        <v>0.449894687183303</v>
      </c>
      <c r="K131">
        <v>0.14278530956067401</v>
      </c>
      <c r="L131">
        <v>3.1031615677154869E-5</v>
      </c>
      <c r="M131">
        <v>1.7923798962955263E-6</v>
      </c>
      <c r="N131" s="1">
        <v>-5.5243838752451299E-9</v>
      </c>
      <c r="O131" s="1">
        <v>1.2404960042716701E-12</v>
      </c>
      <c r="P131" s="1">
        <v>1.9167191275825399E-11</v>
      </c>
      <c r="Q131">
        <v>64.286452710325705</v>
      </c>
      <c r="S131">
        <v>22.1070665337393</v>
      </c>
      <c r="AA131">
        <v>3.2381913607433699</v>
      </c>
      <c r="AB131">
        <v>8.8803848526963591</v>
      </c>
      <c r="AC131">
        <v>1.48790454249517</v>
      </c>
      <c r="AJ131">
        <v>0.762347161923151</v>
      </c>
      <c r="AK131">
        <v>0.15361523889067799</v>
      </c>
      <c r="AL131">
        <v>8.4037599186170001E-2</v>
      </c>
    </row>
    <row r="132" spans="1:38" x14ac:dyDescent="0.2">
      <c r="A132">
        <v>155</v>
      </c>
      <c r="B132">
        <v>752</v>
      </c>
      <c r="C132">
        <v>210</v>
      </c>
      <c r="D132">
        <v>0.36864897819831499</v>
      </c>
      <c r="E132">
        <v>2.3049558740076801</v>
      </c>
      <c r="F132">
        <v>2.57857044547838</v>
      </c>
      <c r="G132">
        <v>-37.37802782429732</v>
      </c>
      <c r="H132">
        <v>-32.421661717061745</v>
      </c>
      <c r="I132">
        <v>4.83477160145888</v>
      </c>
      <c r="J132">
        <v>2.81562585753134</v>
      </c>
      <c r="K132">
        <v>0.89388904540091796</v>
      </c>
      <c r="L132">
        <v>3.1181013727137433E-5</v>
      </c>
      <c r="M132">
        <v>1.7973489456001213E-6</v>
      </c>
      <c r="N132" s="1">
        <v>-3.6777053471881902E-8</v>
      </c>
      <c r="O132" s="1">
        <v>7.7805875074207094E-12</v>
      </c>
      <c r="P132" s="1">
        <v>1.26241689768829E-10</v>
      </c>
      <c r="Q132">
        <v>64.510041397668402</v>
      </c>
      <c r="S132">
        <v>21.915674942365801</v>
      </c>
      <c r="AA132">
        <v>3.0281199746289</v>
      </c>
      <c r="AB132">
        <v>8.87688231470311</v>
      </c>
      <c r="AC132">
        <v>1.66928137063367</v>
      </c>
      <c r="AJ132">
        <v>0.76206318343479396</v>
      </c>
      <c r="AK132">
        <v>0.14365289633950901</v>
      </c>
      <c r="AL132">
        <v>9.42839202256959E-2</v>
      </c>
    </row>
    <row r="133" spans="1:38" x14ac:dyDescent="0.2">
      <c r="A133">
        <v>156</v>
      </c>
      <c r="B133">
        <v>750</v>
      </c>
      <c r="C133">
        <v>210</v>
      </c>
      <c r="D133">
        <v>0.36727801397644499</v>
      </c>
      <c r="E133">
        <v>4.3605430238794201</v>
      </c>
      <c r="F133">
        <v>2.5757606015977199</v>
      </c>
      <c r="G133">
        <v>-70.641041170030576</v>
      </c>
      <c r="H133">
        <v>-61.290682734661758</v>
      </c>
      <c r="I133">
        <v>9.1387953236268409</v>
      </c>
      <c r="J133">
        <v>5.3294452652112296</v>
      </c>
      <c r="K133">
        <v>1.69291471465733</v>
      </c>
      <c r="L133">
        <v>3.1311943597483121E-5</v>
      </c>
      <c r="M133">
        <v>1.8020510656376582E-6</v>
      </c>
      <c r="N133" s="1">
        <v>-7.3782130895742504E-8</v>
      </c>
      <c r="O133" s="1">
        <v>1.47676983700243E-11</v>
      </c>
      <c r="P133" s="1">
        <v>2.5081477462126099E-10</v>
      </c>
      <c r="Q133">
        <v>64.732877958080394</v>
      </c>
      <c r="S133">
        <v>21.713482728114499</v>
      </c>
      <c r="AA133">
        <v>2.8093134625876401</v>
      </c>
      <c r="AB133">
        <v>8.8433884651212207</v>
      </c>
      <c r="AC133">
        <v>1.9009373860961201</v>
      </c>
      <c r="AJ133">
        <v>0.75931775631643805</v>
      </c>
      <c r="AK133">
        <v>0.13329560916512301</v>
      </c>
      <c r="AL133">
        <v>0.107386634518438</v>
      </c>
    </row>
    <row r="134" spans="1:38" x14ac:dyDescent="0.2">
      <c r="A134">
        <v>157</v>
      </c>
      <c r="B134">
        <v>748</v>
      </c>
      <c r="C134">
        <v>210</v>
      </c>
      <c r="D134">
        <v>0.36590167947901903</v>
      </c>
      <c r="E134">
        <v>15.393473977028099</v>
      </c>
      <c r="F134">
        <v>2.57705378850721</v>
      </c>
      <c r="G134">
        <v>-249.34778859743665</v>
      </c>
      <c r="H134">
        <v>-216.44773391236768</v>
      </c>
      <c r="I134">
        <v>32.218630646887298</v>
      </c>
      <c r="J134">
        <v>18.825664564935401</v>
      </c>
      <c r="K134">
        <v>5.9732839282120702</v>
      </c>
      <c r="L134">
        <v>3.1343939178609226E-5</v>
      </c>
      <c r="M134">
        <v>1.7998401884276945E-6</v>
      </c>
      <c r="N134" s="1">
        <v>-2.7627067548109898E-7</v>
      </c>
      <c r="O134" s="1">
        <v>5.18811464766488E-11</v>
      </c>
      <c r="P134" s="1">
        <v>9.3072365088681102E-10</v>
      </c>
      <c r="Q134">
        <v>64.615062520591096</v>
      </c>
      <c r="S134">
        <v>21.8018567587355</v>
      </c>
      <c r="AA134">
        <v>2.9097135644255898</v>
      </c>
      <c r="AB134">
        <v>8.8125270903683806</v>
      </c>
      <c r="AC134">
        <v>1.86084006587936</v>
      </c>
      <c r="AJ134">
        <v>0.75678236761962003</v>
      </c>
      <c r="AK134">
        <v>0.13808025128894999</v>
      </c>
      <c r="AL134">
        <v>0.10513738109142901</v>
      </c>
    </row>
    <row r="135" spans="1:38" x14ac:dyDescent="0.2">
      <c r="A135">
        <v>157</v>
      </c>
      <c r="B135">
        <v>748</v>
      </c>
      <c r="C135">
        <v>210</v>
      </c>
      <c r="D135">
        <v>0.36590167947901903</v>
      </c>
      <c r="E135">
        <v>25.395718726368901</v>
      </c>
      <c r="F135">
        <v>2.5229663681194099</v>
      </c>
      <c r="G135">
        <v>-400.79169044326187</v>
      </c>
      <c r="H135">
        <v>-347.36320384685058</v>
      </c>
      <c r="I135">
        <v>52.3218788585528</v>
      </c>
      <c r="J135">
        <v>30.201137315932499</v>
      </c>
      <c r="K135">
        <v>10.065817383565999</v>
      </c>
      <c r="L135">
        <v>2.8490111961803893E-5</v>
      </c>
      <c r="M135">
        <v>1.7948282014145297E-6</v>
      </c>
      <c r="N135" s="1">
        <v>-1.9710183507591E-7</v>
      </c>
      <c r="O135" s="1">
        <v>9.5929911955904694E-11</v>
      </c>
      <c r="P135" s="1">
        <v>7.72858346365562E-10</v>
      </c>
      <c r="Q135">
        <v>65.937573045100393</v>
      </c>
      <c r="S135">
        <v>19.0081610854179</v>
      </c>
      <c r="AA135">
        <v>0.29629627776574602</v>
      </c>
      <c r="AB135">
        <v>4.4356344712386901</v>
      </c>
      <c r="AC135">
        <v>10.322335120477099</v>
      </c>
      <c r="AJ135">
        <v>0.389408127484551</v>
      </c>
      <c r="AK135">
        <v>1.4374284877641299E-2</v>
      </c>
      <c r="AL135">
        <v>0.59621758763780697</v>
      </c>
    </row>
    <row r="136" spans="1:38" x14ac:dyDescent="0.2">
      <c r="A136">
        <v>158</v>
      </c>
      <c r="B136">
        <v>746</v>
      </c>
      <c r="C136">
        <v>210</v>
      </c>
      <c r="D136">
        <v>0.36451994308983099</v>
      </c>
      <c r="E136">
        <v>17.764190719230601</v>
      </c>
      <c r="F136">
        <v>2.5776463474100999</v>
      </c>
      <c r="G136">
        <v>-287.70356326459097</v>
      </c>
      <c r="H136">
        <v>-249.85623184594823</v>
      </c>
      <c r="I136">
        <v>37.1361736924326</v>
      </c>
      <c r="J136">
        <v>21.744130763209199</v>
      </c>
      <c r="K136">
        <v>6.8916322586607697</v>
      </c>
      <c r="L136">
        <v>3.1432170770117854E-5</v>
      </c>
      <c r="M136">
        <v>1.7995830257926706E-6</v>
      </c>
      <c r="N136" s="1">
        <v>-3.3973214350853299E-7</v>
      </c>
      <c r="O136" s="1">
        <v>5.9646763265367794E-11</v>
      </c>
      <c r="P136" s="1">
        <v>1.1339247362220701E-9</v>
      </c>
      <c r="Q136">
        <v>64.580528146623806</v>
      </c>
      <c r="S136">
        <v>21.831932161061999</v>
      </c>
      <c r="AA136">
        <v>2.9425842033426099</v>
      </c>
      <c r="AB136">
        <v>8.8144156669094507</v>
      </c>
      <c r="AC136">
        <v>1.8305398220620599</v>
      </c>
      <c r="AJ136">
        <v>0.75693690976742101</v>
      </c>
      <c r="AK136">
        <v>0.13963871557205601</v>
      </c>
      <c r="AL136">
        <v>0.103424374660521</v>
      </c>
    </row>
    <row r="137" spans="1:38" x14ac:dyDescent="0.2">
      <c r="A137">
        <v>158</v>
      </c>
      <c r="B137">
        <v>746</v>
      </c>
      <c r="C137">
        <v>210</v>
      </c>
      <c r="D137">
        <v>0.36451994308983099</v>
      </c>
      <c r="E137">
        <v>30.886012405269302</v>
      </c>
      <c r="F137">
        <v>2.52298990879531</v>
      </c>
      <c r="G137">
        <v>-487.22145217548353</v>
      </c>
      <c r="H137">
        <v>-422.45784918188747</v>
      </c>
      <c r="I137">
        <v>63.54668399509</v>
      </c>
      <c r="J137">
        <v>36.734552377550301</v>
      </c>
      <c r="K137">
        <v>12.241829544223901</v>
      </c>
      <c r="L137">
        <v>2.8501763195860286E-5</v>
      </c>
      <c r="M137">
        <v>1.7947330660115421E-6</v>
      </c>
      <c r="N137" s="1">
        <v>-2.5487927725122599E-7</v>
      </c>
      <c r="O137" s="1">
        <v>1.1658303744811699E-10</v>
      </c>
      <c r="P137" s="1">
        <v>9.8327692287419193E-10</v>
      </c>
      <c r="Q137">
        <v>65.929478022191702</v>
      </c>
      <c r="S137">
        <v>18.999966437130102</v>
      </c>
      <c r="AA137">
        <v>0.29142447195156901</v>
      </c>
      <c r="AB137">
        <v>4.39611181086123</v>
      </c>
      <c r="AC137">
        <v>10.3830192578652</v>
      </c>
      <c r="AJ137">
        <v>0.38601597404292498</v>
      </c>
      <c r="AK137">
        <v>1.4140779677551601E-2</v>
      </c>
      <c r="AL137">
        <v>0.59984324627952201</v>
      </c>
    </row>
    <row r="138" spans="1:38" x14ac:dyDescent="0.2">
      <c r="A138">
        <v>159</v>
      </c>
      <c r="B138">
        <v>744</v>
      </c>
      <c r="C138">
        <v>210</v>
      </c>
      <c r="D138">
        <v>0.36313277294401303</v>
      </c>
      <c r="E138">
        <v>18.754287013239502</v>
      </c>
      <c r="F138">
        <v>2.57803351666742</v>
      </c>
      <c r="G138">
        <v>-303.68171525305524</v>
      </c>
      <c r="H138">
        <v>-263.84983059582731</v>
      </c>
      <c r="I138">
        <v>39.160285756503797</v>
      </c>
      <c r="J138">
        <v>22.978486518644399</v>
      </c>
      <c r="K138">
        <v>7.2746482510758304</v>
      </c>
      <c r="L138">
        <v>3.1537054501198483E-5</v>
      </c>
      <c r="M138">
        <v>1.7998068622716062E-6</v>
      </c>
      <c r="N138" s="1">
        <v>-3.8253210203760098E-7</v>
      </c>
      <c r="O138" s="1">
        <v>6.2746271961976895E-11</v>
      </c>
      <c r="P138" s="1">
        <v>1.2653188979813801E-9</v>
      </c>
      <c r="Q138">
        <v>64.566891285771902</v>
      </c>
      <c r="S138">
        <v>21.846105204147399</v>
      </c>
      <c r="AA138">
        <v>2.9574590840603299</v>
      </c>
      <c r="AB138">
        <v>8.8211831287500502</v>
      </c>
      <c r="AC138">
        <v>1.8083612972701699</v>
      </c>
      <c r="AJ138">
        <v>0.75749233936364302</v>
      </c>
      <c r="AK138">
        <v>0.140339828741085</v>
      </c>
      <c r="AL138">
        <v>0.10216783189527</v>
      </c>
    </row>
    <row r="139" spans="1:38" x14ac:dyDescent="0.2">
      <c r="A139">
        <v>159</v>
      </c>
      <c r="B139">
        <v>744</v>
      </c>
      <c r="C139">
        <v>210</v>
      </c>
      <c r="D139">
        <v>0.36313277294401303</v>
      </c>
      <c r="E139">
        <v>33.100133956834902</v>
      </c>
      <c r="F139">
        <v>2.5230258077958698</v>
      </c>
      <c r="G139">
        <v>-521.9393440906673</v>
      </c>
      <c r="H139">
        <v>-452.75989976595582</v>
      </c>
      <c r="I139">
        <v>68.013021014315896</v>
      </c>
      <c r="J139">
        <v>39.376104864753401</v>
      </c>
      <c r="K139">
        <v>13.119221315358301</v>
      </c>
      <c r="L139">
        <v>2.8524053434173983E-5</v>
      </c>
      <c r="M139">
        <v>1.7947652031508458E-6</v>
      </c>
      <c r="N139" s="1">
        <v>-2.9128222355584501E-7</v>
      </c>
      <c r="O139" s="1">
        <v>1.2482567363609101E-10</v>
      </c>
      <c r="P139" s="1">
        <v>1.10554824574731E-9</v>
      </c>
      <c r="Q139">
        <v>65.924982485354306</v>
      </c>
      <c r="S139">
        <v>18.992653201417902</v>
      </c>
      <c r="AA139">
        <v>0.28643994967053399</v>
      </c>
      <c r="AB139">
        <v>4.3669211498549796</v>
      </c>
      <c r="AC139">
        <v>10.429003213702099</v>
      </c>
      <c r="AJ139">
        <v>0.38350973212883699</v>
      </c>
      <c r="AK139">
        <v>1.39009799871593E-2</v>
      </c>
      <c r="AL139">
        <v>0.60258928788400301</v>
      </c>
    </row>
    <row r="140" spans="1:38" x14ac:dyDescent="0.2">
      <c r="A140">
        <v>160</v>
      </c>
      <c r="B140">
        <v>742</v>
      </c>
      <c r="C140">
        <v>210</v>
      </c>
      <c r="D140">
        <v>0.361740136925575</v>
      </c>
      <c r="E140">
        <v>19.327729980403099</v>
      </c>
      <c r="F140">
        <v>2.5783379690214199</v>
      </c>
      <c r="G140">
        <v>-312.90474086875588</v>
      </c>
      <c r="H140">
        <v>-271.98304310345333</v>
      </c>
      <c r="I140">
        <v>40.3109863225163</v>
      </c>
      <c r="J140">
        <v>23.7062144891642</v>
      </c>
      <c r="K140">
        <v>7.4961972451341303</v>
      </c>
      <c r="L140">
        <v>3.1653073619952084E-5</v>
      </c>
      <c r="M140">
        <v>1.800238996833661E-6</v>
      </c>
      <c r="N140" s="1">
        <v>-4.2066165097472402E-7</v>
      </c>
      <c r="O140" s="1">
        <v>6.4429516520662706E-11</v>
      </c>
      <c r="P140" s="1">
        <v>1.37941595594821E-9</v>
      </c>
      <c r="Q140">
        <v>64.561738849097594</v>
      </c>
      <c r="S140">
        <v>21.853824340109401</v>
      </c>
      <c r="AA140">
        <v>2.9650297009262201</v>
      </c>
      <c r="AB140">
        <v>8.8299379183643492</v>
      </c>
      <c r="AC140">
        <v>1.78946919150235</v>
      </c>
      <c r="AJ140">
        <v>0.75821101007825897</v>
      </c>
      <c r="AK140">
        <v>0.14069293023278301</v>
      </c>
      <c r="AL140">
        <v>0.10109605968895601</v>
      </c>
    </row>
    <row r="141" spans="1:38" x14ac:dyDescent="0.2">
      <c r="A141">
        <v>160</v>
      </c>
      <c r="B141">
        <v>742</v>
      </c>
      <c r="C141">
        <v>210</v>
      </c>
      <c r="D141">
        <v>0.361740136925575</v>
      </c>
      <c r="E141">
        <v>34.288341428661901</v>
      </c>
      <c r="F141">
        <v>2.5230676273867898</v>
      </c>
      <c r="G141">
        <v>-540.46843103942444</v>
      </c>
      <c r="H141">
        <v>-469.03880396277287</v>
      </c>
      <c r="I141">
        <v>70.363618260012402</v>
      </c>
      <c r="J141">
        <v>40.800325968555597</v>
      </c>
      <c r="K141">
        <v>13.589941488875199</v>
      </c>
      <c r="L141">
        <v>2.8552280727747777E-5</v>
      </c>
      <c r="M141">
        <v>1.7948523227921459E-6</v>
      </c>
      <c r="N141" s="1">
        <v>-3.2210004368492E-7</v>
      </c>
      <c r="O141" s="1">
        <v>1.29171860233405E-10</v>
      </c>
      <c r="P141" s="1">
        <v>1.20331285004159E-9</v>
      </c>
      <c r="Q141">
        <v>65.921875259170093</v>
      </c>
      <c r="S141">
        <v>18.9857331890592</v>
      </c>
      <c r="AA141">
        <v>0.28145589737093801</v>
      </c>
      <c r="AB141">
        <v>4.3418551508449799</v>
      </c>
      <c r="AC141">
        <v>10.469080503554601</v>
      </c>
      <c r="AJ141">
        <v>0.38135703581747399</v>
      </c>
      <c r="AK141">
        <v>1.36608453766583E-2</v>
      </c>
      <c r="AL141">
        <v>0.60498211880586605</v>
      </c>
    </row>
    <row r="142" spans="1:38" x14ac:dyDescent="0.2">
      <c r="A142">
        <v>161</v>
      </c>
      <c r="B142">
        <v>740</v>
      </c>
      <c r="C142">
        <v>210</v>
      </c>
      <c r="D142">
        <v>0.36034200266496003</v>
      </c>
      <c r="E142">
        <v>19.723750133661699</v>
      </c>
      <c r="F142">
        <v>2.5786034877256898</v>
      </c>
      <c r="G142">
        <v>-319.25051565764414</v>
      </c>
      <c r="H142">
        <v>-277.62077834916482</v>
      </c>
      <c r="I142">
        <v>41.089411546641003</v>
      </c>
      <c r="J142">
        <v>24.219610707203699</v>
      </c>
      <c r="K142">
        <v>7.6490046754175198</v>
      </c>
      <c r="L142">
        <v>3.1778551918854796E-5</v>
      </c>
      <c r="M142">
        <v>1.8007821135198129E-6</v>
      </c>
      <c r="N142" s="1">
        <v>-4.5821233437210202E-7</v>
      </c>
      <c r="O142" s="1">
        <v>6.5499518065209594E-11</v>
      </c>
      <c r="P142" s="1">
        <v>1.4900765891793101E-9</v>
      </c>
      <c r="Q142">
        <v>64.560612164876005</v>
      </c>
      <c r="S142">
        <v>21.858474656200102</v>
      </c>
      <c r="AA142">
        <v>2.96912915567688</v>
      </c>
      <c r="AB142">
        <v>8.8396185712011803</v>
      </c>
      <c r="AC142">
        <v>1.77216545204569</v>
      </c>
      <c r="AJ142">
        <v>0.75900568038178495</v>
      </c>
      <c r="AK142">
        <v>0.14088066093811699</v>
      </c>
      <c r="AL142">
        <v>0.100113658680097</v>
      </c>
    </row>
    <row r="143" spans="1:38" x14ac:dyDescent="0.2">
      <c r="A143">
        <v>161</v>
      </c>
      <c r="B143">
        <v>740</v>
      </c>
      <c r="C143">
        <v>210</v>
      </c>
      <c r="D143">
        <v>0.36034200266496003</v>
      </c>
      <c r="E143">
        <v>35.031504695903699</v>
      </c>
      <c r="F143">
        <v>2.5231131948473502</v>
      </c>
      <c r="G143">
        <v>-551.97573101661942</v>
      </c>
      <c r="H143">
        <v>-479.23521362313573</v>
      </c>
      <c r="I143">
        <v>71.796394801839398</v>
      </c>
      <c r="J143">
        <v>41.697408279971803</v>
      </c>
      <c r="K143">
        <v>13.8842382368909</v>
      </c>
      <c r="L143">
        <v>2.858489243503768E-5</v>
      </c>
      <c r="M143">
        <v>1.7949692085333729E-6</v>
      </c>
      <c r="N143" s="1">
        <v>-3.5141657424967802E-7</v>
      </c>
      <c r="O143" s="1">
        <v>1.3182022547640799E-10</v>
      </c>
      <c r="P143" s="1">
        <v>1.2930016882315799E-9</v>
      </c>
      <c r="Q143">
        <v>65.919373375067494</v>
      </c>
      <c r="S143">
        <v>18.9790339090241</v>
      </c>
      <c r="AA143">
        <v>0.276512703199217</v>
      </c>
      <c r="AB143">
        <v>4.3187168026900702</v>
      </c>
      <c r="AC143">
        <v>10.506363210019</v>
      </c>
      <c r="AJ143">
        <v>0.37936940368213901</v>
      </c>
      <c r="AK143">
        <v>1.34225012715427E-2</v>
      </c>
      <c r="AL143">
        <v>0.60720809504631801</v>
      </c>
    </row>
    <row r="144" spans="1:38" x14ac:dyDescent="0.2">
      <c r="A144">
        <v>162</v>
      </c>
      <c r="B144">
        <v>738</v>
      </c>
      <c r="C144">
        <v>210</v>
      </c>
      <c r="D144">
        <v>0.35893833753646798</v>
      </c>
      <c r="E144">
        <v>20.026803447181301</v>
      </c>
      <c r="F144">
        <v>2.5788474526476701</v>
      </c>
      <c r="G144">
        <v>-324.08821828349164</v>
      </c>
      <c r="H144">
        <v>-281.95110367576495</v>
      </c>
      <c r="I144">
        <v>41.672466605079997</v>
      </c>
      <c r="J144">
        <v>24.62196334834</v>
      </c>
      <c r="K144">
        <v>7.7657960832929804</v>
      </c>
      <c r="L144">
        <v>3.1913153543540252E-5</v>
      </c>
      <c r="M144">
        <v>1.8013984479779972E-6</v>
      </c>
      <c r="N144" s="1">
        <v>-4.9672970653523103E-7</v>
      </c>
      <c r="O144" s="1">
        <v>6.6238613415811896E-11</v>
      </c>
      <c r="P144" s="1">
        <v>1.60246341314887E-9</v>
      </c>
      <c r="Q144">
        <v>64.561739756653907</v>
      </c>
      <c r="S144">
        <v>21.8613999370565</v>
      </c>
      <c r="AA144">
        <v>2.97127943420969</v>
      </c>
      <c r="AB144">
        <v>8.8498003530965494</v>
      </c>
      <c r="AC144">
        <v>1.75578051898328</v>
      </c>
      <c r="AJ144">
        <v>0.75984144022020605</v>
      </c>
      <c r="AK144">
        <v>0.140975547324518</v>
      </c>
      <c r="AL144">
        <v>9.9183012455274805E-2</v>
      </c>
    </row>
    <row r="145" spans="1:38" x14ac:dyDescent="0.2">
      <c r="A145">
        <v>162</v>
      </c>
      <c r="B145">
        <v>738</v>
      </c>
      <c r="C145">
        <v>210</v>
      </c>
      <c r="D145">
        <v>0.35893833753646798</v>
      </c>
      <c r="E145">
        <v>35.538610983501002</v>
      </c>
      <c r="F145">
        <v>2.5231616633399998</v>
      </c>
      <c r="G145">
        <v>-559.75906568143444</v>
      </c>
      <c r="H145">
        <v>-486.20567313967859</v>
      </c>
      <c r="I145">
        <v>72.742315721461495</v>
      </c>
      <c r="J145">
        <v>42.315682829801098</v>
      </c>
      <c r="K145">
        <v>14.0849520266003</v>
      </c>
      <c r="L145">
        <v>2.8621395166707834E-5</v>
      </c>
      <c r="M145">
        <v>1.7951062538115157E-6</v>
      </c>
      <c r="N145" s="1">
        <v>-3.8073697154153202E-7</v>
      </c>
      <c r="O145" s="1">
        <v>1.33561707173006E-10</v>
      </c>
      <c r="P145" s="1">
        <v>1.3806138524506401E-9</v>
      </c>
      <c r="Q145">
        <v>65.917168128104805</v>
      </c>
      <c r="S145">
        <v>18.9724866287394</v>
      </c>
      <c r="AA145">
        <v>0.27162569415660398</v>
      </c>
      <c r="AB145">
        <v>4.29663798160355</v>
      </c>
      <c r="AC145">
        <v>10.542081567395501</v>
      </c>
      <c r="AJ145">
        <v>0.37747235198913298</v>
      </c>
      <c r="AK145">
        <v>1.31867576137276E-2</v>
      </c>
      <c r="AL145">
        <v>0.60934089039713901</v>
      </c>
    </row>
    <row r="146" spans="1:38" x14ac:dyDescent="0.2">
      <c r="A146">
        <v>163</v>
      </c>
      <c r="B146">
        <v>736</v>
      </c>
      <c r="C146">
        <v>210</v>
      </c>
      <c r="D146">
        <v>0.35752910865580001</v>
      </c>
      <c r="E146">
        <v>20.274436989094401</v>
      </c>
      <c r="F146">
        <v>2.57907794767292</v>
      </c>
      <c r="G146">
        <v>-328.0266011629023</v>
      </c>
      <c r="H146">
        <v>-285.50223011554681</v>
      </c>
      <c r="I146">
        <v>42.138801018040397</v>
      </c>
      <c r="J146">
        <v>24.959292535518198</v>
      </c>
      <c r="K146">
        <v>7.8611183533199496</v>
      </c>
      <c r="L146">
        <v>3.2057042191505303E-5</v>
      </c>
      <c r="M146">
        <v>1.8020713781450785E-6</v>
      </c>
      <c r="N146" s="1">
        <v>-5.3699294461275097E-7</v>
      </c>
      <c r="O146" s="1">
        <v>6.6771581793143701E-11</v>
      </c>
      <c r="P146" s="1">
        <v>1.71911467826537E-9</v>
      </c>
      <c r="Q146">
        <v>64.564299854531797</v>
      </c>
      <c r="S146">
        <v>21.863223489089499</v>
      </c>
      <c r="AA146">
        <v>2.9721865194675501</v>
      </c>
      <c r="AB146">
        <v>8.8602860726829995</v>
      </c>
      <c r="AC146">
        <v>1.7400040642280401</v>
      </c>
      <c r="AJ146">
        <v>0.76070208129688299</v>
      </c>
      <c r="AK146">
        <v>0.14101123320221301</v>
      </c>
      <c r="AL146">
        <v>9.8286685500902901E-2</v>
      </c>
    </row>
    <row r="147" spans="1:38" x14ac:dyDescent="0.2">
      <c r="A147">
        <v>163</v>
      </c>
      <c r="B147">
        <v>736</v>
      </c>
      <c r="C147">
        <v>210</v>
      </c>
      <c r="D147">
        <v>0.35752910865580001</v>
      </c>
      <c r="E147">
        <v>35.9034539824411</v>
      </c>
      <c r="F147">
        <v>2.5232126405764901</v>
      </c>
      <c r="G147">
        <v>-565.29848584924639</v>
      </c>
      <c r="H147">
        <v>-491.23210448547297</v>
      </c>
      <c r="I147">
        <v>73.3948187720096</v>
      </c>
      <c r="J147">
        <v>42.766642946971899</v>
      </c>
      <c r="K147">
        <v>14.229262094310799</v>
      </c>
      <c r="L147">
        <v>2.8661675252277937E-5</v>
      </c>
      <c r="M147">
        <v>1.7952593440897401E-6</v>
      </c>
      <c r="N147" s="1">
        <v>-4.1077444055592401E-7</v>
      </c>
      <c r="O147" s="1">
        <v>1.3475106994120499E-10</v>
      </c>
      <c r="P147" s="1">
        <v>1.4689352906077399E-9</v>
      </c>
      <c r="Q147">
        <v>65.915117255646393</v>
      </c>
      <c r="S147">
        <v>18.9660589393606</v>
      </c>
      <c r="AA147">
        <v>0.26680132765577402</v>
      </c>
      <c r="AB147">
        <v>4.2752166989302003</v>
      </c>
      <c r="AC147">
        <v>10.5768057784069</v>
      </c>
      <c r="AJ147">
        <v>0.37563139024328002</v>
      </c>
      <c r="AK147">
        <v>1.29539591007806E-2</v>
      </c>
      <c r="AL147">
        <v>0.61141465065593803</v>
      </c>
    </row>
    <row r="148" spans="1:38" x14ac:dyDescent="0.2">
      <c r="A148">
        <v>166</v>
      </c>
      <c r="B148">
        <v>756</v>
      </c>
      <c r="C148">
        <v>200</v>
      </c>
      <c r="D148">
        <v>0.38206335325268598</v>
      </c>
      <c r="E148">
        <v>0.82372434770888203</v>
      </c>
      <c r="F148">
        <v>2.5798423513237698</v>
      </c>
      <c r="G148">
        <v>-13.374792682812458</v>
      </c>
      <c r="H148">
        <v>-11.592911298951279</v>
      </c>
      <c r="I148">
        <v>1.73141076020131</v>
      </c>
      <c r="J148">
        <v>1.0048813585629901</v>
      </c>
      <c r="K148">
        <v>0.319292513081743</v>
      </c>
      <c r="L148">
        <v>3.0968582802755768E-5</v>
      </c>
      <c r="M148">
        <v>1.7940068200385809E-6</v>
      </c>
      <c r="N148" s="1">
        <v>-1.15234463800209E-8</v>
      </c>
      <c r="O148" s="1">
        <v>2.7831709076542001E-12</v>
      </c>
      <c r="P148" s="1">
        <v>4.0461213424637702E-11</v>
      </c>
      <c r="Q148">
        <v>64.3508801824443</v>
      </c>
      <c r="S148">
        <v>22.058626503387998</v>
      </c>
      <c r="AA148">
        <v>3.1831945698784501</v>
      </c>
      <c r="AB148">
        <v>8.8969661826501696</v>
      </c>
      <c r="AC148">
        <v>1.51033256163895</v>
      </c>
      <c r="AJ148">
        <v>0.76370857786728497</v>
      </c>
      <c r="AK148">
        <v>0.15099400491842399</v>
      </c>
      <c r="AL148">
        <v>8.5297417214289795E-2</v>
      </c>
    </row>
    <row r="149" spans="1:38" x14ac:dyDescent="0.2">
      <c r="A149">
        <v>167</v>
      </c>
      <c r="B149">
        <v>754</v>
      </c>
      <c r="C149">
        <v>200</v>
      </c>
      <c r="D149">
        <v>0.38072384753930699</v>
      </c>
      <c r="E149">
        <v>2.7568457886337301</v>
      </c>
      <c r="F149">
        <v>2.5773776204110801</v>
      </c>
      <c r="G149">
        <v>-44.724488766780425</v>
      </c>
      <c r="H149">
        <v>-38.777216485633701</v>
      </c>
      <c r="I149">
        <v>5.79007183093678</v>
      </c>
      <c r="J149">
        <v>3.3650780991554798</v>
      </c>
      <c r="K149">
        <v>1.0696320813843401</v>
      </c>
      <c r="L149">
        <v>3.1107347627458583E-5</v>
      </c>
      <c r="M149">
        <v>1.7987799002349275E-6</v>
      </c>
      <c r="N149" s="1">
        <v>-4.1019671418434498E-8</v>
      </c>
      <c r="O149" s="1">
        <v>9.3419612315150803E-12</v>
      </c>
      <c r="P149" s="1">
        <v>1.42436492950055E-10</v>
      </c>
      <c r="Q149">
        <v>64.567498917209704</v>
      </c>
      <c r="S149">
        <v>21.871587473610699</v>
      </c>
      <c r="AA149">
        <v>2.9783404347959599</v>
      </c>
      <c r="AB149">
        <v>8.8893422851481692</v>
      </c>
      <c r="AC149">
        <v>1.6932308892354</v>
      </c>
      <c r="AJ149">
        <v>0.76308641256820797</v>
      </c>
      <c r="AK149">
        <v>0.141282775981971</v>
      </c>
      <c r="AL149">
        <v>9.5630811449820302E-2</v>
      </c>
    </row>
    <row r="150" spans="1:38" x14ac:dyDescent="0.2">
      <c r="A150">
        <v>168</v>
      </c>
      <c r="B150">
        <v>752</v>
      </c>
      <c r="C150">
        <v>200</v>
      </c>
      <c r="D150">
        <v>0.37937911525142798</v>
      </c>
      <c r="E150">
        <v>4.80972860823098</v>
      </c>
      <c r="F150">
        <v>2.5746030802736901</v>
      </c>
      <c r="G150">
        <v>-77.949756410308268</v>
      </c>
      <c r="H150">
        <v>-67.602902977771649</v>
      </c>
      <c r="I150">
        <v>10.0930141272366</v>
      </c>
      <c r="J150">
        <v>5.8734892963760803</v>
      </c>
      <c r="K150">
        <v>1.8681437325553401</v>
      </c>
      <c r="L150">
        <v>3.1227397658289839E-5</v>
      </c>
      <c r="M150">
        <v>1.8032814177650287E-6</v>
      </c>
      <c r="N150" s="1">
        <v>-7.5827930674103806E-8</v>
      </c>
      <c r="O150" s="1">
        <v>1.6353073100711499E-11</v>
      </c>
      <c r="P150" s="1">
        <v>2.6066275440390199E-10</v>
      </c>
      <c r="Q150">
        <v>64.783194881782407</v>
      </c>
      <c r="S150">
        <v>21.673806636745301</v>
      </c>
      <c r="AA150">
        <v>2.7648395146879698</v>
      </c>
      <c r="AB150">
        <v>8.8515009999373007</v>
      </c>
      <c r="AC150">
        <v>1.9266579668469299</v>
      </c>
      <c r="AJ150">
        <v>0.75998440214359397</v>
      </c>
      <c r="AK150">
        <v>0.13118025604234701</v>
      </c>
      <c r="AL150">
        <v>0.108835341814057</v>
      </c>
    </row>
    <row r="151" spans="1:38" x14ac:dyDescent="0.2">
      <c r="A151">
        <v>169</v>
      </c>
      <c r="B151">
        <v>750</v>
      </c>
      <c r="C151">
        <v>200</v>
      </c>
      <c r="D151">
        <v>0.37802912573913899</v>
      </c>
      <c r="E151">
        <v>15.093320833698</v>
      </c>
      <c r="F151">
        <v>2.5761164072839202</v>
      </c>
      <c r="G151">
        <v>-244.58696391851643</v>
      </c>
      <c r="H151">
        <v>-212.22557558329191</v>
      </c>
      <c r="I151">
        <v>31.629172980720799</v>
      </c>
      <c r="J151">
        <v>18.440462364399799</v>
      </c>
      <c r="K151">
        <v>5.8589436374155897</v>
      </c>
      <c r="L151">
        <v>3.1234692319082379E-5</v>
      </c>
      <c r="M151">
        <v>1.8003760762147286E-6</v>
      </c>
      <c r="N151" s="1">
        <v>-2.5186123750899001E-7</v>
      </c>
      <c r="O151" s="1">
        <v>5.1060031746282001E-11</v>
      </c>
      <c r="P151" s="1">
        <v>8.5790241178689095E-10</v>
      </c>
      <c r="Q151">
        <v>64.636912032820902</v>
      </c>
      <c r="S151">
        <v>21.781201333520801</v>
      </c>
      <c r="AA151">
        <v>2.8875743421519702</v>
      </c>
      <c r="AB151">
        <v>8.8070666742597101</v>
      </c>
      <c r="AC151">
        <v>1.88724561724651</v>
      </c>
      <c r="AJ151">
        <v>0.75633434030319802</v>
      </c>
      <c r="AK151">
        <v>0.13703342093558801</v>
      </c>
      <c r="AL151">
        <v>0.106632238761213</v>
      </c>
    </row>
    <row r="152" spans="1:38" x14ac:dyDescent="0.2">
      <c r="A152">
        <v>169</v>
      </c>
      <c r="B152">
        <v>750</v>
      </c>
      <c r="C152">
        <v>200</v>
      </c>
      <c r="D152">
        <v>0.37802912573913899</v>
      </c>
      <c r="E152">
        <v>24.557175061239601</v>
      </c>
      <c r="F152">
        <v>2.52252653137288</v>
      </c>
      <c r="G152">
        <v>-387.84726044848179</v>
      </c>
      <c r="H152">
        <v>-336.00545279821608</v>
      </c>
      <c r="I152">
        <v>50.668824366188304</v>
      </c>
      <c r="J152">
        <v>29.2012910550905</v>
      </c>
      <c r="K152">
        <v>9.7351503565254394</v>
      </c>
      <c r="L152">
        <v>2.8475824871375134E-5</v>
      </c>
      <c r="M152">
        <v>1.7956539151652199E-6</v>
      </c>
      <c r="N152" s="1">
        <v>-1.77898442732288E-7</v>
      </c>
      <c r="O152" s="1">
        <v>9.2828533946121098E-11</v>
      </c>
      <c r="P152" s="1">
        <v>7.10924656134514E-10</v>
      </c>
      <c r="Q152">
        <v>65.947708963308102</v>
      </c>
      <c r="S152">
        <v>19.018615410597</v>
      </c>
      <c r="AA152">
        <v>0.30255612513539798</v>
      </c>
      <c r="AB152">
        <v>4.4856291941104498</v>
      </c>
      <c r="AC152">
        <v>10.2454903068489</v>
      </c>
      <c r="AJ152">
        <v>0.393697124317886</v>
      </c>
      <c r="AK152">
        <v>1.46742398306172E-2</v>
      </c>
      <c r="AL152">
        <v>0.59162863585149505</v>
      </c>
    </row>
    <row r="153" spans="1:38" x14ac:dyDescent="0.2">
      <c r="A153">
        <v>170</v>
      </c>
      <c r="B153">
        <v>748</v>
      </c>
      <c r="C153">
        <v>200</v>
      </c>
      <c r="D153">
        <v>0.37667384811242399</v>
      </c>
      <c r="E153">
        <v>17.588601746038201</v>
      </c>
      <c r="F153">
        <v>2.5768767194480202</v>
      </c>
      <c r="G153">
        <v>-284.98456094375308</v>
      </c>
      <c r="H153">
        <v>-247.39251964745327</v>
      </c>
      <c r="I153">
        <v>36.813437101600996</v>
      </c>
      <c r="J153">
        <v>21.506087518752899</v>
      </c>
      <c r="K153">
        <v>6.8255503312575101</v>
      </c>
      <c r="L153">
        <v>3.1308072760197267E-5</v>
      </c>
      <c r="M153">
        <v>1.7997280868375525E-6</v>
      </c>
      <c r="N153" s="1">
        <v>-3.1251628025097099E-7</v>
      </c>
      <c r="O153" s="1">
        <v>5.9272666833609997E-11</v>
      </c>
      <c r="P153" s="1">
        <v>1.05426448099659E-9</v>
      </c>
      <c r="Q153">
        <v>64.585535852042199</v>
      </c>
      <c r="S153">
        <v>21.824165220980198</v>
      </c>
      <c r="AA153">
        <v>2.93500791864831</v>
      </c>
      <c r="AB153">
        <v>8.8052130267362791</v>
      </c>
      <c r="AC153">
        <v>1.85007798159294</v>
      </c>
      <c r="AJ153">
        <v>0.75618135045921597</v>
      </c>
      <c r="AK153">
        <v>0.13928558175743799</v>
      </c>
      <c r="AL153">
        <v>0.10453306778334399</v>
      </c>
    </row>
    <row r="154" spans="1:38" x14ac:dyDescent="0.2">
      <c r="A154">
        <v>170</v>
      </c>
      <c r="B154">
        <v>748</v>
      </c>
      <c r="C154">
        <v>200</v>
      </c>
      <c r="D154">
        <v>0.37667384811242399</v>
      </c>
      <c r="E154">
        <v>30.637057336819002</v>
      </c>
      <c r="F154">
        <v>2.52253670607656</v>
      </c>
      <c r="G154">
        <v>-483.63702487168922</v>
      </c>
      <c r="H154">
        <v>-419.17725595509762</v>
      </c>
      <c r="I154">
        <v>63.124681894522503</v>
      </c>
      <c r="J154">
        <v>36.432273089828101</v>
      </c>
      <c r="K154">
        <v>12.1453365824239</v>
      </c>
      <c r="L154">
        <v>2.8478400187116664E-5</v>
      </c>
      <c r="M154">
        <v>1.7954526554206441E-6</v>
      </c>
      <c r="N154" s="1">
        <v>-2.3541974104578101E-7</v>
      </c>
      <c r="O154" s="1">
        <v>1.15744501551039E-10</v>
      </c>
      <c r="P154" s="1">
        <v>9.2547112807892801E-10</v>
      </c>
      <c r="Q154">
        <v>65.936696037062006</v>
      </c>
      <c r="S154">
        <v>19.009614517418299</v>
      </c>
      <c r="AA154">
        <v>0.29770001188431899</v>
      </c>
      <c r="AB154">
        <v>4.4374904667964801</v>
      </c>
      <c r="AC154">
        <v>10.318498966838799</v>
      </c>
      <c r="AJ154">
        <v>0.38956738042631001</v>
      </c>
      <c r="AK154">
        <v>1.44422478645707E-2</v>
      </c>
      <c r="AL154">
        <v>0.59599037170911795</v>
      </c>
    </row>
    <row r="155" spans="1:38" x14ac:dyDescent="0.2">
      <c r="A155">
        <v>171</v>
      </c>
      <c r="B155">
        <v>746</v>
      </c>
      <c r="C155">
        <v>200</v>
      </c>
      <c r="D155">
        <v>0.37531325123877901</v>
      </c>
      <c r="E155">
        <v>18.585835915329799</v>
      </c>
      <c r="F155">
        <v>2.57730842346017</v>
      </c>
      <c r="G155">
        <v>-301.08783529272279</v>
      </c>
      <c r="H155">
        <v>-261.48849249599192</v>
      </c>
      <c r="I155">
        <v>38.855264481902502</v>
      </c>
      <c r="J155">
        <v>22.745782140985401</v>
      </c>
      <c r="K155">
        <v>7.2113355724719002</v>
      </c>
      <c r="L155">
        <v>3.140341794126885E-5</v>
      </c>
      <c r="M155">
        <v>1.799830754805244E-6</v>
      </c>
      <c r="N155" s="1">
        <v>-3.5207772621296301E-7</v>
      </c>
      <c r="O155" s="1">
        <v>6.2419020784793699E-11</v>
      </c>
      <c r="P155" s="1">
        <v>1.17656290340218E-9</v>
      </c>
      <c r="Q155">
        <v>64.567383111783201</v>
      </c>
      <c r="S155">
        <v>21.841804003638799</v>
      </c>
      <c r="AA155">
        <v>2.9537957887238901</v>
      </c>
      <c r="AB155">
        <v>8.8110029803179302</v>
      </c>
      <c r="AC155">
        <v>1.8260141155360901</v>
      </c>
      <c r="AJ155">
        <v>0.75665650008848795</v>
      </c>
      <c r="AK155">
        <v>0.14017309945796</v>
      </c>
      <c r="AL155">
        <v>0.103170400453551</v>
      </c>
    </row>
    <row r="156" spans="1:38" x14ac:dyDescent="0.2">
      <c r="A156">
        <v>171</v>
      </c>
      <c r="B156">
        <v>746</v>
      </c>
      <c r="C156">
        <v>200</v>
      </c>
      <c r="D156">
        <v>0.37531325123877901</v>
      </c>
      <c r="E156">
        <v>32.948600725927399</v>
      </c>
      <c r="F156">
        <v>2.5225669128313002</v>
      </c>
      <c r="G156">
        <v>-519.91312396216063</v>
      </c>
      <c r="H156">
        <v>-450.81677553390028</v>
      </c>
      <c r="I156">
        <v>67.798016413933496</v>
      </c>
      <c r="J156">
        <v>39.187493202080297</v>
      </c>
      <c r="K156">
        <v>13.061536864822401</v>
      </c>
      <c r="L156">
        <v>2.8496303058254168E-5</v>
      </c>
      <c r="M156">
        <v>1.7954520528938657E-6</v>
      </c>
      <c r="N156" s="1">
        <v>-2.6986445134412901E-7</v>
      </c>
      <c r="O156" s="1">
        <v>1.24375729115019E-10</v>
      </c>
      <c r="P156" s="1">
        <v>1.0430172528839099E-9</v>
      </c>
      <c r="Q156">
        <v>65.931512991821805</v>
      </c>
      <c r="S156">
        <v>19.002017413662401</v>
      </c>
      <c r="AA156">
        <v>0.29264171624762803</v>
      </c>
      <c r="AB156">
        <v>4.4060235331955599</v>
      </c>
      <c r="AC156">
        <v>10.3678043450725</v>
      </c>
      <c r="AJ156">
        <v>0.38686680612901903</v>
      </c>
      <c r="AK156">
        <v>1.4199128224595301E-2</v>
      </c>
      <c r="AL156">
        <v>0.59893406564638496</v>
      </c>
    </row>
    <row r="157" spans="1:38" x14ac:dyDescent="0.2">
      <c r="A157">
        <v>172</v>
      </c>
      <c r="B157">
        <v>744</v>
      </c>
      <c r="C157">
        <v>200</v>
      </c>
      <c r="D157">
        <v>0.373947303740848</v>
      </c>
      <c r="E157">
        <v>19.1749312351265</v>
      </c>
      <c r="F157">
        <v>2.57766072740707</v>
      </c>
      <c r="G157">
        <v>-310.57112108889254</v>
      </c>
      <c r="H157">
        <v>-269.84409383759214</v>
      </c>
      <c r="I157">
        <v>40.040335497517802</v>
      </c>
      <c r="J157">
        <v>23.489538883302099</v>
      </c>
      <c r="K157">
        <v>7.4388886913038199</v>
      </c>
      <c r="L157">
        <v>3.1509052976386847E-5</v>
      </c>
      <c r="M157">
        <v>1.8001296917719252E-6</v>
      </c>
      <c r="N157" s="1">
        <v>-3.8744344992073402E-7</v>
      </c>
      <c r="O157" s="1">
        <v>6.4173554247019802E-11</v>
      </c>
      <c r="P157" s="1">
        <v>1.28303263213005E-9</v>
      </c>
      <c r="Q157">
        <v>64.557278160741802</v>
      </c>
      <c r="S157">
        <v>21.853293378105501</v>
      </c>
      <c r="AA157">
        <v>2.9656324924827402</v>
      </c>
      <c r="AB157">
        <v>8.8186055276132294</v>
      </c>
      <c r="AC157">
        <v>1.80519044105656</v>
      </c>
      <c r="AJ157">
        <v>0.75728056588682602</v>
      </c>
      <c r="AK157">
        <v>0.14072945865332001</v>
      </c>
      <c r="AL157">
        <v>0.101989975459852</v>
      </c>
    </row>
    <row r="158" spans="1:38" x14ac:dyDescent="0.2">
      <c r="A158">
        <v>172</v>
      </c>
      <c r="B158">
        <v>744</v>
      </c>
      <c r="C158">
        <v>200</v>
      </c>
      <c r="D158">
        <v>0.373947303740848</v>
      </c>
      <c r="E158">
        <v>34.257172042039898</v>
      </c>
      <c r="F158">
        <v>2.52260355159151</v>
      </c>
      <c r="G158">
        <v>-540.34892107833514</v>
      </c>
      <c r="H158">
        <v>-468.7424659172051</v>
      </c>
      <c r="I158">
        <v>70.399110417470396</v>
      </c>
      <c r="J158">
        <v>40.752638768110998</v>
      </c>
      <c r="K158">
        <v>13.580085551067601</v>
      </c>
      <c r="L158">
        <v>2.85197689644599E-5</v>
      </c>
      <c r="M158">
        <v>1.7955043245625927E-6</v>
      </c>
      <c r="N158" s="1">
        <v>-2.9937125333598399E-7</v>
      </c>
      <c r="O158" s="1">
        <v>1.2919503697181299E-10</v>
      </c>
      <c r="P158" s="1">
        <v>1.1381207137124301E-9</v>
      </c>
      <c r="Q158">
        <v>65.927664282875199</v>
      </c>
      <c r="S158">
        <v>18.994819091409099</v>
      </c>
      <c r="AA158">
        <v>0.28760107030124399</v>
      </c>
      <c r="AB158">
        <v>4.3785755540349003</v>
      </c>
      <c r="AC158">
        <v>10.411340001379401</v>
      </c>
      <c r="AJ158">
        <v>0.38451044829334202</v>
      </c>
      <c r="AK158">
        <v>1.39565021109019E-2</v>
      </c>
      <c r="AL158">
        <v>0.60153304959575604</v>
      </c>
    </row>
    <row r="159" spans="1:38" x14ac:dyDescent="0.2">
      <c r="A159">
        <v>173</v>
      </c>
      <c r="B159">
        <v>742</v>
      </c>
      <c r="C159">
        <v>200</v>
      </c>
      <c r="D159">
        <v>0.37257597399398801</v>
      </c>
      <c r="E159">
        <v>19.5727496872396</v>
      </c>
      <c r="F159">
        <v>2.5779484689532199</v>
      </c>
      <c r="G159">
        <v>-316.9503875900956</v>
      </c>
      <c r="H159">
        <v>-275.50802415041073</v>
      </c>
      <c r="I159">
        <v>40.8238816329456</v>
      </c>
      <c r="J159">
        <v>24.002100111575601</v>
      </c>
      <c r="K159">
        <v>7.5923742941173398</v>
      </c>
      <c r="L159">
        <v>3.1624842185274902E-5</v>
      </c>
      <c r="M159">
        <v>1.8005956346848018E-6</v>
      </c>
      <c r="N159" s="1">
        <v>-4.2201459362347098E-7</v>
      </c>
      <c r="O159" s="1">
        <v>6.5270727009474498E-11</v>
      </c>
      <c r="P159" s="1">
        <v>1.3853534983560799E-9</v>
      </c>
      <c r="Q159">
        <v>64.553801112563207</v>
      </c>
      <c r="S159">
        <v>21.859736819637099</v>
      </c>
      <c r="AA159">
        <v>2.9717597193800298</v>
      </c>
      <c r="AB159">
        <v>8.8277494318584395</v>
      </c>
      <c r="AC159">
        <v>1.7869529165611799</v>
      </c>
      <c r="AJ159">
        <v>0.75803122524118005</v>
      </c>
      <c r="AK159">
        <v>0.141013788383785</v>
      </c>
      <c r="AL159">
        <v>0.100954986375033</v>
      </c>
    </row>
    <row r="160" spans="1:38" x14ac:dyDescent="0.2">
      <c r="A160">
        <v>173</v>
      </c>
      <c r="B160">
        <v>742</v>
      </c>
      <c r="C160">
        <v>200</v>
      </c>
      <c r="D160">
        <v>0.37257597399398801</v>
      </c>
      <c r="E160">
        <v>35.043706551939401</v>
      </c>
      <c r="F160">
        <v>2.5226453386686698</v>
      </c>
      <c r="G160">
        <v>-552.54538944327237</v>
      </c>
      <c r="H160">
        <v>-479.53284512734382</v>
      </c>
      <c r="I160">
        <v>71.922912196156602</v>
      </c>
      <c r="J160">
        <v>41.699366337472703</v>
      </c>
      <c r="K160">
        <v>13.8916501716542</v>
      </c>
      <c r="L160">
        <v>2.8548429443978603E-5</v>
      </c>
      <c r="M160">
        <v>1.7956008466869911E-6</v>
      </c>
      <c r="N160" s="1">
        <v>-3.2699954525028298E-7</v>
      </c>
      <c r="O160" s="1">
        <v>1.3202343318241699E-10</v>
      </c>
      <c r="P160" s="1">
        <v>1.22346597390933E-9</v>
      </c>
      <c r="Q160">
        <v>65.924876917631707</v>
      </c>
      <c r="S160">
        <v>18.987946853120199</v>
      </c>
      <c r="AA160">
        <v>0.282581796920648</v>
      </c>
      <c r="AB160">
        <v>4.3543475939160698</v>
      </c>
      <c r="AC160">
        <v>10.4502468384112</v>
      </c>
      <c r="AJ160">
        <v>0.38242998099030301</v>
      </c>
      <c r="AK160">
        <v>1.3714620991659E-2</v>
      </c>
      <c r="AL160">
        <v>0.603855398018037</v>
      </c>
    </row>
    <row r="161" spans="1:38" x14ac:dyDescent="0.2">
      <c r="A161">
        <v>174</v>
      </c>
      <c r="B161">
        <v>740</v>
      </c>
      <c r="C161">
        <v>200</v>
      </c>
      <c r="D161">
        <v>0.37119923012387401</v>
      </c>
      <c r="E161">
        <v>19.875908722441899</v>
      </c>
      <c r="F161">
        <v>2.5782075522680601</v>
      </c>
      <c r="G161">
        <v>-321.79319917966427</v>
      </c>
      <c r="H161">
        <v>-279.8403367616649</v>
      </c>
      <c r="I161">
        <v>41.408342711345099</v>
      </c>
      <c r="J161">
        <v>24.401465743674098</v>
      </c>
      <c r="K161">
        <v>7.7091965326674297</v>
      </c>
      <c r="L161">
        <v>3.1749485088269389E-5</v>
      </c>
      <c r="M161">
        <v>1.8011487571535501E-6</v>
      </c>
      <c r="N161" s="1">
        <v>-4.5743591589430702E-7</v>
      </c>
      <c r="O161" s="1">
        <v>6.6032613922760796E-11</v>
      </c>
      <c r="P161" s="1">
        <v>1.48908571398112E-9</v>
      </c>
      <c r="Q161">
        <v>64.553288872850104</v>
      </c>
      <c r="S161">
        <v>21.863913275283402</v>
      </c>
      <c r="AA161">
        <v>2.9753248621859898</v>
      </c>
      <c r="AB161">
        <v>8.8375570545760898</v>
      </c>
      <c r="AC161">
        <v>1.7699159351043401</v>
      </c>
      <c r="AJ161">
        <v>0.75883634480741002</v>
      </c>
      <c r="AK161">
        <v>0.14117606559812201</v>
      </c>
      <c r="AL161">
        <v>9.9987589594466894E-2</v>
      </c>
    </row>
    <row r="162" spans="1:38" x14ac:dyDescent="0.2">
      <c r="A162">
        <v>174</v>
      </c>
      <c r="B162">
        <v>740</v>
      </c>
      <c r="C162">
        <v>200</v>
      </c>
      <c r="D162">
        <v>0.37119923012387401</v>
      </c>
      <c r="E162">
        <v>35.577666871197501</v>
      </c>
      <c r="F162">
        <v>2.5226904772079202</v>
      </c>
      <c r="G162">
        <v>-560.75526904447884</v>
      </c>
      <c r="H162">
        <v>-486.87107116143511</v>
      </c>
      <c r="I162">
        <v>72.925231094155606</v>
      </c>
      <c r="J162">
        <v>42.347669351709698</v>
      </c>
      <c r="K162">
        <v>14.1030646417528</v>
      </c>
      <c r="L162">
        <v>2.8581041230498788E-5</v>
      </c>
      <c r="M162">
        <v>1.7957210831532394E-6</v>
      </c>
      <c r="N162" s="1">
        <v>-3.5455747738127401E-7</v>
      </c>
      <c r="O162" s="1">
        <v>1.3388203039206099E-10</v>
      </c>
      <c r="P162" s="1">
        <v>1.3064124120826499E-9</v>
      </c>
      <c r="Q162">
        <v>65.922511067689499</v>
      </c>
      <c r="S162">
        <v>18.9812582241127</v>
      </c>
      <c r="AA162">
        <v>0.277615648244118</v>
      </c>
      <c r="AB162">
        <v>4.3315403136474799</v>
      </c>
      <c r="AC162">
        <v>10.487074746306</v>
      </c>
      <c r="AJ162">
        <v>0.38047104139781202</v>
      </c>
      <c r="AK162">
        <v>1.3475161499154301E-2</v>
      </c>
      <c r="AL162">
        <v>0.60605379710303298</v>
      </c>
    </row>
    <row r="163" spans="1:38" x14ac:dyDescent="0.2">
      <c r="A163">
        <v>175</v>
      </c>
      <c r="B163">
        <v>738</v>
      </c>
      <c r="C163">
        <v>200</v>
      </c>
      <c r="D163">
        <v>0.36981704000395799</v>
      </c>
      <c r="E163">
        <v>20.123112493682498</v>
      </c>
      <c r="F163">
        <v>2.5784489583687402</v>
      </c>
      <c r="G163">
        <v>-325.72744177115203</v>
      </c>
      <c r="H163">
        <v>-283.38567153104958</v>
      </c>
      <c r="I163">
        <v>41.874865489889999</v>
      </c>
      <c r="J163">
        <v>24.735007853014601</v>
      </c>
      <c r="K163">
        <v>7.8043478147472802</v>
      </c>
      <c r="L163">
        <v>3.188296844714466E-5</v>
      </c>
      <c r="M163">
        <v>1.8017659043559337E-6</v>
      </c>
      <c r="N163" s="1">
        <v>-4.94456596512786E-7</v>
      </c>
      <c r="O163" s="1">
        <v>6.6587973246621198E-11</v>
      </c>
      <c r="P163" s="1">
        <v>1.5966965169971401E-9</v>
      </c>
      <c r="Q163">
        <v>64.554628179234101</v>
      </c>
      <c r="S163">
        <v>21.866668536698601</v>
      </c>
      <c r="AA163">
        <v>2.97728547222997</v>
      </c>
      <c r="AB163">
        <v>8.8477649030507006</v>
      </c>
      <c r="AC163">
        <v>1.7536529087864601</v>
      </c>
      <c r="AJ163">
        <v>0.75967426443905295</v>
      </c>
      <c r="AK163">
        <v>0.14126192113839101</v>
      </c>
      <c r="AL163">
        <v>9.9063814422555296E-2</v>
      </c>
    </row>
    <row r="164" spans="1:38" x14ac:dyDescent="0.2">
      <c r="A164">
        <v>175</v>
      </c>
      <c r="B164">
        <v>738</v>
      </c>
      <c r="C164">
        <v>200</v>
      </c>
      <c r="D164">
        <v>0.36981704000395799</v>
      </c>
      <c r="E164">
        <v>35.960676435511601</v>
      </c>
      <c r="F164">
        <v>2.5227383862197001</v>
      </c>
      <c r="G164">
        <v>-566.58298847450487</v>
      </c>
      <c r="H164">
        <v>-492.14628810351036</v>
      </c>
      <c r="I164">
        <v>73.615883272506096</v>
      </c>
      <c r="J164">
        <v>42.818298568355303</v>
      </c>
      <c r="K164">
        <v>14.2546197544479</v>
      </c>
      <c r="L164">
        <v>2.8617367133270867E-5</v>
      </c>
      <c r="M164">
        <v>1.795859164803614E-6</v>
      </c>
      <c r="N164" s="1">
        <v>-3.8276130007543101E-7</v>
      </c>
      <c r="O164" s="1">
        <v>1.3515560080103901E-10</v>
      </c>
      <c r="P164" s="1">
        <v>1.3898205147994201E-9</v>
      </c>
      <c r="Q164">
        <v>65.920372384330804</v>
      </c>
      <c r="S164">
        <v>18.974708158689001</v>
      </c>
      <c r="AA164">
        <v>0.27271080972630202</v>
      </c>
      <c r="AB164">
        <v>4.3096025243792697</v>
      </c>
      <c r="AC164">
        <v>10.5226061228745</v>
      </c>
      <c r="AJ164">
        <v>0.37858635515183398</v>
      </c>
      <c r="AK164">
        <v>1.3238564128449599E-2</v>
      </c>
      <c r="AL164">
        <v>0.60817508071971604</v>
      </c>
    </row>
    <row r="165" spans="1:38" x14ac:dyDescent="0.2">
      <c r="A165">
        <v>178</v>
      </c>
      <c r="B165">
        <v>758</v>
      </c>
      <c r="C165">
        <v>190</v>
      </c>
      <c r="D165">
        <v>0.39406536391407598</v>
      </c>
      <c r="E165">
        <v>1.3981346822498399</v>
      </c>
      <c r="F165">
        <v>2.57845960005463</v>
      </c>
      <c r="G165">
        <v>-22.710079615017893</v>
      </c>
      <c r="H165">
        <v>-19.675777933832553</v>
      </c>
      <c r="I165">
        <v>2.9426384921547202</v>
      </c>
      <c r="J165">
        <v>1.7045466875134001</v>
      </c>
      <c r="K165">
        <v>0.54223641208891504</v>
      </c>
      <c r="L165">
        <v>3.0914154728620049E-5</v>
      </c>
      <c r="M165">
        <v>1.7958918547273441E-6</v>
      </c>
      <c r="N165" s="1">
        <v>-1.8255965043694E-8</v>
      </c>
      <c r="O165" s="1">
        <v>4.74248083141637E-12</v>
      </c>
      <c r="P165" s="1">
        <v>6.4905917292392295E-11</v>
      </c>
      <c r="Q165">
        <v>64.427483410589403</v>
      </c>
      <c r="S165">
        <v>21.999427248240099</v>
      </c>
      <c r="AA165">
        <v>3.1164802621750698</v>
      </c>
      <c r="AB165">
        <v>8.9124738254720803</v>
      </c>
      <c r="AC165">
        <v>1.54413525352322</v>
      </c>
      <c r="AJ165">
        <v>0.76498188913144605</v>
      </c>
      <c r="AK165">
        <v>0.14781825019992401</v>
      </c>
      <c r="AL165">
        <v>8.7199860668628601E-2</v>
      </c>
    </row>
    <row r="166" spans="1:38" x14ac:dyDescent="0.2">
      <c r="A166">
        <v>179</v>
      </c>
      <c r="B166">
        <v>756</v>
      </c>
      <c r="C166">
        <v>190</v>
      </c>
      <c r="D166">
        <v>0.39275178545401701</v>
      </c>
      <c r="E166">
        <v>3.33203026554816</v>
      </c>
      <c r="F166">
        <v>2.5760173266650002</v>
      </c>
      <c r="G166">
        <v>-54.075677154430593</v>
      </c>
      <c r="H166">
        <v>-46.864242725018713</v>
      </c>
      <c r="I166">
        <v>7.0071752702831196</v>
      </c>
      <c r="J166">
        <v>4.0642619016944899</v>
      </c>
      <c r="K166">
        <v>1.29348130971693</v>
      </c>
      <c r="L166">
        <v>3.1041504271964704E-5</v>
      </c>
      <c r="M166">
        <v>1.8004508553356498E-6</v>
      </c>
      <c r="N166" s="1">
        <v>-4.6230229943601997E-8</v>
      </c>
      <c r="O166" s="1">
        <v>1.1336172897444799E-11</v>
      </c>
      <c r="P166" s="1">
        <v>1.6248309569649799E-10</v>
      </c>
      <c r="Q166">
        <v>64.636843039754893</v>
      </c>
      <c r="S166">
        <v>21.816391797750001</v>
      </c>
      <c r="AA166">
        <v>2.9166229340513401</v>
      </c>
      <c r="AB166">
        <v>8.8991693039605906</v>
      </c>
      <c r="AC166">
        <v>1.73097292448311</v>
      </c>
      <c r="AJ166">
        <v>0.76389370067782403</v>
      </c>
      <c r="AK166">
        <v>0.138348525959265</v>
      </c>
      <c r="AL166">
        <v>9.7757773362910402E-2</v>
      </c>
    </row>
    <row r="167" spans="1:38" x14ac:dyDescent="0.2">
      <c r="A167">
        <v>180</v>
      </c>
      <c r="B167">
        <v>754</v>
      </c>
      <c r="C167">
        <v>190</v>
      </c>
      <c r="D167">
        <v>0.391433091564035</v>
      </c>
      <c r="E167">
        <v>5.3906643369134102</v>
      </c>
      <c r="F167">
        <v>2.5732523938158001</v>
      </c>
      <c r="G167">
        <v>-87.395646816160138</v>
      </c>
      <c r="H167">
        <v>-75.761594227433562</v>
      </c>
      <c r="I167">
        <v>11.326537106290701</v>
      </c>
      <c r="J167">
        <v>6.5776068010520303</v>
      </c>
      <c r="K167">
        <v>2.0948836382581701</v>
      </c>
      <c r="L167">
        <v>3.1149429363324161E-5</v>
      </c>
      <c r="M167">
        <v>1.8047351672039031E-6</v>
      </c>
      <c r="N167" s="1">
        <v>-7.9157175588560802E-8</v>
      </c>
      <c r="O167" s="1">
        <v>1.8403389673407101E-11</v>
      </c>
      <c r="P167" s="1">
        <v>2.7532967544514799E-10</v>
      </c>
      <c r="Q167">
        <v>64.845500818134099</v>
      </c>
      <c r="S167">
        <v>21.622044075894099</v>
      </c>
      <c r="AA167">
        <v>2.70759663350848</v>
      </c>
      <c r="AB167">
        <v>8.8546441555227897</v>
      </c>
      <c r="AC167">
        <v>1.97021431694042</v>
      </c>
      <c r="AJ167">
        <v>0.76024332930443395</v>
      </c>
      <c r="AK167">
        <v>0.128462467949222</v>
      </c>
      <c r="AL167">
        <v>0.111294202746342</v>
      </c>
    </row>
    <row r="168" spans="1:38" x14ac:dyDescent="0.2">
      <c r="A168">
        <v>181</v>
      </c>
      <c r="B168">
        <v>752</v>
      </c>
      <c r="C168">
        <v>190</v>
      </c>
      <c r="D168">
        <v>0.39010925230454402</v>
      </c>
      <c r="E168">
        <v>15.0395079370519</v>
      </c>
      <c r="F168">
        <v>2.57520269664455</v>
      </c>
      <c r="G168">
        <v>-243.81640262495714</v>
      </c>
      <c r="H168">
        <v>-211.4680316141073</v>
      </c>
      <c r="I168">
        <v>31.554768581036701</v>
      </c>
      <c r="J168">
        <v>18.357964153887899</v>
      </c>
      <c r="K168">
        <v>5.8401258885944003</v>
      </c>
      <c r="L168">
        <v>3.1131293002948642E-5</v>
      </c>
      <c r="M168">
        <v>1.8008732943288088E-6</v>
      </c>
      <c r="N168" s="1">
        <v>-2.3337106787711099E-7</v>
      </c>
      <c r="O168" s="1">
        <v>5.10544475386009E-11</v>
      </c>
      <c r="P168" s="1">
        <v>8.0419435099690498E-10</v>
      </c>
      <c r="Q168">
        <v>64.656141245963397</v>
      </c>
      <c r="S168">
        <v>21.762446248046199</v>
      </c>
      <c r="AA168">
        <v>2.8676143305921</v>
      </c>
      <c r="AB168">
        <v>8.8007490498196006</v>
      </c>
      <c r="AC168">
        <v>1.91304912557852</v>
      </c>
      <c r="AJ168">
        <v>0.75581585634065895</v>
      </c>
      <c r="AK168">
        <v>0.13609052634336499</v>
      </c>
      <c r="AL168">
        <v>0.108093617315974</v>
      </c>
    </row>
    <row r="169" spans="1:38" x14ac:dyDescent="0.2">
      <c r="A169">
        <v>181</v>
      </c>
      <c r="B169">
        <v>752</v>
      </c>
      <c r="C169">
        <v>190</v>
      </c>
      <c r="D169">
        <v>0.39010925230454402</v>
      </c>
      <c r="E169">
        <v>24.288537243707498</v>
      </c>
      <c r="F169">
        <v>2.5220916828365998</v>
      </c>
      <c r="G169">
        <v>-383.88934690491482</v>
      </c>
      <c r="H169">
        <v>-332.43929426830096</v>
      </c>
      <c r="I169">
        <v>50.187828743709602</v>
      </c>
      <c r="J169">
        <v>28.879806933620401</v>
      </c>
      <c r="K169">
        <v>9.6303149520679394</v>
      </c>
      <c r="L169">
        <v>2.8462971991823955E-5</v>
      </c>
      <c r="M169">
        <v>1.7964717861308514E-6</v>
      </c>
      <c r="N169" s="1">
        <v>-1.6413547055342101E-7</v>
      </c>
      <c r="O169" s="1">
        <v>9.1872894478757203E-11</v>
      </c>
      <c r="P169" s="1">
        <v>6.6918697320590802E-10</v>
      </c>
      <c r="Q169">
        <v>65.957289289193199</v>
      </c>
      <c r="S169">
        <v>19.029148969453299</v>
      </c>
      <c r="AA169">
        <v>0.309010980973001</v>
      </c>
      <c r="AB169">
        <v>4.5345935306666698</v>
      </c>
      <c r="AC169">
        <v>10.169957229713701</v>
      </c>
      <c r="AJ169">
        <v>0.39789560990600698</v>
      </c>
      <c r="AK169">
        <v>1.4983576393777599E-2</v>
      </c>
      <c r="AL169">
        <v>0.58712081370021396</v>
      </c>
    </row>
    <row r="170" spans="1:38" x14ac:dyDescent="0.2">
      <c r="A170">
        <v>182</v>
      </c>
      <c r="B170">
        <v>750</v>
      </c>
      <c r="C170">
        <v>190</v>
      </c>
      <c r="D170">
        <v>0.38878023750183299</v>
      </c>
      <c r="E170">
        <v>17.483775905341702</v>
      </c>
      <c r="F170">
        <v>2.57611284744937</v>
      </c>
      <c r="G170">
        <v>-283.41035235791253</v>
      </c>
      <c r="H170">
        <v>-245.92426239807958</v>
      </c>
      <c r="I170">
        <v>36.637922064050002</v>
      </c>
      <c r="J170">
        <v>21.356676080862901</v>
      </c>
      <c r="K170">
        <v>6.7868827728771697</v>
      </c>
      <c r="L170">
        <v>3.1191521230770174E-5</v>
      </c>
      <c r="M170">
        <v>1.7998825268817747E-6</v>
      </c>
      <c r="N170" s="1">
        <v>-2.8868386371724902E-7</v>
      </c>
      <c r="O170" s="1">
        <v>5.9119054700650796E-11</v>
      </c>
      <c r="P170" s="1">
        <v>9.8483657784720409E-10</v>
      </c>
      <c r="Q170">
        <v>64.589953876661198</v>
      </c>
      <c r="S170">
        <v>21.816814743035799</v>
      </c>
      <c r="AA170">
        <v>2.9279128134347001</v>
      </c>
      <c r="AB170">
        <v>8.7957881241562195</v>
      </c>
      <c r="AC170">
        <v>1.8695304427119801</v>
      </c>
      <c r="AJ170">
        <v>0.75540746017147198</v>
      </c>
      <c r="AK170">
        <v>0.138955403828291</v>
      </c>
      <c r="AL170">
        <v>0.105637136000235</v>
      </c>
    </row>
    <row r="171" spans="1:38" x14ac:dyDescent="0.2">
      <c r="A171">
        <v>182</v>
      </c>
      <c r="B171">
        <v>750</v>
      </c>
      <c r="C171">
        <v>190</v>
      </c>
      <c r="D171">
        <v>0.38878023750183299</v>
      </c>
      <c r="E171">
        <v>30.556834274729599</v>
      </c>
      <c r="F171">
        <v>2.5220877522731402</v>
      </c>
      <c r="G171">
        <v>-482.71237027337816</v>
      </c>
      <c r="H171">
        <v>-418.20371753963269</v>
      </c>
      <c r="I171">
        <v>63.049066836480797</v>
      </c>
      <c r="J171">
        <v>36.331723807564899</v>
      </c>
      <c r="K171">
        <v>12.115690362949801</v>
      </c>
      <c r="L171">
        <v>2.8457431462005604E-5</v>
      </c>
      <c r="M171">
        <v>1.7961745483281677E-6</v>
      </c>
      <c r="N171" s="1">
        <v>-2.1855867098892601E-7</v>
      </c>
      <c r="O171" s="1">
        <v>1.1553342789247099E-10</v>
      </c>
      <c r="P171" s="1">
        <v>8.7640554173174796E-10</v>
      </c>
      <c r="Q171">
        <v>65.943671380714093</v>
      </c>
      <c r="S171">
        <v>19.019367402687401</v>
      </c>
      <c r="AA171">
        <v>0.30411864101073999</v>
      </c>
      <c r="AB171">
        <v>4.4786031028169404</v>
      </c>
      <c r="AC171">
        <v>10.2542394727706</v>
      </c>
      <c r="AJ171">
        <v>0.39309447362815603</v>
      </c>
      <c r="AK171">
        <v>1.4750549288056899E-2</v>
      </c>
      <c r="AL171">
        <v>0.59215497708378595</v>
      </c>
    </row>
    <row r="172" spans="1:38" x14ac:dyDescent="0.2">
      <c r="A172">
        <v>183</v>
      </c>
      <c r="B172">
        <v>748</v>
      </c>
      <c r="C172">
        <v>190</v>
      </c>
      <c r="D172">
        <v>0.38744601674582602</v>
      </c>
      <c r="E172">
        <v>18.463836814607902</v>
      </c>
      <c r="F172">
        <v>2.5766040173347502</v>
      </c>
      <c r="G172">
        <v>-299.24526311245887</v>
      </c>
      <c r="H172">
        <v>-259.7815544624645</v>
      </c>
      <c r="I172">
        <v>38.646338588840301</v>
      </c>
      <c r="J172">
        <v>22.5722696366111</v>
      </c>
      <c r="K172">
        <v>7.1659582498466001</v>
      </c>
      <c r="L172">
        <v>3.1277191996422361E-5</v>
      </c>
      <c r="M172">
        <v>1.7998329467468895E-6</v>
      </c>
      <c r="N172" s="1">
        <v>-3.2489646701242899E-7</v>
      </c>
      <c r="O172" s="1">
        <v>6.2225920130687698E-11</v>
      </c>
      <c r="P172" s="1">
        <v>1.0974771706075799E-9</v>
      </c>
      <c r="Q172">
        <v>64.565801347629105</v>
      </c>
      <c r="S172">
        <v>21.8390554491756</v>
      </c>
      <c r="AA172">
        <v>2.95189728619011</v>
      </c>
      <c r="AB172">
        <v>8.8002724108496597</v>
      </c>
      <c r="AC172">
        <v>1.84297350615541</v>
      </c>
      <c r="AJ172">
        <v>0.75577534499990295</v>
      </c>
      <c r="AK172">
        <v>0.14009048422254899</v>
      </c>
      <c r="AL172">
        <v>0.104134170777546</v>
      </c>
    </row>
    <row r="173" spans="1:38" x14ac:dyDescent="0.2">
      <c r="A173">
        <v>183</v>
      </c>
      <c r="B173">
        <v>748</v>
      </c>
      <c r="C173">
        <v>190</v>
      </c>
      <c r="D173">
        <v>0.38744601674582602</v>
      </c>
      <c r="E173">
        <v>32.942057270360301</v>
      </c>
      <c r="F173">
        <v>2.52211114362182</v>
      </c>
      <c r="G173">
        <v>-520.17113340574099</v>
      </c>
      <c r="H173">
        <v>-450.85518430020272</v>
      </c>
      <c r="I173">
        <v>67.880281159024904</v>
      </c>
      <c r="J173">
        <v>39.172363841695301</v>
      </c>
      <c r="K173">
        <v>13.0613027715561</v>
      </c>
      <c r="L173">
        <v>2.8470555896131837E-5</v>
      </c>
      <c r="M173">
        <v>1.7961328748971869E-6</v>
      </c>
      <c r="N173" s="1">
        <v>-2.5097495628320097E-7</v>
      </c>
      <c r="O173" s="1">
        <v>1.24463229499663E-10</v>
      </c>
      <c r="P173" s="1">
        <v>9.88804966365291E-10</v>
      </c>
      <c r="Q173">
        <v>65.937536723288403</v>
      </c>
      <c r="S173">
        <v>19.011415886962801</v>
      </c>
      <c r="AA173">
        <v>0.29898999756509698</v>
      </c>
      <c r="AB173">
        <v>4.4440864154310997</v>
      </c>
      <c r="AC173">
        <v>10.3079709767525</v>
      </c>
      <c r="AJ173">
        <v>0.390133350398848</v>
      </c>
      <c r="AK173">
        <v>1.4504342021511799E-2</v>
      </c>
      <c r="AL173">
        <v>0.59536230757963904</v>
      </c>
    </row>
    <row r="174" spans="1:38" x14ac:dyDescent="0.2">
      <c r="A174">
        <v>184</v>
      </c>
      <c r="B174">
        <v>746</v>
      </c>
      <c r="C174">
        <v>190</v>
      </c>
      <c r="D174">
        <v>0.38610655938772698</v>
      </c>
      <c r="E174">
        <v>19.040989799953099</v>
      </c>
      <c r="F174">
        <v>2.5769850095833098</v>
      </c>
      <c r="G174">
        <v>-308.54094867014538</v>
      </c>
      <c r="H174">
        <v>-267.97044821827973</v>
      </c>
      <c r="I174">
        <v>39.808173921273202</v>
      </c>
      <c r="J174">
        <v>23.298621139282599</v>
      </c>
      <c r="K174">
        <v>7.3888632371330596</v>
      </c>
      <c r="L174">
        <v>3.1374089551068995E-5</v>
      </c>
      <c r="M174">
        <v>1.8000455459926854E-6</v>
      </c>
      <c r="N174" s="1">
        <v>-3.5726572386504099E-7</v>
      </c>
      <c r="O174" s="1">
        <v>6.3959343674223201E-11</v>
      </c>
      <c r="P174" s="1">
        <v>1.1953742327613901E-9</v>
      </c>
      <c r="Q174">
        <v>64.552759816489896</v>
      </c>
      <c r="S174">
        <v>21.852801116895002</v>
      </c>
      <c r="AA174">
        <v>2.9662806658051699</v>
      </c>
      <c r="AB174">
        <v>8.8072461129499207</v>
      </c>
      <c r="AC174">
        <v>1.82091228785994</v>
      </c>
      <c r="AJ174">
        <v>0.756347797000262</v>
      </c>
      <c r="AK174">
        <v>0.14076816360491401</v>
      </c>
      <c r="AL174">
        <v>0.102884039394822</v>
      </c>
    </row>
    <row r="175" spans="1:38" x14ac:dyDescent="0.2">
      <c r="A175">
        <v>184</v>
      </c>
      <c r="B175">
        <v>746</v>
      </c>
      <c r="C175">
        <v>190</v>
      </c>
      <c r="D175">
        <v>0.38610655938772698</v>
      </c>
      <c r="E175">
        <v>34.275546279290097</v>
      </c>
      <c r="F175">
        <v>2.5221431104224701</v>
      </c>
      <c r="G175">
        <v>-541.01088981989119</v>
      </c>
      <c r="H175">
        <v>-469.12401525815113</v>
      </c>
      <c r="I175">
        <v>70.536108091782296</v>
      </c>
      <c r="J175">
        <v>40.765286970350601</v>
      </c>
      <c r="K175">
        <v>13.589849892993801</v>
      </c>
      <c r="L175">
        <v>2.8490261295864347E-5</v>
      </c>
      <c r="M175">
        <v>1.7961619863704395E-6</v>
      </c>
      <c r="N175" s="1">
        <v>-2.7856623391865798E-7</v>
      </c>
      <c r="O175" s="1">
        <v>1.2939322414240199E-10</v>
      </c>
      <c r="P175" s="1">
        <v>1.0787166734670401E-9</v>
      </c>
      <c r="Q175">
        <v>65.933289327193094</v>
      </c>
      <c r="S175">
        <v>19.004001527623998</v>
      </c>
      <c r="AA175">
        <v>0.29386414700680302</v>
      </c>
      <c r="AB175">
        <v>4.4151836140298997</v>
      </c>
      <c r="AC175">
        <v>10.3536613841461</v>
      </c>
      <c r="AJ175">
        <v>0.38765303947242802</v>
      </c>
      <c r="AK175">
        <v>1.4257776993460401E-2</v>
      </c>
      <c r="AL175">
        <v>0.598089183534111</v>
      </c>
    </row>
    <row r="176" spans="1:38" x14ac:dyDescent="0.2">
      <c r="A176">
        <v>185</v>
      </c>
      <c r="B176">
        <v>744</v>
      </c>
      <c r="C176">
        <v>190</v>
      </c>
      <c r="D176">
        <v>0.38476183453767998</v>
      </c>
      <c r="E176">
        <v>19.433760269610602</v>
      </c>
      <c r="F176">
        <v>2.5772949262296101</v>
      </c>
      <c r="G176">
        <v>-314.84275219249133</v>
      </c>
      <c r="H176">
        <v>-273.56426136426467</v>
      </c>
      <c r="I176">
        <v>40.582500937154499</v>
      </c>
      <c r="J176">
        <v>23.8022282810905</v>
      </c>
      <c r="K176">
        <v>7.54037113557695</v>
      </c>
      <c r="L176">
        <v>3.1480866858036792E-5</v>
      </c>
      <c r="M176">
        <v>1.8004369103930949E-6</v>
      </c>
      <c r="N176" s="1">
        <v>-3.8898236180525497E-7</v>
      </c>
      <c r="O176" s="1">
        <v>6.5058835398687806E-11</v>
      </c>
      <c r="P176" s="1">
        <v>1.2896189672298401E-9</v>
      </c>
      <c r="Q176">
        <v>64.546960979347901</v>
      </c>
      <c r="S176">
        <v>21.8610212265957</v>
      </c>
      <c r="AA176">
        <v>2.9744154198473201</v>
      </c>
      <c r="AB176">
        <v>8.8158738015678999</v>
      </c>
      <c r="AC176">
        <v>1.8017285726410499</v>
      </c>
      <c r="AJ176">
        <v>0.75705612183466697</v>
      </c>
      <c r="AK176">
        <v>0.141148128844131</v>
      </c>
      <c r="AL176">
        <v>0.1017957493212</v>
      </c>
    </row>
    <row r="177" spans="1:38" x14ac:dyDescent="0.2">
      <c r="A177">
        <v>185</v>
      </c>
      <c r="B177">
        <v>744</v>
      </c>
      <c r="C177">
        <v>190</v>
      </c>
      <c r="D177">
        <v>0.38476183453767998</v>
      </c>
      <c r="E177">
        <v>35.089879691016399</v>
      </c>
      <c r="F177">
        <v>2.52218094463539</v>
      </c>
      <c r="G177">
        <v>-553.65144024222161</v>
      </c>
      <c r="H177">
        <v>-480.29555895449903</v>
      </c>
      <c r="I177">
        <v>72.119039755908702</v>
      </c>
      <c r="J177">
        <v>41.743261047609401</v>
      </c>
      <c r="K177">
        <v>13.9125147883032</v>
      </c>
      <c r="L177">
        <v>2.8515202183161351E-5</v>
      </c>
      <c r="M177">
        <v>1.7962387844711753E-6</v>
      </c>
      <c r="N177" s="1">
        <v>-3.04483449925587E-7</v>
      </c>
      <c r="O177" s="1">
        <v>1.3234207456816599E-10</v>
      </c>
      <c r="P177" s="1">
        <v>1.15950229496078E-9</v>
      </c>
      <c r="Q177">
        <v>65.930219844299103</v>
      </c>
      <c r="S177">
        <v>18.996950616281399</v>
      </c>
      <c r="AA177">
        <v>0.28876329482445601</v>
      </c>
      <c r="AB177">
        <v>4.3898585552143201</v>
      </c>
      <c r="AC177">
        <v>10.394207689380501</v>
      </c>
      <c r="AJ177">
        <v>0.38547916026469098</v>
      </c>
      <c r="AK177">
        <v>1.4012097672421101E-2</v>
      </c>
      <c r="AL177">
        <v>0.60050874206288696</v>
      </c>
    </row>
    <row r="178" spans="1:38" x14ac:dyDescent="0.2">
      <c r="A178">
        <v>186</v>
      </c>
      <c r="B178">
        <v>742</v>
      </c>
      <c r="C178">
        <v>190</v>
      </c>
      <c r="D178">
        <v>0.38341181106240502</v>
      </c>
      <c r="E178">
        <v>19.7331777643804</v>
      </c>
      <c r="F178">
        <v>2.5775692222108599</v>
      </c>
      <c r="G178">
        <v>-319.62831979676173</v>
      </c>
      <c r="H178">
        <v>-277.84443516379133</v>
      </c>
      <c r="I178">
        <v>41.160305997114001</v>
      </c>
      <c r="J178">
        <v>24.194159244807398</v>
      </c>
      <c r="K178">
        <v>7.6557314520750799</v>
      </c>
      <c r="L178">
        <v>3.1596255288248623E-5</v>
      </c>
      <c r="M178">
        <v>1.8009290214478315E-6</v>
      </c>
      <c r="N178" s="1">
        <v>-4.2148541170973301E-7</v>
      </c>
      <c r="O178" s="1">
        <v>6.5828763654730306E-11</v>
      </c>
      <c r="P178" s="1">
        <v>1.38513374553311E-9</v>
      </c>
      <c r="Q178">
        <v>64.544816500813297</v>
      </c>
      <c r="S178">
        <v>21.866446351135</v>
      </c>
      <c r="AA178">
        <v>2.9793915878902699</v>
      </c>
      <c r="AB178">
        <v>8.8253176154298991</v>
      </c>
      <c r="AC178">
        <v>1.78402794473143</v>
      </c>
      <c r="AJ178">
        <v>0.75783144375010203</v>
      </c>
      <c r="AK178">
        <v>0.141377616083288</v>
      </c>
      <c r="AL178">
        <v>0.100790940166608</v>
      </c>
    </row>
    <row r="179" spans="1:38" x14ac:dyDescent="0.2">
      <c r="A179">
        <v>186</v>
      </c>
      <c r="B179">
        <v>742</v>
      </c>
      <c r="C179">
        <v>190</v>
      </c>
      <c r="D179">
        <v>0.38341181106240502</v>
      </c>
      <c r="E179">
        <v>35.641857067469303</v>
      </c>
      <c r="F179">
        <v>2.5222226405682302</v>
      </c>
      <c r="G179">
        <v>-562.14883221452521</v>
      </c>
      <c r="H179">
        <v>-487.88079002823207</v>
      </c>
      <c r="I179">
        <v>73.159673138248607</v>
      </c>
      <c r="J179">
        <v>42.411200662086998</v>
      </c>
      <c r="K179">
        <v>14.131130414180801</v>
      </c>
      <c r="L179">
        <v>2.8544158330661875E-5</v>
      </c>
      <c r="M179">
        <v>1.7963428332576656E-6</v>
      </c>
      <c r="N179" s="1">
        <v>-3.3030815851134001E-7</v>
      </c>
      <c r="O179" s="1">
        <v>1.34283699087078E-10</v>
      </c>
      <c r="P179" s="1">
        <v>1.23776895928918E-9</v>
      </c>
      <c r="Q179">
        <v>65.927694426926493</v>
      </c>
      <c r="S179">
        <v>18.990116246245702</v>
      </c>
      <c r="AA179">
        <v>0.28371414118580601</v>
      </c>
      <c r="AB179">
        <v>4.36631360842952</v>
      </c>
      <c r="AC179">
        <v>10.4321615772123</v>
      </c>
      <c r="AJ179">
        <v>0.38345758421653697</v>
      </c>
      <c r="AK179">
        <v>1.3768739383576501E-2</v>
      </c>
      <c r="AL179">
        <v>0.60277367639988599</v>
      </c>
    </row>
    <row r="180" spans="1:38" x14ac:dyDescent="0.2">
      <c r="A180">
        <v>187</v>
      </c>
      <c r="B180">
        <v>740</v>
      </c>
      <c r="C180">
        <v>190</v>
      </c>
      <c r="D180">
        <v>0.382056457582788</v>
      </c>
      <c r="E180">
        <v>19.977561416714799</v>
      </c>
      <c r="F180">
        <v>2.57782168204217</v>
      </c>
      <c r="G180">
        <v>-323.51968213997833</v>
      </c>
      <c r="H180">
        <v>-281.35034766240432</v>
      </c>
      <c r="I180">
        <v>41.622005110372598</v>
      </c>
      <c r="J180">
        <v>24.521257801685799</v>
      </c>
      <c r="K180">
        <v>7.7497840738496802</v>
      </c>
      <c r="L180">
        <v>3.1720075141660087E-5</v>
      </c>
      <c r="M180">
        <v>1.8014924980670413E-6</v>
      </c>
      <c r="N180" s="1">
        <v>-4.5546817560325097E-7</v>
      </c>
      <c r="O180" s="1">
        <v>6.6396678985850003E-11</v>
      </c>
      <c r="P180" s="1">
        <v>1.4842258660028701E-9</v>
      </c>
      <c r="Q180">
        <v>64.544934279116504</v>
      </c>
      <c r="S180">
        <v>21.870136049955999</v>
      </c>
      <c r="AA180">
        <v>2.9824081452401501</v>
      </c>
      <c r="AB180">
        <v>8.8352531032165906</v>
      </c>
      <c r="AC180">
        <v>1.7672684224705799</v>
      </c>
      <c r="AJ180">
        <v>0.75864708869557895</v>
      </c>
      <c r="AK180">
        <v>0.14151375907508201</v>
      </c>
      <c r="AL180">
        <v>9.9839152229338299E-2</v>
      </c>
    </row>
    <row r="181" spans="1:38" x14ac:dyDescent="0.2">
      <c r="A181">
        <v>187</v>
      </c>
      <c r="B181">
        <v>740</v>
      </c>
      <c r="C181">
        <v>190</v>
      </c>
      <c r="D181">
        <v>0.382056457582788</v>
      </c>
      <c r="E181">
        <v>36.0374825059721</v>
      </c>
      <c r="F181">
        <v>2.5222674053301799</v>
      </c>
      <c r="G181">
        <v>-568.17754966193934</v>
      </c>
      <c r="H181">
        <v>-493.32894048088349</v>
      </c>
      <c r="I181">
        <v>73.877124987470594</v>
      </c>
      <c r="J181">
        <v>42.895016275182201</v>
      </c>
      <c r="K181">
        <v>14.2877327082037</v>
      </c>
      <c r="L181">
        <v>2.8576774104630991E-5</v>
      </c>
      <c r="M181">
        <v>1.7964665498499933E-6</v>
      </c>
      <c r="N181" s="1">
        <v>-3.56730523723997E-7</v>
      </c>
      <c r="O181" s="1">
        <v>1.3561985637234399E-10</v>
      </c>
      <c r="P181" s="1">
        <v>1.31633937724795E-9</v>
      </c>
      <c r="Q181">
        <v>65.925468215330795</v>
      </c>
      <c r="S181">
        <v>18.983440326557599</v>
      </c>
      <c r="AA181">
        <v>0.27872589512879697</v>
      </c>
      <c r="AB181">
        <v>4.3438508238621001</v>
      </c>
      <c r="AC181">
        <v>10.468514739120501</v>
      </c>
      <c r="AJ181">
        <v>0.38152847279514801</v>
      </c>
      <c r="AK181">
        <v>1.3528204540948699E-2</v>
      </c>
      <c r="AL181">
        <v>0.60494332266390205</v>
      </c>
    </row>
    <row r="182" spans="1:38" x14ac:dyDescent="0.2">
      <c r="A182">
        <v>189</v>
      </c>
      <c r="B182">
        <v>762</v>
      </c>
      <c r="C182">
        <v>180</v>
      </c>
      <c r="D182">
        <v>0.40730377240013699</v>
      </c>
      <c r="E182">
        <v>0.32021758398050598</v>
      </c>
      <c r="F182">
        <v>2.57906339068091</v>
      </c>
      <c r="G182">
        <v>-5.2070363070102283</v>
      </c>
      <c r="H182">
        <v>-4.5079052882988435</v>
      </c>
      <c r="I182">
        <v>0.67539102421038999</v>
      </c>
      <c r="J182">
        <v>0.38997505655157999</v>
      </c>
      <c r="K182">
        <v>0.124160416195107</v>
      </c>
      <c r="L182">
        <v>3.0740297815446377E-5</v>
      </c>
      <c r="M182">
        <v>1.7935775518447081E-6</v>
      </c>
      <c r="N182" s="1">
        <v>-3.6657430751617299E-9</v>
      </c>
      <c r="O182" s="1">
        <v>1.0876641962322299E-12</v>
      </c>
      <c r="P182" s="1">
        <v>1.33768797327732E-11</v>
      </c>
      <c r="Q182">
        <v>64.317700967683606</v>
      </c>
      <c r="S182">
        <v>22.096953531743701</v>
      </c>
      <c r="AA182">
        <v>3.2225566768847802</v>
      </c>
      <c r="AB182">
        <v>8.9235073692423992</v>
      </c>
      <c r="AC182">
        <v>1.43928145444541</v>
      </c>
      <c r="AJ182">
        <v>0.76588519696601098</v>
      </c>
      <c r="AK182">
        <v>0.15284084973353301</v>
      </c>
      <c r="AL182">
        <v>8.1273953300455004E-2</v>
      </c>
    </row>
    <row r="183" spans="1:38" x14ac:dyDescent="0.2">
      <c r="A183">
        <v>190</v>
      </c>
      <c r="B183">
        <v>760</v>
      </c>
      <c r="C183">
        <v>180</v>
      </c>
      <c r="D183">
        <v>0.40602090693510101</v>
      </c>
      <c r="E183">
        <v>2.1167992284513799</v>
      </c>
      <c r="F183">
        <v>2.5768925068728898</v>
      </c>
      <c r="G183">
        <v>-34.394881791254612</v>
      </c>
      <c r="H183">
        <v>-29.785881894137869</v>
      </c>
      <c r="I183">
        <v>4.4611139690429704</v>
      </c>
      <c r="J183">
        <v>2.5791910057347698</v>
      </c>
      <c r="K183">
        <v>0.82145422162764503</v>
      </c>
      <c r="L183">
        <v>3.0867625488099758E-5</v>
      </c>
      <c r="M183">
        <v>1.7980547134012284E-6</v>
      </c>
      <c r="N183" s="1">
        <v>-2.57968182898151E-8</v>
      </c>
      <c r="O183" s="1">
        <v>7.20967769521658E-12</v>
      </c>
      <c r="P183" s="1">
        <v>9.2924996107113003E-11</v>
      </c>
      <c r="Q183">
        <v>64.517746831119098</v>
      </c>
      <c r="S183">
        <v>21.927778174677002</v>
      </c>
      <c r="AA183">
        <v>3.0363073076571201</v>
      </c>
      <c r="AB183">
        <v>8.9257836570306601</v>
      </c>
      <c r="AC183">
        <v>1.5923840295159299</v>
      </c>
      <c r="AJ183">
        <v>0.76607496432966204</v>
      </c>
      <c r="AK183">
        <v>0.14400627894762699</v>
      </c>
      <c r="AL183">
        <v>8.9918756722710103E-2</v>
      </c>
    </row>
    <row r="184" spans="1:38" x14ac:dyDescent="0.2">
      <c r="A184">
        <v>191</v>
      </c>
      <c r="B184">
        <v>758</v>
      </c>
      <c r="C184">
        <v>180</v>
      </c>
      <c r="D184">
        <v>0.40473306502448703</v>
      </c>
      <c r="E184">
        <v>4.0574405551413903</v>
      </c>
      <c r="F184">
        <v>2.5744547847997898</v>
      </c>
      <c r="G184">
        <v>-65.869007478010815</v>
      </c>
      <c r="H184">
        <v>-57.05902760391362</v>
      </c>
      <c r="I184">
        <v>8.5438392805093208</v>
      </c>
      <c r="J184">
        <v>4.9457128728609296</v>
      </c>
      <c r="K184">
        <v>1.5760387710429</v>
      </c>
      <c r="L184">
        <v>3.0982438640028517E-5</v>
      </c>
      <c r="M184">
        <v>1.8023774296995665E-6</v>
      </c>
      <c r="N184" s="1">
        <v>-5.2477152699638001E-8</v>
      </c>
      <c r="O184" s="1">
        <v>1.38621268409766E-11</v>
      </c>
      <c r="P184" s="1">
        <v>1.8680346608685801E-10</v>
      </c>
      <c r="Q184">
        <v>64.719550482627596</v>
      </c>
      <c r="S184">
        <v>21.7482215048827</v>
      </c>
      <c r="AA184">
        <v>2.8410830933167199</v>
      </c>
      <c r="AB184">
        <v>8.9047611203122692</v>
      </c>
      <c r="AC184">
        <v>1.7863837988605999</v>
      </c>
      <c r="AJ184">
        <v>0.76435369651325102</v>
      </c>
      <c r="AK184">
        <v>0.134761806074017</v>
      </c>
      <c r="AL184">
        <v>0.10088449741273101</v>
      </c>
    </row>
    <row r="185" spans="1:38" x14ac:dyDescent="0.2">
      <c r="A185">
        <v>192</v>
      </c>
      <c r="B185">
        <v>756</v>
      </c>
      <c r="C185">
        <v>180</v>
      </c>
      <c r="D185">
        <v>0.40344021765534699</v>
      </c>
      <c r="E185">
        <v>6.1343361485095</v>
      </c>
      <c r="F185">
        <v>2.5716637030240701</v>
      </c>
      <c r="G185">
        <v>-99.480257956827586</v>
      </c>
      <c r="H185">
        <v>-86.198442122649098</v>
      </c>
      <c r="I185">
        <v>12.905617095834801</v>
      </c>
      <c r="J185">
        <v>7.4791316711875204</v>
      </c>
      <c r="K185">
        <v>2.3853570516611402</v>
      </c>
      <c r="L185">
        <v>3.1076453061917469E-5</v>
      </c>
      <c r="M185">
        <v>1.8064233881350002E-6</v>
      </c>
      <c r="N185" s="1">
        <v>-8.3837219308208501E-8</v>
      </c>
      <c r="O185" s="1">
        <v>2.10334017518632E-11</v>
      </c>
      <c r="P185" s="1">
        <v>2.9526944175579202E-10</v>
      </c>
      <c r="Q185">
        <v>64.921384188600101</v>
      </c>
      <c r="S185">
        <v>21.555914420479699</v>
      </c>
      <c r="AA185">
        <v>2.6353326435720299</v>
      </c>
      <c r="AB185">
        <v>8.8503786887920004</v>
      </c>
      <c r="AC185">
        <v>2.0369900585560199</v>
      </c>
      <c r="AJ185">
        <v>0.75989439303750494</v>
      </c>
      <c r="AK185">
        <v>0.12503673316622799</v>
      </c>
      <c r="AL185">
        <v>0.115068873796265</v>
      </c>
    </row>
    <row r="186" spans="1:38" x14ac:dyDescent="0.2">
      <c r="A186">
        <v>193</v>
      </c>
      <c r="B186">
        <v>754</v>
      </c>
      <c r="C186">
        <v>180</v>
      </c>
      <c r="D186">
        <v>0.402142335588766</v>
      </c>
      <c r="E186">
        <v>15.261169166445701</v>
      </c>
      <c r="F186">
        <v>2.5743691889893299</v>
      </c>
      <c r="G186">
        <v>-247.51565433139933</v>
      </c>
      <c r="H186">
        <v>-214.58704279011693</v>
      </c>
      <c r="I186">
        <v>32.058230581007997</v>
      </c>
      <c r="J186">
        <v>18.612643662264301</v>
      </c>
      <c r="K186">
        <v>5.9281198795100201</v>
      </c>
      <c r="L186">
        <v>3.1030629778557713E-5</v>
      </c>
      <c r="M186">
        <v>1.8012076037421321E-6</v>
      </c>
      <c r="N186" s="1">
        <v>-2.2019654211328801E-7</v>
      </c>
      <c r="O186" s="1">
        <v>5.1967753257191401E-11</v>
      </c>
      <c r="P186" s="1">
        <v>7.6813567072216398E-10</v>
      </c>
      <c r="Q186">
        <v>64.667147429349399</v>
      </c>
      <c r="S186">
        <v>21.749891040634498</v>
      </c>
      <c r="AA186">
        <v>2.8546880134934201</v>
      </c>
      <c r="AB186">
        <v>8.7923606308490303</v>
      </c>
      <c r="AC186">
        <v>1.9359128856735599</v>
      </c>
      <c r="AJ186">
        <v>0.75512715220408599</v>
      </c>
      <c r="AK186">
        <v>0.13548276001359999</v>
      </c>
      <c r="AL186">
        <v>0.109390087782312</v>
      </c>
    </row>
    <row r="187" spans="1:38" x14ac:dyDescent="0.2">
      <c r="A187">
        <v>193</v>
      </c>
      <c r="B187">
        <v>754</v>
      </c>
      <c r="C187">
        <v>180</v>
      </c>
      <c r="D187">
        <v>0.402142335588766</v>
      </c>
      <c r="E187">
        <v>24.7683522499694</v>
      </c>
      <c r="F187">
        <v>2.5216579566464401</v>
      </c>
      <c r="G187">
        <v>-391.75716828847072</v>
      </c>
      <c r="H187">
        <v>-339.11294507309611</v>
      </c>
      <c r="I187">
        <v>51.252712082339002</v>
      </c>
      <c r="J187">
        <v>29.448245915244001</v>
      </c>
      <c r="K187">
        <v>9.8222489631023695</v>
      </c>
      <c r="L187">
        <v>2.8449165651473832E-5</v>
      </c>
      <c r="M187">
        <v>1.7972468942827883E-6</v>
      </c>
      <c r="N187" s="1">
        <v>-1.5589405982807001E-7</v>
      </c>
      <c r="O187" s="1">
        <v>9.3746290113078798E-11</v>
      </c>
      <c r="P187" s="1">
        <v>6.4933119976538205E-10</v>
      </c>
      <c r="Q187">
        <v>65.965274794111195</v>
      </c>
      <c r="S187">
        <v>19.039516297398801</v>
      </c>
      <c r="AA187">
        <v>0.31570082427721502</v>
      </c>
      <c r="AB187">
        <v>4.5795680982644704</v>
      </c>
      <c r="AC187">
        <v>10.099939985948099</v>
      </c>
      <c r="AJ187">
        <v>0.401750142170688</v>
      </c>
      <c r="AK187">
        <v>1.53044604674306E-2</v>
      </c>
      <c r="AL187">
        <v>0.582945397361881</v>
      </c>
    </row>
    <row r="188" spans="1:38" x14ac:dyDescent="0.2">
      <c r="A188">
        <v>194</v>
      </c>
      <c r="B188">
        <v>752</v>
      </c>
      <c r="C188">
        <v>180</v>
      </c>
      <c r="D188">
        <v>0.40083938935765601</v>
      </c>
      <c r="E188">
        <v>17.4601209648619</v>
      </c>
      <c r="F188">
        <v>2.5753722933924501</v>
      </c>
      <c r="G188">
        <v>-283.15193737865462</v>
      </c>
      <c r="H188">
        <v>-245.59874360038987</v>
      </c>
      <c r="I188">
        <v>36.631901456630402</v>
      </c>
      <c r="J188">
        <v>21.308130517075501</v>
      </c>
      <c r="K188">
        <v>6.77964929950467</v>
      </c>
      <c r="L188">
        <v>3.1081093013650943E-5</v>
      </c>
      <c r="M188">
        <v>1.8000054812000546E-6</v>
      </c>
      <c r="N188" s="1">
        <v>-2.6794412472764797E-7</v>
      </c>
      <c r="O188" s="1">
        <v>5.9222997286448699E-11</v>
      </c>
      <c r="P188" s="1">
        <v>9.2491905828252903E-10</v>
      </c>
      <c r="Q188">
        <v>64.592006267891605</v>
      </c>
      <c r="S188">
        <v>21.811234266367101</v>
      </c>
      <c r="AA188">
        <v>2.92282996560792</v>
      </c>
      <c r="AB188">
        <v>8.7857318228699892</v>
      </c>
      <c r="AC188">
        <v>1.88819767726326</v>
      </c>
      <c r="AJ188">
        <v>0.75458160440782396</v>
      </c>
      <c r="AK188">
        <v>0.13872112826275201</v>
      </c>
      <c r="AL188">
        <v>0.106697267329423</v>
      </c>
    </row>
    <row r="189" spans="1:38" x14ac:dyDescent="0.2">
      <c r="A189">
        <v>194</v>
      </c>
      <c r="B189">
        <v>752</v>
      </c>
      <c r="C189">
        <v>180</v>
      </c>
      <c r="D189">
        <v>0.40083938935765601</v>
      </c>
      <c r="E189">
        <v>30.702546523522098</v>
      </c>
      <c r="F189">
        <v>2.5216419886065302</v>
      </c>
      <c r="G189">
        <v>-485.35556028040253</v>
      </c>
      <c r="H189">
        <v>-420.32085432793224</v>
      </c>
      <c r="I189">
        <v>63.439209825362397</v>
      </c>
      <c r="J189">
        <v>36.500546936804398</v>
      </c>
      <c r="K189">
        <v>12.175616785509</v>
      </c>
      <c r="L189">
        <v>2.8437985508379485E-5</v>
      </c>
      <c r="M189">
        <v>1.7968876512024649E-6</v>
      </c>
      <c r="N189" s="1">
        <v>-2.04266753624484E-7</v>
      </c>
      <c r="O189" s="1">
        <v>1.16169482643282E-10</v>
      </c>
      <c r="P189" s="1">
        <v>8.3647183227719596E-10</v>
      </c>
      <c r="Q189">
        <v>65.9500823810084</v>
      </c>
      <c r="S189">
        <v>19.0291525252151</v>
      </c>
      <c r="AA189">
        <v>0.31069554801307098</v>
      </c>
      <c r="AB189">
        <v>4.5185426440877903</v>
      </c>
      <c r="AC189">
        <v>10.191526901675401</v>
      </c>
      <c r="AJ189">
        <v>0.39651951117101297</v>
      </c>
      <c r="AK189">
        <v>1.50664868671467E-2</v>
      </c>
      <c r="AL189">
        <v>0.58841400196183902</v>
      </c>
    </row>
    <row r="190" spans="1:38" x14ac:dyDescent="0.2">
      <c r="A190">
        <v>195</v>
      </c>
      <c r="B190">
        <v>750</v>
      </c>
      <c r="C190">
        <v>180</v>
      </c>
      <c r="D190">
        <v>0.39953134926452799</v>
      </c>
      <c r="E190">
        <v>18.3801211803119</v>
      </c>
      <c r="F190">
        <v>2.5759109940716698</v>
      </c>
      <c r="G190">
        <v>-298.02217607606354</v>
      </c>
      <c r="H190">
        <v>-258.61370174221383</v>
      </c>
      <c r="I190">
        <v>38.5168101782238</v>
      </c>
      <c r="J190">
        <v>22.447641129055</v>
      </c>
      <c r="K190">
        <v>7.1353867515658704</v>
      </c>
      <c r="L190">
        <v>3.1158265407555073E-5</v>
      </c>
      <c r="M190">
        <v>1.7998335339648054E-6</v>
      </c>
      <c r="N190" s="1">
        <v>-3.0048749749316999E-7</v>
      </c>
      <c r="O190" s="1">
        <v>6.2143564412402895E-11</v>
      </c>
      <c r="P190" s="1">
        <v>1.02657590144672E-9</v>
      </c>
      <c r="Q190">
        <v>64.563121199718296</v>
      </c>
      <c r="S190">
        <v>21.837128336094601</v>
      </c>
      <c r="AA190">
        <v>2.9509327740412301</v>
      </c>
      <c r="AB190">
        <v>8.7892476674504199</v>
      </c>
      <c r="AC190">
        <v>1.8595700226953999</v>
      </c>
      <c r="AJ190">
        <v>0.75486991944324899</v>
      </c>
      <c r="AK190">
        <v>0.14005238966418801</v>
      </c>
      <c r="AL190">
        <v>0.105077690892562</v>
      </c>
    </row>
    <row r="191" spans="1:38" x14ac:dyDescent="0.2">
      <c r="A191">
        <v>195</v>
      </c>
      <c r="B191">
        <v>750</v>
      </c>
      <c r="C191">
        <v>180</v>
      </c>
      <c r="D191">
        <v>0.39953134926452799</v>
      </c>
      <c r="E191">
        <v>33.046848234944797</v>
      </c>
      <c r="F191">
        <v>2.52165871234729</v>
      </c>
      <c r="G191">
        <v>-522.18730777554447</v>
      </c>
      <c r="H191">
        <v>-452.41686394319504</v>
      </c>
      <c r="I191">
        <v>68.191803579484301</v>
      </c>
      <c r="J191">
        <v>39.290644938569997</v>
      </c>
      <c r="K191">
        <v>13.1052025689008</v>
      </c>
      <c r="L191">
        <v>2.8447005960371161E-5</v>
      </c>
      <c r="M191">
        <v>1.7968123291165348E-6</v>
      </c>
      <c r="N191" s="1">
        <v>-2.3408140877881399E-7</v>
      </c>
      <c r="O191" s="1">
        <v>1.2496236631857601E-10</v>
      </c>
      <c r="P191" s="1">
        <v>9.4112847950985608E-10</v>
      </c>
      <c r="Q191">
        <v>65.943212935425905</v>
      </c>
      <c r="S191">
        <v>19.020879711247499</v>
      </c>
      <c r="AA191">
        <v>0.30547328299830301</v>
      </c>
      <c r="AB191">
        <v>4.4815461955767102</v>
      </c>
      <c r="AC191">
        <v>10.2488878747514</v>
      </c>
      <c r="AJ191">
        <v>0.39334690014653001</v>
      </c>
      <c r="AK191">
        <v>1.4816030972979099E-2</v>
      </c>
      <c r="AL191">
        <v>0.59183706888049004</v>
      </c>
    </row>
    <row r="192" spans="1:38" x14ac:dyDescent="0.2">
      <c r="A192">
        <v>196</v>
      </c>
      <c r="B192">
        <v>748</v>
      </c>
      <c r="C192">
        <v>180</v>
      </c>
      <c r="D192">
        <v>0.39821818537923098</v>
      </c>
      <c r="E192">
        <v>18.929089254244101</v>
      </c>
      <c r="F192">
        <v>2.5763161116607698</v>
      </c>
      <c r="G192">
        <v>-306.86647377935066</v>
      </c>
      <c r="H192">
        <v>-266.40720325770803</v>
      </c>
      <c r="I192">
        <v>39.621280440329599</v>
      </c>
      <c r="J192">
        <v>23.137042195343</v>
      </c>
      <c r="K192">
        <v>7.3473473105914202</v>
      </c>
      <c r="L192">
        <v>3.1247239561110377E-5</v>
      </c>
      <c r="M192">
        <v>1.799972458381521E-6</v>
      </c>
      <c r="N192" s="1">
        <v>-3.2988113243123503E-7</v>
      </c>
      <c r="O192" s="1">
        <v>6.37992929239318E-11</v>
      </c>
      <c r="P192" s="1">
        <v>1.1157894672606701E-9</v>
      </c>
      <c r="Q192">
        <v>64.5476359926719</v>
      </c>
      <c r="S192">
        <v>21.852762821311</v>
      </c>
      <c r="AA192">
        <v>2.9674446457969998</v>
      </c>
      <c r="AB192">
        <v>8.7957275494477596</v>
      </c>
      <c r="AC192">
        <v>1.83642899077227</v>
      </c>
      <c r="AJ192">
        <v>0.75540184396547205</v>
      </c>
      <c r="AK192">
        <v>0.14083146235941699</v>
      </c>
      <c r="AL192">
        <v>0.10376669367511</v>
      </c>
    </row>
    <row r="193" spans="1:38" x14ac:dyDescent="0.2">
      <c r="A193">
        <v>196</v>
      </c>
      <c r="B193">
        <v>748</v>
      </c>
      <c r="C193">
        <v>180</v>
      </c>
      <c r="D193">
        <v>0.39821818537923098</v>
      </c>
      <c r="E193">
        <v>34.361286542622501</v>
      </c>
      <c r="F193">
        <v>2.5216860123875602</v>
      </c>
      <c r="G193">
        <v>-542.73682210768834</v>
      </c>
      <c r="H193">
        <v>-470.42749015442507</v>
      </c>
      <c r="I193">
        <v>70.811665233573194</v>
      </c>
      <c r="J193">
        <v>40.859260751607202</v>
      </c>
      <c r="K193">
        <v>13.6263144474869</v>
      </c>
      <c r="L193">
        <v>2.8463332726720032E-5</v>
      </c>
      <c r="M193">
        <v>1.7968214856676034E-6</v>
      </c>
      <c r="N193" s="1">
        <v>-2.5961207508985002E-7</v>
      </c>
      <c r="O193" s="1">
        <v>1.29835383609807E-10</v>
      </c>
      <c r="P193" s="1">
        <v>1.0250553670386599E-9</v>
      </c>
      <c r="Q193">
        <v>65.938651657381399</v>
      </c>
      <c r="S193">
        <v>19.0132598944843</v>
      </c>
      <c r="AA193">
        <v>0.30025116802299001</v>
      </c>
      <c r="AB193">
        <v>4.4514052917321401</v>
      </c>
      <c r="AC193">
        <v>10.296431988379</v>
      </c>
      <c r="AJ193">
        <v>0.39076130870062598</v>
      </c>
      <c r="AK193">
        <v>1.45649807028024E-2</v>
      </c>
      <c r="AL193">
        <v>0.59467371059657104</v>
      </c>
    </row>
    <row r="194" spans="1:38" x14ac:dyDescent="0.2">
      <c r="A194">
        <v>197</v>
      </c>
      <c r="B194">
        <v>746</v>
      </c>
      <c r="C194">
        <v>180</v>
      </c>
      <c r="D194">
        <v>0.396899867536674</v>
      </c>
      <c r="E194">
        <v>19.308789960976</v>
      </c>
      <c r="F194">
        <v>2.5766463148649699</v>
      </c>
      <c r="G194">
        <v>-312.96057177391464</v>
      </c>
      <c r="H194">
        <v>-271.81795111671499</v>
      </c>
      <c r="I194">
        <v>40.369543891673999</v>
      </c>
      <c r="J194">
        <v>23.622150675256599</v>
      </c>
      <c r="K194">
        <v>7.4937681006436101</v>
      </c>
      <c r="L194">
        <v>3.1345721872869632E-5</v>
      </c>
      <c r="M194">
        <v>1.8002958354883841E-6</v>
      </c>
      <c r="N194" s="1">
        <v>-3.5886112866445302E-7</v>
      </c>
      <c r="O194" s="1">
        <v>6.4872360032229797E-11</v>
      </c>
      <c r="P194" s="1">
        <v>1.2021959254379901E-9</v>
      </c>
      <c r="Q194">
        <v>64.539730681284496</v>
      </c>
      <c r="S194">
        <v>21.862601266370799</v>
      </c>
      <c r="AA194">
        <v>2.97740606004868</v>
      </c>
      <c r="AB194">
        <v>8.8039037496961399</v>
      </c>
      <c r="AC194">
        <v>1.8163582425998199</v>
      </c>
      <c r="AJ194">
        <v>0.75607314401202896</v>
      </c>
      <c r="AK194">
        <v>0.14129844565357599</v>
      </c>
      <c r="AL194">
        <v>0.102628410334394</v>
      </c>
    </row>
    <row r="195" spans="1:38" x14ac:dyDescent="0.2">
      <c r="A195">
        <v>197</v>
      </c>
      <c r="B195">
        <v>746</v>
      </c>
      <c r="C195">
        <v>180</v>
      </c>
      <c r="D195">
        <v>0.396899867536674</v>
      </c>
      <c r="E195">
        <v>35.181812832859997</v>
      </c>
      <c r="F195">
        <v>2.5217198177950699</v>
      </c>
      <c r="G195">
        <v>-555.48068415369892</v>
      </c>
      <c r="H195">
        <v>-481.68478220832009</v>
      </c>
      <c r="I195">
        <v>72.409264529636204</v>
      </c>
      <c r="J195">
        <v>41.842934775432497</v>
      </c>
      <c r="K195">
        <v>13.9515153842991</v>
      </c>
      <c r="L195">
        <v>2.8484842537954752E-5</v>
      </c>
      <c r="M195">
        <v>1.7968802471627624E-6</v>
      </c>
      <c r="N195" s="1">
        <v>-2.8378487291724902E-7</v>
      </c>
      <c r="O195" s="1">
        <v>1.32822012407358E-10</v>
      </c>
      <c r="P195" s="1">
        <v>1.10098945351387E-9</v>
      </c>
      <c r="Q195">
        <v>65.935336649252207</v>
      </c>
      <c r="S195">
        <v>19.006031921770401</v>
      </c>
      <c r="AA195">
        <v>0.295061528353326</v>
      </c>
      <c r="AB195">
        <v>4.42506890368968</v>
      </c>
      <c r="AC195">
        <v>10.3385009969343</v>
      </c>
      <c r="AJ195">
        <v>0.38850143822206101</v>
      </c>
      <c r="AK195">
        <v>1.4315152247102499E-2</v>
      </c>
      <c r="AL195">
        <v>0.59718340953083604</v>
      </c>
    </row>
    <row r="196" spans="1:38" x14ac:dyDescent="0.2">
      <c r="A196">
        <v>198</v>
      </c>
      <c r="B196">
        <v>744</v>
      </c>
      <c r="C196">
        <v>180</v>
      </c>
      <c r="D196">
        <v>0.39557636533451601</v>
      </c>
      <c r="E196">
        <v>19.599993615711199</v>
      </c>
      <c r="F196">
        <v>2.5769348921637398</v>
      </c>
      <c r="G196">
        <v>-317.61627968836166</v>
      </c>
      <c r="H196">
        <v>-275.98300856058859</v>
      </c>
      <c r="I196">
        <v>40.931299344023003</v>
      </c>
      <c r="J196">
        <v>24.001432898790799</v>
      </c>
      <c r="K196">
        <v>7.60593279842392</v>
      </c>
      <c r="L196">
        <v>3.1452559056378193E-5</v>
      </c>
      <c r="M196">
        <v>1.8007313070761562E-6</v>
      </c>
      <c r="N196" s="1">
        <v>-3.88616023660155E-7</v>
      </c>
      <c r="O196" s="1">
        <v>6.5633536356466295E-11</v>
      </c>
      <c r="P196" s="1">
        <v>1.28990875627068E-9</v>
      </c>
      <c r="Q196">
        <v>64.536065854125496</v>
      </c>
      <c r="S196">
        <v>21.869193444282601</v>
      </c>
      <c r="AA196">
        <v>2.9836998116406201</v>
      </c>
      <c r="AB196">
        <v>8.8130191303101792</v>
      </c>
      <c r="AC196">
        <v>1.79802175964091</v>
      </c>
      <c r="AJ196">
        <v>0.75682156821027102</v>
      </c>
      <c r="AK196">
        <v>0.14159069210886099</v>
      </c>
      <c r="AL196">
        <v>0.101587739680867</v>
      </c>
    </row>
    <row r="197" spans="1:38" x14ac:dyDescent="0.2">
      <c r="A197">
        <v>198</v>
      </c>
      <c r="B197">
        <v>744</v>
      </c>
      <c r="C197">
        <v>180</v>
      </c>
      <c r="D197">
        <v>0.39557636533451601</v>
      </c>
      <c r="E197">
        <v>35.739650548707999</v>
      </c>
      <c r="F197">
        <v>2.5217580084275499</v>
      </c>
      <c r="G197">
        <v>-564.073917488348</v>
      </c>
      <c r="H197">
        <v>-489.35080623106609</v>
      </c>
      <c r="I197">
        <v>73.463217084286399</v>
      </c>
      <c r="J197">
        <v>42.516184870898101</v>
      </c>
      <c r="K197">
        <v>14.1725139483124</v>
      </c>
      <c r="L197">
        <v>2.8510403665045512E-5</v>
      </c>
      <c r="M197">
        <v>1.7969692931938981E-6</v>
      </c>
      <c r="N197" s="1">
        <v>-3.07901581372996E-7</v>
      </c>
      <c r="O197" s="1">
        <v>1.34799840282234E-10</v>
      </c>
      <c r="P197" s="1">
        <v>1.1745272878013899E-9</v>
      </c>
      <c r="Q197">
        <v>65.932671164499297</v>
      </c>
      <c r="S197">
        <v>18.999051400646099</v>
      </c>
      <c r="AA197">
        <v>0.28992448137855198</v>
      </c>
      <c r="AB197">
        <v>4.4008286701783801</v>
      </c>
      <c r="AC197">
        <v>10.3775242832975</v>
      </c>
      <c r="AJ197">
        <v>0.386420902269906</v>
      </c>
      <c r="AK197">
        <v>1.40676588633407E-2</v>
      </c>
      <c r="AL197">
        <v>0.59951143886675196</v>
      </c>
    </row>
    <row r="198" spans="1:38" x14ac:dyDescent="0.2">
      <c r="A198">
        <v>199</v>
      </c>
      <c r="B198">
        <v>742</v>
      </c>
      <c r="C198">
        <v>180</v>
      </c>
      <c r="D198">
        <v>0.39424764813081797</v>
      </c>
      <c r="E198">
        <v>19.838794538122801</v>
      </c>
      <c r="F198">
        <v>2.57719791390234</v>
      </c>
      <c r="G198">
        <v>-321.41990626466179</v>
      </c>
      <c r="H198">
        <v>-279.41059337505936</v>
      </c>
      <c r="I198">
        <v>41.382369984339597</v>
      </c>
      <c r="J198">
        <v>24.318967079492399</v>
      </c>
      <c r="K198">
        <v>7.6978156900970598</v>
      </c>
      <c r="L198">
        <v>3.1567436064019344E-5</v>
      </c>
      <c r="M198">
        <v>1.8012445159170028E-6</v>
      </c>
      <c r="N198" s="1">
        <v>-4.19759431455155E-7</v>
      </c>
      <c r="O198" s="1">
        <v>6.6202956641628403E-11</v>
      </c>
      <c r="P198" s="1">
        <v>1.3809898157227101E-9</v>
      </c>
      <c r="Q198">
        <v>64.535025938590906</v>
      </c>
      <c r="S198">
        <v>21.873771399163601</v>
      </c>
      <c r="AA198">
        <v>2.9877193213653501</v>
      </c>
      <c r="AB198">
        <v>8.8227034381942904</v>
      </c>
      <c r="AC198">
        <v>1.78077990268583</v>
      </c>
      <c r="AJ198">
        <v>0.75761667341188099</v>
      </c>
      <c r="AK198">
        <v>0.14177459932679401</v>
      </c>
      <c r="AL198">
        <v>0.100608727261323</v>
      </c>
    </row>
    <row r="199" spans="1:38" x14ac:dyDescent="0.2">
      <c r="A199">
        <v>199</v>
      </c>
      <c r="B199">
        <v>742</v>
      </c>
      <c r="C199">
        <v>180</v>
      </c>
      <c r="D199">
        <v>0.39424764813081797</v>
      </c>
      <c r="E199">
        <v>36.140301118983999</v>
      </c>
      <c r="F199">
        <v>2.5217995815207801</v>
      </c>
      <c r="G199">
        <v>-570.18398833171432</v>
      </c>
      <c r="H199">
        <v>-494.86810811326473</v>
      </c>
      <c r="I199">
        <v>74.191873337387904</v>
      </c>
      <c r="J199">
        <v>43.004284876986901</v>
      </c>
      <c r="K199">
        <v>14.3311551733978</v>
      </c>
      <c r="L199">
        <v>2.8539563823209694E-5</v>
      </c>
      <c r="M199">
        <v>1.7970796215856348E-6</v>
      </c>
      <c r="N199" s="1">
        <v>-3.32595303608055E-7</v>
      </c>
      <c r="O199" s="1">
        <v>1.36169101254866E-10</v>
      </c>
      <c r="P199" s="1">
        <v>1.2483246733498501E-9</v>
      </c>
      <c r="Q199">
        <v>65.9303690895443</v>
      </c>
      <c r="S199">
        <v>18.992248553041499</v>
      </c>
      <c r="AA199">
        <v>0.28484922016860498</v>
      </c>
      <c r="AB199">
        <v>4.3778640701476199</v>
      </c>
      <c r="AC199">
        <v>10.414669067097799</v>
      </c>
      <c r="AJ199">
        <v>0.38444938210815099</v>
      </c>
      <c r="AK199">
        <v>1.3823013097300401E-2</v>
      </c>
      <c r="AL199">
        <v>0.60172760479454801</v>
      </c>
    </row>
    <row r="200" spans="1:38" x14ac:dyDescent="0.2">
      <c r="A200">
        <v>200</v>
      </c>
      <c r="B200">
        <v>740</v>
      </c>
      <c r="C200">
        <v>180</v>
      </c>
      <c r="D200">
        <v>0.39291368504170499</v>
      </c>
      <c r="E200">
        <v>20.043724151555899</v>
      </c>
      <c r="F200">
        <v>2.5774438890710099</v>
      </c>
      <c r="G200">
        <v>-324.67250298894544</v>
      </c>
      <c r="H200">
        <v>-282.36165349305935</v>
      </c>
      <c r="I200">
        <v>41.761683359705998</v>
      </c>
      <c r="J200">
        <v>24.597460882341402</v>
      </c>
      <c r="K200">
        <v>7.7765899139632602</v>
      </c>
      <c r="L200">
        <v>3.1690429660680254E-5</v>
      </c>
      <c r="M200">
        <v>1.801817967644246E-6</v>
      </c>
      <c r="N200" s="1">
        <v>-4.5268445282233601E-7</v>
      </c>
      <c r="O200" s="1">
        <v>6.6641661967889396E-11</v>
      </c>
      <c r="P200" s="1">
        <v>1.4767080852121199E-9</v>
      </c>
      <c r="Q200">
        <v>64.535756310029797</v>
      </c>
      <c r="S200">
        <v>21.876986585751201</v>
      </c>
      <c r="AA200">
        <v>2.9902014610305301</v>
      </c>
      <c r="AB200">
        <v>8.8327600614271802</v>
      </c>
      <c r="AC200">
        <v>1.76429558176121</v>
      </c>
      <c r="AJ200">
        <v>0.758442292998187</v>
      </c>
      <c r="AK200">
        <v>0.14188528245410501</v>
      </c>
      <c r="AL200">
        <v>9.9672424547706695E-2</v>
      </c>
    </row>
    <row r="201" spans="1:38" x14ac:dyDescent="0.2">
      <c r="A201">
        <v>200</v>
      </c>
      <c r="B201">
        <v>740</v>
      </c>
      <c r="C201">
        <v>180</v>
      </c>
      <c r="D201">
        <v>0.39291368504170499</v>
      </c>
      <c r="E201">
        <v>36.438424516442602</v>
      </c>
      <c r="F201">
        <v>2.5218440099149202</v>
      </c>
      <c r="G201">
        <v>-574.67477576440501</v>
      </c>
      <c r="H201">
        <v>-498.98399324605401</v>
      </c>
      <c r="I201">
        <v>74.708367485911197</v>
      </c>
      <c r="J201">
        <v>43.372173761936899</v>
      </c>
      <c r="K201">
        <v>14.449119125997001</v>
      </c>
      <c r="L201">
        <v>2.8572174925670801E-5</v>
      </c>
      <c r="M201">
        <v>1.7972067534597622E-6</v>
      </c>
      <c r="N201" s="1">
        <v>-3.58232704299063E-7</v>
      </c>
      <c r="O201" s="1">
        <v>1.3713691056462301E-10</v>
      </c>
      <c r="P201" s="1">
        <v>1.32385857699068E-9</v>
      </c>
      <c r="Q201">
        <v>65.928280177987403</v>
      </c>
      <c r="S201">
        <v>18.985586088031798</v>
      </c>
      <c r="AA201">
        <v>0.27984003727190199</v>
      </c>
      <c r="AB201">
        <v>4.35574252454344</v>
      </c>
      <c r="AC201">
        <v>10.4505511721653</v>
      </c>
      <c r="AJ201">
        <v>0.38254980377755998</v>
      </c>
      <c r="AK201">
        <v>1.3581458905718401E-2</v>
      </c>
      <c r="AL201">
        <v>0.60386873731672097</v>
      </c>
    </row>
    <row r="202" spans="1:38" x14ac:dyDescent="0.2">
      <c r="A202">
        <v>202</v>
      </c>
      <c r="B202">
        <v>766</v>
      </c>
      <c r="C202">
        <v>170</v>
      </c>
      <c r="D202">
        <v>0.42044026367704701</v>
      </c>
      <c r="E202">
        <v>0.29381806604108501</v>
      </c>
      <c r="F202">
        <v>2.5783630230359198</v>
      </c>
      <c r="G202">
        <v>-4.7814892658763952</v>
      </c>
      <c r="H202">
        <v>-4.1360528311620532</v>
      </c>
      <c r="I202">
        <v>0.62111960228488905</v>
      </c>
      <c r="J202">
        <v>0.35747831383145201</v>
      </c>
      <c r="K202">
        <v>0.113955274496267</v>
      </c>
      <c r="L202">
        <v>3.0609930024377813E-5</v>
      </c>
      <c r="M202">
        <v>1.7934106031077785E-6</v>
      </c>
      <c r="N202" s="1">
        <v>-2.9466119911180802E-9</v>
      </c>
      <c r="O202" s="1">
        <v>1.0014491876247301E-12</v>
      </c>
      <c r="P202" s="1">
        <v>1.1064505519756E-11</v>
      </c>
      <c r="Q202">
        <v>64.312514039119193</v>
      </c>
      <c r="S202">
        <v>22.102137317192401</v>
      </c>
      <c r="AA202">
        <v>3.22804365182827</v>
      </c>
      <c r="AB202">
        <v>8.9255385445405899</v>
      </c>
      <c r="AC202">
        <v>1.4317664473193901</v>
      </c>
      <c r="AJ202">
        <v>0.76605170735907502</v>
      </c>
      <c r="AK202">
        <v>0.15309952535863999</v>
      </c>
      <c r="AL202">
        <v>8.0848767282283907E-2</v>
      </c>
    </row>
    <row r="203" spans="1:38" x14ac:dyDescent="0.2">
      <c r="A203">
        <v>203</v>
      </c>
      <c r="B203">
        <v>764</v>
      </c>
      <c r="C203">
        <v>170</v>
      </c>
      <c r="D203">
        <v>0.419187677770818</v>
      </c>
      <c r="E203">
        <v>1.14143359458315</v>
      </c>
      <c r="F203">
        <v>2.57734565717141</v>
      </c>
      <c r="G203">
        <v>-18.566606948069399</v>
      </c>
      <c r="H203">
        <v>-16.066321940866231</v>
      </c>
      <c r="I203">
        <v>2.41072651709315</v>
      </c>
      <c r="J203">
        <v>1.38943400029619</v>
      </c>
      <c r="K203">
        <v>0.44287175505820597</v>
      </c>
      <c r="L203">
        <v>3.0711799286233172E-5</v>
      </c>
      <c r="M203">
        <v>1.796169246892081E-6</v>
      </c>
      <c r="N203" s="1">
        <v>-1.22075000048043E-8</v>
      </c>
      <c r="O203" s="1">
        <v>3.89311649770079E-12</v>
      </c>
      <c r="P203" s="1">
        <v>4.5182337671492301E-11</v>
      </c>
      <c r="Q203">
        <v>64.425383719621294</v>
      </c>
      <c r="S203">
        <v>22.012439553328502</v>
      </c>
      <c r="AA203">
        <v>3.1277054812911498</v>
      </c>
      <c r="AB203">
        <v>8.9419082262349896</v>
      </c>
      <c r="AC203">
        <v>1.4925630195238799</v>
      </c>
      <c r="AJ203">
        <v>0.76739590740473496</v>
      </c>
      <c r="AK203">
        <v>0.14832894644698999</v>
      </c>
      <c r="AL203">
        <v>8.4275146148274097E-2</v>
      </c>
    </row>
    <row r="204" spans="1:38" x14ac:dyDescent="0.2">
      <c r="A204">
        <v>204</v>
      </c>
      <c r="B204">
        <v>762</v>
      </c>
      <c r="C204">
        <v>170</v>
      </c>
      <c r="D204">
        <v>0.41793025165435399</v>
      </c>
      <c r="E204">
        <v>3.0103776385785301</v>
      </c>
      <c r="F204">
        <v>2.5751026771358201</v>
      </c>
      <c r="G204">
        <v>-48.927581694681592</v>
      </c>
      <c r="H204">
        <v>-42.351467056014457</v>
      </c>
      <c r="I204">
        <v>6.35281325283015</v>
      </c>
      <c r="J204">
        <v>3.6658893570336302</v>
      </c>
      <c r="K204">
        <v>1.1690320798884899</v>
      </c>
      <c r="L204">
        <v>3.0827780053805561E-5</v>
      </c>
      <c r="M204">
        <v>1.800508117889744E-6</v>
      </c>
      <c r="N204" s="1">
        <v>-3.42278886761631E-8</v>
      </c>
      <c r="O204" s="1">
        <v>1.02979609296635E-11</v>
      </c>
      <c r="P204" s="1">
        <v>1.2500661106375301E-10</v>
      </c>
      <c r="Q204">
        <v>64.623142447277203</v>
      </c>
      <c r="S204">
        <v>21.841688651613101</v>
      </c>
      <c r="AA204">
        <v>2.94068994346302</v>
      </c>
      <c r="AB204">
        <v>8.9349572594380593</v>
      </c>
      <c r="AC204">
        <v>1.6595216982084899</v>
      </c>
      <c r="AJ204">
        <v>0.76682893234150296</v>
      </c>
      <c r="AK204">
        <v>0.139465258996467</v>
      </c>
      <c r="AL204">
        <v>9.3705808662028905E-2</v>
      </c>
    </row>
    <row r="205" spans="1:38" x14ac:dyDescent="0.2">
      <c r="A205">
        <v>205</v>
      </c>
      <c r="B205">
        <v>760</v>
      </c>
      <c r="C205">
        <v>170</v>
      </c>
      <c r="D205">
        <v>0.41666795721821598</v>
      </c>
      <c r="E205">
        <v>4.9673456614626996</v>
      </c>
      <c r="F205">
        <v>2.5726422002732301</v>
      </c>
      <c r="G205">
        <v>-80.659831215656425</v>
      </c>
      <c r="H205">
        <v>-69.839044111082501</v>
      </c>
      <c r="I205">
        <v>10.473587673207099</v>
      </c>
      <c r="J205">
        <v>6.0507713252045203</v>
      </c>
      <c r="K205">
        <v>1.9308342454054099</v>
      </c>
      <c r="L205">
        <v>3.092841984199972E-5</v>
      </c>
      <c r="M205">
        <v>1.8045678413279106E-6</v>
      </c>
      <c r="N205" s="1">
        <v>-5.9844537995167501E-8</v>
      </c>
      <c r="O205" s="1">
        <v>1.7047119770112701E-11</v>
      </c>
      <c r="P205" s="1">
        <v>2.15922603643378E-10</v>
      </c>
      <c r="Q205">
        <v>64.817188447670304</v>
      </c>
      <c r="S205">
        <v>21.664702823454299</v>
      </c>
      <c r="AA205">
        <v>2.7493968416291299</v>
      </c>
      <c r="AB205">
        <v>8.9033870087375</v>
      </c>
      <c r="AC205">
        <v>1.86532487850866</v>
      </c>
      <c r="AJ205">
        <v>0.76424246978375798</v>
      </c>
      <c r="AK205">
        <v>0.13041397624220399</v>
      </c>
      <c r="AL205">
        <v>0.105343553974036</v>
      </c>
    </row>
    <row r="206" spans="1:38" x14ac:dyDescent="0.2">
      <c r="A206">
        <v>206</v>
      </c>
      <c r="B206">
        <v>758</v>
      </c>
      <c r="C206">
        <v>170</v>
      </c>
      <c r="D206">
        <v>0.41540076613490101</v>
      </c>
      <c r="E206">
        <v>7.1368057303273904</v>
      </c>
      <c r="F206">
        <v>2.56992204418987</v>
      </c>
      <c r="G206">
        <v>-115.76269251786238</v>
      </c>
      <c r="H206">
        <v>-100.26068704678868</v>
      </c>
      <c r="I206">
        <v>15.033705543396801</v>
      </c>
      <c r="J206">
        <v>8.6945474055390708</v>
      </c>
      <c r="K206">
        <v>2.7770514465457801</v>
      </c>
      <c r="L206">
        <v>3.1003838922788084E-5</v>
      </c>
      <c r="M206">
        <v>1.8081438485307832E-6</v>
      </c>
      <c r="N206" s="1">
        <v>-9.0678820893564606E-8</v>
      </c>
      <c r="O206" s="1">
        <v>2.4579521703026201E-11</v>
      </c>
      <c r="P206" s="1">
        <v>3.2364414623477302E-10</v>
      </c>
      <c r="Q206">
        <v>65.001830831722302</v>
      </c>
      <c r="S206">
        <v>21.482200624515698</v>
      </c>
      <c r="AA206">
        <v>2.5557468827363401</v>
      </c>
      <c r="AB206">
        <v>8.8363994200462201</v>
      </c>
      <c r="AC206">
        <v>2.1238222409793099</v>
      </c>
      <c r="AJ206">
        <v>0.75874814646045396</v>
      </c>
      <c r="AK206">
        <v>0.121269317883109</v>
      </c>
      <c r="AL206">
        <v>0.119982535656436</v>
      </c>
    </row>
    <row r="207" spans="1:38" x14ac:dyDescent="0.2">
      <c r="A207">
        <v>206</v>
      </c>
      <c r="B207">
        <v>758</v>
      </c>
      <c r="C207">
        <v>170</v>
      </c>
      <c r="D207">
        <v>0.41540076613490101</v>
      </c>
      <c r="E207">
        <v>0.39533357309948203</v>
      </c>
      <c r="F207">
        <v>2.5214760153801601</v>
      </c>
      <c r="G207">
        <v>-6.2646446725149723</v>
      </c>
      <c r="H207">
        <v>-5.4180317042246315</v>
      </c>
      <c r="I207">
        <v>0.82103764562899595</v>
      </c>
      <c r="J207">
        <v>0.47045185145852503</v>
      </c>
      <c r="K207">
        <v>0.15678656893346499</v>
      </c>
      <c r="L207">
        <v>2.8557381602303248E-5</v>
      </c>
      <c r="M207">
        <v>1.8000418600169194E-6</v>
      </c>
      <c r="N207" s="1">
        <v>-2.28755927556685E-9</v>
      </c>
      <c r="O207" s="1">
        <v>1.49542067926311E-12</v>
      </c>
      <c r="P207" s="1">
        <v>9.7930798359608096E-12</v>
      </c>
      <c r="Q207">
        <v>66.036902069989495</v>
      </c>
      <c r="S207">
        <v>19.072968957798398</v>
      </c>
      <c r="AA207">
        <v>0.32658636601607799</v>
      </c>
      <c r="AB207">
        <v>4.8268861404382601</v>
      </c>
      <c r="AC207">
        <v>9.7366564657576298</v>
      </c>
      <c r="AJ207">
        <v>0.42291525973314797</v>
      </c>
      <c r="AK207">
        <v>1.58123035106848E-2</v>
      </c>
      <c r="AL207">
        <v>0.561272436756167</v>
      </c>
    </row>
    <row r="208" spans="1:38" x14ac:dyDescent="0.2">
      <c r="A208">
        <v>207</v>
      </c>
      <c r="B208">
        <v>756</v>
      </c>
      <c r="C208">
        <v>170</v>
      </c>
      <c r="D208">
        <v>0.41412864985667802</v>
      </c>
      <c r="E208">
        <v>15.6981636591418</v>
      </c>
      <c r="F208">
        <v>2.5736563664076</v>
      </c>
      <c r="G208">
        <v>-254.7163348860777</v>
      </c>
      <c r="H208">
        <v>-220.73900792603479</v>
      </c>
      <c r="I208">
        <v>33.0149414177164</v>
      </c>
      <c r="J208">
        <v>19.130242256322301</v>
      </c>
      <c r="K208">
        <v>6.0995569820589104</v>
      </c>
      <c r="L208">
        <v>3.0930567534108552E-5</v>
      </c>
      <c r="M208">
        <v>1.8012939073539908E-6</v>
      </c>
      <c r="N208" s="1">
        <v>-2.1056610051444199E-7</v>
      </c>
      <c r="O208" s="1">
        <v>5.3599214654833602E-11</v>
      </c>
      <c r="P208" s="1">
        <v>7.4410515919083505E-10</v>
      </c>
      <c r="Q208">
        <v>64.666058007687397</v>
      </c>
      <c r="S208">
        <v>21.7465493722285</v>
      </c>
      <c r="AA208">
        <v>2.85218530449399</v>
      </c>
      <c r="AB208">
        <v>8.7811722949148994</v>
      </c>
      <c r="AC208">
        <v>1.9540350206750901</v>
      </c>
      <c r="AJ208">
        <v>0.75420824113977802</v>
      </c>
      <c r="AK208">
        <v>0.135371519361626</v>
      </c>
      <c r="AL208">
        <v>0.110420239498595</v>
      </c>
    </row>
    <row r="209" spans="1:38" x14ac:dyDescent="0.2">
      <c r="A209">
        <v>207</v>
      </c>
      <c r="B209">
        <v>756</v>
      </c>
      <c r="C209">
        <v>170</v>
      </c>
      <c r="D209">
        <v>0.41412864985667802</v>
      </c>
      <c r="E209">
        <v>25.955071162864801</v>
      </c>
      <c r="F209">
        <v>2.5212213854538801</v>
      </c>
      <c r="G209">
        <v>-410.81454213610232</v>
      </c>
      <c r="H209">
        <v>-355.46343482972873</v>
      </c>
      <c r="I209">
        <v>53.783323428434699</v>
      </c>
      <c r="J209">
        <v>30.8566110764679</v>
      </c>
      <c r="K209">
        <v>10.294641840106401</v>
      </c>
      <c r="L209">
        <v>2.8432714806497245E-5</v>
      </c>
      <c r="M209">
        <v>1.7979534219727124E-6</v>
      </c>
      <c r="N209" s="1">
        <v>-1.5179755510891999E-7</v>
      </c>
      <c r="O209" s="1">
        <v>9.8298843309503E-11</v>
      </c>
      <c r="P209" s="1">
        <v>6.4705358597190103E-10</v>
      </c>
      <c r="Q209">
        <v>65.970912962818304</v>
      </c>
      <c r="S209">
        <v>19.049509540071799</v>
      </c>
      <c r="AA209">
        <v>0.32262976221593298</v>
      </c>
      <c r="AB209">
        <v>4.6183310397991102</v>
      </c>
      <c r="AC209">
        <v>10.038616695094699</v>
      </c>
      <c r="AJ209">
        <v>0.40507088512904099</v>
      </c>
      <c r="AK209">
        <v>1.5637279097775E-2</v>
      </c>
      <c r="AL209">
        <v>0.579291835773182</v>
      </c>
    </row>
    <row r="210" spans="1:38" x14ac:dyDescent="0.2">
      <c r="A210">
        <v>208</v>
      </c>
      <c r="B210">
        <v>754</v>
      </c>
      <c r="C210">
        <v>170</v>
      </c>
      <c r="D210">
        <v>0.412851579613494</v>
      </c>
      <c r="E210">
        <v>17.513624406318399</v>
      </c>
      <c r="F210">
        <v>2.5746729650017701</v>
      </c>
      <c r="G210">
        <v>-284.14670597610348</v>
      </c>
      <c r="H210">
        <v>-246.36046966878848</v>
      </c>
      <c r="I210">
        <v>36.787456853736003</v>
      </c>
      <c r="J210">
        <v>21.355117719037999</v>
      </c>
      <c r="K210">
        <v>6.8022714513205402</v>
      </c>
      <c r="L210">
        <v>3.0975450032400032E-5</v>
      </c>
      <c r="M210">
        <v>1.8000565122876907E-6</v>
      </c>
      <c r="N210" s="1">
        <v>-2.4981033480954102E-7</v>
      </c>
      <c r="O210" s="1">
        <v>5.9572431139858995E-11</v>
      </c>
      <c r="P210" s="1">
        <v>8.7309332096867103E-10</v>
      </c>
      <c r="Q210">
        <v>64.589918067162401</v>
      </c>
      <c r="S210">
        <v>21.808786933630198</v>
      </c>
      <c r="AA210">
        <v>2.9212981441338899</v>
      </c>
      <c r="AB210">
        <v>8.7746623785649795</v>
      </c>
      <c r="AC210">
        <v>1.9053344765084299</v>
      </c>
      <c r="AJ210">
        <v>0.75367238461365604</v>
      </c>
      <c r="AK210">
        <v>0.13865606166296801</v>
      </c>
      <c r="AL210">
        <v>0.107671553723374</v>
      </c>
    </row>
    <row r="211" spans="1:38" x14ac:dyDescent="0.2">
      <c r="A211">
        <v>208</v>
      </c>
      <c r="B211">
        <v>754</v>
      </c>
      <c r="C211">
        <v>170</v>
      </c>
      <c r="D211">
        <v>0.412851579613494</v>
      </c>
      <c r="E211">
        <v>31.101340792679601</v>
      </c>
      <c r="F211">
        <v>2.5211980007130901</v>
      </c>
      <c r="G211">
        <v>-492.00153329839372</v>
      </c>
      <c r="H211">
        <v>-425.90143309603212</v>
      </c>
      <c r="I211">
        <v>64.352918466009399</v>
      </c>
      <c r="J211">
        <v>36.970661520027399</v>
      </c>
      <c r="K211">
        <v>12.335937432872299</v>
      </c>
      <c r="L211">
        <v>2.8419210041806803E-5</v>
      </c>
      <c r="M211">
        <v>1.7975805494408209E-6</v>
      </c>
      <c r="N211" s="1">
        <v>-1.92267824621033E-7</v>
      </c>
      <c r="O211" s="1">
        <v>1.1775882036070299E-10</v>
      </c>
      <c r="P211" s="1">
        <v>8.0510240877066498E-10</v>
      </c>
      <c r="Q211">
        <v>65.955600074203204</v>
      </c>
      <c r="S211">
        <v>19.0388865454387</v>
      </c>
      <c r="AA211">
        <v>0.31743873609062301</v>
      </c>
      <c r="AB211">
        <v>4.5563575270505501</v>
      </c>
      <c r="AC211">
        <v>10.1317171172167</v>
      </c>
      <c r="AJ211">
        <v>0.39976106140237699</v>
      </c>
      <c r="AK211">
        <v>1.53905239940152E-2</v>
      </c>
      <c r="AL211">
        <v>0.58484841460360604</v>
      </c>
    </row>
    <row r="212" spans="1:38" x14ac:dyDescent="0.2">
      <c r="A212">
        <v>209</v>
      </c>
      <c r="B212">
        <v>752</v>
      </c>
      <c r="C212">
        <v>170</v>
      </c>
      <c r="D212">
        <v>0.41156952641076899</v>
      </c>
      <c r="E212">
        <v>18.335092174596301</v>
      </c>
      <c r="F212">
        <v>2.5752390693714098</v>
      </c>
      <c r="G212">
        <v>-297.42636110342721</v>
      </c>
      <c r="H212">
        <v>-257.99113878043096</v>
      </c>
      <c r="I212">
        <v>38.467758204161498</v>
      </c>
      <c r="J212">
        <v>22.372062422280699</v>
      </c>
      <c r="K212">
        <v>7.11976312904872</v>
      </c>
      <c r="L212">
        <v>3.1045607055512959E-5</v>
      </c>
      <c r="M212">
        <v>1.7998093229735596E-6</v>
      </c>
      <c r="N212" s="1">
        <v>-2.7853695366620599E-7</v>
      </c>
      <c r="O212" s="1">
        <v>6.2174732440076405E-11</v>
      </c>
      <c r="P212" s="1">
        <v>9.6298193502009093E-10</v>
      </c>
      <c r="Q212">
        <v>64.558365224815802</v>
      </c>
      <c r="S212">
        <v>21.8367697989374</v>
      </c>
      <c r="AA212">
        <v>2.9517467189405902</v>
      </c>
      <c r="AB212">
        <v>8.7777092806148893</v>
      </c>
      <c r="AC212">
        <v>1.8754089766912401</v>
      </c>
      <c r="AJ212">
        <v>0.753922174182591</v>
      </c>
      <c r="AK212">
        <v>0.14009905424163399</v>
      </c>
      <c r="AL212">
        <v>0.105978771575774</v>
      </c>
    </row>
    <row r="213" spans="1:38" x14ac:dyDescent="0.2">
      <c r="A213">
        <v>209</v>
      </c>
      <c r="B213">
        <v>752</v>
      </c>
      <c r="C213">
        <v>170</v>
      </c>
      <c r="D213">
        <v>0.41156952641076899</v>
      </c>
      <c r="E213">
        <v>33.283219965367998</v>
      </c>
      <c r="F213">
        <v>2.5212089098035801</v>
      </c>
      <c r="G213">
        <v>-526.28427598376379</v>
      </c>
      <c r="H213">
        <v>-455.77938767207627</v>
      </c>
      <c r="I213">
        <v>68.775192227174003</v>
      </c>
      <c r="J213">
        <v>39.566155830066897</v>
      </c>
      <c r="K213">
        <v>13.201293964949899</v>
      </c>
      <c r="L213">
        <v>2.8425096282585423E-5</v>
      </c>
      <c r="M213">
        <v>1.7974839826933315E-6</v>
      </c>
      <c r="N213" s="1">
        <v>-2.1903481355861401E-7</v>
      </c>
      <c r="O213" s="1">
        <v>1.2595196399188299E-10</v>
      </c>
      <c r="P213" s="1">
        <v>8.9973553188416604E-10</v>
      </c>
      <c r="Q213">
        <v>65.948362722372906</v>
      </c>
      <c r="S213">
        <v>19.030365464820999</v>
      </c>
      <c r="AA213">
        <v>0.31209749444076101</v>
      </c>
      <c r="AB213">
        <v>4.5178903558926899</v>
      </c>
      <c r="AC213">
        <v>10.1912839624725</v>
      </c>
      <c r="AJ213">
        <v>0.39646357187399001</v>
      </c>
      <c r="AK213">
        <v>1.5134520812151501E-2</v>
      </c>
      <c r="AL213">
        <v>0.588401907313857</v>
      </c>
    </row>
    <row r="214" spans="1:38" x14ac:dyDescent="0.2">
      <c r="A214">
        <v>210</v>
      </c>
      <c r="B214">
        <v>750</v>
      </c>
      <c r="C214">
        <v>170</v>
      </c>
      <c r="D214">
        <v>0.41028246102722199</v>
      </c>
      <c r="E214">
        <v>18.836948592876201</v>
      </c>
      <c r="F214">
        <v>2.5756503766575798</v>
      </c>
      <c r="G214">
        <v>-305.51103223157332</v>
      </c>
      <c r="H214">
        <v>-265.12211219337598</v>
      </c>
      <c r="I214">
        <v>39.475072118650402</v>
      </c>
      <c r="J214">
        <v>23.0017568136671</v>
      </c>
      <c r="K214">
        <v>7.3134726528065901</v>
      </c>
      <c r="L214">
        <v>3.1128076299263522E-5</v>
      </c>
      <c r="M214">
        <v>1.799917107863242E-6</v>
      </c>
      <c r="N214" s="1">
        <v>-3.0497516593891702E-7</v>
      </c>
      <c r="O214" s="1">
        <v>6.3688358946009099E-11</v>
      </c>
      <c r="P214" s="1">
        <v>1.04337982894055E-9</v>
      </c>
      <c r="Q214">
        <v>64.542284431794599</v>
      </c>
      <c r="S214">
        <v>21.852894712288801</v>
      </c>
      <c r="AA214">
        <v>2.9688021707743402</v>
      </c>
      <c r="AB214">
        <v>8.7841476523174098</v>
      </c>
      <c r="AC214">
        <v>1.8518710328246799</v>
      </c>
      <c r="AJ214">
        <v>0.75445074175230198</v>
      </c>
      <c r="AK214">
        <v>0.14090399668773301</v>
      </c>
      <c r="AL214">
        <v>0.104645261559963</v>
      </c>
    </row>
    <row r="215" spans="1:38" x14ac:dyDescent="0.2">
      <c r="A215">
        <v>210</v>
      </c>
      <c r="B215">
        <v>750</v>
      </c>
      <c r="C215">
        <v>170</v>
      </c>
      <c r="D215">
        <v>0.41028246102722199</v>
      </c>
      <c r="E215">
        <v>34.503333828736103</v>
      </c>
      <c r="F215">
        <v>2.52123235133068</v>
      </c>
      <c r="G215">
        <v>-545.35450094703958</v>
      </c>
      <c r="H215">
        <v>-472.50252659200169</v>
      </c>
      <c r="I215">
        <v>71.203610765809302</v>
      </c>
      <c r="J215">
        <v>41.021333922334001</v>
      </c>
      <c r="K215">
        <v>13.685106733826199</v>
      </c>
      <c r="L215">
        <v>2.8438935079407491E-5</v>
      </c>
      <c r="M215">
        <v>1.7974842560444851E-6</v>
      </c>
      <c r="N215" s="1">
        <v>-2.4224712796734699E-7</v>
      </c>
      <c r="O215" s="1">
        <v>1.30480738207807E-10</v>
      </c>
      <c r="P215" s="1">
        <v>9.7631292294153107E-10</v>
      </c>
      <c r="Q215">
        <v>65.943811697014993</v>
      </c>
      <c r="S215">
        <v>19.0226073320244</v>
      </c>
      <c r="AA215">
        <v>0.30675887499745502</v>
      </c>
      <c r="AB215">
        <v>4.4874096861465196</v>
      </c>
      <c r="AC215">
        <v>10.239412409816399</v>
      </c>
      <c r="AJ215">
        <v>0.39384979632738198</v>
      </c>
      <c r="AK215">
        <v>1.4877940957035801E-2</v>
      </c>
      <c r="AL215">
        <v>0.59127226271558198</v>
      </c>
    </row>
    <row r="216" spans="1:38" x14ac:dyDescent="0.2">
      <c r="A216">
        <v>211</v>
      </c>
      <c r="B216">
        <v>748</v>
      </c>
      <c r="C216">
        <v>170</v>
      </c>
      <c r="D216">
        <v>0.40899035401263301</v>
      </c>
      <c r="E216">
        <v>19.198819235568202</v>
      </c>
      <c r="F216">
        <v>2.5760069803753698</v>
      </c>
      <c r="G216">
        <v>-311.32024325090521</v>
      </c>
      <c r="H216">
        <v>-270.28313746050515</v>
      </c>
      <c r="I216">
        <v>40.187147618273599</v>
      </c>
      <c r="J216">
        <v>23.462783027324601</v>
      </c>
      <c r="K216">
        <v>7.4529375820133001</v>
      </c>
      <c r="L216">
        <v>3.1218523631790141E-5</v>
      </c>
      <c r="M216">
        <v>1.8001605944480583E-6</v>
      </c>
      <c r="N216" s="1">
        <v>-3.3138995236265498E-7</v>
      </c>
      <c r="O216" s="1">
        <v>6.4716191705069201E-11</v>
      </c>
      <c r="P216" s="1">
        <v>1.122373829618E-9</v>
      </c>
      <c r="Q216">
        <v>64.531663552761998</v>
      </c>
      <c r="S216">
        <v>21.864816639613501</v>
      </c>
      <c r="AA216">
        <v>2.9811161198135299</v>
      </c>
      <c r="AB216">
        <v>8.7917344752998297</v>
      </c>
      <c r="AC216">
        <v>1.8306692125110799</v>
      </c>
      <c r="AJ216">
        <v>0.75507367541919601</v>
      </c>
      <c r="AK216">
        <v>0.141483061731004</v>
      </c>
      <c r="AL216">
        <v>0.103443262849799</v>
      </c>
    </row>
    <row r="217" spans="1:38" x14ac:dyDescent="0.2">
      <c r="A217">
        <v>211</v>
      </c>
      <c r="B217">
        <v>748</v>
      </c>
      <c r="C217">
        <v>170</v>
      </c>
      <c r="D217">
        <v>0.40899035401263301</v>
      </c>
      <c r="E217">
        <v>35.330669887450703</v>
      </c>
      <c r="F217">
        <v>2.5212616609086198</v>
      </c>
      <c r="G217">
        <v>-558.21043275665431</v>
      </c>
      <c r="H217">
        <v>-483.85345612315695</v>
      </c>
      <c r="I217">
        <v>72.816899215098005</v>
      </c>
      <c r="J217">
        <v>42.011480286371899</v>
      </c>
      <c r="K217">
        <v>14.013091316637899</v>
      </c>
      <c r="L217">
        <v>2.8456967155366366E-5</v>
      </c>
      <c r="M217">
        <v>1.7975219630699366E-6</v>
      </c>
      <c r="N217" s="1">
        <v>-2.6479812435627901E-7</v>
      </c>
      <c r="O217" s="1">
        <v>1.3350689815531199E-10</v>
      </c>
      <c r="P217" s="1">
        <v>1.04773325812795E-9</v>
      </c>
      <c r="Q217">
        <v>65.940145958839807</v>
      </c>
      <c r="S217">
        <v>19.0151723146456</v>
      </c>
      <c r="AA217">
        <v>0.301480259420778</v>
      </c>
      <c r="AB217">
        <v>4.4597489204954597</v>
      </c>
      <c r="AC217">
        <v>10.283452546598101</v>
      </c>
      <c r="AJ217">
        <v>0.39147713535929801</v>
      </c>
      <c r="AK217">
        <v>1.4623982655059001E-2</v>
      </c>
      <c r="AL217">
        <v>0.593898881985642</v>
      </c>
    </row>
    <row r="218" spans="1:38" x14ac:dyDescent="0.2">
      <c r="A218">
        <v>212</v>
      </c>
      <c r="B218">
        <v>746</v>
      </c>
      <c r="C218">
        <v>170</v>
      </c>
      <c r="D218">
        <v>0.40769317568562202</v>
      </c>
      <c r="E218">
        <v>19.4771348231831</v>
      </c>
      <c r="F218">
        <v>2.5763076909641001</v>
      </c>
      <c r="G218">
        <v>-315.7700491323414</v>
      </c>
      <c r="H218">
        <v>-274.26719318470947</v>
      </c>
      <c r="I218">
        <v>40.723010300379599</v>
      </c>
      <c r="J218">
        <v>23.823954172308799</v>
      </c>
      <c r="K218">
        <v>7.5600965255413399</v>
      </c>
      <c r="L218">
        <v>3.1317520205287563E-5</v>
      </c>
      <c r="M218">
        <v>1.8005463500881195E-6</v>
      </c>
      <c r="N218" s="1">
        <v>-3.5856462800282502E-7</v>
      </c>
      <c r="O218" s="1">
        <v>6.5451245198748397E-11</v>
      </c>
      <c r="P218" s="1">
        <v>1.20269730846656E-9</v>
      </c>
      <c r="Q218">
        <v>64.526712146757305</v>
      </c>
      <c r="S218">
        <v>21.872401246856001</v>
      </c>
      <c r="AA218">
        <v>2.9885288413498801</v>
      </c>
      <c r="AB218">
        <v>8.8005845664545497</v>
      </c>
      <c r="AC218">
        <v>1.8117731985822101</v>
      </c>
      <c r="AJ218">
        <v>0.75580038568880403</v>
      </c>
      <c r="AK218">
        <v>0.141828604731293</v>
      </c>
      <c r="AL218">
        <v>0.102371009579902</v>
      </c>
    </row>
    <row r="219" spans="1:38" x14ac:dyDescent="0.2">
      <c r="A219">
        <v>212</v>
      </c>
      <c r="B219">
        <v>746</v>
      </c>
      <c r="C219">
        <v>170</v>
      </c>
      <c r="D219">
        <v>0.40769317568562202</v>
      </c>
      <c r="E219">
        <v>35.879477406883403</v>
      </c>
      <c r="F219">
        <v>2.5212963630437599</v>
      </c>
      <c r="G219">
        <v>-566.6643386270747</v>
      </c>
      <c r="H219">
        <v>-491.3966071857339</v>
      </c>
      <c r="I219">
        <v>73.853438101693399</v>
      </c>
      <c r="J219">
        <v>42.6724791168716</v>
      </c>
      <c r="K219">
        <v>14.230567232314099</v>
      </c>
      <c r="L219">
        <v>2.8479425399865839E-5</v>
      </c>
      <c r="M219">
        <v>1.7975978751517264E-6</v>
      </c>
      <c r="N219" s="1">
        <v>-2.8723452102615998E-7</v>
      </c>
      <c r="O219" s="1">
        <v>1.3546357537623901E-10</v>
      </c>
      <c r="P219" s="1">
        <v>1.1164814384705499E-9</v>
      </c>
      <c r="Q219">
        <v>65.937381852438804</v>
      </c>
      <c r="S219">
        <v>19.008050530095101</v>
      </c>
      <c r="AA219">
        <v>0.29624968068624502</v>
      </c>
      <c r="AB219">
        <v>4.4349185734916201</v>
      </c>
      <c r="AC219">
        <v>10.3233993632882</v>
      </c>
      <c r="AJ219">
        <v>0.38934669513488801</v>
      </c>
      <c r="AK219">
        <v>1.43720766068584E-2</v>
      </c>
      <c r="AL219">
        <v>0.59628122825825303</v>
      </c>
    </row>
    <row r="220" spans="1:38" x14ac:dyDescent="0.2">
      <c r="A220">
        <v>213</v>
      </c>
      <c r="B220">
        <v>744</v>
      </c>
      <c r="C220">
        <v>170</v>
      </c>
      <c r="D220">
        <v>0.40639089613134799</v>
      </c>
      <c r="E220">
        <v>19.707434354463299</v>
      </c>
      <c r="F220">
        <v>2.5765800108708401</v>
      </c>
      <c r="G220">
        <v>-319.4384584859875</v>
      </c>
      <c r="H220">
        <v>-277.5753057451588</v>
      </c>
      <c r="I220">
        <v>41.157304960751802</v>
      </c>
      <c r="J220">
        <v>24.128604134258399</v>
      </c>
      <c r="K220">
        <v>7.6486793623003004</v>
      </c>
      <c r="L220">
        <v>3.1424160326121068E-5</v>
      </c>
      <c r="M220">
        <v>1.801014266377269E-6</v>
      </c>
      <c r="N220" s="1">
        <v>-3.8706203413521901E-7</v>
      </c>
      <c r="O220" s="1">
        <v>6.6010675281145296E-11</v>
      </c>
      <c r="P220" s="1">
        <v>1.28626436056965E-9</v>
      </c>
      <c r="Q220">
        <v>64.524655896769602</v>
      </c>
      <c r="S220">
        <v>21.877762221993098</v>
      </c>
      <c r="AA220">
        <v>2.9934314985538899</v>
      </c>
      <c r="AB220">
        <v>8.8100568169050995</v>
      </c>
      <c r="AC220">
        <v>1.79409356577817</v>
      </c>
      <c r="AJ220">
        <v>0.75657816166643899</v>
      </c>
      <c r="AK220">
        <v>0.14205456897822399</v>
      </c>
      <c r="AL220">
        <v>0.10136726935533601</v>
      </c>
    </row>
    <row r="221" spans="1:38" x14ac:dyDescent="0.2">
      <c r="A221">
        <v>213</v>
      </c>
      <c r="B221">
        <v>744</v>
      </c>
      <c r="C221">
        <v>170</v>
      </c>
      <c r="D221">
        <v>0.40639089613134799</v>
      </c>
      <c r="E221">
        <v>36.275757208974703</v>
      </c>
      <c r="F221">
        <v>2.5213347444556402</v>
      </c>
      <c r="G221">
        <v>-572.70741471201563</v>
      </c>
      <c r="H221">
        <v>-496.85455133237656</v>
      </c>
      <c r="I221">
        <v>74.573920640651906</v>
      </c>
      <c r="J221">
        <v>43.1538229219953</v>
      </c>
      <c r="K221">
        <v>14.3875212479201</v>
      </c>
      <c r="L221">
        <v>2.850539913557708E-5</v>
      </c>
      <c r="M221">
        <v>1.7976962093445599E-6</v>
      </c>
      <c r="N221" s="1">
        <v>-3.1025468832627802E-7</v>
      </c>
      <c r="O221" s="1">
        <v>1.3682948885406599E-10</v>
      </c>
      <c r="P221" s="1">
        <v>1.18556582629299E-9</v>
      </c>
      <c r="Q221">
        <v>65.9350294539244</v>
      </c>
      <c r="S221">
        <v>19.0011229649912</v>
      </c>
      <c r="AA221">
        <v>0.29108326857691202</v>
      </c>
      <c r="AB221">
        <v>4.4115148669682496</v>
      </c>
      <c r="AC221">
        <v>10.3612494455391</v>
      </c>
      <c r="AJ221">
        <v>0.38733816973887902</v>
      </c>
      <c r="AK221">
        <v>1.4123117822150699E-2</v>
      </c>
      <c r="AL221">
        <v>0.59853871243896895</v>
      </c>
    </row>
    <row r="222" spans="1:38" x14ac:dyDescent="0.2">
      <c r="A222">
        <v>214</v>
      </c>
      <c r="B222">
        <v>742</v>
      </c>
      <c r="C222">
        <v>170</v>
      </c>
      <c r="D222">
        <v>0.40508348519923099</v>
      </c>
      <c r="E222">
        <v>19.906427506482</v>
      </c>
      <c r="F222">
        <v>2.5768332672587602</v>
      </c>
      <c r="G222">
        <v>-322.5971268867745</v>
      </c>
      <c r="H222">
        <v>-280.44285134892914</v>
      </c>
      <c r="I222">
        <v>41.525169224100203</v>
      </c>
      <c r="J222">
        <v>24.397191372681899</v>
      </c>
      <c r="K222">
        <v>7.7251515491565002</v>
      </c>
      <c r="L222">
        <v>3.1538451577617973E-5</v>
      </c>
      <c r="M222">
        <v>1.8015450564496553E-6</v>
      </c>
      <c r="N222" s="1">
        <v>-4.1722451719921701E-7</v>
      </c>
      <c r="O222" s="1">
        <v>6.6449435267217599E-11</v>
      </c>
      <c r="P222" s="1">
        <v>1.3741853599685101E-9</v>
      </c>
      <c r="Q222">
        <v>64.524561990515295</v>
      </c>
      <c r="S222">
        <v>21.8816119729515</v>
      </c>
      <c r="AA222">
        <v>2.9966294942535798</v>
      </c>
      <c r="AB222">
        <v>8.8199401744916095</v>
      </c>
      <c r="AC222">
        <v>1.7772563677878901</v>
      </c>
      <c r="AJ222">
        <v>0.75738964699270095</v>
      </c>
      <c r="AK222">
        <v>0.14219933488266101</v>
      </c>
      <c r="AL222">
        <v>0.100411018124636</v>
      </c>
    </row>
    <row r="223" spans="1:38" x14ac:dyDescent="0.2">
      <c r="A223">
        <v>214</v>
      </c>
      <c r="B223">
        <v>742</v>
      </c>
      <c r="C223">
        <v>170</v>
      </c>
      <c r="D223">
        <v>0.40508348519923099</v>
      </c>
      <c r="E223">
        <v>36.5717374391117</v>
      </c>
      <c r="F223">
        <v>2.5213761798524499</v>
      </c>
      <c r="G223">
        <v>-577.16557008051313</v>
      </c>
      <c r="H223">
        <v>-500.94141717250136</v>
      </c>
      <c r="I223">
        <v>75.086591053550407</v>
      </c>
      <c r="J223">
        <v>43.517542612136197</v>
      </c>
      <c r="K223">
        <v>14.5046731746517</v>
      </c>
      <c r="L223">
        <v>2.8534699384345337E-5</v>
      </c>
      <c r="M223">
        <v>1.7978119513140474E-6</v>
      </c>
      <c r="N223" s="1">
        <v>-3.3418486772207702E-7</v>
      </c>
      <c r="O223" s="1">
        <v>1.3780270804909399E-10</v>
      </c>
      <c r="P223" s="1">
        <v>1.2563291378392701E-9</v>
      </c>
      <c r="Q223">
        <v>65.932923811207004</v>
      </c>
      <c r="S223">
        <v>18.9943474632835</v>
      </c>
      <c r="AA223">
        <v>0.28598473323460599</v>
      </c>
      <c r="AB223">
        <v>4.3890596964706097</v>
      </c>
      <c r="AC223">
        <v>10.397684295804099</v>
      </c>
      <c r="AJ223">
        <v>0.38541060002275701</v>
      </c>
      <c r="AK223">
        <v>1.38773265293263E-2</v>
      </c>
      <c r="AL223">
        <v>0.600712073447916</v>
      </c>
    </row>
    <row r="224" spans="1:38" x14ac:dyDescent="0.2">
      <c r="A224">
        <v>216</v>
      </c>
      <c r="B224">
        <v>770</v>
      </c>
      <c r="C224">
        <v>160</v>
      </c>
      <c r="D224">
        <v>0.43347601016152998</v>
      </c>
      <c r="E224">
        <v>0.35485274535959299</v>
      </c>
      <c r="F224">
        <v>2.5775136437271402</v>
      </c>
      <c r="G224">
        <v>-5.7791194534205159</v>
      </c>
      <c r="H224">
        <v>-4.9948188878200011</v>
      </c>
      <c r="I224">
        <v>0.75185789733069597</v>
      </c>
      <c r="J224">
        <v>0.43139056775139401</v>
      </c>
      <c r="K224">
        <v>0.13767249931855499</v>
      </c>
      <c r="L224">
        <v>3.0500794215551621E-5</v>
      </c>
      <c r="M224">
        <v>1.7936151538066965E-6</v>
      </c>
      <c r="N224" s="1">
        <v>-3.1185854190338799E-9</v>
      </c>
      <c r="O224" s="1">
        <v>1.2135018582037599E-12</v>
      </c>
      <c r="P224" s="1">
        <v>1.2082091332110599E-11</v>
      </c>
      <c r="Q224">
        <v>64.322263612993794</v>
      </c>
      <c r="S224">
        <v>22.095653176571101</v>
      </c>
      <c r="AA224">
        <v>3.2204192396450102</v>
      </c>
      <c r="AB224">
        <v>8.9302659295341602</v>
      </c>
      <c r="AC224">
        <v>1.43139804125586</v>
      </c>
      <c r="AJ224">
        <v>0.76643956824231796</v>
      </c>
      <c r="AK224">
        <v>0.152734352727352</v>
      </c>
      <c r="AL224">
        <v>8.0826079030328998E-2</v>
      </c>
    </row>
    <row r="225" spans="1:38" x14ac:dyDescent="0.2">
      <c r="A225">
        <v>217</v>
      </c>
      <c r="B225">
        <v>768</v>
      </c>
      <c r="C225">
        <v>160</v>
      </c>
      <c r="D225">
        <v>0.43225327762570398</v>
      </c>
      <c r="E225">
        <v>1.03983885629013</v>
      </c>
      <c r="F225">
        <v>2.5766962752650899</v>
      </c>
      <c r="G225">
        <v>-16.92768494572347</v>
      </c>
      <c r="H225">
        <v>-14.635974869761684</v>
      </c>
      <c r="I225">
        <v>2.2011334351071201</v>
      </c>
      <c r="J225">
        <v>1.2646700321526401</v>
      </c>
      <c r="K225">
        <v>0.40355507409702401</v>
      </c>
      <c r="L225">
        <v>3.0591507678348795E-5</v>
      </c>
      <c r="M225">
        <v>1.7960273237006861E-6</v>
      </c>
      <c r="N225" s="1">
        <v>-9.7487565723449106E-9</v>
      </c>
      <c r="O225" s="1">
        <v>3.5576766787846598E-12</v>
      </c>
      <c r="P225" s="1">
        <v>3.7174341322863299E-11</v>
      </c>
      <c r="Q225">
        <v>64.418931357299101</v>
      </c>
      <c r="S225">
        <v>22.020212723607901</v>
      </c>
      <c r="AA225">
        <v>3.13562399690101</v>
      </c>
      <c r="AB225">
        <v>8.9479078592302308</v>
      </c>
      <c r="AC225">
        <v>1.47732406296164</v>
      </c>
      <c r="AJ225">
        <v>0.76788777876838599</v>
      </c>
      <c r="AK225">
        <v>0.14870001835564201</v>
      </c>
      <c r="AL225">
        <v>8.3412202875971203E-2</v>
      </c>
    </row>
    <row r="226" spans="1:38" x14ac:dyDescent="0.2">
      <c r="A226">
        <v>218</v>
      </c>
      <c r="B226">
        <v>766</v>
      </c>
      <c r="C226">
        <v>160</v>
      </c>
      <c r="D226">
        <v>0.43102583842564002</v>
      </c>
      <c r="E226">
        <v>2.23358368648563</v>
      </c>
      <c r="F226">
        <v>2.5753003644358001</v>
      </c>
      <c r="G226">
        <v>-36.339888523723623</v>
      </c>
      <c r="H226">
        <v>-31.43108004057849</v>
      </c>
      <c r="I226">
        <v>4.7238690113507502</v>
      </c>
      <c r="J226">
        <v>2.7176263277125501</v>
      </c>
      <c r="K226">
        <v>0.86730997181175895</v>
      </c>
      <c r="L226">
        <v>3.0691224351824812E-5</v>
      </c>
      <c r="M226">
        <v>1.7992091220268121E-6</v>
      </c>
      <c r="N226" s="1">
        <v>-2.2304530020488201E-8</v>
      </c>
      <c r="O226" s="1">
        <v>7.65344658373623E-12</v>
      </c>
      <c r="P226" s="1">
        <v>8.3793820909203697E-11</v>
      </c>
      <c r="Q226">
        <v>64.556288293131701</v>
      </c>
      <c r="S226">
        <v>21.906237788493701</v>
      </c>
      <c r="AA226">
        <v>3.0095431452348498</v>
      </c>
      <c r="AB226">
        <v>8.9552003157942703</v>
      </c>
      <c r="AC226">
        <v>1.57273045734531</v>
      </c>
      <c r="AJ226">
        <v>0.76848783878331095</v>
      </c>
      <c r="AK226">
        <v>0.14271612933366801</v>
      </c>
      <c r="AL226">
        <v>8.8796031883019697E-2</v>
      </c>
    </row>
    <row r="227" spans="1:38" x14ac:dyDescent="0.2">
      <c r="A227">
        <v>219</v>
      </c>
      <c r="B227">
        <v>764</v>
      </c>
      <c r="C227">
        <v>160</v>
      </c>
      <c r="D227">
        <v>0.42979366533288699</v>
      </c>
      <c r="E227">
        <v>4.1179413531281099</v>
      </c>
      <c r="F227">
        <v>2.5730371974700499</v>
      </c>
      <c r="G227">
        <v>-66.94169834566901</v>
      </c>
      <c r="H227">
        <v>-57.916586291423734</v>
      </c>
      <c r="I227">
        <v>8.7018387448732302</v>
      </c>
      <c r="J227">
        <v>5.0118069995332597</v>
      </c>
      <c r="K227">
        <v>1.6004204514326801</v>
      </c>
      <c r="L227">
        <v>3.0792533060781299E-5</v>
      </c>
      <c r="M227">
        <v>1.8032532435201782E-6</v>
      </c>
      <c r="N227" s="1">
        <v>-4.3644462465949097E-8</v>
      </c>
      <c r="O227" s="1">
        <v>1.41534220044677E-11</v>
      </c>
      <c r="P227" s="1">
        <v>1.6174353575499301E-10</v>
      </c>
      <c r="Q227">
        <v>64.745132004587902</v>
      </c>
      <c r="S227">
        <v>21.7386501287824</v>
      </c>
      <c r="AA227">
        <v>2.8272175116032501</v>
      </c>
      <c r="AB227">
        <v>8.9366755635636999</v>
      </c>
      <c r="AC227">
        <v>1.7523247914626101</v>
      </c>
      <c r="AJ227">
        <v>0.76697172357269705</v>
      </c>
      <c r="AK227">
        <v>0.13408289358353301</v>
      </c>
      <c r="AL227">
        <v>9.8945382843768803E-2</v>
      </c>
    </row>
    <row r="228" spans="1:38" x14ac:dyDescent="0.2">
      <c r="A228">
        <v>220</v>
      </c>
      <c r="B228">
        <v>762</v>
      </c>
      <c r="C228">
        <v>160</v>
      </c>
      <c r="D228">
        <v>0.428556730908567</v>
      </c>
      <c r="E228">
        <v>6.1081939294345302</v>
      </c>
      <c r="F228">
        <v>2.5705078227205398</v>
      </c>
      <c r="G228">
        <v>-99.198535903115626</v>
      </c>
      <c r="H228">
        <v>-85.849246177902288</v>
      </c>
      <c r="I228">
        <v>12.895995483952399</v>
      </c>
      <c r="J228">
        <v>7.4353539137034703</v>
      </c>
      <c r="K228">
        <v>2.3762596151019602</v>
      </c>
      <c r="L228">
        <v>3.0876476241091966E-5</v>
      </c>
      <c r="M228">
        <v>1.8070179569272782E-6</v>
      </c>
      <c r="N228" s="1">
        <v>-6.8447719905460306E-8</v>
      </c>
      <c r="O228" s="1">
        <v>2.10655907432402E-11</v>
      </c>
      <c r="P228" s="1">
        <v>2.50551805558433E-10</v>
      </c>
      <c r="Q228">
        <v>64.931533407488004</v>
      </c>
      <c r="S228">
        <v>21.562505800597101</v>
      </c>
      <c r="AA228">
        <v>2.63840241818039</v>
      </c>
      <c r="AB228">
        <v>8.8902758388196705</v>
      </c>
      <c r="AC228">
        <v>1.97728253491481</v>
      </c>
      <c r="AJ228">
        <v>0.76316858036398705</v>
      </c>
      <c r="AK228">
        <v>0.125157555676222</v>
      </c>
      <c r="AL228">
        <v>0.11167386395979</v>
      </c>
    </row>
    <row r="229" spans="1:38" x14ac:dyDescent="0.2">
      <c r="A229">
        <v>221</v>
      </c>
      <c r="B229">
        <v>760</v>
      </c>
      <c r="C229">
        <v>160</v>
      </c>
      <c r="D229">
        <v>0.427315007501331</v>
      </c>
      <c r="E229">
        <v>11.2295278034397</v>
      </c>
      <c r="F229">
        <v>2.5702447546344702</v>
      </c>
      <c r="G229">
        <v>-182.25911551010526</v>
      </c>
      <c r="H229">
        <v>-157.79497185487435</v>
      </c>
      <c r="I229">
        <v>23.679178875507802</v>
      </c>
      <c r="J229">
        <v>13.6697099177883</v>
      </c>
      <c r="K229">
        <v>4.3690499837385</v>
      </c>
      <c r="L229">
        <v>3.0870148818702086E-5</v>
      </c>
      <c r="M229">
        <v>1.8061161744125565E-6</v>
      </c>
      <c r="N229" s="1">
        <v>-1.3231925479680699E-7</v>
      </c>
      <c r="O229" s="1">
        <v>3.86923260321696E-11</v>
      </c>
      <c r="P229" s="1">
        <v>4.7926619083394098E-10</v>
      </c>
      <c r="Q229">
        <v>64.901391277859602</v>
      </c>
      <c r="S229">
        <v>21.555993724663601</v>
      </c>
      <c r="AA229">
        <v>2.6400631427364099</v>
      </c>
      <c r="AB229">
        <v>8.8060334654120709</v>
      </c>
      <c r="AC229">
        <v>2.0965183893282302</v>
      </c>
      <c r="AJ229">
        <v>0.75625351462683199</v>
      </c>
      <c r="AK229">
        <v>0.125288779576642</v>
      </c>
      <c r="AL229">
        <v>0.118457705796524</v>
      </c>
    </row>
    <row r="230" spans="1:38" x14ac:dyDescent="0.2">
      <c r="A230">
        <v>221</v>
      </c>
      <c r="B230">
        <v>760</v>
      </c>
      <c r="C230">
        <v>160</v>
      </c>
      <c r="D230">
        <v>0.427315007501331</v>
      </c>
      <c r="E230">
        <v>11.8423099613631</v>
      </c>
      <c r="F230">
        <v>2.5209700661908601</v>
      </c>
      <c r="G230">
        <v>-187.74593565368087</v>
      </c>
      <c r="H230">
        <v>-162.30860284754002</v>
      </c>
      <c r="I230">
        <v>24.621141950482301</v>
      </c>
      <c r="J230">
        <v>14.0871964236048</v>
      </c>
      <c r="K230">
        <v>4.6975210535747003</v>
      </c>
      <c r="L230">
        <v>2.8501846455517549E-5</v>
      </c>
      <c r="M230">
        <v>1.8001004027137795E-6</v>
      </c>
      <c r="N230" s="1">
        <v>-6.2583504895141097E-8</v>
      </c>
      <c r="O230" s="1">
        <v>4.4843438204791203E-11</v>
      </c>
      <c r="P230" s="1">
        <v>2.7608411045431799E-10</v>
      </c>
      <c r="Q230">
        <v>66.022719896115703</v>
      </c>
      <c r="S230">
        <v>19.078688435808701</v>
      </c>
      <c r="AA230">
        <v>0.33461421032807298</v>
      </c>
      <c r="AB230">
        <v>4.81027628156503</v>
      </c>
      <c r="AC230">
        <v>9.7537011761824104</v>
      </c>
      <c r="AJ230">
        <v>0.42149539506732597</v>
      </c>
      <c r="AK230">
        <v>1.6202349049392401E-2</v>
      </c>
      <c r="AL230">
        <v>0.56230225588327998</v>
      </c>
    </row>
    <row r="231" spans="1:38" x14ac:dyDescent="0.2">
      <c r="A231">
        <v>222</v>
      </c>
      <c r="B231">
        <v>758</v>
      </c>
      <c r="C231">
        <v>160</v>
      </c>
      <c r="D231">
        <v>0.426068467245311</v>
      </c>
      <c r="E231">
        <v>16.233021296848602</v>
      </c>
      <c r="F231">
        <v>2.5730705638117901</v>
      </c>
      <c r="G231">
        <v>-263.51689086515074</v>
      </c>
      <c r="H231">
        <v>-228.27313147409953</v>
      </c>
      <c r="I231">
        <v>34.179081017360403</v>
      </c>
      <c r="J231">
        <v>19.767096987817599</v>
      </c>
      <c r="K231">
        <v>6.3088131064702599</v>
      </c>
      <c r="L231">
        <v>3.0830631115195628E-5</v>
      </c>
      <c r="M231">
        <v>1.8011223460286636E-6</v>
      </c>
      <c r="N231" s="1">
        <v>-2.0236712288027599E-7</v>
      </c>
      <c r="O231" s="1">
        <v>5.5550954921806998E-11</v>
      </c>
      <c r="P231" s="1">
        <v>7.2499122357968402E-10</v>
      </c>
      <c r="Q231">
        <v>64.652420202660807</v>
      </c>
      <c r="S231">
        <v>21.7528222613564</v>
      </c>
      <c r="AA231">
        <v>2.8605426976160002</v>
      </c>
      <c r="AB231">
        <v>8.7672263720230301</v>
      </c>
      <c r="AC231">
        <v>1.9669884663436601</v>
      </c>
      <c r="AJ231">
        <v>0.75306251730951901</v>
      </c>
      <c r="AK231">
        <v>0.135777571397767</v>
      </c>
      <c r="AL231">
        <v>0.11115991129271199</v>
      </c>
    </row>
    <row r="232" spans="1:38" x14ac:dyDescent="0.2">
      <c r="A232">
        <v>222</v>
      </c>
      <c r="B232">
        <v>758</v>
      </c>
      <c r="C232">
        <v>160</v>
      </c>
      <c r="D232">
        <v>0.426068467245311</v>
      </c>
      <c r="E232">
        <v>27.612936075717901</v>
      </c>
      <c r="F232">
        <v>2.5207797667712502</v>
      </c>
      <c r="G232">
        <v>-437.34847578298258</v>
      </c>
      <c r="H232">
        <v>-378.26750668258126</v>
      </c>
      <c r="I232">
        <v>57.2961926978628</v>
      </c>
      <c r="J232">
        <v>32.8243058587652</v>
      </c>
      <c r="K232">
        <v>10.954124767149301</v>
      </c>
      <c r="L232">
        <v>2.841332472965185E-5</v>
      </c>
      <c r="M232">
        <v>1.798586260720378E-6</v>
      </c>
      <c r="N232" s="1">
        <v>-1.49660953982988E-7</v>
      </c>
      <c r="O232" s="1">
        <v>1.04642599761655E-10</v>
      </c>
      <c r="P232" s="1">
        <v>6.5414608780146003E-10</v>
      </c>
      <c r="Q232">
        <v>65.974080598765795</v>
      </c>
      <c r="S232">
        <v>19.0590522059676</v>
      </c>
      <c r="AA232">
        <v>0.329763434745036</v>
      </c>
      <c r="AB232">
        <v>4.65040728594317</v>
      </c>
      <c r="AC232">
        <v>9.9866964745783502</v>
      </c>
      <c r="AJ232">
        <v>0.40781779092110498</v>
      </c>
      <c r="AK232">
        <v>1.59804301712566E-2</v>
      </c>
      <c r="AL232">
        <v>0.57620177890763802</v>
      </c>
    </row>
    <row r="233" spans="1:38" x14ac:dyDescent="0.2">
      <c r="A233">
        <v>223</v>
      </c>
      <c r="B233">
        <v>756</v>
      </c>
      <c r="C233">
        <v>160</v>
      </c>
      <c r="D233">
        <v>0.424817082058009</v>
      </c>
      <c r="E233">
        <v>17.6248464200984</v>
      </c>
      <c r="F233">
        <v>2.5740280107461402</v>
      </c>
      <c r="G233">
        <v>-286.08138985159502</v>
      </c>
      <c r="H233">
        <v>-247.93676127684856</v>
      </c>
      <c r="I233">
        <v>37.064206942376202</v>
      </c>
      <c r="J233">
        <v>21.4735923308906</v>
      </c>
      <c r="K233">
        <v>6.8471851691269698</v>
      </c>
      <c r="L233">
        <v>3.0873566843700647E-5</v>
      </c>
      <c r="M233">
        <v>1.8000066867265197E-6</v>
      </c>
      <c r="N233" s="1">
        <v>-2.33663998450375E-7</v>
      </c>
      <c r="O233" s="1">
        <v>6.0102538991426302E-11</v>
      </c>
      <c r="P233" s="1">
        <v>8.2742124990073596E-10</v>
      </c>
      <c r="Q233">
        <v>64.582421458874506</v>
      </c>
      <c r="S233">
        <v>21.810457328544</v>
      </c>
      <c r="AA233">
        <v>2.9244254681000701</v>
      </c>
      <c r="AB233">
        <v>8.7623357463801099</v>
      </c>
      <c r="AC233">
        <v>1.92035999810123</v>
      </c>
      <c r="AJ233">
        <v>0.75265970617530198</v>
      </c>
      <c r="AK233">
        <v>0.138812994919009</v>
      </c>
      <c r="AL233">
        <v>0.10852729890568701</v>
      </c>
    </row>
    <row r="234" spans="1:38" x14ac:dyDescent="0.2">
      <c r="A234">
        <v>223</v>
      </c>
      <c r="B234">
        <v>756</v>
      </c>
      <c r="C234">
        <v>160</v>
      </c>
      <c r="D234">
        <v>0.424817082058009</v>
      </c>
      <c r="E234">
        <v>31.737667546967302</v>
      </c>
      <c r="F234">
        <v>2.5207543549237799</v>
      </c>
      <c r="G234">
        <v>-502.41073388460291</v>
      </c>
      <c r="H234">
        <v>-434.73395922570182</v>
      </c>
      <c r="I234">
        <v>65.759874322402894</v>
      </c>
      <c r="J234">
        <v>37.723305876959003</v>
      </c>
      <c r="K234">
        <v>12.5905435747732</v>
      </c>
      <c r="L234">
        <v>2.8400469975616969E-5</v>
      </c>
      <c r="M234">
        <v>1.798244607928831E-6</v>
      </c>
      <c r="N234" s="1">
        <v>-1.8205557208826899E-7</v>
      </c>
      <c r="O234" s="1">
        <v>1.20245527875098E-10</v>
      </c>
      <c r="P234" s="1">
        <v>7.8071738318627602E-10</v>
      </c>
      <c r="Q234">
        <v>65.959982223704898</v>
      </c>
      <c r="S234">
        <v>19.048497134029201</v>
      </c>
      <c r="AA234">
        <v>0.32434505540390302</v>
      </c>
      <c r="AB234">
        <v>4.5913183197053797</v>
      </c>
      <c r="AC234">
        <v>10.075857267156399</v>
      </c>
      <c r="AJ234">
        <v>0.40275684029152697</v>
      </c>
      <c r="AK234">
        <v>1.57225720345231E-2</v>
      </c>
      <c r="AL234">
        <v>0.58152058767394899</v>
      </c>
    </row>
    <row r="235" spans="1:38" x14ac:dyDescent="0.2">
      <c r="A235">
        <v>224</v>
      </c>
      <c r="B235">
        <v>754</v>
      </c>
      <c r="C235">
        <v>160</v>
      </c>
      <c r="D235">
        <v>0.42356082363822201</v>
      </c>
      <c r="E235">
        <v>18.323373224945101</v>
      </c>
      <c r="F235">
        <v>2.5745973475920798</v>
      </c>
      <c r="G235">
        <v>-297.37180667633459</v>
      </c>
      <c r="H235">
        <v>-257.83872664090279</v>
      </c>
      <c r="I235">
        <v>38.488127377142398</v>
      </c>
      <c r="J235">
        <v>22.3386915983805</v>
      </c>
      <c r="K235">
        <v>7.1169859792181898</v>
      </c>
      <c r="L235">
        <v>3.0938286643756597E-5</v>
      </c>
      <c r="M235">
        <v>1.7997390766355136E-6</v>
      </c>
      <c r="N235" s="1">
        <v>-2.5868344172773902E-7</v>
      </c>
      <c r="O235" s="1">
        <v>6.23023610694614E-11</v>
      </c>
      <c r="P235" s="1">
        <v>9.0562604319378296E-10</v>
      </c>
      <c r="Q235">
        <v>64.550633600794797</v>
      </c>
      <c r="S235">
        <v>21.838672404101299</v>
      </c>
      <c r="AA235">
        <v>2.95512045644913</v>
      </c>
      <c r="AB235">
        <v>8.7654676978299904</v>
      </c>
      <c r="AC235">
        <v>1.8901058408246501</v>
      </c>
      <c r="AJ235">
        <v>0.75291651003965698</v>
      </c>
      <c r="AK235">
        <v>0.14026770957076901</v>
      </c>
      <c r="AL235">
        <v>0.106815780389573</v>
      </c>
    </row>
    <row r="236" spans="1:38" x14ac:dyDescent="0.2">
      <c r="A236">
        <v>224</v>
      </c>
      <c r="B236">
        <v>754</v>
      </c>
      <c r="C236">
        <v>160</v>
      </c>
      <c r="D236">
        <v>0.42356082363822201</v>
      </c>
      <c r="E236">
        <v>33.657516598001401</v>
      </c>
      <c r="F236">
        <v>2.5207608902112399</v>
      </c>
      <c r="G236">
        <v>-532.56553494021273</v>
      </c>
      <c r="H236">
        <v>-461.03017392478705</v>
      </c>
      <c r="I236">
        <v>69.644512501022902</v>
      </c>
      <c r="J236">
        <v>40.006211448369498</v>
      </c>
      <c r="K236">
        <v>13.3521258318082</v>
      </c>
      <c r="L236">
        <v>2.8404318441472584E-5</v>
      </c>
      <c r="M236">
        <v>1.7981417521533437E-6</v>
      </c>
      <c r="N236" s="1">
        <v>-2.0559571419486099E-7</v>
      </c>
      <c r="O236" s="1">
        <v>1.2745817758977401E-10</v>
      </c>
      <c r="P236" s="1">
        <v>8.6399723311519401E-10</v>
      </c>
      <c r="Q236">
        <v>65.952818565159305</v>
      </c>
      <c r="S236">
        <v>19.039827239547101</v>
      </c>
      <c r="AA236">
        <v>0.31886384547170898</v>
      </c>
      <c r="AB236">
        <v>4.5526252351885601</v>
      </c>
      <c r="AC236">
        <v>10.1358651146331</v>
      </c>
      <c r="AJ236">
        <v>0.39944116067612101</v>
      </c>
      <c r="AK236">
        <v>1.54599107825405E-2</v>
      </c>
      <c r="AL236">
        <v>0.58509892854133705</v>
      </c>
    </row>
    <row r="237" spans="1:38" x14ac:dyDescent="0.2">
      <c r="A237">
        <v>225</v>
      </c>
      <c r="B237">
        <v>752</v>
      </c>
      <c r="C237">
        <v>160</v>
      </c>
      <c r="D237">
        <v>0.42229966346388498</v>
      </c>
      <c r="E237">
        <v>18.7715839729665</v>
      </c>
      <c r="F237">
        <v>2.57501857083607</v>
      </c>
      <c r="G237">
        <v>-304.59021817846502</v>
      </c>
      <c r="H237">
        <v>-264.21548063178727</v>
      </c>
      <c r="I237">
        <v>39.384224305396998</v>
      </c>
      <c r="J237">
        <v>22.900991642829101</v>
      </c>
      <c r="K237">
        <v>7.2898829490272901</v>
      </c>
      <c r="L237">
        <v>3.1014511139841402E-5</v>
      </c>
      <c r="M237">
        <v>1.7998082768037867E-6</v>
      </c>
      <c r="N237" s="1">
        <v>-2.8237589378168102E-7</v>
      </c>
      <c r="O237" s="1">
        <v>6.3648612769247902E-11</v>
      </c>
      <c r="P237" s="1">
        <v>9.7773571328593207E-10</v>
      </c>
      <c r="Q237">
        <v>64.5335683433605</v>
      </c>
      <c r="S237">
        <v>21.855579314190599</v>
      </c>
      <c r="AA237">
        <v>2.97305077491098</v>
      </c>
      <c r="AB237">
        <v>8.7717623494873802</v>
      </c>
      <c r="AC237">
        <v>1.8660392180505001</v>
      </c>
      <c r="AJ237">
        <v>0.75343332200721602</v>
      </c>
      <c r="AK237">
        <v>0.14111431874404001</v>
      </c>
      <c r="AL237">
        <v>0.10545235924874299</v>
      </c>
    </row>
    <row r="238" spans="1:38" x14ac:dyDescent="0.2">
      <c r="A238">
        <v>225</v>
      </c>
      <c r="B238">
        <v>752</v>
      </c>
      <c r="C238">
        <v>160</v>
      </c>
      <c r="D238">
        <v>0.42229966346388498</v>
      </c>
      <c r="E238">
        <v>34.775743504530197</v>
      </c>
      <c r="F238">
        <v>2.5207803021021999</v>
      </c>
      <c r="G238">
        <v>-550.03337623889593</v>
      </c>
      <c r="H238">
        <v>-476.36112850981442</v>
      </c>
      <c r="I238">
        <v>71.864846831274804</v>
      </c>
      <c r="J238">
        <v>41.339043249458101</v>
      </c>
      <c r="K238">
        <v>13.795626487373299</v>
      </c>
      <c r="L238">
        <v>2.8415676310921421E-5</v>
      </c>
      <c r="M238">
        <v>1.7981315656963058E-6</v>
      </c>
      <c r="N238" s="1">
        <v>-2.2667945826545399E-7</v>
      </c>
      <c r="O238" s="1">
        <v>1.3161274889740001E-10</v>
      </c>
      <c r="P238" s="1">
        <v>9.3369492099126296E-10</v>
      </c>
      <c r="Q238">
        <v>65.9482174425724</v>
      </c>
      <c r="S238">
        <v>19.031914816240299</v>
      </c>
      <c r="AA238">
        <v>0.31340962428110303</v>
      </c>
      <c r="AB238">
        <v>4.5216284338217498</v>
      </c>
      <c r="AC238">
        <v>10.1848296830844</v>
      </c>
      <c r="AJ238">
        <v>0.39678405769810299</v>
      </c>
      <c r="AK238">
        <v>1.51978607971837E-2</v>
      </c>
      <c r="AL238">
        <v>0.58801808150471202</v>
      </c>
    </row>
    <row r="239" spans="1:38" x14ac:dyDescent="0.2">
      <c r="A239">
        <v>226</v>
      </c>
      <c r="B239">
        <v>750</v>
      </c>
      <c r="C239">
        <v>160</v>
      </c>
      <c r="D239">
        <v>0.42103357278991599</v>
      </c>
      <c r="E239">
        <v>19.103312860123602</v>
      </c>
      <c r="F239">
        <v>2.57538179006947</v>
      </c>
      <c r="G239">
        <v>-309.91362697721559</v>
      </c>
      <c r="H239">
        <v>-268.95255468438279</v>
      </c>
      <c r="I239">
        <v>40.034278740001703</v>
      </c>
      <c r="J239">
        <v>23.323212781259802</v>
      </c>
      <c r="K239">
        <v>7.4176624738844401</v>
      </c>
      <c r="L239">
        <v>3.1098426331067542E-5</v>
      </c>
      <c r="M239">
        <v>1.800018527304299E-6</v>
      </c>
      <c r="N239" s="1">
        <v>-3.0630241368912298E-7</v>
      </c>
      <c r="O239" s="1">
        <v>6.4589913932140102E-11</v>
      </c>
      <c r="P239" s="1">
        <v>1.04940789720358E-9</v>
      </c>
      <c r="Q239">
        <v>64.522266320511505</v>
      </c>
      <c r="S239">
        <v>21.868044205235901</v>
      </c>
      <c r="AA239">
        <v>2.98597161017691</v>
      </c>
      <c r="AB239">
        <v>8.7792547299805008</v>
      </c>
      <c r="AC239">
        <v>1.8444631340950599</v>
      </c>
      <c r="AJ239">
        <v>0.754048565226624</v>
      </c>
      <c r="AK239">
        <v>0.14172228055112199</v>
      </c>
      <c r="AL239">
        <v>0.104229154222253</v>
      </c>
    </row>
    <row r="240" spans="1:38" x14ac:dyDescent="0.2">
      <c r="A240">
        <v>226</v>
      </c>
      <c r="B240">
        <v>750</v>
      </c>
      <c r="C240">
        <v>160</v>
      </c>
      <c r="D240">
        <v>0.42103357278991599</v>
      </c>
      <c r="E240">
        <v>35.545151357207203</v>
      </c>
      <c r="F240">
        <v>2.52080607488623</v>
      </c>
      <c r="G240">
        <v>-561.97943540264566</v>
      </c>
      <c r="H240">
        <v>-486.92086178850246</v>
      </c>
      <c r="I240">
        <v>73.360283061274501</v>
      </c>
      <c r="J240">
        <v>42.259062734677499</v>
      </c>
      <c r="K240">
        <v>14.100708385039599</v>
      </c>
      <c r="L240">
        <v>2.843119268052415E-5</v>
      </c>
      <c r="M240">
        <v>1.7981603769549297E-6</v>
      </c>
      <c r="N240" s="1">
        <v>-2.4739082252083798E-7</v>
      </c>
      <c r="O240" s="1">
        <v>1.3443114235397899E-10</v>
      </c>
      <c r="P240" s="1">
        <v>9.9943920219351793E-10</v>
      </c>
      <c r="Q240">
        <v>65.9445572964528</v>
      </c>
      <c r="S240">
        <v>19.024349057076702</v>
      </c>
      <c r="AA240">
        <v>0.30802184056361698</v>
      </c>
      <c r="AB240">
        <v>4.4936373731803601</v>
      </c>
      <c r="AC240">
        <v>10.2294344327264</v>
      </c>
      <c r="AJ240">
        <v>0.39438389672655499</v>
      </c>
      <c r="AK240">
        <v>1.4938722255879999E-2</v>
      </c>
      <c r="AL240">
        <v>0.59067738101756395</v>
      </c>
    </row>
    <row r="241" spans="1:38" x14ac:dyDescent="0.2">
      <c r="A241">
        <v>227</v>
      </c>
      <c r="B241">
        <v>748</v>
      </c>
      <c r="C241">
        <v>160</v>
      </c>
      <c r="D241">
        <v>0.41976252264603803</v>
      </c>
      <c r="E241">
        <v>19.364463832003999</v>
      </c>
      <c r="F241">
        <v>2.5756912701213999</v>
      </c>
      <c r="G241">
        <v>-314.08778529825571</v>
      </c>
      <c r="H241">
        <v>-272.69525295676237</v>
      </c>
      <c r="I241">
        <v>40.535212595106799</v>
      </c>
      <c r="J241">
        <v>23.661292550986101</v>
      </c>
      <c r="K241">
        <v>7.5181618451854701</v>
      </c>
      <c r="L241">
        <v>3.1190299521195421E-5</v>
      </c>
      <c r="M241">
        <v>1.8003639828730152E-6</v>
      </c>
      <c r="N241" s="1">
        <v>-3.3106884819630101E-7</v>
      </c>
      <c r="O241" s="1">
        <v>6.5282953104978795E-11</v>
      </c>
      <c r="P241" s="1">
        <v>1.12277430450205E-9</v>
      </c>
      <c r="Q241">
        <v>64.5163817380718</v>
      </c>
      <c r="S241">
        <v>21.876354680388701</v>
      </c>
      <c r="AA241">
        <v>2.9942009241353298</v>
      </c>
      <c r="AB241">
        <v>8.7879282445809306</v>
      </c>
      <c r="AC241">
        <v>1.82513441282308</v>
      </c>
      <c r="AJ241">
        <v>0.75476084968452395</v>
      </c>
      <c r="AK241">
        <v>0.14210671262489399</v>
      </c>
      <c r="AL241">
        <v>0.10313243769058</v>
      </c>
    </row>
    <row r="242" spans="1:38" x14ac:dyDescent="0.2">
      <c r="A242">
        <v>227</v>
      </c>
      <c r="B242">
        <v>748</v>
      </c>
      <c r="C242">
        <v>160</v>
      </c>
      <c r="D242">
        <v>0.41976252264603803</v>
      </c>
      <c r="E242">
        <v>36.068650918272397</v>
      </c>
      <c r="F242">
        <v>2.5208374080245002</v>
      </c>
      <c r="G242">
        <v>-570.03653481654146</v>
      </c>
      <c r="H242">
        <v>-494.11843290030481</v>
      </c>
      <c r="I242">
        <v>74.345690560874203</v>
      </c>
      <c r="J242">
        <v>42.888612490548198</v>
      </c>
      <c r="K242">
        <v>14.3082020297922</v>
      </c>
      <c r="L242">
        <v>2.8450870553999877E-5</v>
      </c>
      <c r="M242">
        <v>1.7982257159984587E-6</v>
      </c>
      <c r="N242" s="1">
        <v>-2.6818611626927401E-7</v>
      </c>
      <c r="O242" s="1">
        <v>1.36303890540058E-10</v>
      </c>
      <c r="P242" s="1">
        <v>1.0633619690469099E-9</v>
      </c>
      <c r="Q242">
        <v>65.941757939211499</v>
      </c>
      <c r="S242">
        <v>19.017096861454299</v>
      </c>
      <c r="AA242">
        <v>0.30269189666116902</v>
      </c>
      <c r="AB242">
        <v>4.4683865819897797</v>
      </c>
      <c r="AC242">
        <v>10.270066720683101</v>
      </c>
      <c r="AJ242">
        <v>0.39221812456933802</v>
      </c>
      <c r="AK242">
        <v>1.46821110538251E-2</v>
      </c>
      <c r="AL242">
        <v>0.59309976437683598</v>
      </c>
    </row>
    <row r="243" spans="1:38" x14ac:dyDescent="0.2">
      <c r="A243">
        <v>228</v>
      </c>
      <c r="B243">
        <v>746</v>
      </c>
      <c r="C243">
        <v>160</v>
      </c>
      <c r="D243">
        <v>0.41848648383456999</v>
      </c>
      <c r="E243">
        <v>19.583503758769901</v>
      </c>
      <c r="F243">
        <v>2.5759708076777001</v>
      </c>
      <c r="G243">
        <v>-317.57599862788254</v>
      </c>
      <c r="H243">
        <v>-275.84496175943838</v>
      </c>
      <c r="I243">
        <v>40.946903663292098</v>
      </c>
      <c r="J243">
        <v>23.949925569770802</v>
      </c>
      <c r="K243">
        <v>7.6023779851856803</v>
      </c>
      <c r="L243">
        <v>3.1289396308006931E-5</v>
      </c>
      <c r="M243">
        <v>1.800793222142112E-6</v>
      </c>
      <c r="N243" s="1">
        <v>-3.57110606241496E-7</v>
      </c>
      <c r="O243" s="1">
        <v>6.5821555278031894E-11</v>
      </c>
      <c r="P243" s="1">
        <v>1.19932223620038E-9</v>
      </c>
      <c r="Q243">
        <v>64.513531301132204</v>
      </c>
      <c r="S243">
        <v>21.8823315205317</v>
      </c>
      <c r="AA243">
        <v>2.99979698894311</v>
      </c>
      <c r="AB243">
        <v>8.7972452621723392</v>
      </c>
      <c r="AC243">
        <v>1.8070949272205299</v>
      </c>
      <c r="AJ243">
        <v>0.75552596367514002</v>
      </c>
      <c r="AK243">
        <v>0.14236569370635499</v>
      </c>
      <c r="AL243">
        <v>0.102108342618503</v>
      </c>
    </row>
    <row r="244" spans="1:38" x14ac:dyDescent="0.2">
      <c r="A244">
        <v>228</v>
      </c>
      <c r="B244">
        <v>746</v>
      </c>
      <c r="C244">
        <v>160</v>
      </c>
      <c r="D244">
        <v>0.41848648383456999</v>
      </c>
      <c r="E244">
        <v>36.449998844350503</v>
      </c>
      <c r="F244">
        <v>2.5208726622076201</v>
      </c>
      <c r="G244">
        <v>-575.84561413766232</v>
      </c>
      <c r="H244">
        <v>-499.37253195762997</v>
      </c>
      <c r="I244">
        <v>75.036140097171398</v>
      </c>
      <c r="J244">
        <v>43.3507815013201</v>
      </c>
      <c r="K244">
        <v>14.459278086831199</v>
      </c>
      <c r="L244">
        <v>2.8473942614657644E-5</v>
      </c>
      <c r="M244">
        <v>1.7983138982828112E-6</v>
      </c>
      <c r="N244" s="1">
        <v>-2.8959382627557798E-7</v>
      </c>
      <c r="O244" s="1">
        <v>1.3762547045624499E-10</v>
      </c>
      <c r="P244" s="1">
        <v>1.1278044808706E-9</v>
      </c>
      <c r="Q244">
        <v>65.9393954324714</v>
      </c>
      <c r="S244">
        <v>19.010050678426602</v>
      </c>
      <c r="AA244">
        <v>0.29742998216643901</v>
      </c>
      <c r="AB244">
        <v>4.4446493775186502</v>
      </c>
      <c r="AC244">
        <v>10.308474529416801</v>
      </c>
      <c r="AJ244">
        <v>0.39018166830052498</v>
      </c>
      <c r="AK244">
        <v>1.4428623130760401E-2</v>
      </c>
      <c r="AL244">
        <v>0.59538970856871398</v>
      </c>
    </row>
    <row r="245" spans="1:38" x14ac:dyDescent="0.2">
      <c r="A245">
        <v>229</v>
      </c>
      <c r="B245">
        <v>744</v>
      </c>
      <c r="C245">
        <v>160</v>
      </c>
      <c r="D245">
        <v>0.41720542692818402</v>
      </c>
      <c r="E245">
        <v>19.7746760373205</v>
      </c>
      <c r="F245">
        <v>2.5762299830942701</v>
      </c>
      <c r="G245">
        <v>-320.6100128319311</v>
      </c>
      <c r="H245">
        <v>-278.60239227962455</v>
      </c>
      <c r="I245">
        <v>41.299336924058899</v>
      </c>
      <c r="J245">
        <v>24.206543261887798</v>
      </c>
      <c r="K245">
        <v>7.6758193822313503</v>
      </c>
      <c r="L245">
        <v>3.1395684703354622E-5</v>
      </c>
      <c r="M245">
        <v>1.8012864419556377E-6</v>
      </c>
      <c r="N245" s="1">
        <v>-3.8471575067571398E-7</v>
      </c>
      <c r="O245" s="1">
        <v>6.6252415355670094E-11</v>
      </c>
      <c r="P245" s="1">
        <v>1.2799870921650099E-9</v>
      </c>
      <c r="Q245">
        <v>64.512761461377707</v>
      </c>
      <c r="S245">
        <v>21.886704434412099</v>
      </c>
      <c r="AA245">
        <v>3.0035843192519001</v>
      </c>
      <c r="AB245">
        <v>8.8069938778117507</v>
      </c>
      <c r="AC245">
        <v>1.78995590714641</v>
      </c>
      <c r="AJ245">
        <v>0.75632647803655295</v>
      </c>
      <c r="AK245">
        <v>0.14253851470402301</v>
      </c>
      <c r="AL245">
        <v>0.101135007259423</v>
      </c>
    </row>
    <row r="246" spans="1:38" x14ac:dyDescent="0.2">
      <c r="A246">
        <v>229</v>
      </c>
      <c r="B246">
        <v>744</v>
      </c>
      <c r="C246">
        <v>160</v>
      </c>
      <c r="D246">
        <v>0.41720542692818402</v>
      </c>
      <c r="E246">
        <v>36.736551871213997</v>
      </c>
      <c r="F246">
        <v>2.5209111434029601</v>
      </c>
      <c r="G246">
        <v>-580.15598632279443</v>
      </c>
      <c r="H246">
        <v>-503.33072764155105</v>
      </c>
      <c r="I246">
        <v>75.529920543915296</v>
      </c>
      <c r="J246">
        <v>43.701801712448599</v>
      </c>
      <c r="K246">
        <v>14.572727788264499</v>
      </c>
      <c r="L246">
        <v>2.8500201444427689E-5</v>
      </c>
      <c r="M246">
        <v>1.7984197092033244E-6</v>
      </c>
      <c r="N246" s="1">
        <v>-3.1189097830956298E-7</v>
      </c>
      <c r="O246" s="1">
        <v>1.3857561018856599E-10</v>
      </c>
      <c r="P246" s="1">
        <v>1.1939299506949099E-9</v>
      </c>
      <c r="Q246">
        <v>65.9373003359661</v>
      </c>
      <c r="S246">
        <v>19.003165722685601</v>
      </c>
      <c r="AA246">
        <v>0.292238685311484</v>
      </c>
      <c r="AB246">
        <v>4.4219307607106897</v>
      </c>
      <c r="AC246">
        <v>10.345364495326001</v>
      </c>
      <c r="AJ246">
        <v>0.38823213914284899</v>
      </c>
      <c r="AK246">
        <v>1.4178426709935601E-2</v>
      </c>
      <c r="AL246">
        <v>0.59758943414721499</v>
      </c>
    </row>
    <row r="247" spans="1:38" x14ac:dyDescent="0.2">
      <c r="A247">
        <v>231</v>
      </c>
      <c r="B247">
        <v>774</v>
      </c>
      <c r="C247">
        <v>150</v>
      </c>
      <c r="D247">
        <v>0.44641216635630598</v>
      </c>
      <c r="E247">
        <v>0.51472151020783397</v>
      </c>
      <c r="F247">
        <v>2.5764983972634101</v>
      </c>
      <c r="G247">
        <v>-8.3888626963084896</v>
      </c>
      <c r="H247">
        <v>-7.2442323281821679</v>
      </c>
      <c r="I247">
        <v>1.0930911217364401</v>
      </c>
      <c r="J247">
        <v>0.62533020500472003</v>
      </c>
      <c r="K247">
        <v>0.19977559883388099</v>
      </c>
      <c r="L247">
        <v>3.0411671139995067E-5</v>
      </c>
      <c r="M247">
        <v>1.7942210660426694E-6</v>
      </c>
      <c r="N247" s="1">
        <v>-3.9639704110958401E-9</v>
      </c>
      <c r="O247" s="1">
        <v>1.76598910082165E-12</v>
      </c>
      <c r="P247" s="1">
        <v>1.5891614388545E-11</v>
      </c>
      <c r="Q247">
        <v>64.348564897953096</v>
      </c>
      <c r="S247">
        <v>22.0762403146094</v>
      </c>
      <c r="AA247">
        <v>3.1982663844711601</v>
      </c>
      <c r="AB247">
        <v>8.9379835913708003</v>
      </c>
      <c r="AC247">
        <v>1.43894481159536</v>
      </c>
      <c r="AJ247">
        <v>0.76707288893011105</v>
      </c>
      <c r="AK247">
        <v>0.15167796882253001</v>
      </c>
      <c r="AL247">
        <v>8.1249142247358699E-2</v>
      </c>
    </row>
    <row r="248" spans="1:38" x14ac:dyDescent="0.2">
      <c r="A248">
        <v>232</v>
      </c>
      <c r="B248">
        <v>772</v>
      </c>
      <c r="C248">
        <v>150</v>
      </c>
      <c r="D248">
        <v>0.44521886810505501</v>
      </c>
      <c r="E248">
        <v>1.18867851677283</v>
      </c>
      <c r="F248">
        <v>2.57570715191479</v>
      </c>
      <c r="G248">
        <v>-19.364875157498254</v>
      </c>
      <c r="H248">
        <v>-16.729026335965891</v>
      </c>
      <c r="I248">
        <v>2.52198136299321</v>
      </c>
      <c r="J248">
        <v>1.44464442169423</v>
      </c>
      <c r="K248">
        <v>0.46149598796166003</v>
      </c>
      <c r="L248">
        <v>3.0494810443234881E-5</v>
      </c>
      <c r="M248">
        <v>1.7965456728213926E-6</v>
      </c>
      <c r="N248" s="1">
        <v>-9.7682205285664403E-9</v>
      </c>
      <c r="O248" s="1">
        <v>4.08071194214701E-12</v>
      </c>
      <c r="P248" s="1">
        <v>3.8484303650133997E-11</v>
      </c>
      <c r="Q248">
        <v>64.442189895040002</v>
      </c>
      <c r="S248">
        <v>22.0030695251839</v>
      </c>
      <c r="AA248">
        <v>3.1160536208516398</v>
      </c>
      <c r="AB248">
        <v>8.9547951400765502</v>
      </c>
      <c r="AC248">
        <v>1.4838918188477499</v>
      </c>
      <c r="AJ248">
        <v>0.76845285897009297</v>
      </c>
      <c r="AK248">
        <v>0.14776694292171999</v>
      </c>
      <c r="AL248">
        <v>8.3780198108185794E-2</v>
      </c>
    </row>
    <row r="249" spans="1:38" x14ac:dyDescent="0.2">
      <c r="A249">
        <v>233</v>
      </c>
      <c r="B249">
        <v>770</v>
      </c>
      <c r="C249">
        <v>150</v>
      </c>
      <c r="D249">
        <v>0.44402099410439499</v>
      </c>
      <c r="E249">
        <v>1.86400263999149</v>
      </c>
      <c r="F249">
        <v>2.5749333800188001</v>
      </c>
      <c r="G249">
        <v>-30.353940361882433</v>
      </c>
      <c r="H249">
        <v>-26.232409330853081</v>
      </c>
      <c r="I249">
        <v>3.9510435038387</v>
      </c>
      <c r="J249">
        <v>2.2662639068837902</v>
      </c>
      <c r="K249">
        <v>0.72390324909216897</v>
      </c>
      <c r="L249">
        <v>3.0578016577738278E-5</v>
      </c>
      <c r="M249">
        <v>1.798782928760551E-6</v>
      </c>
      <c r="N249" s="1">
        <v>-1.63348541418227E-8</v>
      </c>
      <c r="O249" s="1">
        <v>6.4020982648075998E-12</v>
      </c>
      <c r="P249" s="1">
        <v>6.3301415358265998E-11</v>
      </c>
      <c r="Q249">
        <v>64.532192633837795</v>
      </c>
      <c r="S249">
        <v>21.932068302044701</v>
      </c>
      <c r="AA249">
        <v>3.0364759760851698</v>
      </c>
      <c r="AB249">
        <v>8.9692224804851008</v>
      </c>
      <c r="AC249">
        <v>1.53004060754713</v>
      </c>
      <c r="AJ249">
        <v>0.76963709127170699</v>
      </c>
      <c r="AK249">
        <v>0.143983203684446</v>
      </c>
      <c r="AL249">
        <v>8.6379705043846094E-2</v>
      </c>
    </row>
    <row r="250" spans="1:38" x14ac:dyDescent="0.2">
      <c r="A250">
        <v>234</v>
      </c>
      <c r="B250">
        <v>768</v>
      </c>
      <c r="C250">
        <v>150</v>
      </c>
      <c r="D250">
        <v>0.442818517984921</v>
      </c>
      <c r="E250">
        <v>3.5767610282927298</v>
      </c>
      <c r="F250">
        <v>2.5729432274029298</v>
      </c>
      <c r="G250">
        <v>-58.201063952343048</v>
      </c>
      <c r="H250">
        <v>-50.314246988973601</v>
      </c>
      <c r="I250">
        <v>7.5751015351961204</v>
      </c>
      <c r="J250">
        <v>4.3498344329426901</v>
      </c>
      <c r="K250">
        <v>1.39014378171998</v>
      </c>
      <c r="L250">
        <v>3.0674249548549981E-5</v>
      </c>
      <c r="M250">
        <v>1.8025613010640319E-6</v>
      </c>
      <c r="N250" s="1">
        <v>-3.3310603964173E-8</v>
      </c>
      <c r="O250" s="1">
        <v>1.2318099664917899E-11</v>
      </c>
      <c r="P250" s="1">
        <v>1.2714097373117501E-10</v>
      </c>
      <c r="Q250">
        <v>64.705482675141994</v>
      </c>
      <c r="S250">
        <v>21.781095585699202</v>
      </c>
      <c r="AA250">
        <v>2.87148707715148</v>
      </c>
      <c r="AB250">
        <v>8.9595954423988502</v>
      </c>
      <c r="AC250">
        <v>1.68233921960835</v>
      </c>
      <c r="AJ250">
        <v>0.76885049656938598</v>
      </c>
      <c r="AK250">
        <v>0.13616677619429701</v>
      </c>
      <c r="AL250">
        <v>9.4982727236316303E-2</v>
      </c>
    </row>
    <row r="251" spans="1:38" x14ac:dyDescent="0.2">
      <c r="A251">
        <v>235</v>
      </c>
      <c r="B251">
        <v>766</v>
      </c>
      <c r="C251">
        <v>150</v>
      </c>
      <c r="D251">
        <v>0.44161141317423203</v>
      </c>
      <c r="E251">
        <v>5.4927630335397897</v>
      </c>
      <c r="F251">
        <v>2.5706154445593699</v>
      </c>
      <c r="G251">
        <v>-89.298014513749735</v>
      </c>
      <c r="H251">
        <v>-77.220247630537557</v>
      </c>
      <c r="I251">
        <v>11.622736739847101</v>
      </c>
      <c r="J251">
        <v>6.6810896666583002</v>
      </c>
      <c r="K251">
        <v>2.1367501876506001</v>
      </c>
      <c r="L251">
        <v>3.0758238259112417E-5</v>
      </c>
      <c r="M251">
        <v>1.8062728164136742E-6</v>
      </c>
      <c r="N251" s="1">
        <v>-5.4169299027356702E-8</v>
      </c>
      <c r="O251" s="1">
        <v>1.8977573778455099E-11</v>
      </c>
      <c r="P251" s="1">
        <v>2.03919251754122E-10</v>
      </c>
      <c r="Q251">
        <v>64.885276782165903</v>
      </c>
      <c r="S251">
        <v>21.615109048522999</v>
      </c>
      <c r="AA251">
        <v>2.6925939874838201</v>
      </c>
      <c r="AB251">
        <v>8.9251016827972993</v>
      </c>
      <c r="AC251">
        <v>1.8819184990298701</v>
      </c>
      <c r="AJ251">
        <v>0.76602467908913696</v>
      </c>
      <c r="AK251">
        <v>0.12770598492348201</v>
      </c>
      <c r="AL251">
        <v>0.10626933598738</v>
      </c>
    </row>
    <row r="252" spans="1:38" x14ac:dyDescent="0.2">
      <c r="A252">
        <v>236</v>
      </c>
      <c r="B252">
        <v>764</v>
      </c>
      <c r="C252">
        <v>150</v>
      </c>
      <c r="D252">
        <v>0.44039965289495597</v>
      </c>
      <c r="E252">
        <v>7.55018234472315</v>
      </c>
      <c r="F252">
        <v>2.5679291918314999</v>
      </c>
      <c r="G252">
        <v>-122.61471518254966</v>
      </c>
      <c r="H252">
        <v>-106.06056237675291</v>
      </c>
      <c r="I252">
        <v>15.9611944326247</v>
      </c>
      <c r="J252">
        <v>9.1837380638085602</v>
      </c>
      <c r="K252">
        <v>2.9401832296388899</v>
      </c>
      <c r="L252">
        <v>3.0821162613926693E-5</v>
      </c>
      <c r="M252">
        <v>1.8097029256110887E-6</v>
      </c>
      <c r="N252" s="1">
        <v>-7.8472997597868101E-8</v>
      </c>
      <c r="O252" s="1">
        <v>2.6183593754689599E-11</v>
      </c>
      <c r="P252" s="1">
        <v>2.9179551918757398E-10</v>
      </c>
      <c r="Q252">
        <v>65.064987222621099</v>
      </c>
      <c r="S252">
        <v>21.436190377911998</v>
      </c>
      <c r="AA252">
        <v>2.5030512777679599</v>
      </c>
      <c r="AB252">
        <v>8.8565182076421198</v>
      </c>
      <c r="AC252">
        <v>2.1392529140566499</v>
      </c>
      <c r="AJ252">
        <v>0.760400488895977</v>
      </c>
      <c r="AK252">
        <v>0.118757187744596</v>
      </c>
      <c r="AL252">
        <v>0.12084232335942501</v>
      </c>
    </row>
    <row r="253" spans="1:38" x14ac:dyDescent="0.2">
      <c r="A253">
        <v>237</v>
      </c>
      <c r="B253">
        <v>762</v>
      </c>
      <c r="C253">
        <v>150</v>
      </c>
      <c r="D253">
        <v>0.439183210162781</v>
      </c>
      <c r="E253">
        <v>14.107763833051401</v>
      </c>
      <c r="F253">
        <v>2.57067366679926</v>
      </c>
      <c r="G253">
        <v>-229.11590352521193</v>
      </c>
      <c r="H253">
        <v>-198.29115696406976</v>
      </c>
      <c r="I253">
        <v>29.7780481680356</v>
      </c>
      <c r="J253">
        <v>17.1605333647998</v>
      </c>
      <c r="K253">
        <v>5.4879637253284601</v>
      </c>
      <c r="L253">
        <v>3.0736910420957365E-5</v>
      </c>
      <c r="M253">
        <v>1.8038638767696724E-6</v>
      </c>
      <c r="N253" s="1">
        <v>-1.5409486225072099E-7</v>
      </c>
      <c r="O253" s="1">
        <v>4.8613899054524601E-11</v>
      </c>
      <c r="P253" s="1">
        <v>5.66940085028279E-10</v>
      </c>
      <c r="Q253">
        <v>64.790206968222293</v>
      </c>
      <c r="S253">
        <v>21.637955928301899</v>
      </c>
      <c r="AA253">
        <v>2.73362613863089</v>
      </c>
      <c r="AB253">
        <v>8.7731397655011598</v>
      </c>
      <c r="AC253">
        <v>2.0650711993436399</v>
      </c>
      <c r="AJ253">
        <v>0.75355034696543</v>
      </c>
      <c r="AK253">
        <v>0.12974993076109001</v>
      </c>
      <c r="AL253">
        <v>0.116699722273478</v>
      </c>
    </row>
    <row r="254" spans="1:38" x14ac:dyDescent="0.2">
      <c r="A254">
        <v>237</v>
      </c>
      <c r="B254">
        <v>762</v>
      </c>
      <c r="C254">
        <v>150</v>
      </c>
      <c r="D254">
        <v>0.439183210162781</v>
      </c>
      <c r="E254">
        <v>20.7312771636769</v>
      </c>
      <c r="F254">
        <v>2.52045396910902</v>
      </c>
      <c r="G254">
        <v>-328.81428194657485</v>
      </c>
      <c r="H254">
        <v>-284.1502200829845</v>
      </c>
      <c r="I254">
        <v>43.147429709308099</v>
      </c>
      <c r="J254">
        <v>24.6519033215157</v>
      </c>
      <c r="K254">
        <v>8.2252155436131495</v>
      </c>
      <c r="L254">
        <v>2.8445089888946929E-5</v>
      </c>
      <c r="M254">
        <v>1.8001028062141233E-6</v>
      </c>
      <c r="N254" s="1">
        <v>-9.9724220716323896E-8</v>
      </c>
      <c r="O254" s="1">
        <v>7.8585320788560205E-11</v>
      </c>
      <c r="P254" s="1">
        <v>4.5466685937381302E-10</v>
      </c>
      <c r="Q254">
        <v>66.006661106323193</v>
      </c>
      <c r="S254">
        <v>19.0837961031269</v>
      </c>
      <c r="AA254">
        <v>0.34257518722429903</v>
      </c>
      <c r="AB254">
        <v>4.7878805434672103</v>
      </c>
      <c r="AC254">
        <v>9.7790870598582504</v>
      </c>
      <c r="AJ254">
        <v>0.41958058295925099</v>
      </c>
      <c r="AK254">
        <v>1.6589709063047998E-2</v>
      </c>
      <c r="AL254">
        <v>0.56382970797770005</v>
      </c>
    </row>
    <row r="255" spans="1:38" x14ac:dyDescent="0.2">
      <c r="A255">
        <v>238</v>
      </c>
      <c r="B255">
        <v>760</v>
      </c>
      <c r="C255">
        <v>150</v>
      </c>
      <c r="D255">
        <v>0.43796205778444602</v>
      </c>
      <c r="E255">
        <v>16.753625143114999</v>
      </c>
      <c r="F255">
        <v>2.5725891278458501</v>
      </c>
      <c r="G255">
        <v>-272.09826780856247</v>
      </c>
      <c r="H255">
        <v>-235.612488508529</v>
      </c>
      <c r="I255">
        <v>35.315084256916698</v>
      </c>
      <c r="J255">
        <v>20.386595300162401</v>
      </c>
      <c r="K255">
        <v>6.5123594598814103</v>
      </c>
      <c r="L255">
        <v>3.0731628403257111E-5</v>
      </c>
      <c r="M255">
        <v>1.800744244617841E-6</v>
      </c>
      <c r="N255" s="1">
        <v>-1.94063157681076E-7</v>
      </c>
      <c r="O255" s="1">
        <v>5.7441727929313901E-11</v>
      </c>
      <c r="P255" s="1">
        <v>7.0538940843856997E-10</v>
      </c>
      <c r="Q255">
        <v>64.628594519406803</v>
      </c>
      <c r="S255">
        <v>21.766934850866999</v>
      </c>
      <c r="AA255">
        <v>2.8777451259329601</v>
      </c>
      <c r="AB255">
        <v>8.7511301025373793</v>
      </c>
      <c r="AC255">
        <v>1.9755954012557799</v>
      </c>
      <c r="AJ255">
        <v>0.75173981322059202</v>
      </c>
      <c r="AK255">
        <v>0.13660497889835399</v>
      </c>
      <c r="AL255">
        <v>0.111655207881052</v>
      </c>
    </row>
    <row r="256" spans="1:38" x14ac:dyDescent="0.2">
      <c r="A256">
        <v>238</v>
      </c>
      <c r="B256">
        <v>760</v>
      </c>
      <c r="C256">
        <v>150</v>
      </c>
      <c r="D256">
        <v>0.43796205778444602</v>
      </c>
      <c r="E256">
        <v>29.454874988887902</v>
      </c>
      <c r="F256">
        <v>2.5203331497874601</v>
      </c>
      <c r="G256">
        <v>-466.8241520938754</v>
      </c>
      <c r="H256">
        <v>-403.59660807666961</v>
      </c>
      <c r="I256">
        <v>61.198803675367301</v>
      </c>
      <c r="J256">
        <v>35.010090450661799</v>
      </c>
      <c r="K256">
        <v>11.686897421228499</v>
      </c>
      <c r="L256">
        <v>2.8391851462054922E-5</v>
      </c>
      <c r="M256">
        <v>1.7991583278996347E-6</v>
      </c>
      <c r="N256" s="1">
        <v>-1.47573322604185E-7</v>
      </c>
      <c r="O256" s="1">
        <v>1.11691283119105E-10</v>
      </c>
      <c r="P256" s="1">
        <v>6.6277846617954595E-10</v>
      </c>
      <c r="Q256">
        <v>65.975193905861204</v>
      </c>
      <c r="S256">
        <v>19.0681994825913</v>
      </c>
      <c r="AA256">
        <v>0.33705025662943</v>
      </c>
      <c r="AB256">
        <v>4.6768690060084301</v>
      </c>
      <c r="AC256">
        <v>9.9426873489095193</v>
      </c>
      <c r="AJ256">
        <v>0.41008320032089102</v>
      </c>
      <c r="AK256">
        <v>1.63313552000195E-2</v>
      </c>
      <c r="AL256">
        <v>0.57358544447908899</v>
      </c>
    </row>
    <row r="257" spans="1:38" x14ac:dyDescent="0.2">
      <c r="A257">
        <v>239</v>
      </c>
      <c r="B257">
        <v>758</v>
      </c>
      <c r="C257">
        <v>150</v>
      </c>
      <c r="D257">
        <v>0.43673616835572199</v>
      </c>
      <c r="E257">
        <v>17.7647111489912</v>
      </c>
      <c r="F257">
        <v>2.5734423758847802</v>
      </c>
      <c r="G257">
        <v>-288.48538806000221</v>
      </c>
      <c r="H257">
        <v>-249.91900622574732</v>
      </c>
      <c r="I257">
        <v>37.401330392527498</v>
      </c>
      <c r="J257">
        <v>21.6279122058782</v>
      </c>
      <c r="K257">
        <v>6.9030926495424199</v>
      </c>
      <c r="L257">
        <v>3.0774859483348723E-5</v>
      </c>
      <c r="M257">
        <v>1.7998455687534363E-6</v>
      </c>
      <c r="N257" s="1">
        <v>-2.1889009304103101E-7</v>
      </c>
      <c r="O257" s="1">
        <v>6.0715376112267206E-11</v>
      </c>
      <c r="P257" s="1">
        <v>7.85887262935693E-10</v>
      </c>
      <c r="Q257">
        <v>64.569081287820396</v>
      </c>
      <c r="S257">
        <v>21.816597092627401</v>
      </c>
      <c r="AA257">
        <v>2.9326035828786399</v>
      </c>
      <c r="AB257">
        <v>8.7487040802259504</v>
      </c>
      <c r="AC257">
        <v>1.9330139564475</v>
      </c>
      <c r="AJ257">
        <v>0.751539593767661</v>
      </c>
      <c r="AK257">
        <v>0.13921059504530101</v>
      </c>
      <c r="AL257">
        <v>0.109249811187036</v>
      </c>
    </row>
    <row r="258" spans="1:38" x14ac:dyDescent="0.2">
      <c r="A258">
        <v>239</v>
      </c>
      <c r="B258">
        <v>758</v>
      </c>
      <c r="C258">
        <v>150</v>
      </c>
      <c r="D258">
        <v>0.43673616835572199</v>
      </c>
      <c r="E258">
        <v>32.558472551875496</v>
      </c>
      <c r="F258">
        <v>2.52030996744723</v>
      </c>
      <c r="G258">
        <v>-515.74937230607793</v>
      </c>
      <c r="H258">
        <v>-446.09328250924045</v>
      </c>
      <c r="I258">
        <v>67.551849679326494</v>
      </c>
      <c r="J258">
        <v>38.695259141937797</v>
      </c>
      <c r="K258">
        <v>12.918439784156099</v>
      </c>
      <c r="L258">
        <v>2.8381473120243956E-5</v>
      </c>
      <c r="M258">
        <v>1.7988761366482926E-6</v>
      </c>
      <c r="N258" s="1">
        <v>-1.7301758339694099E-7</v>
      </c>
      <c r="O258" s="1">
        <v>1.2343065835576799E-10</v>
      </c>
      <c r="P258" s="1">
        <v>7.6112601832088497E-10</v>
      </c>
      <c r="Q258">
        <v>65.963137497601295</v>
      </c>
      <c r="S258">
        <v>19.057941544105201</v>
      </c>
      <c r="AA258">
        <v>0.331400550391243</v>
      </c>
      <c r="AB258">
        <v>4.6231094272756099</v>
      </c>
      <c r="AC258">
        <v>10.0244109806265</v>
      </c>
      <c r="AJ258">
        <v>0.40548007896624799</v>
      </c>
      <c r="AK258">
        <v>1.6061990508843701E-2</v>
      </c>
      <c r="AL258">
        <v>0.57845793052490702</v>
      </c>
    </row>
    <row r="259" spans="1:38" x14ac:dyDescent="0.2">
      <c r="A259">
        <v>240</v>
      </c>
      <c r="B259">
        <v>756</v>
      </c>
      <c r="C259">
        <v>150</v>
      </c>
      <c r="D259">
        <v>0.43550551425934297</v>
      </c>
      <c r="E259">
        <v>18.3343797770587</v>
      </c>
      <c r="F259">
        <v>2.57399243203953</v>
      </c>
      <c r="G259">
        <v>-297.68769563092786</v>
      </c>
      <c r="H259">
        <v>-258.00792175060383</v>
      </c>
      <c r="I259">
        <v>38.5558702621815</v>
      </c>
      <c r="J259">
        <v>22.334403610887701</v>
      </c>
      <c r="K259">
        <v>7.1229346088369496</v>
      </c>
      <c r="L259">
        <v>3.0835554285803351E-5</v>
      </c>
      <c r="M259">
        <v>1.7996075776468441E-6</v>
      </c>
      <c r="N259" s="1">
        <v>-2.4055233059242702E-7</v>
      </c>
      <c r="O259" s="1">
        <v>6.2491474511010501E-11</v>
      </c>
      <c r="P259" s="1">
        <v>8.5335165088869303E-10</v>
      </c>
      <c r="Q259">
        <v>64.539290367742595</v>
      </c>
      <c r="S259">
        <v>21.843330993186498</v>
      </c>
      <c r="AA259">
        <v>2.9616106285053299</v>
      </c>
      <c r="AB259">
        <v>8.7524030081177102</v>
      </c>
      <c r="AC259">
        <v>1.90336500244777</v>
      </c>
      <c r="AJ259">
        <v>0.75184304487417597</v>
      </c>
      <c r="AK259">
        <v>0.140584885046834</v>
      </c>
      <c r="AL259">
        <v>0.107572070078988</v>
      </c>
    </row>
    <row r="260" spans="1:38" x14ac:dyDescent="0.2">
      <c r="A260">
        <v>240</v>
      </c>
      <c r="B260">
        <v>756</v>
      </c>
      <c r="C260">
        <v>150</v>
      </c>
      <c r="D260">
        <v>0.43550551425934297</v>
      </c>
      <c r="E260">
        <v>34.159600111722902</v>
      </c>
      <c r="F260">
        <v>2.5203138123418598</v>
      </c>
      <c r="G260">
        <v>-540.8740282005657</v>
      </c>
      <c r="H260">
        <v>-468.03102630099886</v>
      </c>
      <c r="I260">
        <v>70.779771558632703</v>
      </c>
      <c r="J260">
        <v>40.598584774840198</v>
      </c>
      <c r="K260">
        <v>13.5537090438678</v>
      </c>
      <c r="L260">
        <v>2.8384283384319623E-5</v>
      </c>
      <c r="M260">
        <v>1.7987810530552916E-6</v>
      </c>
      <c r="N260" s="1">
        <v>-1.9345788525418399E-7</v>
      </c>
      <c r="O260" s="1">
        <v>1.2944442404954599E-10</v>
      </c>
      <c r="P260" s="1">
        <v>8.3295633860180598E-10</v>
      </c>
      <c r="Q260">
        <v>65.956459154227005</v>
      </c>
      <c r="S260">
        <v>19.049225184830199</v>
      </c>
      <c r="AA260">
        <v>0.32576776486863801</v>
      </c>
      <c r="AB260">
        <v>4.5853760281012903</v>
      </c>
      <c r="AC260">
        <v>10.083171867972601</v>
      </c>
      <c r="AJ260">
        <v>0.40224769945292699</v>
      </c>
      <c r="AK260">
        <v>1.5792013667418399E-2</v>
      </c>
      <c r="AL260">
        <v>0.58196028687965295</v>
      </c>
    </row>
    <row r="261" spans="1:38" x14ac:dyDescent="0.2">
      <c r="A261">
        <v>241</v>
      </c>
      <c r="B261">
        <v>754</v>
      </c>
      <c r="C261">
        <v>150</v>
      </c>
      <c r="D261">
        <v>0.43427006766295001</v>
      </c>
      <c r="E261">
        <v>18.722594495438599</v>
      </c>
      <c r="F261">
        <v>2.5744120021541601</v>
      </c>
      <c r="G261">
        <v>-303.93542183460471</v>
      </c>
      <c r="H261">
        <v>-263.54053580342776</v>
      </c>
      <c r="I261">
        <v>39.327153805361398</v>
      </c>
      <c r="J261">
        <v>22.821871816678001</v>
      </c>
      <c r="K261">
        <v>7.2725711656767702</v>
      </c>
      <c r="L261">
        <v>3.0906504722181413E-5</v>
      </c>
      <c r="M261">
        <v>1.7996650507701435E-6</v>
      </c>
      <c r="N261" s="1">
        <v>-2.6170526316433699E-7</v>
      </c>
      <c r="O261" s="1">
        <v>6.3647708280161398E-11</v>
      </c>
      <c r="P261" s="1">
        <v>9.1769552379363397E-10</v>
      </c>
      <c r="Q261">
        <v>64.522404594265197</v>
      </c>
      <c r="S261">
        <v>21.8601308741009</v>
      </c>
      <c r="AA261">
        <v>2.9794107666744201</v>
      </c>
      <c r="AB261">
        <v>8.7588170392531204</v>
      </c>
      <c r="AC261">
        <v>1.8792367257061999</v>
      </c>
      <c r="AJ261">
        <v>0.75236973437532395</v>
      </c>
      <c r="AK261">
        <v>0.141425276154163</v>
      </c>
      <c r="AL261">
        <v>0.106204989470512</v>
      </c>
    </row>
    <row r="262" spans="1:38" x14ac:dyDescent="0.2">
      <c r="A262">
        <v>241</v>
      </c>
      <c r="B262">
        <v>754</v>
      </c>
      <c r="C262">
        <v>150</v>
      </c>
      <c r="D262">
        <v>0.43427006766295001</v>
      </c>
      <c r="E262">
        <v>35.139713170270497</v>
      </c>
      <c r="F262">
        <v>2.5203299510900599</v>
      </c>
      <c r="G262">
        <v>-556.16436473462466</v>
      </c>
      <c r="H262">
        <v>-481.47377645737157</v>
      </c>
      <c r="I262">
        <v>72.716339655603306</v>
      </c>
      <c r="J262">
        <v>41.766264221551197</v>
      </c>
      <c r="K262">
        <v>13.942505089491201</v>
      </c>
      <c r="L262">
        <v>2.8393755407288264E-5</v>
      </c>
      <c r="M262">
        <v>1.7987678126411389E-6</v>
      </c>
      <c r="N262" s="1">
        <v>-2.1246340580663699E-7</v>
      </c>
      <c r="O262" s="1">
        <v>1.33085392312481E-10</v>
      </c>
      <c r="P262" s="1">
        <v>8.9561773235391901E-10</v>
      </c>
      <c r="Q262">
        <v>65.952019934828996</v>
      </c>
      <c r="S262">
        <v>19.041207756814</v>
      </c>
      <c r="AA262">
        <v>0.32018913582182701</v>
      </c>
      <c r="AB262">
        <v>4.5544647358129398</v>
      </c>
      <c r="AC262">
        <v>10.132118436721999</v>
      </c>
      <c r="AJ262">
        <v>0.399598810962426</v>
      </c>
      <c r="AK262">
        <v>1.55240211527498E-2</v>
      </c>
      <c r="AL262">
        <v>0.58487716788482402</v>
      </c>
    </row>
    <row r="263" spans="1:38" x14ac:dyDescent="0.2">
      <c r="A263">
        <v>242</v>
      </c>
      <c r="B263">
        <v>752</v>
      </c>
      <c r="C263">
        <v>150</v>
      </c>
      <c r="D263">
        <v>0.43302980051699702</v>
      </c>
      <c r="E263">
        <v>19.019943485401502</v>
      </c>
      <c r="F263">
        <v>2.5747755483921102</v>
      </c>
      <c r="G263">
        <v>-308.70347996561213</v>
      </c>
      <c r="H263">
        <v>-267.79370206629449</v>
      </c>
      <c r="I263">
        <v>39.906138515648998</v>
      </c>
      <c r="J263">
        <v>23.200370595459599</v>
      </c>
      <c r="K263">
        <v>7.3870297149897404</v>
      </c>
      <c r="L263">
        <v>3.0984647538891126E-5</v>
      </c>
      <c r="M263">
        <v>1.7998574466234083E-6</v>
      </c>
      <c r="N263" s="1">
        <v>-2.8333166403459E-7</v>
      </c>
      <c r="O263" s="1">
        <v>6.4486857306334103E-11</v>
      </c>
      <c r="P263" s="1">
        <v>9.825319705224479E-10</v>
      </c>
      <c r="Q263">
        <v>64.511058904840397</v>
      </c>
      <c r="S263">
        <v>21.872652673179601</v>
      </c>
      <c r="AA263">
        <v>2.9923887406490399</v>
      </c>
      <c r="AB263">
        <v>8.7663613029311698</v>
      </c>
      <c r="AC263">
        <v>1.85753837839966</v>
      </c>
      <c r="AJ263">
        <v>0.75298931837513206</v>
      </c>
      <c r="AK263">
        <v>0.14203594065573999</v>
      </c>
      <c r="AL263">
        <v>0.104974740969127</v>
      </c>
    </row>
    <row r="264" spans="1:38" x14ac:dyDescent="0.2">
      <c r="A264">
        <v>242</v>
      </c>
      <c r="B264">
        <v>752</v>
      </c>
      <c r="C264">
        <v>150</v>
      </c>
      <c r="D264">
        <v>0.43302980051699702</v>
      </c>
      <c r="E264">
        <v>35.829703367355499</v>
      </c>
      <c r="F264">
        <v>2.5203525817455001</v>
      </c>
      <c r="G264">
        <v>-566.85946724373377</v>
      </c>
      <c r="H264">
        <v>-490.94807944070408</v>
      </c>
      <c r="I264">
        <v>74.049054092600599</v>
      </c>
      <c r="J264">
        <v>42.590801472538701</v>
      </c>
      <c r="K264">
        <v>14.2161472275205</v>
      </c>
      <c r="L264">
        <v>2.840715837871933E-5</v>
      </c>
      <c r="M264">
        <v>1.7987919961019281E-6</v>
      </c>
      <c r="N264" s="1">
        <v>-2.3140404974067599E-7</v>
      </c>
      <c r="O264" s="1">
        <v>1.3561303457069501E-10</v>
      </c>
      <c r="P264" s="1">
        <v>9.5569880849752691E-10</v>
      </c>
      <c r="Q264">
        <v>65.948481832053602</v>
      </c>
      <c r="S264">
        <v>19.0335371859181</v>
      </c>
      <c r="AA264">
        <v>0.31468640420606597</v>
      </c>
      <c r="AB264">
        <v>4.5264708646374903</v>
      </c>
      <c r="AC264">
        <v>10.1768237131846</v>
      </c>
      <c r="AJ264">
        <v>0.39719921128692098</v>
      </c>
      <c r="AK264">
        <v>1.52593986273358E-2</v>
      </c>
      <c r="AL264">
        <v>0.58754139008574202</v>
      </c>
    </row>
    <row r="265" spans="1:38" x14ac:dyDescent="0.2">
      <c r="A265">
        <v>243</v>
      </c>
      <c r="B265">
        <v>750</v>
      </c>
      <c r="C265">
        <v>150</v>
      </c>
      <c r="D265">
        <v>0.43178468455260599</v>
      </c>
      <c r="E265">
        <v>19.260697685159499</v>
      </c>
      <c r="F265">
        <v>2.5750894763923</v>
      </c>
      <c r="G265">
        <v>-312.5490633977231</v>
      </c>
      <c r="H265">
        <v>-271.24933072915167</v>
      </c>
      <c r="I265">
        <v>40.365276517198197</v>
      </c>
      <c r="J265">
        <v>23.511644933659099</v>
      </c>
      <c r="K265">
        <v>7.4796226934000298</v>
      </c>
      <c r="L265">
        <v>3.1070108711409421E-5</v>
      </c>
      <c r="M265">
        <v>1.8001738836487537E-6</v>
      </c>
      <c r="N265" s="1">
        <v>-3.05870235295849E-7</v>
      </c>
      <c r="O265" s="1">
        <v>6.5125678630971496E-11</v>
      </c>
      <c r="P265" s="1">
        <v>1.0494109402822701E-9</v>
      </c>
      <c r="Q265">
        <v>64.504686121086607</v>
      </c>
      <c r="S265">
        <v>21.881351293396701</v>
      </c>
      <c r="AA265">
        <v>3.0010521933623799</v>
      </c>
      <c r="AB265">
        <v>8.7749644598277907</v>
      </c>
      <c r="AC265">
        <v>1.83794593232639</v>
      </c>
      <c r="AJ265">
        <v>0.753695907762713</v>
      </c>
      <c r="AK265">
        <v>0.14244103806441899</v>
      </c>
      <c r="AL265">
        <v>0.10386305417286699</v>
      </c>
    </row>
    <row r="266" spans="1:38" x14ac:dyDescent="0.2">
      <c r="A266">
        <v>243</v>
      </c>
      <c r="B266">
        <v>750</v>
      </c>
      <c r="C266">
        <v>150</v>
      </c>
      <c r="D266">
        <v>0.43178468455260599</v>
      </c>
      <c r="E266">
        <v>36.312178338675302</v>
      </c>
      <c r="F266">
        <v>2.5203807753262102</v>
      </c>
      <c r="G266">
        <v>-574.27073327476114</v>
      </c>
      <c r="H266">
        <v>-497.58498379712984</v>
      </c>
      <c r="I266">
        <v>74.950642112721695</v>
      </c>
      <c r="J266">
        <v>43.170379037220997</v>
      </c>
      <c r="K266">
        <v>14.4074175990234</v>
      </c>
      <c r="L266">
        <v>2.842439800556463E-5</v>
      </c>
      <c r="M266">
        <v>1.7988498696295202E-6</v>
      </c>
      <c r="N266" s="1">
        <v>-2.5061769400705298E-7</v>
      </c>
      <c r="O266" s="1">
        <v>1.37341068058922E-10</v>
      </c>
      <c r="P266" s="1">
        <v>1.01482617837864E-9</v>
      </c>
      <c r="Q266">
        <v>65.945727789055795</v>
      </c>
      <c r="S266">
        <v>19.0261709845872</v>
      </c>
      <c r="AA266">
        <v>0.30925183096756897</v>
      </c>
      <c r="AB266">
        <v>4.5010221730225703</v>
      </c>
      <c r="AC266">
        <v>10.2178272223666</v>
      </c>
      <c r="AJ266">
        <v>0.39501719219666798</v>
      </c>
      <c r="AK266">
        <v>1.4997812341995599E-2</v>
      </c>
      <c r="AL266">
        <v>0.58998499546133498</v>
      </c>
    </row>
    <row r="267" spans="1:38" x14ac:dyDescent="0.2">
      <c r="A267">
        <v>244</v>
      </c>
      <c r="B267">
        <v>748</v>
      </c>
      <c r="C267">
        <v>150</v>
      </c>
      <c r="D267">
        <v>0.43053469127944</v>
      </c>
      <c r="E267">
        <v>19.466246028394</v>
      </c>
      <c r="F267">
        <v>2.5753734280772802</v>
      </c>
      <c r="G267">
        <v>-315.82055098427168</v>
      </c>
      <c r="H267">
        <v>-274.20907076685302</v>
      </c>
      <c r="I267">
        <v>40.7496256352335</v>
      </c>
      <c r="J267">
        <v>23.781759700875</v>
      </c>
      <c r="K267">
        <v>7.5586110410896996</v>
      </c>
      <c r="L267">
        <v>3.11623394227029E-5</v>
      </c>
      <c r="M267">
        <v>1.800572459802044E-6</v>
      </c>
      <c r="N267" s="1">
        <v>-3.2964575250296302E-7</v>
      </c>
      <c r="O267" s="1">
        <v>6.5634531742657703E-11</v>
      </c>
      <c r="P267" s="1">
        <v>1.11944094878909E-9</v>
      </c>
      <c r="Q267">
        <v>64.501333618537103</v>
      </c>
      <c r="S267">
        <v>21.887722756465699</v>
      </c>
      <c r="AA267">
        <v>3.00709097627115</v>
      </c>
      <c r="AB267">
        <v>8.7841972064322906</v>
      </c>
      <c r="AC267">
        <v>1.81965544229363</v>
      </c>
      <c r="AJ267">
        <v>0.75445419150836501</v>
      </c>
      <c r="AK267">
        <v>0.142721090776392</v>
      </c>
      <c r="AL267">
        <v>0.102824717715242</v>
      </c>
    </row>
    <row r="268" spans="1:38" x14ac:dyDescent="0.2">
      <c r="A268">
        <v>244</v>
      </c>
      <c r="B268">
        <v>748</v>
      </c>
      <c r="C268">
        <v>150</v>
      </c>
      <c r="D268">
        <v>0.43053469127944</v>
      </c>
      <c r="E268">
        <v>36.667887388511701</v>
      </c>
      <c r="F268">
        <v>2.5204130411769201</v>
      </c>
      <c r="G268">
        <v>-579.67623453301815</v>
      </c>
      <c r="H268">
        <v>-502.48871925535559</v>
      </c>
      <c r="I268">
        <v>75.588811905853802</v>
      </c>
      <c r="J268">
        <v>43.600785889610002</v>
      </c>
      <c r="K268">
        <v>14.548364410695701</v>
      </c>
      <c r="L268">
        <v>2.8444864496736364E-5</v>
      </c>
      <c r="M268">
        <v>1.7989301400651389E-6</v>
      </c>
      <c r="N268" s="1">
        <v>-2.7048442909526997E-7</v>
      </c>
      <c r="O268" s="1">
        <v>1.3857667748200801E-10</v>
      </c>
      <c r="P268" s="1">
        <v>1.0747296413370001E-9</v>
      </c>
      <c r="Q268">
        <v>65.943408326471697</v>
      </c>
      <c r="S268">
        <v>19.019016239566199</v>
      </c>
      <c r="AA268">
        <v>0.303890307951381</v>
      </c>
      <c r="AB268">
        <v>4.4770962807655001</v>
      </c>
      <c r="AC268">
        <v>10.256588845245</v>
      </c>
      <c r="AJ268">
        <v>0.39296522786445998</v>
      </c>
      <c r="AK268">
        <v>1.4739587458278299E-2</v>
      </c>
      <c r="AL268">
        <v>0.59229518467725994</v>
      </c>
    </row>
    <row r="269" spans="1:38" x14ac:dyDescent="0.2">
      <c r="A269">
        <v>246</v>
      </c>
      <c r="B269">
        <v>780</v>
      </c>
      <c r="C269">
        <v>140</v>
      </c>
      <c r="D269">
        <v>0.46040972321132001</v>
      </c>
      <c r="E269">
        <v>0.124881732467147</v>
      </c>
      <c r="F269">
        <v>2.5760789836676201</v>
      </c>
      <c r="G269">
        <v>-2.0375679716903301</v>
      </c>
      <c r="H269">
        <v>-1.757361797958241</v>
      </c>
      <c r="I269">
        <v>0.26606482811763699</v>
      </c>
      <c r="J269">
        <v>0.15159321634379999</v>
      </c>
      <c r="K269">
        <v>4.8477447026624397E-2</v>
      </c>
      <c r="L269">
        <v>3.0265370296786034E-5</v>
      </c>
      <c r="M269">
        <v>1.7929471219672449E-6</v>
      </c>
      <c r="N269" s="1">
        <v>-7.8838600937846302E-10</v>
      </c>
      <c r="O269" s="1">
        <v>4.2955685910184798E-13</v>
      </c>
      <c r="P269" s="1">
        <v>3.3485193879671801E-12</v>
      </c>
      <c r="Q269">
        <v>64.299463011278505</v>
      </c>
      <c r="S269">
        <v>22.115299767861199</v>
      </c>
      <c r="AA269">
        <v>3.2419480873304298</v>
      </c>
      <c r="AB269">
        <v>8.9309621044292804</v>
      </c>
      <c r="AC269">
        <v>1.4123270291004699</v>
      </c>
      <c r="AJ269">
        <v>0.76649631211675395</v>
      </c>
      <c r="AK269">
        <v>0.15375479539546799</v>
      </c>
      <c r="AL269">
        <v>7.9748892487777001E-2</v>
      </c>
    </row>
    <row r="270" spans="1:38" x14ac:dyDescent="0.2">
      <c r="A270">
        <v>247</v>
      </c>
      <c r="B270">
        <v>778</v>
      </c>
      <c r="C270">
        <v>140</v>
      </c>
      <c r="D270">
        <v>0.45924986919088701</v>
      </c>
      <c r="E270">
        <v>0.78668052779903697</v>
      </c>
      <c r="F270">
        <v>2.5752997292504101</v>
      </c>
      <c r="G270">
        <v>-12.830202479828143</v>
      </c>
      <c r="H270">
        <v>-11.070049975499373</v>
      </c>
      <c r="I270">
        <v>1.6745017403118201</v>
      </c>
      <c r="J270">
        <v>0.955225225987552</v>
      </c>
      <c r="K270">
        <v>0.30547144429981099</v>
      </c>
      <c r="L270">
        <v>3.0341429398437397E-5</v>
      </c>
      <c r="M270">
        <v>1.7952545241287649E-6</v>
      </c>
      <c r="N270" s="1">
        <v>-5.3064065042273299E-9</v>
      </c>
      <c r="O270" s="1">
        <v>2.7080419549350401E-12</v>
      </c>
      <c r="P270" s="1">
        <v>2.20855784307392E-11</v>
      </c>
      <c r="Q270">
        <v>64.392907241235505</v>
      </c>
      <c r="S270">
        <v>22.042671710246399</v>
      </c>
      <c r="AA270">
        <v>3.1602252625503802</v>
      </c>
      <c r="AB270">
        <v>8.9487936652802702</v>
      </c>
      <c r="AC270">
        <v>1.45540212068728</v>
      </c>
      <c r="AJ270">
        <v>0.76796001162785299</v>
      </c>
      <c r="AK270">
        <v>0.149865940243368</v>
      </c>
      <c r="AL270">
        <v>8.2174048128778404E-2</v>
      </c>
    </row>
    <row r="271" spans="1:38" x14ac:dyDescent="0.2">
      <c r="A271">
        <v>248</v>
      </c>
      <c r="B271">
        <v>776</v>
      </c>
      <c r="C271">
        <v>140</v>
      </c>
      <c r="D271">
        <v>0.45808559309917701</v>
      </c>
      <c r="E271">
        <v>1.4498819200334501</v>
      </c>
      <c r="F271">
        <v>2.5745378728204402</v>
      </c>
      <c r="G271">
        <v>-23.636791580540006</v>
      </c>
      <c r="H271">
        <v>-20.401967354667182</v>
      </c>
      <c r="I271">
        <v>3.0832809663754701</v>
      </c>
      <c r="J271">
        <v>1.7610545558847699</v>
      </c>
      <c r="K271">
        <v>0.56316200873949096</v>
      </c>
      <c r="L271">
        <v>3.0417250401641761E-5</v>
      </c>
      <c r="M271">
        <v>1.7974764333474232E-6</v>
      </c>
      <c r="N271" s="1">
        <v>-1.0440561157332401E-8</v>
      </c>
      <c r="O271" s="1">
        <v>4.99435491343524E-12</v>
      </c>
      <c r="P271" s="1">
        <v>4.2629577667758701E-11</v>
      </c>
      <c r="Q271">
        <v>64.482833591853904</v>
      </c>
      <c r="S271">
        <v>21.9721652659765</v>
      </c>
      <c r="AA271">
        <v>3.0810736395546501</v>
      </c>
      <c r="AB271">
        <v>8.9643479058582702</v>
      </c>
      <c r="AC271">
        <v>1.4995795967565799</v>
      </c>
      <c r="AJ271">
        <v>0.76923670013271095</v>
      </c>
      <c r="AK271">
        <v>0.14610132739359699</v>
      </c>
      <c r="AL271">
        <v>8.4661972473690894E-2</v>
      </c>
    </row>
    <row r="272" spans="1:38" x14ac:dyDescent="0.2">
      <c r="A272">
        <v>249</v>
      </c>
      <c r="B272">
        <v>774</v>
      </c>
      <c r="C272">
        <v>140</v>
      </c>
      <c r="D272">
        <v>0.45691686959843703</v>
      </c>
      <c r="E272">
        <v>2.1139150539576299</v>
      </c>
      <c r="F272">
        <v>2.57379310650107</v>
      </c>
      <c r="G272">
        <v>-34.447924120354998</v>
      </c>
      <c r="H272">
        <v>-29.745034260397393</v>
      </c>
      <c r="I272">
        <v>4.4911329417539099</v>
      </c>
      <c r="J272">
        <v>2.5684272356900602</v>
      </c>
      <c r="K272">
        <v>0.82132283617442003</v>
      </c>
      <c r="L272">
        <v>3.0492957199793205E-5</v>
      </c>
      <c r="M272">
        <v>1.7996141810289202E-6</v>
      </c>
      <c r="N272" s="1">
        <v>-1.6238240435271299E-8</v>
      </c>
      <c r="O272" s="1">
        <v>7.2858039828064898E-12</v>
      </c>
      <c r="P272" s="1">
        <v>6.5110676721716698E-11</v>
      </c>
      <c r="Q272">
        <v>64.569280462111195</v>
      </c>
      <c r="S272">
        <v>21.9037517970586</v>
      </c>
      <c r="AA272">
        <v>3.0044606318293301</v>
      </c>
      <c r="AB272">
        <v>8.9776353180047703</v>
      </c>
      <c r="AC272">
        <v>1.54487179099592</v>
      </c>
      <c r="AJ272">
        <v>0.770327323784333</v>
      </c>
      <c r="AK272">
        <v>0.14245924911020799</v>
      </c>
      <c r="AL272">
        <v>8.7213427105458194E-2</v>
      </c>
    </row>
    <row r="273" spans="1:38" x14ac:dyDescent="0.2">
      <c r="A273">
        <v>250</v>
      </c>
      <c r="B273">
        <v>772</v>
      </c>
      <c r="C273">
        <v>140</v>
      </c>
      <c r="D273">
        <v>0.45574367315696301</v>
      </c>
      <c r="E273">
        <v>3.3645248360190401</v>
      </c>
      <c r="F273">
        <v>2.5723794720114399</v>
      </c>
      <c r="G273">
        <v>-54.794585085350818</v>
      </c>
      <c r="H273">
        <v>-47.330411976752963</v>
      </c>
      <c r="I273">
        <v>7.1417242583340501</v>
      </c>
      <c r="J273">
        <v>4.089018175304</v>
      </c>
      <c r="K273">
        <v>1.30794265489461</v>
      </c>
      <c r="L273">
        <v>3.0576046554023115E-5</v>
      </c>
      <c r="M273">
        <v>1.8025758167488049E-6</v>
      </c>
      <c r="N273" s="1">
        <v>-2.7506897863183E-8</v>
      </c>
      <c r="O273" s="1">
        <v>1.1616520620270401E-11</v>
      </c>
      <c r="P273" s="1">
        <v>1.08447954930767E-10</v>
      </c>
      <c r="Q273">
        <v>64.700619090478995</v>
      </c>
      <c r="S273">
        <v>21.791756853645001</v>
      </c>
      <c r="AA273">
        <v>2.88141758336103</v>
      </c>
      <c r="AB273">
        <v>8.9767071047314708</v>
      </c>
      <c r="AC273">
        <v>1.64949936778344</v>
      </c>
      <c r="AJ273">
        <v>0.77025326322862497</v>
      </c>
      <c r="AK273">
        <v>0.13662604105924001</v>
      </c>
      <c r="AL273">
        <v>9.31206957121338E-2</v>
      </c>
    </row>
    <row r="274" spans="1:38" x14ac:dyDescent="0.2">
      <c r="A274">
        <v>251</v>
      </c>
      <c r="B274">
        <v>770</v>
      </c>
      <c r="C274">
        <v>140</v>
      </c>
      <c r="D274">
        <v>0.45456597804726301</v>
      </c>
      <c r="E274">
        <v>5.2343581118017104</v>
      </c>
      <c r="F274">
        <v>2.5701782104928999</v>
      </c>
      <c r="G274">
        <v>-85.173793600432219</v>
      </c>
      <c r="H274">
        <v>-73.593720971029541</v>
      </c>
      <c r="I274">
        <v>11.1010618122059</v>
      </c>
      <c r="J274">
        <v>6.3623580729605296</v>
      </c>
      <c r="K274">
        <v>2.03657399725518</v>
      </c>
      <c r="L274">
        <v>3.0656047751182294E-5</v>
      </c>
      <c r="M274">
        <v>1.8061867159930974E-6</v>
      </c>
      <c r="N274" s="1">
        <v>-4.53543884950718E-8</v>
      </c>
      <c r="O274" s="1">
        <v>1.81290690323859E-11</v>
      </c>
      <c r="P274" s="1">
        <v>1.76100560307509E-10</v>
      </c>
      <c r="Q274">
        <v>64.874190815740604</v>
      </c>
      <c r="S274">
        <v>21.6330506988837</v>
      </c>
      <c r="AA274">
        <v>2.7099827914496601</v>
      </c>
      <c r="AB274">
        <v>8.9474335700185801</v>
      </c>
      <c r="AC274">
        <v>1.83534212390732</v>
      </c>
      <c r="AJ274">
        <v>0.76785589976490498</v>
      </c>
      <c r="AK274">
        <v>0.128516404332645</v>
      </c>
      <c r="AL274">
        <v>0.103627695902448</v>
      </c>
    </row>
    <row r="275" spans="1:38" x14ac:dyDescent="0.2">
      <c r="A275">
        <v>252</v>
      </c>
      <c r="B275">
        <v>768</v>
      </c>
      <c r="C275">
        <v>140</v>
      </c>
      <c r="D275">
        <v>0.45338375834414102</v>
      </c>
      <c r="E275">
        <v>7.2168979233425601</v>
      </c>
      <c r="F275">
        <v>2.5676953822380502</v>
      </c>
      <c r="G275">
        <v>-117.31665739161613</v>
      </c>
      <c r="H275">
        <v>-101.39598758970652</v>
      </c>
      <c r="I275">
        <v>15.291427557901899</v>
      </c>
      <c r="J275">
        <v>8.7722169445218192</v>
      </c>
      <c r="K275">
        <v>2.8106519072570699</v>
      </c>
      <c r="L275">
        <v>3.0718126392464738E-5</v>
      </c>
      <c r="M275">
        <v>1.8095195896340328E-6</v>
      </c>
      <c r="N275" s="1">
        <v>-6.5993385434386402E-8</v>
      </c>
      <c r="O275" s="1">
        <v>2.50835234009296E-11</v>
      </c>
      <c r="P275" s="1">
        <v>2.5274113895174302E-10</v>
      </c>
      <c r="Q275">
        <v>65.045724160523804</v>
      </c>
      <c r="S275">
        <v>21.465028723154401</v>
      </c>
      <c r="AA275">
        <v>2.5313379800714499</v>
      </c>
      <c r="AB275">
        <v>8.8891949778958494</v>
      </c>
      <c r="AC275">
        <v>2.06871415835441</v>
      </c>
      <c r="AJ275">
        <v>0.76308164839133097</v>
      </c>
      <c r="AK275">
        <v>0.12007967466597801</v>
      </c>
      <c r="AL275">
        <v>0.116838676942689</v>
      </c>
    </row>
    <row r="276" spans="1:38" x14ac:dyDescent="0.2">
      <c r="A276">
        <v>253</v>
      </c>
      <c r="B276">
        <v>766</v>
      </c>
      <c r="C276">
        <v>140</v>
      </c>
      <c r="D276">
        <v>0.45219698792282498</v>
      </c>
      <c r="E276">
        <v>11.2479551595858</v>
      </c>
      <c r="F276">
        <v>2.5671264656781898</v>
      </c>
      <c r="G276">
        <v>-182.71334945711885</v>
      </c>
      <c r="H276">
        <v>-157.97821916949084</v>
      </c>
      <c r="I276">
        <v>23.803233688714801</v>
      </c>
      <c r="J276">
        <v>13.6698674408439</v>
      </c>
      <c r="K276">
        <v>4.3815352729863601</v>
      </c>
      <c r="L276">
        <v>3.0696967049752192E-5</v>
      </c>
      <c r="M276">
        <v>1.8087416946355388E-6</v>
      </c>
      <c r="N276" s="1">
        <v>-1.0786713154504201E-7</v>
      </c>
      <c r="O276" s="1">
        <v>3.9090500667117702E-11</v>
      </c>
      <c r="P276" s="1">
        <v>4.08356678025182E-10</v>
      </c>
      <c r="Q276">
        <v>65.028559756690896</v>
      </c>
      <c r="S276">
        <v>21.441773535388499</v>
      </c>
      <c r="AA276">
        <v>2.5161572910324801</v>
      </c>
      <c r="AB276">
        <v>8.7899785261641092</v>
      </c>
      <c r="AC276">
        <v>2.22353089072381</v>
      </c>
      <c r="AJ276">
        <v>0.75493699623872801</v>
      </c>
      <c r="AK276">
        <v>0.119418461418846</v>
      </c>
      <c r="AL276">
        <v>0.125644542342424</v>
      </c>
    </row>
    <row r="277" spans="1:38" x14ac:dyDescent="0.2">
      <c r="A277">
        <v>253</v>
      </c>
      <c r="B277">
        <v>766</v>
      </c>
      <c r="C277">
        <v>140</v>
      </c>
      <c r="D277">
        <v>0.45219698792282498</v>
      </c>
      <c r="E277">
        <v>9.3938354098770098</v>
      </c>
      <c r="F277">
        <v>2.5203023401495099</v>
      </c>
      <c r="G277">
        <v>-149.24655119501247</v>
      </c>
      <c r="H277">
        <v>-128.86176198484003</v>
      </c>
      <c r="I277">
        <v>19.616791810780398</v>
      </c>
      <c r="J277">
        <v>11.1786811600864</v>
      </c>
      <c r="K277">
        <v>3.7272652809264599</v>
      </c>
      <c r="L277">
        <v>2.852895196727292E-5</v>
      </c>
      <c r="M277">
        <v>1.8024018579357776E-6</v>
      </c>
      <c r="N277" s="1">
        <v>-4.0911356503510499E-8</v>
      </c>
      <c r="O277" s="1">
        <v>3.5591227520828903E-11</v>
      </c>
      <c r="P277" s="1">
        <v>1.9371308829566601E-10</v>
      </c>
      <c r="Q277">
        <v>66.060635567236801</v>
      </c>
      <c r="S277">
        <v>19.116053295912302</v>
      </c>
      <c r="AA277">
        <v>0.35659349898342302</v>
      </c>
      <c r="AB277">
        <v>4.9927261602261401</v>
      </c>
      <c r="AC277">
        <v>9.4739914776412295</v>
      </c>
      <c r="AJ277">
        <v>0.43707766874208098</v>
      </c>
      <c r="AK277">
        <v>1.7250634874516901E-2</v>
      </c>
      <c r="AL277">
        <v>0.54567169638340196</v>
      </c>
    </row>
    <row r="278" spans="1:38" x14ac:dyDescent="0.2">
      <c r="A278">
        <v>254</v>
      </c>
      <c r="B278">
        <v>764</v>
      </c>
      <c r="C278">
        <v>140</v>
      </c>
      <c r="D278">
        <v>0.45100564045702202</v>
      </c>
      <c r="E278">
        <v>15.737420032952601</v>
      </c>
      <c r="F278">
        <v>2.5708480362502701</v>
      </c>
      <c r="G278">
        <v>-255.73021747537135</v>
      </c>
      <c r="H278">
        <v>-221.24297062078531</v>
      </c>
      <c r="I278">
        <v>33.251937380886098</v>
      </c>
      <c r="J278">
        <v>19.129934072754398</v>
      </c>
      <c r="K278">
        <v>6.1214898006599299</v>
      </c>
      <c r="L278">
        <v>3.0619061065652195E-5</v>
      </c>
      <c r="M278">
        <v>1.8021389932038704E-6</v>
      </c>
      <c r="N278" s="1">
        <v>-1.5942321923180101E-7</v>
      </c>
      <c r="O278" s="1">
        <v>5.4251988352323097E-11</v>
      </c>
      <c r="P278" s="1">
        <v>5.96234521815925E-10</v>
      </c>
      <c r="Q278">
        <v>64.703035322585606</v>
      </c>
      <c r="S278">
        <v>21.701119043232001</v>
      </c>
      <c r="AA278">
        <v>2.8060766669833299</v>
      </c>
      <c r="AB278">
        <v>8.7444727447111799</v>
      </c>
      <c r="AC278">
        <v>2.0452962224877398</v>
      </c>
      <c r="AJ278">
        <v>0.75119395745359496</v>
      </c>
      <c r="AK278">
        <v>0.13320753146919001</v>
      </c>
      <c r="AL278">
        <v>0.115598511077213</v>
      </c>
    </row>
    <row r="279" spans="1:38" x14ac:dyDescent="0.2">
      <c r="A279">
        <v>254</v>
      </c>
      <c r="B279">
        <v>764</v>
      </c>
      <c r="C279">
        <v>140</v>
      </c>
      <c r="D279">
        <v>0.45100564045702202</v>
      </c>
      <c r="E279">
        <v>26.3079419049227</v>
      </c>
      <c r="F279">
        <v>2.5199594219595398</v>
      </c>
      <c r="G279">
        <v>-417.47195186251815</v>
      </c>
      <c r="H279">
        <v>-360.62016782450178</v>
      </c>
      <c r="I279">
        <v>54.815392217149302</v>
      </c>
      <c r="J279">
        <v>31.274743086937399</v>
      </c>
      <c r="K279">
        <v>10.439827592328999</v>
      </c>
      <c r="L279">
        <v>2.8401072019192267E-5</v>
      </c>
      <c r="M279">
        <v>1.8002726512324313E-6</v>
      </c>
      <c r="N279" s="1">
        <v>-1.15493551644936E-7</v>
      </c>
      <c r="O279" s="1">
        <v>9.9808777831962402E-11</v>
      </c>
      <c r="P279" s="1">
        <v>5.4473366735266403E-10</v>
      </c>
      <c r="Q279">
        <v>65.995367402007204</v>
      </c>
      <c r="S279">
        <v>19.090052086340702</v>
      </c>
      <c r="AA279">
        <v>0.35037166893909499</v>
      </c>
      <c r="AB279">
        <v>4.7791140022712497</v>
      </c>
      <c r="AC279">
        <v>9.7850948404417206</v>
      </c>
      <c r="AJ279">
        <v>0.41883089161224202</v>
      </c>
      <c r="AK279">
        <v>1.69680169017081E-2</v>
      </c>
      <c r="AL279">
        <v>0.56420109148604902</v>
      </c>
    </row>
    <row r="280" spans="1:38" x14ac:dyDescent="0.2">
      <c r="A280">
        <v>255</v>
      </c>
      <c r="B280">
        <v>762</v>
      </c>
      <c r="C280">
        <v>140</v>
      </c>
      <c r="D280">
        <v>0.44980968941699401</v>
      </c>
      <c r="E280">
        <v>17.190844046505401</v>
      </c>
      <c r="F280">
        <v>2.5721787336716599</v>
      </c>
      <c r="G280">
        <v>-279.33586545717498</v>
      </c>
      <c r="H280">
        <v>-241.78363395780812</v>
      </c>
      <c r="I280">
        <v>36.277091725225098</v>
      </c>
      <c r="J280">
        <v>20.904806159675299</v>
      </c>
      <c r="K280">
        <v>6.6833784998938697</v>
      </c>
      <c r="L280">
        <v>3.0634781674181043E-5</v>
      </c>
      <c r="M280">
        <v>1.8002320619266605E-6</v>
      </c>
      <c r="N280" s="1">
        <v>-1.8498464701873399E-7</v>
      </c>
      <c r="O280" s="1">
        <v>5.9036311937523295E-11</v>
      </c>
      <c r="P280" s="1">
        <v>6.8277216110479402E-10</v>
      </c>
      <c r="Q280">
        <v>64.597928062584302</v>
      </c>
      <c r="S280">
        <v>21.786334017654401</v>
      </c>
      <c r="AA280">
        <v>2.9009052356263401</v>
      </c>
      <c r="AB280">
        <v>8.7336489855749093</v>
      </c>
      <c r="AC280">
        <v>1.98118369856003</v>
      </c>
      <c r="AJ280">
        <v>0.75030299893631103</v>
      </c>
      <c r="AK280">
        <v>0.13771627946436399</v>
      </c>
      <c r="AL280">
        <v>0.111980721599324</v>
      </c>
    </row>
    <row r="281" spans="1:38" x14ac:dyDescent="0.2">
      <c r="A281">
        <v>255</v>
      </c>
      <c r="B281">
        <v>762</v>
      </c>
      <c r="C281">
        <v>140</v>
      </c>
      <c r="D281">
        <v>0.44980968941699401</v>
      </c>
      <c r="E281">
        <v>31.262986292329</v>
      </c>
      <c r="F281">
        <v>2.5198829293247398</v>
      </c>
      <c r="G281">
        <v>-495.79307813435298</v>
      </c>
      <c r="H281">
        <v>-428.46736619810633</v>
      </c>
      <c r="I281">
        <v>65.039571015066997</v>
      </c>
      <c r="J281">
        <v>37.155220348244903</v>
      </c>
      <c r="K281">
        <v>12.406523306504001</v>
      </c>
      <c r="L281">
        <v>2.8369543876612586E-5</v>
      </c>
      <c r="M281">
        <v>1.7996893832627363E-6</v>
      </c>
      <c r="N281" s="1">
        <v>-1.4446883930699001E-7</v>
      </c>
      <c r="O281" s="1">
        <v>1.18617554804107E-10</v>
      </c>
      <c r="P281" s="1">
        <v>6.6812169010395504E-10</v>
      </c>
      <c r="Q281">
        <v>65.974868376168303</v>
      </c>
      <c r="S281">
        <v>19.077069744651599</v>
      </c>
      <c r="AA281">
        <v>0.344444271556966</v>
      </c>
      <c r="AB281">
        <v>4.6993981257457902</v>
      </c>
      <c r="AC281">
        <v>9.9042194818772398</v>
      </c>
      <c r="AJ281">
        <v>0.41201144572413401</v>
      </c>
      <c r="AK281">
        <v>1.6687712090147001E-2</v>
      </c>
      <c r="AL281">
        <v>0.57130084218571797</v>
      </c>
    </row>
    <row r="282" spans="1:38" x14ac:dyDescent="0.2">
      <c r="A282">
        <v>256</v>
      </c>
      <c r="B282">
        <v>760</v>
      </c>
      <c r="C282">
        <v>140</v>
      </c>
      <c r="D282">
        <v>0.44860910806756099</v>
      </c>
      <c r="E282">
        <v>17.903593543105401</v>
      </c>
      <c r="F282">
        <v>2.5729128634046701</v>
      </c>
      <c r="G282">
        <v>-290.87799210883986</v>
      </c>
      <c r="H282">
        <v>-251.8904165270533</v>
      </c>
      <c r="I282">
        <v>37.736607057819697</v>
      </c>
      <c r="J282">
        <v>21.781912626115801</v>
      </c>
      <c r="K282">
        <v>6.9584919869435504</v>
      </c>
      <c r="L282">
        <v>3.0679148478945802E-5</v>
      </c>
      <c r="M282">
        <v>1.7995804804402001E-6</v>
      </c>
      <c r="N282" s="1">
        <v>-2.0500344399120401E-7</v>
      </c>
      <c r="O282" s="1">
        <v>6.13108866968075E-11</v>
      </c>
      <c r="P282" s="1">
        <v>7.4684367395057096E-10</v>
      </c>
      <c r="Q282">
        <v>64.550268845459101</v>
      </c>
      <c r="S282">
        <v>21.826939007177401</v>
      </c>
      <c r="AA282">
        <v>2.9455253945175901</v>
      </c>
      <c r="AB282">
        <v>8.7338942346400508</v>
      </c>
      <c r="AC282">
        <v>1.94337251820576</v>
      </c>
      <c r="AJ282">
        <v>0.750322433741756</v>
      </c>
      <c r="AK282">
        <v>0.13983425236071001</v>
      </c>
      <c r="AL282">
        <v>0.10984331389753201</v>
      </c>
    </row>
    <row r="283" spans="1:38" x14ac:dyDescent="0.2">
      <c r="A283">
        <v>256</v>
      </c>
      <c r="B283">
        <v>760</v>
      </c>
      <c r="C283">
        <v>140</v>
      </c>
      <c r="D283">
        <v>0.44860910806756099</v>
      </c>
      <c r="E283">
        <v>33.492803164681398</v>
      </c>
      <c r="F283">
        <v>2.51986429549132</v>
      </c>
      <c r="G283">
        <v>-530.89835560405209</v>
      </c>
      <c r="H283">
        <v>-459.00874308949847</v>
      </c>
      <c r="I283">
        <v>69.582938116007796</v>
      </c>
      <c r="J283">
        <v>39.802155717577698</v>
      </c>
      <c r="K283">
        <v>13.2915106677008</v>
      </c>
      <c r="L283">
        <v>2.8362254977851923E-5</v>
      </c>
      <c r="M283">
        <v>1.799476438005343E-6</v>
      </c>
      <c r="N283" s="1">
        <v>-1.6459440740803101E-7</v>
      </c>
      <c r="O283" s="1">
        <v>1.27046249631183E-10</v>
      </c>
      <c r="P283" s="1">
        <v>7.4414570594376495E-10</v>
      </c>
      <c r="Q283">
        <v>65.9651249694477</v>
      </c>
      <c r="S283">
        <v>19.06721179094</v>
      </c>
      <c r="AA283">
        <v>0.33858484956482698</v>
      </c>
      <c r="AB283">
        <v>4.6518415590130502</v>
      </c>
      <c r="AC283">
        <v>9.9772368310343502</v>
      </c>
      <c r="AJ283">
        <v>0.407940520439667</v>
      </c>
      <c r="AK283">
        <v>1.6407795810953502E-2</v>
      </c>
      <c r="AL283">
        <v>0.57565168374937903</v>
      </c>
    </row>
    <row r="284" spans="1:38" x14ac:dyDescent="0.2">
      <c r="A284">
        <v>257</v>
      </c>
      <c r="B284">
        <v>758</v>
      </c>
      <c r="C284">
        <v>140</v>
      </c>
      <c r="D284">
        <v>0.44740386946613198</v>
      </c>
      <c r="E284">
        <v>18.354593188776199</v>
      </c>
      <c r="F284">
        <v>2.5734272430514298</v>
      </c>
      <c r="G284">
        <v>-298.15509081854447</v>
      </c>
      <c r="H284">
        <v>-258.30869268796187</v>
      </c>
      <c r="I284">
        <v>38.642678689407397</v>
      </c>
      <c r="J284">
        <v>22.342575346762999</v>
      </c>
      <c r="K284">
        <v>7.1323536495293602</v>
      </c>
      <c r="L284">
        <v>3.0736880646210779E-5</v>
      </c>
      <c r="M284">
        <v>1.7994080071860898E-6</v>
      </c>
      <c r="N284" s="1">
        <v>-2.23800654825284E-7</v>
      </c>
      <c r="O284" s="1">
        <v>6.2696951221238494E-11</v>
      </c>
      <c r="P284" s="1">
        <v>8.0506514725255402E-10</v>
      </c>
      <c r="Q284">
        <v>64.524074513309301</v>
      </c>
      <c r="S284">
        <v>21.850955675369601</v>
      </c>
      <c r="AA284">
        <v>2.9714514809949302</v>
      </c>
      <c r="AB284">
        <v>8.7384843879740295</v>
      </c>
      <c r="AC284">
        <v>1.91503394235202</v>
      </c>
      <c r="AJ284">
        <v>0.750699215863603</v>
      </c>
      <c r="AK284">
        <v>0.141061754498567</v>
      </c>
      <c r="AL284">
        <v>0.108239029637829</v>
      </c>
    </row>
    <row r="285" spans="1:38" x14ac:dyDescent="0.2">
      <c r="A285">
        <v>257</v>
      </c>
      <c r="B285">
        <v>758</v>
      </c>
      <c r="C285">
        <v>140</v>
      </c>
      <c r="D285">
        <v>0.44740386946613198</v>
      </c>
      <c r="E285">
        <v>34.765408144862498</v>
      </c>
      <c r="F285">
        <v>2.51986698246299</v>
      </c>
      <c r="G285">
        <v>-550.83193739856938</v>
      </c>
      <c r="H285">
        <v>-476.45300893956659</v>
      </c>
      <c r="I285">
        <v>72.132016155751103</v>
      </c>
      <c r="J285">
        <v>41.314565703044799</v>
      </c>
      <c r="K285">
        <v>13.796525128831</v>
      </c>
      <c r="L285">
        <v>2.8364761859921089E-5</v>
      </c>
      <c r="M285">
        <v>1.7993995403286627E-6</v>
      </c>
      <c r="N285" s="1">
        <v>-1.8229643971231099E-7</v>
      </c>
      <c r="O285" s="1">
        <v>1.3182084026324401E-10</v>
      </c>
      <c r="P285" s="1">
        <v>8.0548770788494695E-10</v>
      </c>
      <c r="Q285">
        <v>65.959231287567604</v>
      </c>
      <c r="S285">
        <v>19.058532390176499</v>
      </c>
      <c r="AA285">
        <v>0.33279946515992798</v>
      </c>
      <c r="AB285">
        <v>4.6159536274493904</v>
      </c>
      <c r="AC285">
        <v>10.0334832296464</v>
      </c>
      <c r="AJ285">
        <v>0.40486716058079802</v>
      </c>
      <c r="AK285">
        <v>1.6130377253788599E-2</v>
      </c>
      <c r="AL285">
        <v>0.57900246216541196</v>
      </c>
    </row>
    <row r="286" spans="1:38" x14ac:dyDescent="0.2">
      <c r="A286">
        <v>258</v>
      </c>
      <c r="B286">
        <v>756</v>
      </c>
      <c r="C286">
        <v>140</v>
      </c>
      <c r="D286">
        <v>0.44619394646067401</v>
      </c>
      <c r="E286">
        <v>18.682940517676901</v>
      </c>
      <c r="F286">
        <v>2.5738346595744299</v>
      </c>
      <c r="G286">
        <v>-303.43285819773786</v>
      </c>
      <c r="H286">
        <v>-262.99842025898943</v>
      </c>
      <c r="I286">
        <v>39.289158955204101</v>
      </c>
      <c r="J286">
        <v>22.755639051937401</v>
      </c>
      <c r="K286">
        <v>7.2587959168931402</v>
      </c>
      <c r="L286">
        <v>3.0803420051561957E-5</v>
      </c>
      <c r="M286">
        <v>1.7994777247527876E-6</v>
      </c>
      <c r="N286" s="1">
        <v>-2.4268118627056701E-7</v>
      </c>
      <c r="O286" s="1">
        <v>6.3662686456120705E-11</v>
      </c>
      <c r="P286" s="1">
        <v>8.6240095423135902E-10</v>
      </c>
      <c r="Q286">
        <v>64.5084103817901</v>
      </c>
      <c r="S286">
        <v>21.866848238154098</v>
      </c>
      <c r="AA286">
        <v>2.9882180189664802</v>
      </c>
      <c r="AB286">
        <v>8.7452421302743293</v>
      </c>
      <c r="AC286">
        <v>1.8912812308148499</v>
      </c>
      <c r="AJ286">
        <v>0.751254237584561</v>
      </c>
      <c r="AK286">
        <v>0.141852883059853</v>
      </c>
      <c r="AL286">
        <v>0.106892879355584</v>
      </c>
    </row>
    <row r="287" spans="1:38" x14ac:dyDescent="0.2">
      <c r="A287">
        <v>258</v>
      </c>
      <c r="B287">
        <v>756</v>
      </c>
      <c r="C287">
        <v>140</v>
      </c>
      <c r="D287">
        <v>0.44619394646067401</v>
      </c>
      <c r="E287">
        <v>35.587458674095302</v>
      </c>
      <c r="F287">
        <v>2.5198806957412598</v>
      </c>
      <c r="G287">
        <v>-563.62644118686637</v>
      </c>
      <c r="H287">
        <v>-487.73421909489144</v>
      </c>
      <c r="I287">
        <v>73.742624585312896</v>
      </c>
      <c r="J287">
        <v>42.293612094747097</v>
      </c>
      <c r="K287">
        <v>14.122676019638501</v>
      </c>
      <c r="L287">
        <v>2.8372880231280743E-5</v>
      </c>
      <c r="M287">
        <v>1.7993900256380136E-6</v>
      </c>
      <c r="N287" s="1">
        <v>-1.9937359982635999E-7</v>
      </c>
      <c r="O287" s="1">
        <v>1.3487052059699099E-10</v>
      </c>
      <c r="P287" s="1">
        <v>8.6137727612198803E-10</v>
      </c>
      <c r="Q287">
        <v>65.955146124198606</v>
      </c>
      <c r="S287">
        <v>19.050459374846199</v>
      </c>
      <c r="AA287">
        <v>0.32709236187574398</v>
      </c>
      <c r="AB287">
        <v>4.58568560066717</v>
      </c>
      <c r="AC287">
        <v>10.081616538412201</v>
      </c>
      <c r="AJ287">
        <v>0.402274212320404</v>
      </c>
      <c r="AK287">
        <v>1.58561998326095E-2</v>
      </c>
      <c r="AL287">
        <v>0.58186958784698595</v>
      </c>
    </row>
    <row r="288" spans="1:38" x14ac:dyDescent="0.2">
      <c r="A288">
        <v>259</v>
      </c>
      <c r="B288">
        <v>754</v>
      </c>
      <c r="C288">
        <v>140</v>
      </c>
      <c r="D288">
        <v>0.44497931168767801</v>
      </c>
      <c r="E288">
        <v>18.944685179056702</v>
      </c>
      <c r="F288">
        <v>2.5741923271580398</v>
      </c>
      <c r="G288">
        <v>-307.6248787455304</v>
      </c>
      <c r="H288">
        <v>-266.75012073391599</v>
      </c>
      <c r="I288">
        <v>39.794341636191703</v>
      </c>
      <c r="J288">
        <v>23.089152277990099</v>
      </c>
      <c r="K288">
        <v>7.3594676587246299</v>
      </c>
      <c r="L288">
        <v>3.0876495205996462E-5</v>
      </c>
      <c r="M288">
        <v>1.7996670987774987E-6</v>
      </c>
      <c r="N288" s="1">
        <v>-2.6221976469783499E-7</v>
      </c>
      <c r="O288" s="1">
        <v>6.4394429286134299E-11</v>
      </c>
      <c r="P288" s="1">
        <v>9.2098698264460905E-10</v>
      </c>
      <c r="Q288">
        <v>64.497641290965106</v>
      </c>
      <c r="S288">
        <v>21.878951467249902</v>
      </c>
      <c r="AA288">
        <v>3.0007161270188001</v>
      </c>
      <c r="AB288">
        <v>8.7529739773881605</v>
      </c>
      <c r="AC288">
        <v>1.86971713737792</v>
      </c>
      <c r="AJ288">
        <v>0.75188932547271703</v>
      </c>
      <c r="AK288">
        <v>0.14244066238540501</v>
      </c>
      <c r="AL288">
        <v>0.105670012141876</v>
      </c>
    </row>
    <row r="289" spans="1:38" x14ac:dyDescent="0.2">
      <c r="A289">
        <v>259</v>
      </c>
      <c r="B289">
        <v>754</v>
      </c>
      <c r="C289">
        <v>140</v>
      </c>
      <c r="D289">
        <v>0.44497931168767801</v>
      </c>
      <c r="E289">
        <v>36.183389598461702</v>
      </c>
      <c r="F289">
        <v>2.5199006686037602</v>
      </c>
      <c r="G289">
        <v>-572.83731382920723</v>
      </c>
      <c r="H289">
        <v>-495.92250827271317</v>
      </c>
      <c r="I289">
        <v>74.881765619913295</v>
      </c>
      <c r="J289">
        <v>43.0054406826441</v>
      </c>
      <c r="K289">
        <v>14.359053929895699</v>
      </c>
      <c r="L289">
        <v>2.8384550776620019E-5</v>
      </c>
      <c r="M289">
        <v>1.799413792734275E-6</v>
      </c>
      <c r="N289" s="1">
        <v>-2.1665919552091399E-7</v>
      </c>
      <c r="O289" s="1">
        <v>1.3705035844260999E-10</v>
      </c>
      <c r="P289" s="1">
        <v>9.1600073713972E-10</v>
      </c>
      <c r="Q289">
        <v>65.951844709883105</v>
      </c>
      <c r="S289">
        <v>19.042712374435499</v>
      </c>
      <c r="AA289">
        <v>0.32147134711133002</v>
      </c>
      <c r="AB289">
        <v>4.5580188071245198</v>
      </c>
      <c r="AC289">
        <v>10.125952761445401</v>
      </c>
      <c r="AJ289">
        <v>0.39990340754110199</v>
      </c>
      <c r="AK289">
        <v>1.5585905990008401E-2</v>
      </c>
      <c r="AL289">
        <v>0.58451068646888904</v>
      </c>
    </row>
    <row r="290" spans="1:38" x14ac:dyDescent="0.2">
      <c r="A290">
        <v>260</v>
      </c>
      <c r="B290">
        <v>752</v>
      </c>
      <c r="C290">
        <v>140</v>
      </c>
      <c r="D290">
        <v>0.443759937570114</v>
      </c>
      <c r="E290">
        <v>19.163358738063501</v>
      </c>
      <c r="F290">
        <v>2.5745059190912198</v>
      </c>
      <c r="G290">
        <v>-311.11401491174655</v>
      </c>
      <c r="H290">
        <v>-269.89472800619069</v>
      </c>
      <c r="I290">
        <v>40.208054338931603</v>
      </c>
      <c r="J290">
        <v>23.3717807909897</v>
      </c>
      <c r="K290">
        <v>7.4435092947186003</v>
      </c>
      <c r="L290">
        <v>3.0956227683443489E-5</v>
      </c>
      <c r="M290">
        <v>1.7999665359843901E-6</v>
      </c>
      <c r="N290" s="1">
        <v>-2.8271958795920601E-7</v>
      </c>
      <c r="O290" s="1">
        <v>6.4972229723567902E-11</v>
      </c>
      <c r="P290" s="1">
        <v>9.8189035895751395E-10</v>
      </c>
      <c r="Q290">
        <v>64.491265735483907</v>
      </c>
      <c r="S290">
        <v>21.8876679421308</v>
      </c>
      <c r="AA290">
        <v>3.00939495675722</v>
      </c>
      <c r="AB290">
        <v>8.7616177659612706</v>
      </c>
      <c r="AC290">
        <v>1.85005359966669</v>
      </c>
      <c r="AJ290">
        <v>0.75259934688068897</v>
      </c>
      <c r="AK290">
        <v>0.14284647029060299</v>
      </c>
      <c r="AL290">
        <v>0.104554182828706</v>
      </c>
    </row>
    <row r="291" spans="1:38" x14ac:dyDescent="0.2">
      <c r="A291">
        <v>260</v>
      </c>
      <c r="B291">
        <v>752</v>
      </c>
      <c r="C291">
        <v>140</v>
      </c>
      <c r="D291">
        <v>0.443759937570114</v>
      </c>
      <c r="E291">
        <v>36.6117743150864</v>
      </c>
      <c r="F291">
        <v>2.5199260471114999</v>
      </c>
      <c r="G291">
        <v>-579.39525749008646</v>
      </c>
      <c r="H291">
        <v>-501.81989255323987</v>
      </c>
      <c r="I291">
        <v>75.672208883428297</v>
      </c>
      <c r="J291">
        <v>43.519673011377201</v>
      </c>
      <c r="K291">
        <v>14.5289082419911</v>
      </c>
      <c r="L291">
        <v>2.8399694669532449E-5</v>
      </c>
      <c r="M291">
        <v>1.7994675646076197E-6</v>
      </c>
      <c r="N291" s="1">
        <v>-2.3437590463940299E-7</v>
      </c>
      <c r="O291" s="1">
        <v>1.3858287116416401E-10</v>
      </c>
      <c r="P291" s="1">
        <v>9.704595838448099E-10</v>
      </c>
      <c r="Q291">
        <v>65.949224658615506</v>
      </c>
      <c r="S291">
        <v>19.0352525096494</v>
      </c>
      <c r="AA291">
        <v>0.31592823542472698</v>
      </c>
      <c r="AB291">
        <v>4.5326231579706899</v>
      </c>
      <c r="AC291">
        <v>10.166971438339599</v>
      </c>
      <c r="AJ291">
        <v>0.39772663646258999</v>
      </c>
      <c r="AK291">
        <v>1.53191368630025E-2</v>
      </c>
      <c r="AL291">
        <v>0.586954226674407</v>
      </c>
    </row>
    <row r="292" spans="1:38" x14ac:dyDescent="0.2">
      <c r="A292">
        <v>261</v>
      </c>
      <c r="B292">
        <v>750</v>
      </c>
      <c r="C292">
        <v>140</v>
      </c>
      <c r="D292">
        <v>0.44253579631530099</v>
      </c>
      <c r="E292">
        <v>19.354036849107501</v>
      </c>
      <c r="F292">
        <v>2.5747910028682899</v>
      </c>
      <c r="G292">
        <v>-314.14603477020802</v>
      </c>
      <c r="H292">
        <v>-272.64491770294421</v>
      </c>
      <c r="I292">
        <v>40.562104351525903</v>
      </c>
      <c r="J292">
        <v>23.621902799544699</v>
      </c>
      <c r="K292">
        <v>7.5167409034548101</v>
      </c>
      <c r="L292">
        <v>3.104224303666911E-5</v>
      </c>
      <c r="M292">
        <v>1.8003432935354112E-6</v>
      </c>
      <c r="N292" s="1">
        <v>-3.0441787824967101E-7</v>
      </c>
      <c r="O292" s="1">
        <v>6.5445446663709999E-11</v>
      </c>
      <c r="P292" s="1">
        <v>1.04591381855047E-9</v>
      </c>
      <c r="Q292">
        <v>64.487747542424401</v>
      </c>
      <c r="S292">
        <v>21.894177974622501</v>
      </c>
      <c r="AA292">
        <v>3.0155867224739201</v>
      </c>
      <c r="AB292">
        <v>8.7708445579050505</v>
      </c>
      <c r="AC292">
        <v>1.8316432025740199</v>
      </c>
      <c r="AJ292">
        <v>0.75335723965756396</v>
      </c>
      <c r="AK292">
        <v>0.143133787916321</v>
      </c>
      <c r="AL292">
        <v>0.103508972426114</v>
      </c>
    </row>
    <row r="293" spans="1:38" x14ac:dyDescent="0.2">
      <c r="A293">
        <v>261</v>
      </c>
      <c r="B293">
        <v>750</v>
      </c>
      <c r="C293">
        <v>140</v>
      </c>
      <c r="D293">
        <v>0.44253579631530099</v>
      </c>
      <c r="E293">
        <v>36.932215071947901</v>
      </c>
      <c r="F293">
        <v>2.5199555361126</v>
      </c>
      <c r="G293">
        <v>-584.24436808812504</v>
      </c>
      <c r="H293">
        <v>-506.24146429285935</v>
      </c>
      <c r="I293">
        <v>76.237994228867194</v>
      </c>
      <c r="J293">
        <v>43.907011112845403</v>
      </c>
      <c r="K293">
        <v>14.655899496116101</v>
      </c>
      <c r="L293">
        <v>2.8417853490269591E-5</v>
      </c>
      <c r="M293">
        <v>1.7995424198319762E-6</v>
      </c>
      <c r="N293" s="1">
        <v>-2.5278672454985102E-7</v>
      </c>
      <c r="O293" s="1">
        <v>1.3969489829858799E-10</v>
      </c>
      <c r="P293" s="1">
        <v>1.0259773606046899E-9</v>
      </c>
      <c r="Q293">
        <v>65.947009827955796</v>
      </c>
      <c r="S293">
        <v>19.028002579469899</v>
      </c>
      <c r="AA293">
        <v>0.31046376924906599</v>
      </c>
      <c r="AB293">
        <v>4.5086808920793597</v>
      </c>
      <c r="AC293">
        <v>10.205842931245799</v>
      </c>
      <c r="AJ293">
        <v>0.39567392837582299</v>
      </c>
      <c r="AK293">
        <v>1.50560016036437E-2</v>
      </c>
      <c r="AL293">
        <v>0.589270070020533</v>
      </c>
    </row>
    <row r="294" spans="1:38" x14ac:dyDescent="0.2">
      <c r="A294">
        <v>263</v>
      </c>
      <c r="B294">
        <v>784</v>
      </c>
      <c r="C294">
        <v>130</v>
      </c>
      <c r="D294">
        <v>0.47312160052972602</v>
      </c>
      <c r="E294">
        <v>0.53427566526565695</v>
      </c>
      <c r="F294">
        <v>2.5746457612001499</v>
      </c>
      <c r="G294">
        <v>-8.7230295972598988</v>
      </c>
      <c r="H294">
        <v>-7.5168768099920937</v>
      </c>
      <c r="I294">
        <v>1.14094763020177</v>
      </c>
      <c r="J294">
        <v>0.64831868613493904</v>
      </c>
      <c r="K294">
        <v>0.20751424266482699</v>
      </c>
      <c r="L294">
        <v>3.0219885152709765E-5</v>
      </c>
      <c r="M294">
        <v>1.7945495859615303E-6</v>
      </c>
      <c r="N294" s="1">
        <v>-2.94890344778428E-9</v>
      </c>
      <c r="O294" s="1">
        <v>1.8440002263926502E-12</v>
      </c>
      <c r="P294" s="1">
        <v>1.3077618494134201E-11</v>
      </c>
      <c r="Q294">
        <v>64.367623784273306</v>
      </c>
      <c r="S294">
        <v>22.063289135336198</v>
      </c>
      <c r="AA294">
        <v>3.1831343983901301</v>
      </c>
      <c r="AB294">
        <v>8.9465020974058103</v>
      </c>
      <c r="AC294">
        <v>1.4394505845943899</v>
      </c>
      <c r="AJ294">
        <v>0.76777171861732696</v>
      </c>
      <c r="AK294">
        <v>0.15095399412219301</v>
      </c>
      <c r="AL294">
        <v>8.1274287260478806E-2</v>
      </c>
    </row>
    <row r="295" spans="1:38" x14ac:dyDescent="0.2">
      <c r="A295">
        <v>264</v>
      </c>
      <c r="B295">
        <v>782</v>
      </c>
      <c r="C295">
        <v>130</v>
      </c>
      <c r="D295">
        <v>0.47199023835473802</v>
      </c>
      <c r="E295">
        <v>1.18607969060409</v>
      </c>
      <c r="F295">
        <v>2.5738999058999998</v>
      </c>
      <c r="G295">
        <v>-19.357028098126484</v>
      </c>
      <c r="H295">
        <v>-16.68693856603802</v>
      </c>
      <c r="I295">
        <v>2.53053076063921</v>
      </c>
      <c r="J295">
        <v>1.43959379968655</v>
      </c>
      <c r="K295">
        <v>0.46081033993797099</v>
      </c>
      <c r="L295">
        <v>3.0288902134296944E-5</v>
      </c>
      <c r="M295">
        <v>1.7967346724638288E-6</v>
      </c>
      <c r="N295" s="1">
        <v>-7.00039027544519E-9</v>
      </c>
      <c r="O295" s="1">
        <v>4.0969629708380501E-12</v>
      </c>
      <c r="P295" s="1">
        <v>3.03590552113559E-11</v>
      </c>
      <c r="Q295">
        <v>64.456531487295905</v>
      </c>
      <c r="S295">
        <v>21.993825504106301</v>
      </c>
      <c r="AA295">
        <v>3.1050807943206</v>
      </c>
      <c r="AB295">
        <v>8.9625202063935898</v>
      </c>
      <c r="AC295">
        <v>1.4820420078835099</v>
      </c>
      <c r="AJ295">
        <v>0.76908645026452405</v>
      </c>
      <c r="AK295">
        <v>0.14724098279061801</v>
      </c>
      <c r="AL295">
        <v>8.3672566944856197E-2</v>
      </c>
    </row>
    <row r="296" spans="1:38" x14ac:dyDescent="0.2">
      <c r="A296">
        <v>265</v>
      </c>
      <c r="B296">
        <v>780</v>
      </c>
      <c r="C296">
        <v>130</v>
      </c>
      <c r="D296">
        <v>0.47085457911978401</v>
      </c>
      <c r="E296">
        <v>1.83862233563469</v>
      </c>
      <c r="F296">
        <v>2.5731710046452401</v>
      </c>
      <c r="G296">
        <v>-29.994329724680387</v>
      </c>
      <c r="H296">
        <v>-25.866965527326606</v>
      </c>
      <c r="I296">
        <v>3.9190658475561699</v>
      </c>
      <c r="J296">
        <v>2.2321681111312</v>
      </c>
      <c r="K296">
        <v>0.71453561862600601</v>
      </c>
      <c r="L296">
        <v>3.03575521730897E-5</v>
      </c>
      <c r="M296">
        <v>1.7988376950942829E-6</v>
      </c>
      <c r="N296" s="1">
        <v>-1.15924201027245E-8</v>
      </c>
      <c r="O296" s="1">
        <v>6.3555329835433598E-12</v>
      </c>
      <c r="P296" s="1">
        <v>4.9224764139657901E-11</v>
      </c>
      <c r="Q296">
        <v>64.542067712399202</v>
      </c>
      <c r="S296">
        <v>21.926402960136301</v>
      </c>
      <c r="AA296">
        <v>3.0294977964209902</v>
      </c>
      <c r="AB296">
        <v>8.9763761332212102</v>
      </c>
      <c r="AC296">
        <v>1.5256553978221301</v>
      </c>
      <c r="AJ296">
        <v>0.77022368278615905</v>
      </c>
      <c r="AK296">
        <v>0.1436472304342</v>
      </c>
      <c r="AL296">
        <v>8.6129086779639097E-2</v>
      </c>
    </row>
    <row r="297" spans="1:38" x14ac:dyDescent="0.2">
      <c r="A297">
        <v>266</v>
      </c>
      <c r="B297">
        <v>778</v>
      </c>
      <c r="C297">
        <v>130</v>
      </c>
      <c r="D297">
        <v>0.46971459829710499</v>
      </c>
      <c r="E297">
        <v>2.4913719781617698</v>
      </c>
      <c r="F297">
        <v>2.57245870880962</v>
      </c>
      <c r="G297">
        <v>-40.626178686138665</v>
      </c>
      <c r="H297">
        <v>-35.049437905701673</v>
      </c>
      <c r="I297">
        <v>5.3053710511696597</v>
      </c>
      <c r="J297">
        <v>3.0254290644101198</v>
      </c>
      <c r="K297">
        <v>0.96847889905087303</v>
      </c>
      <c r="L297">
        <v>3.0425949943116306E-5</v>
      </c>
      <c r="M297">
        <v>1.8008601382064291E-6</v>
      </c>
      <c r="N297" s="1">
        <v>-1.67650123974872E-8</v>
      </c>
      <c r="O297" s="1">
        <v>8.6172189790607893E-12</v>
      </c>
      <c r="P297" s="1">
        <v>6.9784483992359004E-11</v>
      </c>
      <c r="Q297">
        <v>64.624278872838502</v>
      </c>
      <c r="S297">
        <v>21.860988025487298</v>
      </c>
      <c r="AA297">
        <v>2.9563469551502699</v>
      </c>
      <c r="AB297">
        <v>8.9880855405698803</v>
      </c>
      <c r="AC297">
        <v>1.57030060595386</v>
      </c>
      <c r="AJ297">
        <v>0.77118477293631205</v>
      </c>
      <c r="AK297">
        <v>0.14017076398435699</v>
      </c>
      <c r="AL297">
        <v>8.8644463079330202E-2</v>
      </c>
    </row>
    <row r="298" spans="1:38" x14ac:dyDescent="0.2">
      <c r="A298">
        <v>267</v>
      </c>
      <c r="B298">
        <v>776</v>
      </c>
      <c r="C298">
        <v>130</v>
      </c>
      <c r="D298">
        <v>0.46857027117190198</v>
      </c>
      <c r="E298">
        <v>3.5212937494849901</v>
      </c>
      <c r="F298">
        <v>2.5713259595842199</v>
      </c>
      <c r="G298">
        <v>-57.390221226824217</v>
      </c>
      <c r="H298">
        <v>-49.530331029412928</v>
      </c>
      <c r="I298">
        <v>7.4916744006207701</v>
      </c>
      <c r="J298">
        <v>4.2771070883391102</v>
      </c>
      <c r="K298">
        <v>1.3694466609182301</v>
      </c>
      <c r="L298">
        <v>3.0498566418236128E-5</v>
      </c>
      <c r="M298">
        <v>1.8033683744970627E-6</v>
      </c>
      <c r="N298" s="1">
        <v>-2.5241670749280001E-8</v>
      </c>
      <c r="O298" s="1">
        <v>1.2195926612522E-11</v>
      </c>
      <c r="P298" s="1">
        <v>1.03129101110034E-10</v>
      </c>
      <c r="Q298">
        <v>64.7335569456462</v>
      </c>
      <c r="S298">
        <v>21.768674122770399</v>
      </c>
      <c r="AA298">
        <v>2.85468849582736</v>
      </c>
      <c r="AB298">
        <v>8.9895929689670204</v>
      </c>
      <c r="AC298">
        <v>1.6534874667888999</v>
      </c>
      <c r="AJ298">
        <v>0.77131001901140905</v>
      </c>
      <c r="AK298">
        <v>0.13535006221287199</v>
      </c>
      <c r="AL298">
        <v>9.3339918775717998E-2</v>
      </c>
    </row>
    <row r="299" spans="1:38" x14ac:dyDescent="0.2">
      <c r="A299">
        <v>268</v>
      </c>
      <c r="B299">
        <v>774</v>
      </c>
      <c r="C299">
        <v>130</v>
      </c>
      <c r="D299">
        <v>0.46742157284057101</v>
      </c>
      <c r="E299">
        <v>5.3642165898606997</v>
      </c>
      <c r="F299">
        <v>2.5692014262921701</v>
      </c>
      <c r="G299">
        <v>-87.353034759026997</v>
      </c>
      <c r="H299">
        <v>-75.412829257873767</v>
      </c>
      <c r="I299">
        <v>11.402574130882099</v>
      </c>
      <c r="J299">
        <v>6.5161318728446798</v>
      </c>
      <c r="K299">
        <v>2.0878925782017199</v>
      </c>
      <c r="L299">
        <v>3.0571340308507789E-5</v>
      </c>
      <c r="M299">
        <v>1.8068226745861829E-6</v>
      </c>
      <c r="N299" s="1">
        <v>-4.0765429557757202E-8</v>
      </c>
      <c r="O299" s="1">
        <v>1.8636653250420901E-11</v>
      </c>
      <c r="P299" s="1">
        <v>1.6378549777037801E-10</v>
      </c>
      <c r="Q299">
        <v>64.900312943371802</v>
      </c>
      <c r="S299">
        <v>21.615701612703301</v>
      </c>
      <c r="AA299">
        <v>2.68957437633998</v>
      </c>
      <c r="AB299">
        <v>8.9601624458749694</v>
      </c>
      <c r="AC299">
        <v>1.8342486217098899</v>
      </c>
      <c r="AJ299">
        <v>0.768899988854718</v>
      </c>
      <c r="AK299">
        <v>0.12754056016891599</v>
      </c>
      <c r="AL299">
        <v>0.103559450976364</v>
      </c>
    </row>
    <row r="300" spans="1:38" x14ac:dyDescent="0.2">
      <c r="A300">
        <v>269</v>
      </c>
      <c r="B300">
        <v>772</v>
      </c>
      <c r="C300">
        <v>130</v>
      </c>
      <c r="D300">
        <v>0.46626847820886702</v>
      </c>
      <c r="E300">
        <v>7.3088764355418503</v>
      </c>
      <c r="F300">
        <v>2.5668247432725502</v>
      </c>
      <c r="G300">
        <v>-118.90538899113605</v>
      </c>
      <c r="H300">
        <v>-102.68274798236867</v>
      </c>
      <c r="I300">
        <v>15.521830367667199</v>
      </c>
      <c r="J300">
        <v>8.8780862101530307</v>
      </c>
      <c r="K300">
        <v>2.8474388267831001</v>
      </c>
      <c r="L300">
        <v>3.0627447402677281E-5</v>
      </c>
      <c r="M300">
        <v>1.8100024343130098E-6</v>
      </c>
      <c r="N300" s="1">
        <v>-5.8639936972655398E-8</v>
      </c>
      <c r="O300" s="1">
        <v>2.54803522976495E-11</v>
      </c>
      <c r="P300" s="1">
        <v>2.3207394619E-10</v>
      </c>
      <c r="Q300">
        <v>65.064346183211597</v>
      </c>
      <c r="S300">
        <v>21.454760543884799</v>
      </c>
      <c r="AA300">
        <v>2.5185214326214802</v>
      </c>
      <c r="AB300">
        <v>8.9037737900730995</v>
      </c>
      <c r="AC300">
        <v>2.0585980502089001</v>
      </c>
      <c r="AJ300">
        <v>0.76427798892008403</v>
      </c>
      <c r="AK300">
        <v>0.119463071264999</v>
      </c>
      <c r="AL300">
        <v>0.116258939814915</v>
      </c>
    </row>
    <row r="301" spans="1:38" x14ac:dyDescent="0.2">
      <c r="A301">
        <v>270</v>
      </c>
      <c r="B301">
        <v>770</v>
      </c>
      <c r="C301">
        <v>130</v>
      </c>
      <c r="D301">
        <v>0.46511096199012703</v>
      </c>
      <c r="E301">
        <v>9.4489857968049709</v>
      </c>
      <c r="F301">
        <v>2.5639650522927302</v>
      </c>
      <c r="G301">
        <v>-153.53837061934411</v>
      </c>
      <c r="H301">
        <v>-132.62694584959328</v>
      </c>
      <c r="I301">
        <v>20.046421674496301</v>
      </c>
      <c r="J301">
        <v>11.4749282140804</v>
      </c>
      <c r="K301">
        <v>3.6853021020530501</v>
      </c>
      <c r="L301">
        <v>3.0657633652871731E-5</v>
      </c>
      <c r="M301">
        <v>1.8128905828262304E-6</v>
      </c>
      <c r="N301" s="1">
        <v>-7.9525872042484995E-8</v>
      </c>
      <c r="O301" s="1">
        <v>3.30789468801919E-11</v>
      </c>
      <c r="P301" s="1">
        <v>3.1065453906837002E-10</v>
      </c>
      <c r="Q301">
        <v>65.231161178194199</v>
      </c>
      <c r="S301">
        <v>21.275082040464898</v>
      </c>
      <c r="AA301">
        <v>2.3313608289671501</v>
      </c>
      <c r="AB301">
        <v>8.8044615056145403</v>
      </c>
      <c r="AC301">
        <v>2.3579344467591699</v>
      </c>
      <c r="AJ301">
        <v>0.75612943824356904</v>
      </c>
      <c r="AK301">
        <v>0.110640373526011</v>
      </c>
      <c r="AL301">
        <v>0.13323018823041899</v>
      </c>
    </row>
    <row r="302" spans="1:38" x14ac:dyDescent="0.2">
      <c r="A302">
        <v>271</v>
      </c>
      <c r="B302">
        <v>768</v>
      </c>
      <c r="C302">
        <v>130</v>
      </c>
      <c r="D302">
        <v>0.46394899870335798</v>
      </c>
      <c r="E302">
        <v>14.805750976934</v>
      </c>
      <c r="F302">
        <v>2.5688952688296101</v>
      </c>
      <c r="G302">
        <v>-240.70964018514212</v>
      </c>
      <c r="H302">
        <v>-208.0613200935729</v>
      </c>
      <c r="I302">
        <v>31.357940826556302</v>
      </c>
      <c r="J302">
        <v>17.981388390000699</v>
      </c>
      <c r="K302">
        <v>5.7634700630203302</v>
      </c>
      <c r="L302">
        <v>3.0527885841161215E-5</v>
      </c>
      <c r="M302">
        <v>1.8039436717309688E-6</v>
      </c>
      <c r="N302" s="1">
        <v>-1.3118469211429599E-7</v>
      </c>
      <c r="O302" s="1">
        <v>5.1314967942944901E-11</v>
      </c>
      <c r="P302" s="1">
        <v>5.0618855589183901E-10</v>
      </c>
      <c r="Q302">
        <v>64.795314315661003</v>
      </c>
      <c r="S302">
        <v>21.6205708164693</v>
      </c>
      <c r="AA302">
        <v>2.71809151365676</v>
      </c>
      <c r="AB302">
        <v>8.7389438845352903</v>
      </c>
      <c r="AC302">
        <v>2.1270794696775899</v>
      </c>
      <c r="AJ302">
        <v>0.75074106078455505</v>
      </c>
      <c r="AK302">
        <v>0.12903457151918499</v>
      </c>
      <c r="AL302">
        <v>0.12022436769625799</v>
      </c>
    </row>
    <row r="303" spans="1:38" x14ac:dyDescent="0.2">
      <c r="A303">
        <v>271</v>
      </c>
      <c r="B303">
        <v>768</v>
      </c>
      <c r="C303">
        <v>130</v>
      </c>
      <c r="D303">
        <v>0.46394899870335798</v>
      </c>
      <c r="E303">
        <v>22.9138723438091</v>
      </c>
      <c r="F303">
        <v>2.5196364919607301</v>
      </c>
      <c r="G303">
        <v>-364.08943898072937</v>
      </c>
      <c r="H303">
        <v>-314.2380777465516</v>
      </c>
      <c r="I303">
        <v>47.881055788481703</v>
      </c>
      <c r="J303">
        <v>27.247708293901699</v>
      </c>
      <c r="K303">
        <v>9.0941183051282195</v>
      </c>
      <c r="L303">
        <v>2.8423893198760447E-5</v>
      </c>
      <c r="M303">
        <v>1.8015372324301392E-6</v>
      </c>
      <c r="N303" s="1">
        <v>-8.8283096988870998E-8</v>
      </c>
      <c r="O303" s="1">
        <v>8.6952380439659897E-11</v>
      </c>
      <c r="P303" s="1">
        <v>4.3872551286256599E-10</v>
      </c>
      <c r="Q303">
        <v>66.018882650136106</v>
      </c>
      <c r="S303">
        <v>19.113918193061501</v>
      </c>
      <c r="AA303">
        <v>0.36457448967629802</v>
      </c>
      <c r="AB303">
        <v>4.8940845734635596</v>
      </c>
      <c r="AC303">
        <v>9.6085400936624392</v>
      </c>
      <c r="AJ303">
        <v>0.42865650253375298</v>
      </c>
      <c r="AK303">
        <v>1.7645542420791499E-2</v>
      </c>
      <c r="AL303">
        <v>0.55369795504545405</v>
      </c>
    </row>
    <row r="304" spans="1:38" x14ac:dyDescent="0.2">
      <c r="A304">
        <v>272</v>
      </c>
      <c r="B304">
        <v>766</v>
      </c>
      <c r="C304">
        <v>130</v>
      </c>
      <c r="D304">
        <v>0.46278256267141699</v>
      </c>
      <c r="E304">
        <v>16.684677823188601</v>
      </c>
      <c r="F304">
        <v>2.5708568115748598</v>
      </c>
      <c r="G304">
        <v>-271.27297751130226</v>
      </c>
      <c r="H304">
        <v>-234.60112498353016</v>
      </c>
      <c r="I304">
        <v>35.290239645645102</v>
      </c>
      <c r="J304">
        <v>20.269037944904198</v>
      </c>
      <c r="K304">
        <v>6.4899288626533203</v>
      </c>
      <c r="L304">
        <v>3.0512920017222211E-5</v>
      </c>
      <c r="M304">
        <v>1.8007712487007155E-6</v>
      </c>
      <c r="N304" s="1">
        <v>-1.56800440771408E-7</v>
      </c>
      <c r="O304" s="1">
        <v>5.7551416591415999E-11</v>
      </c>
      <c r="P304" s="1">
        <v>5.9660179763243304E-10</v>
      </c>
      <c r="Q304">
        <v>64.631818535658596</v>
      </c>
      <c r="S304">
        <v>21.7518878061179</v>
      </c>
      <c r="AA304">
        <v>2.8645788798283598</v>
      </c>
      <c r="AB304">
        <v>8.7188668658308295</v>
      </c>
      <c r="AC304">
        <v>2.0328479125641499</v>
      </c>
      <c r="AJ304">
        <v>0.74908872762880097</v>
      </c>
      <c r="AK304">
        <v>0.13600184234122101</v>
      </c>
      <c r="AL304">
        <v>0.114909430029976</v>
      </c>
    </row>
    <row r="305" spans="1:38" x14ac:dyDescent="0.2">
      <c r="A305">
        <v>272</v>
      </c>
      <c r="B305">
        <v>766</v>
      </c>
      <c r="C305">
        <v>130</v>
      </c>
      <c r="D305">
        <v>0.46278256267141699</v>
      </c>
      <c r="E305">
        <v>30.0444793843136</v>
      </c>
      <c r="F305">
        <v>2.51947870957415</v>
      </c>
      <c r="G305">
        <v>-477.02053265684225</v>
      </c>
      <c r="H305">
        <v>-411.89313456139433</v>
      </c>
      <c r="I305">
        <v>62.673721883700999</v>
      </c>
      <c r="J305">
        <v>35.709689119746997</v>
      </c>
      <c r="K305">
        <v>11.9248792498793</v>
      </c>
      <c r="L305">
        <v>2.8365684450294321E-5</v>
      </c>
      <c r="M305">
        <v>1.8005494675735334E-6</v>
      </c>
      <c r="N305" s="1">
        <v>-1.20508963720279E-7</v>
      </c>
      <c r="O305" s="1">
        <v>1.14064756699618E-10</v>
      </c>
      <c r="P305" s="1">
        <v>5.8885734701721396E-10</v>
      </c>
      <c r="Q305">
        <v>65.987074442860404</v>
      </c>
      <c r="S305">
        <v>19.097064936651702</v>
      </c>
      <c r="AA305">
        <v>0.35809239089639</v>
      </c>
      <c r="AB305">
        <v>4.7790186862864203</v>
      </c>
      <c r="AC305">
        <v>9.77874954330502</v>
      </c>
      <c r="AJ305">
        <v>0.41882266998635598</v>
      </c>
      <c r="AK305">
        <v>1.7341926273586598E-2</v>
      </c>
      <c r="AL305">
        <v>0.56383540374005603</v>
      </c>
    </row>
    <row r="306" spans="1:38" x14ac:dyDescent="0.2">
      <c r="A306">
        <v>273</v>
      </c>
      <c r="B306">
        <v>764</v>
      </c>
      <c r="C306">
        <v>130</v>
      </c>
      <c r="D306">
        <v>0.461611628019092</v>
      </c>
      <c r="E306">
        <v>17.518959935976302</v>
      </c>
      <c r="F306">
        <v>2.5718099760260298</v>
      </c>
      <c r="G306">
        <v>-284.80859666102651</v>
      </c>
      <c r="H306">
        <v>-246.42334970611498</v>
      </c>
      <c r="I306">
        <v>37.010313797340302</v>
      </c>
      <c r="J306">
        <v>21.290745307726102</v>
      </c>
      <c r="K306">
        <v>6.8119184929232803</v>
      </c>
      <c r="L306">
        <v>3.054109668888035E-5</v>
      </c>
      <c r="M306">
        <v>1.7996487186150455E-6</v>
      </c>
      <c r="N306" s="1">
        <v>-1.7509393580818301E-7</v>
      </c>
      <c r="O306" s="1">
        <v>6.0247582192000096E-11</v>
      </c>
      <c r="P306" s="1">
        <v>6.5681496054620101E-10</v>
      </c>
      <c r="Q306">
        <v>64.563340899499195</v>
      </c>
      <c r="S306">
        <v>21.8087824183484</v>
      </c>
      <c r="AA306">
        <v>2.9274958377212399</v>
      </c>
      <c r="AB306">
        <v>8.7154247480401299</v>
      </c>
      <c r="AC306">
        <v>1.9849560963909001</v>
      </c>
      <c r="AJ306">
        <v>0.74880480198716404</v>
      </c>
      <c r="AK306">
        <v>0.138991147365217</v>
      </c>
      <c r="AL306">
        <v>0.112204050647617</v>
      </c>
    </row>
    <row r="307" spans="1:38" x14ac:dyDescent="0.2">
      <c r="A307">
        <v>273</v>
      </c>
      <c r="B307">
        <v>764</v>
      </c>
      <c r="C307">
        <v>130</v>
      </c>
      <c r="D307">
        <v>0.461611628019092</v>
      </c>
      <c r="E307">
        <v>32.921394941957701</v>
      </c>
      <c r="F307">
        <v>2.5194307333590298</v>
      </c>
      <c r="G307">
        <v>-522.4174296182498</v>
      </c>
      <c r="H307">
        <v>-451.29264180809525</v>
      </c>
      <c r="I307">
        <v>68.577146806300505</v>
      </c>
      <c r="J307">
        <v>39.122322032644902</v>
      </c>
      <c r="K307">
        <v>13.066997439562501</v>
      </c>
      <c r="L307">
        <v>2.8347462477638971E-5</v>
      </c>
      <c r="M307">
        <v>1.8001969385206483E-6</v>
      </c>
      <c r="N307" s="1">
        <v>-1.4004506817952701E-7</v>
      </c>
      <c r="O307" s="1">
        <v>1.2497939256225201E-10</v>
      </c>
      <c r="P307" s="1">
        <v>6.6837643570492897E-10</v>
      </c>
      <c r="Q307">
        <v>65.973646524489993</v>
      </c>
      <c r="S307">
        <v>19.085779161756999</v>
      </c>
      <c r="AA307">
        <v>0.35191473223150799</v>
      </c>
      <c r="AB307">
        <v>4.7195081640370304</v>
      </c>
      <c r="AC307">
        <v>9.8691514174843498</v>
      </c>
      <c r="AJ307">
        <v>0.413732263446902</v>
      </c>
      <c r="AK307">
        <v>1.70478998693466E-2</v>
      </c>
      <c r="AL307">
        <v>0.56921983668374998</v>
      </c>
    </row>
    <row r="308" spans="1:38" x14ac:dyDescent="0.2">
      <c r="A308">
        <v>274</v>
      </c>
      <c r="B308">
        <v>762</v>
      </c>
      <c r="C308">
        <v>130</v>
      </c>
      <c r="D308">
        <v>0.46043616867121101</v>
      </c>
      <c r="E308">
        <v>18.018422570724201</v>
      </c>
      <c r="F308">
        <v>2.5724309997210901</v>
      </c>
      <c r="G308">
        <v>-292.88388795953961</v>
      </c>
      <c r="H308">
        <v>-253.52604427787057</v>
      </c>
      <c r="I308">
        <v>38.021391761260702</v>
      </c>
      <c r="J308">
        <v>21.907515041527098</v>
      </c>
      <c r="K308">
        <v>7.0044337720536802</v>
      </c>
      <c r="L308">
        <v>3.0586505532343534E-5</v>
      </c>
      <c r="M308">
        <v>1.7992299046202521E-6</v>
      </c>
      <c r="N308" s="1">
        <v>-1.91702592033626E-7</v>
      </c>
      <c r="O308" s="1">
        <v>6.1811240416433594E-11</v>
      </c>
      <c r="P308" s="1">
        <v>7.0922912450888599E-10</v>
      </c>
      <c r="Q308">
        <v>64.526865287356699</v>
      </c>
      <c r="S308">
        <v>21.8408207204406</v>
      </c>
      <c r="AA308">
        <v>2.9624388504331498</v>
      </c>
      <c r="AB308">
        <v>8.7181333763227595</v>
      </c>
      <c r="AC308">
        <v>1.9517417654467299</v>
      </c>
      <c r="AJ308">
        <v>0.74902686682104502</v>
      </c>
      <c r="AK308">
        <v>0.140648165411906</v>
      </c>
      <c r="AL308">
        <v>0.11032496776704701</v>
      </c>
    </row>
    <row r="309" spans="1:38" x14ac:dyDescent="0.2">
      <c r="A309">
        <v>274</v>
      </c>
      <c r="B309">
        <v>762</v>
      </c>
      <c r="C309">
        <v>130</v>
      </c>
      <c r="D309">
        <v>0.46043616867121101</v>
      </c>
      <c r="E309">
        <v>34.473114225659103</v>
      </c>
      <c r="F309">
        <v>2.5194172858003601</v>
      </c>
      <c r="G309">
        <v>-546.79021970422093</v>
      </c>
      <c r="H309">
        <v>-472.55586667864168</v>
      </c>
      <c r="I309">
        <v>71.713619306940302</v>
      </c>
      <c r="J309">
        <v>40.963779002608298</v>
      </c>
      <c r="K309">
        <v>13.6829712251131</v>
      </c>
      <c r="L309">
        <v>2.8343056142724363E-5</v>
      </c>
      <c r="M309">
        <v>1.8000501075488641E-6</v>
      </c>
      <c r="N309" s="1">
        <v>-1.5638513129196501E-7</v>
      </c>
      <c r="O309" s="1">
        <v>1.3083622914228799E-10</v>
      </c>
      <c r="P309" s="1">
        <v>7.2807965909405398E-10</v>
      </c>
      <c r="Q309">
        <v>65.966101374003898</v>
      </c>
      <c r="S309">
        <v>19.076326380917301</v>
      </c>
      <c r="AA309">
        <v>0.34587664896718701</v>
      </c>
      <c r="AB309">
        <v>4.67791250681696</v>
      </c>
      <c r="AC309">
        <v>9.9337830892945291</v>
      </c>
      <c r="AJ309">
        <v>0.41017244598709401</v>
      </c>
      <c r="AK309">
        <v>1.6758935164561999E-2</v>
      </c>
      <c r="AL309">
        <v>0.57306861884834304</v>
      </c>
    </row>
    <row r="310" spans="1:38" x14ac:dyDescent="0.2">
      <c r="A310">
        <v>275</v>
      </c>
      <c r="B310">
        <v>760</v>
      </c>
      <c r="C310">
        <v>130</v>
      </c>
      <c r="D310">
        <v>0.45925615835067601</v>
      </c>
      <c r="E310">
        <v>18.3705131573616</v>
      </c>
      <c r="F310">
        <v>2.5729009996935801</v>
      </c>
      <c r="G310">
        <v>-298.55479059012691</v>
      </c>
      <c r="H310">
        <v>-258.55104380049249</v>
      </c>
      <c r="I310">
        <v>38.720173052929702</v>
      </c>
      <c r="J310">
        <v>22.3466776414432</v>
      </c>
      <c r="K310">
        <v>7.1400000075982204</v>
      </c>
      <c r="L310">
        <v>3.0641942046713817E-5</v>
      </c>
      <c r="M310">
        <v>1.7991417466112928E-6</v>
      </c>
      <c r="N310" s="1">
        <v>-2.08152857791017E-7</v>
      </c>
      <c r="O310" s="1">
        <v>6.2873635001752004E-11</v>
      </c>
      <c r="P310" s="1">
        <v>7.5986562725393899E-10</v>
      </c>
      <c r="Q310">
        <v>64.505093986346196</v>
      </c>
      <c r="S310">
        <v>21.861474089023901</v>
      </c>
      <c r="AA310">
        <v>2.9845581264460201</v>
      </c>
      <c r="AB310">
        <v>8.7237626902138601</v>
      </c>
      <c r="AC310">
        <v>1.92511110796985</v>
      </c>
      <c r="AJ310">
        <v>0.74948917487418598</v>
      </c>
      <c r="AK310">
        <v>0.14169429128126401</v>
      </c>
      <c r="AL310">
        <v>0.10881653384454799</v>
      </c>
    </row>
    <row r="311" spans="1:38" x14ac:dyDescent="0.2">
      <c r="A311">
        <v>275</v>
      </c>
      <c r="B311">
        <v>760</v>
      </c>
      <c r="C311">
        <v>130</v>
      </c>
      <c r="D311">
        <v>0.45925615835067601</v>
      </c>
      <c r="E311">
        <v>35.443389732246601</v>
      </c>
      <c r="F311">
        <v>2.5194199388506502</v>
      </c>
      <c r="G311">
        <v>-561.94204416957587</v>
      </c>
      <c r="H311">
        <v>-485.86447451231379</v>
      </c>
      <c r="I311">
        <v>73.6365190507303</v>
      </c>
      <c r="J311">
        <v>42.116611763714502</v>
      </c>
      <c r="K311">
        <v>14.0680754270824</v>
      </c>
      <c r="L311">
        <v>2.8345678500011066E-5</v>
      </c>
      <c r="M311">
        <v>1.7999971470669343E-6</v>
      </c>
      <c r="N311" s="1">
        <v>-1.71819438221459E-7</v>
      </c>
      <c r="O311" s="1">
        <v>1.3446858596916201E-10</v>
      </c>
      <c r="P311" s="1">
        <v>7.8050013154619196E-10</v>
      </c>
      <c r="Q311">
        <v>65.961150289701607</v>
      </c>
      <c r="S311">
        <v>19.067737337888399</v>
      </c>
      <c r="AA311">
        <v>0.339945868359874</v>
      </c>
      <c r="AB311">
        <v>4.6443619879637996</v>
      </c>
      <c r="AC311">
        <v>9.9868045160862202</v>
      </c>
      <c r="AJ311">
        <v>0.40730005670340602</v>
      </c>
      <c r="AK311">
        <v>1.64743757110699E-2</v>
      </c>
      <c r="AL311">
        <v>0.57622556758552301</v>
      </c>
    </row>
    <row r="312" spans="1:38" x14ac:dyDescent="0.2">
      <c r="A312">
        <v>276</v>
      </c>
      <c r="B312">
        <v>758</v>
      </c>
      <c r="C312">
        <v>130</v>
      </c>
      <c r="D312">
        <v>0.45807157057654202</v>
      </c>
      <c r="E312">
        <v>18.644487776453701</v>
      </c>
      <c r="F312">
        <v>2.5732883724083999</v>
      </c>
      <c r="G312">
        <v>-302.95065400035276</v>
      </c>
      <c r="H312">
        <v>-262.47473986790413</v>
      </c>
      <c r="I312">
        <v>39.253177648691803</v>
      </c>
      <c r="J312">
        <v>22.692252381742001</v>
      </c>
      <c r="K312">
        <v>7.2453938611644499</v>
      </c>
      <c r="L312">
        <v>3.0704764907620095E-5</v>
      </c>
      <c r="M312">
        <v>1.7992415613983867E-6</v>
      </c>
      <c r="N312" s="1">
        <v>-2.2505455565149801E-7</v>
      </c>
      <c r="O312" s="1">
        <v>6.3666750986317906E-11</v>
      </c>
      <c r="P312" s="1">
        <v>8.1107672530705301E-10</v>
      </c>
      <c r="Q312">
        <v>64.491422707630093</v>
      </c>
      <c r="S312">
        <v>21.875863285805401</v>
      </c>
      <c r="AA312">
        <v>2.9996193671143798</v>
      </c>
      <c r="AB312">
        <v>8.7310201287054294</v>
      </c>
      <c r="AC312">
        <v>1.9020745107446</v>
      </c>
      <c r="AJ312">
        <v>0.75008537083695703</v>
      </c>
      <c r="AK312">
        <v>0.14240414977962401</v>
      </c>
      <c r="AL312">
        <v>0.107510479383418</v>
      </c>
    </row>
    <row r="313" spans="1:38" x14ac:dyDescent="0.2">
      <c r="A313">
        <v>276</v>
      </c>
      <c r="B313">
        <v>758</v>
      </c>
      <c r="C313">
        <v>130</v>
      </c>
      <c r="D313">
        <v>0.45807157057654202</v>
      </c>
      <c r="E313">
        <v>36.104335715213203</v>
      </c>
      <c r="F313">
        <v>2.5194320205907399</v>
      </c>
      <c r="G313">
        <v>-572.1897179460957</v>
      </c>
      <c r="H313">
        <v>-494.94220459451589</v>
      </c>
      <c r="I313">
        <v>74.913943996101295</v>
      </c>
      <c r="J313">
        <v>42.903593450785003</v>
      </c>
      <c r="K313">
        <v>14.330347244990399</v>
      </c>
      <c r="L313">
        <v>2.8352856635917314E-5</v>
      </c>
      <c r="M313">
        <v>1.7999965651086259E-6</v>
      </c>
      <c r="N313" s="1">
        <v>-1.87187323589348E-7</v>
      </c>
      <c r="O313" s="1">
        <v>1.36913641190404E-10</v>
      </c>
      <c r="P313" s="1">
        <v>8.3022023261833502E-10</v>
      </c>
      <c r="Q313">
        <v>65.957563168312404</v>
      </c>
      <c r="S313">
        <v>19.059650441252401</v>
      </c>
      <c r="AA313">
        <v>0.33411110156905399</v>
      </c>
      <c r="AB313">
        <v>4.61516742938226</v>
      </c>
      <c r="AC313">
        <v>10.0335078594837</v>
      </c>
      <c r="AJ313">
        <v>0.40479980707054702</v>
      </c>
      <c r="AK313">
        <v>1.6194014821143899E-2</v>
      </c>
      <c r="AL313">
        <v>0.57900617810830801</v>
      </c>
    </row>
    <row r="314" spans="1:38" x14ac:dyDescent="0.2">
      <c r="A314">
        <v>277</v>
      </c>
      <c r="B314">
        <v>756</v>
      </c>
      <c r="C314">
        <v>130</v>
      </c>
      <c r="D314">
        <v>0.45688237866200498</v>
      </c>
      <c r="E314">
        <v>18.8718212230782</v>
      </c>
      <c r="F314">
        <v>2.5736249173108501</v>
      </c>
      <c r="G314">
        <v>-306.58482635711891</v>
      </c>
      <c r="H314">
        <v>-265.74097008940902</v>
      </c>
      <c r="I314">
        <v>39.686980778030197</v>
      </c>
      <c r="J314">
        <v>22.982462130904199</v>
      </c>
      <c r="K314">
        <v>7.3327784076621398</v>
      </c>
      <c r="L314">
        <v>3.0773870805547366E-5</v>
      </c>
      <c r="M314">
        <v>1.7994628318907945E-6</v>
      </c>
      <c r="N314" s="1">
        <v>-2.4273129384861598E-7</v>
      </c>
      <c r="O314" s="1">
        <v>6.4295376722545697E-11</v>
      </c>
      <c r="P314" s="1">
        <v>8.6406046116053398E-10</v>
      </c>
      <c r="Q314">
        <v>64.4827621183735</v>
      </c>
      <c r="S314">
        <v>21.886377629389099</v>
      </c>
      <c r="AA314">
        <v>3.0103146383343899</v>
      </c>
      <c r="AB314">
        <v>8.7392851885718397</v>
      </c>
      <c r="AC314">
        <v>1.88126042533112</v>
      </c>
      <c r="AJ314">
        <v>0.75076439379765203</v>
      </c>
      <c r="AK314">
        <v>0.14290599109146099</v>
      </c>
      <c r="AL314">
        <v>0.106329615110886</v>
      </c>
    </row>
    <row r="315" spans="1:38" x14ac:dyDescent="0.2">
      <c r="A315">
        <v>277</v>
      </c>
      <c r="B315">
        <v>756</v>
      </c>
      <c r="C315">
        <v>130</v>
      </c>
      <c r="D315">
        <v>0.45688237866200498</v>
      </c>
      <c r="E315">
        <v>36.579551772880002</v>
      </c>
      <c r="F315">
        <v>2.5194505028528198</v>
      </c>
      <c r="G315">
        <v>-579.49360498993269</v>
      </c>
      <c r="H315">
        <v>-501.48003768654877</v>
      </c>
      <c r="I315">
        <v>75.803884082382396</v>
      </c>
      <c r="J315">
        <v>43.471317463433401</v>
      </c>
      <c r="K315">
        <v>14.5188610498441</v>
      </c>
      <c r="L315">
        <v>2.8363506466153388E-5</v>
      </c>
      <c r="M315">
        <v>1.8000294076748339E-6</v>
      </c>
      <c r="N315" s="1">
        <v>-2.0289122875932199E-7</v>
      </c>
      <c r="O315" s="1">
        <v>1.3864250350864E-10</v>
      </c>
      <c r="P315" s="1">
        <v>8.7937746057142399E-10</v>
      </c>
      <c r="Q315">
        <v>65.954772199120995</v>
      </c>
      <c r="S315">
        <v>19.051898335885198</v>
      </c>
      <c r="AA315">
        <v>0.32836676977171703</v>
      </c>
      <c r="AB315">
        <v>4.5886247521224801</v>
      </c>
      <c r="AC315">
        <v>10.0763379430994</v>
      </c>
      <c r="AJ315">
        <v>0.40252602700608398</v>
      </c>
      <c r="AK315">
        <v>1.59177402800392E-2</v>
      </c>
      <c r="AL315">
        <v>0.58155623271387602</v>
      </c>
    </row>
    <row r="316" spans="1:38" x14ac:dyDescent="0.2">
      <c r="A316">
        <v>278</v>
      </c>
      <c r="B316">
        <v>754</v>
      </c>
      <c r="C316">
        <v>130</v>
      </c>
      <c r="D316">
        <v>0.45568855571240902</v>
      </c>
      <c r="E316">
        <v>19.068962323427002</v>
      </c>
      <c r="F316">
        <v>2.5739435320034501</v>
      </c>
      <c r="G316">
        <v>-309.72631098316594</v>
      </c>
      <c r="H316">
        <v>-268.5825205649852</v>
      </c>
      <c r="I316">
        <v>40.0562628809625</v>
      </c>
      <c r="J316">
        <v>23.237274760909301</v>
      </c>
      <c r="K316">
        <v>7.4084617965898198</v>
      </c>
      <c r="L316">
        <v>3.0848020338478508E-5</v>
      </c>
      <c r="M316">
        <v>1.7997341710797184E-6</v>
      </c>
      <c r="N316" s="1">
        <v>-2.6138389067029799E-7</v>
      </c>
      <c r="O316" s="1">
        <v>6.4811857753444802E-11</v>
      </c>
      <c r="P316" s="1">
        <v>9.1953000181020601E-10</v>
      </c>
      <c r="Q316">
        <v>64.475833340162097</v>
      </c>
      <c r="S316">
        <v>21.895527517471798</v>
      </c>
      <c r="AA316">
        <v>3.0194801253631698</v>
      </c>
      <c r="AB316">
        <v>8.7478323990095603</v>
      </c>
      <c r="AC316">
        <v>1.86132661799324</v>
      </c>
      <c r="AJ316">
        <v>0.75146656863175398</v>
      </c>
      <c r="AK316">
        <v>0.14333497543953599</v>
      </c>
      <c r="AL316">
        <v>0.10519845592870899</v>
      </c>
    </row>
    <row r="317" spans="1:38" x14ac:dyDescent="0.2">
      <c r="A317">
        <v>278</v>
      </c>
      <c r="B317">
        <v>754</v>
      </c>
      <c r="C317">
        <v>130</v>
      </c>
      <c r="D317">
        <v>0.45568855571240902</v>
      </c>
      <c r="E317">
        <v>36.965407594322599</v>
      </c>
      <c r="F317">
        <v>2.51947278922463</v>
      </c>
      <c r="G317">
        <v>-585.37922475088897</v>
      </c>
      <c r="H317">
        <v>-506.79549215756367</v>
      </c>
      <c r="I317">
        <v>76.506578974176406</v>
      </c>
      <c r="J317">
        <v>43.933957631080602</v>
      </c>
      <c r="K317">
        <v>14.6718820510455</v>
      </c>
      <c r="L317">
        <v>2.8376490915579727E-5</v>
      </c>
      <c r="M317">
        <v>1.8000764680770411E-6</v>
      </c>
      <c r="N317" s="1">
        <v>-2.1929966406216799E-7</v>
      </c>
      <c r="O317" s="1">
        <v>1.40022747877114E-10</v>
      </c>
      <c r="P317" s="1">
        <v>9.2979275669327399E-10</v>
      </c>
      <c r="Q317">
        <v>65.952194768525004</v>
      </c>
      <c r="S317">
        <v>19.0443220721187</v>
      </c>
      <c r="AA317">
        <v>0.32271768278344898</v>
      </c>
      <c r="AB317">
        <v>4.5630189257901899</v>
      </c>
      <c r="AC317">
        <v>10.117746550782501</v>
      </c>
      <c r="AJ317">
        <v>0.40033192178315402</v>
      </c>
      <c r="AK317">
        <v>1.5645934368739699E-2</v>
      </c>
      <c r="AL317">
        <v>0.58402214384810502</v>
      </c>
    </row>
    <row r="318" spans="1:38" x14ac:dyDescent="0.2">
      <c r="A318">
        <v>279</v>
      </c>
      <c r="B318">
        <v>752</v>
      </c>
      <c r="C318">
        <v>130</v>
      </c>
      <c r="D318">
        <v>0.45449007462322599</v>
      </c>
      <c r="E318">
        <v>19.244438238493601</v>
      </c>
      <c r="F318">
        <v>2.5742263428585601</v>
      </c>
      <c r="G318">
        <v>-312.51309242996848</v>
      </c>
      <c r="H318">
        <v>-271.11830222803098</v>
      </c>
      <c r="I318">
        <v>40.379252013790598</v>
      </c>
      <c r="J318">
        <v>23.467187840451601</v>
      </c>
      <c r="K318">
        <v>7.4758143517106301</v>
      </c>
      <c r="L318">
        <v>3.0928430177061608E-5</v>
      </c>
      <c r="M318">
        <v>1.8000979899218807E-6</v>
      </c>
      <c r="N318" s="1">
        <v>-2.8119191387443298E-7</v>
      </c>
      <c r="O318" s="1">
        <v>6.5247237897437103E-11</v>
      </c>
      <c r="P318" s="1">
        <v>9.7806481771102002E-10</v>
      </c>
      <c r="Q318">
        <v>64.472493818587694</v>
      </c>
      <c r="S318">
        <v>21.901912757536699</v>
      </c>
      <c r="AA318">
        <v>3.0255272455015398</v>
      </c>
      <c r="AB318">
        <v>8.7571301912070094</v>
      </c>
      <c r="AC318">
        <v>1.84293598716691</v>
      </c>
      <c r="AJ318">
        <v>0.75223040094817595</v>
      </c>
      <c r="AK318">
        <v>0.14361537394123799</v>
      </c>
      <c r="AL318">
        <v>0.104154225110584</v>
      </c>
    </row>
    <row r="319" spans="1:38" x14ac:dyDescent="0.2">
      <c r="A319">
        <v>279</v>
      </c>
      <c r="B319">
        <v>752</v>
      </c>
      <c r="C319">
        <v>130</v>
      </c>
      <c r="D319">
        <v>0.45449007462322599</v>
      </c>
      <c r="E319">
        <v>37.2431628278038</v>
      </c>
      <c r="F319">
        <v>2.5194997701181299</v>
      </c>
      <c r="G319">
        <v>-589.55389524353177</v>
      </c>
      <c r="H319">
        <v>-510.63335906897504</v>
      </c>
      <c r="I319">
        <v>76.984379041658997</v>
      </c>
      <c r="J319">
        <v>44.269543507115301</v>
      </c>
      <c r="K319">
        <v>14.7819671466203</v>
      </c>
      <c r="L319">
        <v>2.8392628533349457E-5</v>
      </c>
      <c r="M319">
        <v>1.8001484516594853E-6</v>
      </c>
      <c r="N319" s="1">
        <v>-2.3635366177125901E-7</v>
      </c>
      <c r="O319" s="1">
        <v>1.4098196090780899E-10</v>
      </c>
      <c r="P319" s="1">
        <v>9.8113891202537209E-10</v>
      </c>
      <c r="Q319">
        <v>65.9501480569687</v>
      </c>
      <c r="S319">
        <v>19.036992364630802</v>
      </c>
      <c r="AA319">
        <v>0.31714817121707201</v>
      </c>
      <c r="AB319">
        <v>4.5392421577208601</v>
      </c>
      <c r="AC319">
        <v>10.156469249462299</v>
      </c>
      <c r="AJ319">
        <v>0.39829403572327499</v>
      </c>
      <c r="AK319">
        <v>1.5377773254573599E-2</v>
      </c>
      <c r="AL319">
        <v>0.58632819102214995</v>
      </c>
    </row>
    <row r="320" spans="1:38" x14ac:dyDescent="0.2">
      <c r="A320">
        <v>281</v>
      </c>
      <c r="B320">
        <v>790</v>
      </c>
      <c r="C320">
        <v>120</v>
      </c>
      <c r="D320">
        <v>0.486836758688802</v>
      </c>
      <c r="E320">
        <v>0.44759114430790498</v>
      </c>
      <c r="F320">
        <v>2.5737154937786202</v>
      </c>
      <c r="G320">
        <v>-7.3152829628637335</v>
      </c>
      <c r="H320">
        <v>-6.2957620119327915</v>
      </c>
      <c r="I320">
        <v>0.95896247089398601</v>
      </c>
      <c r="J320">
        <v>0.54288729508092504</v>
      </c>
      <c r="K320">
        <v>0.17390855570083599</v>
      </c>
      <c r="L320">
        <v>3.0128199590505117E-5</v>
      </c>
      <c r="M320">
        <v>1.7944990141288207E-6</v>
      </c>
      <c r="N320" s="1">
        <v>-2.0110788523663699E-9</v>
      </c>
      <c r="O320" s="1">
        <v>1.5489711844847799E-12</v>
      </c>
      <c r="P320" s="1">
        <v>9.6015638925463393E-12</v>
      </c>
      <c r="Q320">
        <v>64.369737953424405</v>
      </c>
      <c r="S320">
        <v>22.0624609651443</v>
      </c>
      <c r="AA320">
        <v>3.18195783703319</v>
      </c>
      <c r="AB320">
        <v>8.9490422541742607</v>
      </c>
      <c r="AC320">
        <v>1.43680099022371</v>
      </c>
      <c r="AJ320">
        <v>0.767980038228263</v>
      </c>
      <c r="AK320">
        <v>0.15089629761634499</v>
      </c>
      <c r="AL320">
        <v>8.1123664155390698E-2</v>
      </c>
    </row>
    <row r="321" spans="1:38" x14ac:dyDescent="0.2">
      <c r="A321">
        <v>282</v>
      </c>
      <c r="B321">
        <v>788</v>
      </c>
      <c r="C321">
        <v>120</v>
      </c>
      <c r="D321">
        <v>0.48573764312303003</v>
      </c>
      <c r="E321">
        <v>1.0888290513494201</v>
      </c>
      <c r="F321">
        <v>2.57299025070192</v>
      </c>
      <c r="G321">
        <v>-17.788276419116947</v>
      </c>
      <c r="H321">
        <v>-15.315089633679943</v>
      </c>
      <c r="I321">
        <v>2.33066652729303</v>
      </c>
      <c r="J321">
        <v>1.3208842143519699</v>
      </c>
      <c r="K321">
        <v>0.42317651652678501</v>
      </c>
      <c r="L321">
        <v>3.019075052885288E-5</v>
      </c>
      <c r="M321">
        <v>1.7966239603798237E-6</v>
      </c>
      <c r="N321" s="1">
        <v>-5.2440271303530402E-9</v>
      </c>
      <c r="O321" s="1">
        <v>3.7715287566373496E-12</v>
      </c>
      <c r="P321" s="1">
        <v>2.43890977163524E-11</v>
      </c>
      <c r="Q321">
        <v>64.456631463551304</v>
      </c>
      <c r="S321">
        <v>21.994629035554802</v>
      </c>
      <c r="AA321">
        <v>3.10572038790073</v>
      </c>
      <c r="AB321">
        <v>8.9648495602767504</v>
      </c>
      <c r="AC321">
        <v>1.4781695527162899</v>
      </c>
      <c r="AJ321">
        <v>0.76927742358652396</v>
      </c>
      <c r="AK321">
        <v>0.14726960585047499</v>
      </c>
      <c r="AL321">
        <v>8.3452970562999801E-2</v>
      </c>
    </row>
    <row r="322" spans="1:38" x14ac:dyDescent="0.2">
      <c r="A322">
        <v>283</v>
      </c>
      <c r="B322">
        <v>786</v>
      </c>
      <c r="C322">
        <v>120</v>
      </c>
      <c r="D322">
        <v>0.48463437662276798</v>
      </c>
      <c r="E322">
        <v>1.7305556961083901</v>
      </c>
      <c r="F322">
        <v>2.5722817203869801</v>
      </c>
      <c r="G322">
        <v>-28.260727310280451</v>
      </c>
      <c r="H322">
        <v>-24.340973001347717</v>
      </c>
      <c r="I322">
        <v>3.7008490855239899</v>
      </c>
      <c r="J322">
        <v>2.0997695729634298</v>
      </c>
      <c r="K322">
        <v>0.672770669865834</v>
      </c>
      <c r="L322">
        <v>3.0252745659831943E-5</v>
      </c>
      <c r="M322">
        <v>1.7986693232058081E-6</v>
      </c>
      <c r="N322" s="1">
        <v>-8.9220991458141697E-9</v>
      </c>
      <c r="O322" s="1">
        <v>5.9993230117901603E-12</v>
      </c>
      <c r="P322" s="1">
        <v>4.04846767055028E-11</v>
      </c>
      <c r="Q322">
        <v>64.540270027968006</v>
      </c>
      <c r="S322">
        <v>21.928778542719801</v>
      </c>
      <c r="AA322">
        <v>3.0318771414624899</v>
      </c>
      <c r="AB322">
        <v>8.9785979884437506</v>
      </c>
      <c r="AC322">
        <v>1.5204762994057901</v>
      </c>
      <c r="AJ322">
        <v>0.77040578881538202</v>
      </c>
      <c r="AK322">
        <v>0.143758456015878</v>
      </c>
      <c r="AL322">
        <v>8.5835755168739702E-2</v>
      </c>
    </row>
    <row r="323" spans="1:38" x14ac:dyDescent="0.2">
      <c r="A323">
        <v>284</v>
      </c>
      <c r="B323">
        <v>784</v>
      </c>
      <c r="C323">
        <v>120</v>
      </c>
      <c r="D323">
        <v>0.48352693562881199</v>
      </c>
      <c r="E323">
        <v>2.37226806309633</v>
      </c>
      <c r="F323">
        <v>2.5715895821139698</v>
      </c>
      <c r="G323">
        <v>-38.724351495931998</v>
      </c>
      <c r="H323">
        <v>-33.366303381321266</v>
      </c>
      <c r="I323">
        <v>5.0683896463233404</v>
      </c>
      <c r="J323">
        <v>2.8789580980062</v>
      </c>
      <c r="K323">
        <v>0.922490929188713</v>
      </c>
      <c r="L323">
        <v>3.0314283164309917E-5</v>
      </c>
      <c r="M323">
        <v>1.8006365277012008E-6</v>
      </c>
      <c r="N323" s="1">
        <v>-1.3076902512082399E-8</v>
      </c>
      <c r="O323" s="1">
        <v>8.2300380592077396E-12</v>
      </c>
      <c r="P323" s="1">
        <v>5.7974650316727402E-11</v>
      </c>
      <c r="Q323">
        <v>64.620699195001293</v>
      </c>
      <c r="S323">
        <v>21.864877505989</v>
      </c>
      <c r="AA323">
        <v>2.96039108527525</v>
      </c>
      <c r="AB323">
        <v>8.9903051992464302</v>
      </c>
      <c r="AC323">
        <v>1.5637270144878499</v>
      </c>
      <c r="AJ323">
        <v>0.77136665040371799</v>
      </c>
      <c r="AK323">
        <v>0.14036095074805</v>
      </c>
      <c r="AL323">
        <v>8.8272398848230293E-2</v>
      </c>
    </row>
    <row r="324" spans="1:38" x14ac:dyDescent="0.2">
      <c r="A324">
        <v>285</v>
      </c>
      <c r="B324">
        <v>782</v>
      </c>
      <c r="C324">
        <v>120</v>
      </c>
      <c r="D324">
        <v>0.48241529640335601</v>
      </c>
      <c r="E324">
        <v>3.01347950878408</v>
      </c>
      <c r="F324">
        <v>2.5709134348840701</v>
      </c>
      <c r="G324">
        <v>-49.171144549889995</v>
      </c>
      <c r="H324">
        <v>-42.384200864374897</v>
      </c>
      <c r="I324">
        <v>6.4322074449273403</v>
      </c>
      <c r="J324">
        <v>3.65788681200566</v>
      </c>
      <c r="K324">
        <v>1.17214351440034</v>
      </c>
      <c r="L324">
        <v>3.0375470788285255E-5</v>
      </c>
      <c r="M324">
        <v>1.8025272327381884E-6</v>
      </c>
      <c r="N324" s="1">
        <v>-1.7742330805048601E-8</v>
      </c>
      <c r="O324" s="1">
        <v>1.0461395338475101E-11</v>
      </c>
      <c r="P324" s="1">
        <v>7.6951834236350099E-11</v>
      </c>
      <c r="Q324">
        <v>64.697974271619998</v>
      </c>
      <c r="S324">
        <v>21.802886819651601</v>
      </c>
      <c r="AA324">
        <v>2.8912170516020099</v>
      </c>
      <c r="AB324">
        <v>8.9999919205944892</v>
      </c>
      <c r="AC324">
        <v>1.6079299365317801</v>
      </c>
      <c r="AJ324">
        <v>0.77216176550192706</v>
      </c>
      <c r="AK324">
        <v>0.13707481251690501</v>
      </c>
      <c r="AL324">
        <v>9.0763421981166298E-2</v>
      </c>
    </row>
    <row r="325" spans="1:38" x14ac:dyDescent="0.2">
      <c r="A325">
        <v>286</v>
      </c>
      <c r="B325">
        <v>780</v>
      </c>
      <c r="C325">
        <v>120</v>
      </c>
      <c r="D325">
        <v>0.48129943502824801</v>
      </c>
      <c r="E325">
        <v>4.1046812397073804</v>
      </c>
      <c r="F325">
        <v>2.5697331265384502</v>
      </c>
      <c r="G325">
        <v>-66.93905969852085</v>
      </c>
      <c r="H325">
        <v>-57.720542479424481</v>
      </c>
      <c r="I325">
        <v>8.7532803675605209</v>
      </c>
      <c r="J325">
        <v>4.9832191681120799</v>
      </c>
      <c r="K325">
        <v>1.5973181017581199</v>
      </c>
      <c r="L325">
        <v>3.0440552903369488E-5</v>
      </c>
      <c r="M325">
        <v>1.8049816020250898E-6</v>
      </c>
      <c r="N325" s="1">
        <v>-2.5747443579094801E-8</v>
      </c>
      <c r="O325" s="1">
        <v>1.42713901639573E-11</v>
      </c>
      <c r="P325" s="1">
        <v>1.09420258097486E-10</v>
      </c>
      <c r="Q325">
        <v>64.807116994936607</v>
      </c>
      <c r="S325">
        <v>21.708912093701699</v>
      </c>
      <c r="AA325">
        <v>2.7882199780597801</v>
      </c>
      <c r="AB325">
        <v>8.9968436658809008</v>
      </c>
      <c r="AC325">
        <v>1.69890726742092</v>
      </c>
      <c r="AJ325">
        <v>0.771905433641775</v>
      </c>
      <c r="AK325">
        <v>0.13219400156248901</v>
      </c>
      <c r="AL325">
        <v>9.5900564795734194E-2</v>
      </c>
    </row>
    <row r="326" spans="1:38" x14ac:dyDescent="0.2">
      <c r="A326">
        <v>287</v>
      </c>
      <c r="B326">
        <v>778</v>
      </c>
      <c r="C326">
        <v>120</v>
      </c>
      <c r="D326">
        <v>0.48017932740332298</v>
      </c>
      <c r="E326">
        <v>5.9385313381960296</v>
      </c>
      <c r="F326">
        <v>2.5676402096237099</v>
      </c>
      <c r="G326">
        <v>-96.763539253033258</v>
      </c>
      <c r="H326">
        <v>-83.463637409786557</v>
      </c>
      <c r="I326">
        <v>12.652715448077499</v>
      </c>
      <c r="J326">
        <v>7.2096219723932498</v>
      </c>
      <c r="K326">
        <v>2.3128362439324399</v>
      </c>
      <c r="L326">
        <v>3.0502826449498647E-5</v>
      </c>
      <c r="M326">
        <v>1.8082146834513179E-6</v>
      </c>
      <c r="N326" s="1">
        <v>-3.94802068649217E-8</v>
      </c>
      <c r="O326" s="1">
        <v>2.07121381017911E-11</v>
      </c>
      <c r="P326" s="1">
        <v>1.6475543499248301E-10</v>
      </c>
      <c r="Q326">
        <v>64.966032013504304</v>
      </c>
      <c r="S326">
        <v>21.560474431110801</v>
      </c>
      <c r="AA326">
        <v>2.62867673946687</v>
      </c>
      <c r="AB326">
        <v>8.9618286333813106</v>
      </c>
      <c r="AC326">
        <v>1.8829881825366599</v>
      </c>
      <c r="AJ326">
        <v>0.76903760950868205</v>
      </c>
      <c r="AK326">
        <v>0.12465190404856601</v>
      </c>
      <c r="AL326">
        <v>0.10631048644275</v>
      </c>
    </row>
    <row r="327" spans="1:38" x14ac:dyDescent="0.2">
      <c r="A327">
        <v>288</v>
      </c>
      <c r="B327">
        <v>776</v>
      </c>
      <c r="C327">
        <v>120</v>
      </c>
      <c r="D327">
        <v>0.47905494924462999</v>
      </c>
      <c r="E327">
        <v>7.87775707839352</v>
      </c>
      <c r="F327">
        <v>2.5652879923246101</v>
      </c>
      <c r="G327">
        <v>-128.23592719885028</v>
      </c>
      <c r="H327">
        <v>-110.64319812746734</v>
      </c>
      <c r="I327">
        <v>16.768554612193601</v>
      </c>
      <c r="J327">
        <v>9.5628448128869099</v>
      </c>
      <c r="K327">
        <v>3.0709055287218798</v>
      </c>
      <c r="L327">
        <v>3.0548262308216217E-5</v>
      </c>
      <c r="M327">
        <v>1.8111751471003186E-6</v>
      </c>
      <c r="N327" s="1">
        <v>-5.5258810940139303E-8</v>
      </c>
      <c r="O327" s="1">
        <v>2.75713034592396E-11</v>
      </c>
      <c r="P327" s="1">
        <v>2.2687377657593E-10</v>
      </c>
      <c r="Q327">
        <v>65.122449505855101</v>
      </c>
      <c r="S327">
        <v>21.403694679642399</v>
      </c>
      <c r="AA327">
        <v>2.4628339557332701</v>
      </c>
      <c r="AB327">
        <v>8.8993781270815795</v>
      </c>
      <c r="AC327">
        <v>2.1116437316875798</v>
      </c>
      <c r="AJ327">
        <v>0.763918274603273</v>
      </c>
      <c r="AK327">
        <v>0.116824293282574</v>
      </c>
      <c r="AL327">
        <v>0.119257432114151</v>
      </c>
    </row>
    <row r="328" spans="1:38" x14ac:dyDescent="0.2">
      <c r="A328">
        <v>289</v>
      </c>
      <c r="B328">
        <v>774</v>
      </c>
      <c r="C328">
        <v>120</v>
      </c>
      <c r="D328">
        <v>0.47792627608270499</v>
      </c>
      <c r="E328">
        <v>10.0213516750661</v>
      </c>
      <c r="F328">
        <v>2.56244073152389</v>
      </c>
      <c r="G328">
        <v>-162.9322121238751</v>
      </c>
      <c r="H328">
        <v>-140.61815773294586</v>
      </c>
      <c r="I328">
        <v>21.3093199550487</v>
      </c>
      <c r="J328">
        <v>12.1610436367886</v>
      </c>
      <c r="K328">
        <v>3.9108618403464299</v>
      </c>
      <c r="L328">
        <v>3.0567399087906013E-5</v>
      </c>
      <c r="M328">
        <v>1.8138394010986512E-6</v>
      </c>
      <c r="N328" s="1">
        <v>-7.3661817184491094E-8</v>
      </c>
      <c r="O328" s="1">
        <v>3.5222036815215698E-11</v>
      </c>
      <c r="P328" s="1">
        <v>2.9823989610028002E-10</v>
      </c>
      <c r="Q328">
        <v>65.281754667133697</v>
      </c>
      <c r="S328">
        <v>21.227662900645701</v>
      </c>
      <c r="AA328">
        <v>2.2804342540964702</v>
      </c>
      <c r="AB328">
        <v>8.7928909430570901</v>
      </c>
      <c r="AC328">
        <v>2.4172572350669399</v>
      </c>
      <c r="AJ328">
        <v>0.75518002089337</v>
      </c>
      <c r="AK328">
        <v>0.108229873589392</v>
      </c>
      <c r="AL328">
        <v>0.13659010551723599</v>
      </c>
    </row>
    <row r="329" spans="1:38" x14ac:dyDescent="0.2">
      <c r="A329">
        <v>290</v>
      </c>
      <c r="B329">
        <v>772</v>
      </c>
      <c r="C329">
        <v>120</v>
      </c>
      <c r="D329">
        <v>0.47679328326077502</v>
      </c>
      <c r="E329">
        <v>14.428350931909799</v>
      </c>
      <c r="F329">
        <v>2.5672088910575201</v>
      </c>
      <c r="G329">
        <v>-234.69804301653323</v>
      </c>
      <c r="H329">
        <v>-202.68562046126277</v>
      </c>
      <c r="I329">
        <v>30.629500603042999</v>
      </c>
      <c r="J329">
        <v>17.5091876831207</v>
      </c>
      <c r="K329">
        <v>5.6202481154411403</v>
      </c>
      <c r="L329">
        <v>3.0436516132908874E-5</v>
      </c>
      <c r="M329">
        <v>1.8051645163005033E-6</v>
      </c>
      <c r="N329" s="1">
        <v>-1.11620848824726E-7</v>
      </c>
      <c r="O329" s="1">
        <v>5.0231135530154097E-11</v>
      </c>
      <c r="P329" s="1">
        <v>4.4591695399260902E-10</v>
      </c>
      <c r="Q329">
        <v>64.859688820224605</v>
      </c>
      <c r="S329">
        <v>21.560877623338499</v>
      </c>
      <c r="AA329">
        <v>2.65382310753035</v>
      </c>
      <c r="AB329">
        <v>8.7259055498954492</v>
      </c>
      <c r="AC329">
        <v>2.19970489901096</v>
      </c>
      <c r="AJ329">
        <v>0.74967061317177297</v>
      </c>
      <c r="AK329">
        <v>0.12599193350255</v>
      </c>
      <c r="AL329">
        <v>0.124337453325676</v>
      </c>
    </row>
    <row r="330" spans="1:38" x14ac:dyDescent="0.2">
      <c r="A330">
        <v>290</v>
      </c>
      <c r="B330">
        <v>772</v>
      </c>
      <c r="C330">
        <v>120</v>
      </c>
      <c r="D330">
        <v>0.47679328326077502</v>
      </c>
      <c r="E330">
        <v>21.243330821418599</v>
      </c>
      <c r="F330">
        <v>2.5193192175775398</v>
      </c>
      <c r="G330">
        <v>-337.96959883570361</v>
      </c>
      <c r="H330">
        <v>-291.44571956896783</v>
      </c>
      <c r="I330">
        <v>44.514069049165897</v>
      </c>
      <c r="J330">
        <v>25.267829744691401</v>
      </c>
      <c r="K330">
        <v>8.4321711489364795</v>
      </c>
      <c r="L330">
        <v>2.8441223266406493E-5</v>
      </c>
      <c r="M330">
        <v>1.8026509787605735E-6</v>
      </c>
      <c r="N330" s="1">
        <v>-7.1255079452177905E-8</v>
      </c>
      <c r="O330" s="1">
        <v>8.0630257933897998E-11</v>
      </c>
      <c r="P330" s="1">
        <v>3.75879317300691E-10</v>
      </c>
      <c r="Q330">
        <v>66.0368797006455</v>
      </c>
      <c r="S330">
        <v>19.137392469486901</v>
      </c>
      <c r="AA330">
        <v>0.379741642383713</v>
      </c>
      <c r="AB330">
        <v>4.9957309030737296</v>
      </c>
      <c r="AC330">
        <v>9.4502552844100691</v>
      </c>
      <c r="AJ330">
        <v>0.43733383167925</v>
      </c>
      <c r="AK330">
        <v>1.8370164825956499E-2</v>
      </c>
      <c r="AL330">
        <v>0.54429600349479201</v>
      </c>
    </row>
    <row r="331" spans="1:38" x14ac:dyDescent="0.2">
      <c r="A331">
        <v>291</v>
      </c>
      <c r="B331">
        <v>770</v>
      </c>
      <c r="C331">
        <v>120</v>
      </c>
      <c r="D331">
        <v>0.47565594593299199</v>
      </c>
      <c r="E331">
        <v>16.371239634387599</v>
      </c>
      <c r="F331">
        <v>2.5696244722094499</v>
      </c>
      <c r="G331">
        <v>-266.33880756693122</v>
      </c>
      <c r="H331">
        <v>-230.13516096849204</v>
      </c>
      <c r="I331">
        <v>34.706079277610201</v>
      </c>
      <c r="J331">
        <v>19.8710948240184</v>
      </c>
      <c r="K331">
        <v>6.37106309168633</v>
      </c>
      <c r="L331">
        <v>3.0400757646152292E-5</v>
      </c>
      <c r="M331">
        <v>1.8011407983933822E-6</v>
      </c>
      <c r="N331" s="1">
        <v>-1.3425171765743699E-7</v>
      </c>
      <c r="O331" s="1">
        <v>5.66867012720487E-11</v>
      </c>
      <c r="P331" s="1">
        <v>5.2826640073690798E-10</v>
      </c>
      <c r="Q331">
        <v>64.656258034615107</v>
      </c>
      <c r="S331">
        <v>21.724432318665698</v>
      </c>
      <c r="AA331">
        <v>2.8362251985864502</v>
      </c>
      <c r="AB331">
        <v>8.7013508490489002</v>
      </c>
      <c r="AC331">
        <v>2.08173359908373</v>
      </c>
      <c r="AJ331">
        <v>0.74764941182691103</v>
      </c>
      <c r="AK331">
        <v>0.13466750601397601</v>
      </c>
      <c r="AL331">
        <v>0.117683082159112</v>
      </c>
    </row>
    <row r="332" spans="1:38" x14ac:dyDescent="0.2">
      <c r="A332">
        <v>291</v>
      </c>
      <c r="B332">
        <v>770</v>
      </c>
      <c r="C332">
        <v>120</v>
      </c>
      <c r="D332">
        <v>0.47565594593299199</v>
      </c>
      <c r="E332">
        <v>29.450857920385399</v>
      </c>
      <c r="F332">
        <v>2.5190847826990401</v>
      </c>
      <c r="G332">
        <v>-468.12847845150424</v>
      </c>
      <c r="H332">
        <v>-403.87147844154481</v>
      </c>
      <c r="I332">
        <v>61.599003029247399</v>
      </c>
      <c r="J332">
        <v>35.007854756251099</v>
      </c>
      <c r="K332">
        <v>11.6910943699285</v>
      </c>
      <c r="L332">
        <v>2.8363558084678916E-5</v>
      </c>
      <c r="M332">
        <v>1.8013635938284226E-6</v>
      </c>
      <c r="N332" s="1">
        <v>-1.01966979399253E-7</v>
      </c>
      <c r="O332" s="1">
        <v>1.11867104739569E-10</v>
      </c>
      <c r="P332" s="1">
        <v>5.3013663238536604E-10</v>
      </c>
      <c r="Q332">
        <v>65.997040930616393</v>
      </c>
      <c r="S332">
        <v>19.117217023506601</v>
      </c>
      <c r="AA332">
        <v>0.37239252522531802</v>
      </c>
      <c r="AB332">
        <v>4.8540597855091701</v>
      </c>
      <c r="AC332">
        <v>9.6592897351424103</v>
      </c>
      <c r="AJ332">
        <v>0.42523708736556898</v>
      </c>
      <c r="AK332">
        <v>1.8027593603267E-2</v>
      </c>
      <c r="AL332">
        <v>0.55673531903116302</v>
      </c>
    </row>
    <row r="333" spans="1:38" x14ac:dyDescent="0.2">
      <c r="A333">
        <v>292</v>
      </c>
      <c r="B333">
        <v>768</v>
      </c>
      <c r="C333">
        <v>120</v>
      </c>
      <c r="D333">
        <v>0.474514239062578</v>
      </c>
      <c r="E333">
        <v>17.2307493030129</v>
      </c>
      <c r="F333">
        <v>2.5707525396883599</v>
      </c>
      <c r="G333">
        <v>-280.30159418813281</v>
      </c>
      <c r="H333">
        <v>-242.31653717549321</v>
      </c>
      <c r="I333">
        <v>36.483750672467501</v>
      </c>
      <c r="J333">
        <v>20.920855110576401</v>
      </c>
      <c r="K333">
        <v>6.7026090753572403</v>
      </c>
      <c r="L333">
        <v>3.0416075236922657E-5</v>
      </c>
      <c r="M333">
        <v>1.7996561103842306E-6</v>
      </c>
      <c r="N333" s="1">
        <v>-1.5024141740500899E-7</v>
      </c>
      <c r="O333" s="1">
        <v>5.9475448907865199E-11</v>
      </c>
      <c r="P333" s="1">
        <v>5.8208558777571795E-10</v>
      </c>
      <c r="Q333">
        <v>64.571679502522997</v>
      </c>
      <c r="S333">
        <v>21.7941016362157</v>
      </c>
      <c r="AA333">
        <v>2.91343834312302</v>
      </c>
      <c r="AB333">
        <v>8.6955192987880192</v>
      </c>
      <c r="AC333">
        <v>2.0252612193500901</v>
      </c>
      <c r="AJ333">
        <v>0.74716877784358604</v>
      </c>
      <c r="AK333">
        <v>0.13833746536601399</v>
      </c>
      <c r="AL333">
        <v>0.114493756790399</v>
      </c>
    </row>
    <row r="334" spans="1:38" x14ac:dyDescent="0.2">
      <c r="A334">
        <v>292</v>
      </c>
      <c r="B334">
        <v>768</v>
      </c>
      <c r="C334">
        <v>120</v>
      </c>
      <c r="D334">
        <v>0.474514239062578</v>
      </c>
      <c r="E334">
        <v>32.682552895121802</v>
      </c>
      <c r="F334">
        <v>2.51900762259271</v>
      </c>
      <c r="G334">
        <v>-519.19577448365419</v>
      </c>
      <c r="H334">
        <v>-448.12893710453881</v>
      </c>
      <c r="I334">
        <v>68.258019861802197</v>
      </c>
      <c r="J334">
        <v>38.839666239469601</v>
      </c>
      <c r="K334">
        <v>12.974376338521299</v>
      </c>
      <c r="L334">
        <v>2.8336512002980416E-5</v>
      </c>
      <c r="M334">
        <v>1.800898263034193E-6</v>
      </c>
      <c r="N334" s="1">
        <v>-1.1978624225850499E-7</v>
      </c>
      <c r="O334" s="1">
        <v>1.2415409093642499E-10</v>
      </c>
      <c r="P334" s="1">
        <v>6.07518458275381E-10</v>
      </c>
      <c r="Q334">
        <v>65.980758358325104</v>
      </c>
      <c r="S334">
        <v>19.104607708894299</v>
      </c>
      <c r="AA334">
        <v>0.36578902720826401</v>
      </c>
      <c r="AB334">
        <v>4.7847179886157303</v>
      </c>
      <c r="AC334">
        <v>9.7641269169565206</v>
      </c>
      <c r="AJ334">
        <v>0.419309949841149</v>
      </c>
      <c r="AK334">
        <v>1.77141487106812E-2</v>
      </c>
      <c r="AL334">
        <v>0.562975901448169</v>
      </c>
    </row>
    <row r="335" spans="1:38" x14ac:dyDescent="0.2">
      <c r="A335">
        <v>293</v>
      </c>
      <c r="B335">
        <v>766</v>
      </c>
      <c r="C335">
        <v>120</v>
      </c>
      <c r="D335">
        <v>0.47336813742000999</v>
      </c>
      <c r="E335">
        <v>17.739373285297301</v>
      </c>
      <c r="F335">
        <v>2.5714626517641399</v>
      </c>
      <c r="G335">
        <v>-288.53585149075315</v>
      </c>
      <c r="H335">
        <v>-249.55001113826648</v>
      </c>
      <c r="I335">
        <v>37.517047926176801</v>
      </c>
      <c r="J335">
        <v>21.546386242274998</v>
      </c>
      <c r="K335">
        <v>6.89855373677206</v>
      </c>
      <c r="L335">
        <v>3.0451158583821592E-5</v>
      </c>
      <c r="M335">
        <v>1.7990369195119936E-6</v>
      </c>
      <c r="N335" s="1">
        <v>-1.6464203499774601E-7</v>
      </c>
      <c r="O335" s="1">
        <v>6.1080996596592905E-11</v>
      </c>
      <c r="P335" s="1">
        <v>6.2826317375199005E-10</v>
      </c>
      <c r="Q335">
        <v>64.526829199501904</v>
      </c>
      <c r="S335">
        <v>21.8327477256626</v>
      </c>
      <c r="AA335">
        <v>2.9557869676880801</v>
      </c>
      <c r="AB335">
        <v>8.6968885511019192</v>
      </c>
      <c r="AC335">
        <v>1.9877475560454201</v>
      </c>
      <c r="AJ335">
        <v>0.74728066228585799</v>
      </c>
      <c r="AK335">
        <v>0.140347202227673</v>
      </c>
      <c r="AL335">
        <v>0.112372135486467</v>
      </c>
    </row>
    <row r="336" spans="1:38" x14ac:dyDescent="0.2">
      <c r="A336">
        <v>293</v>
      </c>
      <c r="B336">
        <v>766</v>
      </c>
      <c r="C336">
        <v>120</v>
      </c>
      <c r="D336">
        <v>0.47336813742000999</v>
      </c>
      <c r="E336">
        <v>34.392262703751598</v>
      </c>
      <c r="F336">
        <v>2.5189778269596101</v>
      </c>
      <c r="G336">
        <v>-546.0936421528022</v>
      </c>
      <c r="H336">
        <v>-471.55367904155628</v>
      </c>
      <c r="I336">
        <v>71.731668297402607</v>
      </c>
      <c r="J336">
        <v>40.866736599334203</v>
      </c>
      <c r="K336">
        <v>13.653261388673201</v>
      </c>
      <c r="L336">
        <v>2.8326285274937532E-5</v>
      </c>
      <c r="M336">
        <v>1.8006929281723174E-6</v>
      </c>
      <c r="N336" s="1">
        <v>-1.3443053248783501E-7</v>
      </c>
      <c r="O336" s="1">
        <v>1.3063064297431101E-10</v>
      </c>
      <c r="P336" s="1">
        <v>6.6361782949650103E-10</v>
      </c>
      <c r="Q336">
        <v>65.971900000513898</v>
      </c>
      <c r="S336">
        <v>19.0944122498036</v>
      </c>
      <c r="AA336">
        <v>0.35944464575905599</v>
      </c>
      <c r="AB336">
        <v>4.7382488916933498</v>
      </c>
      <c r="AC336">
        <v>9.8359942122299895</v>
      </c>
      <c r="AJ336">
        <v>0.41533558732189602</v>
      </c>
      <c r="AK336">
        <v>1.7411014769473099E-2</v>
      </c>
      <c r="AL336">
        <v>0.56725339790863005</v>
      </c>
    </row>
    <row r="337" spans="1:38" x14ac:dyDescent="0.2">
      <c r="A337">
        <v>294</v>
      </c>
      <c r="B337">
        <v>764</v>
      </c>
      <c r="C337">
        <v>120</v>
      </c>
      <c r="D337">
        <v>0.47221761558116099</v>
      </c>
      <c r="E337">
        <v>18.095258288358998</v>
      </c>
      <c r="F337">
        <v>2.5719865575680299</v>
      </c>
      <c r="G337">
        <v>-294.27543232090937</v>
      </c>
      <c r="H337">
        <v>-254.62920959151097</v>
      </c>
      <c r="I337">
        <v>38.226122286456501</v>
      </c>
      <c r="J337">
        <v>21.987807512108098</v>
      </c>
      <c r="K337">
        <v>7.0355182203864599</v>
      </c>
      <c r="L337">
        <v>3.0497085995023114E-5</v>
      </c>
      <c r="M337">
        <v>1.7988157613350445E-6</v>
      </c>
      <c r="N337" s="1">
        <v>-1.78849834111993E-7</v>
      </c>
      <c r="O337" s="1">
        <v>6.2169709664251995E-11</v>
      </c>
      <c r="P337" s="1">
        <v>6.72533918438519E-10</v>
      </c>
      <c r="Q337">
        <v>64.499910009499104</v>
      </c>
      <c r="S337">
        <v>21.857453725046</v>
      </c>
      <c r="AA337">
        <v>2.9824508951267799</v>
      </c>
      <c r="AB337">
        <v>8.7016705689127196</v>
      </c>
      <c r="AC337">
        <v>1.95851480141526</v>
      </c>
      <c r="AJ337">
        <v>0.74767334502848604</v>
      </c>
      <c r="AK337">
        <v>0.14160981412603399</v>
      </c>
      <c r="AL337">
        <v>0.110716840845479</v>
      </c>
    </row>
    <row r="338" spans="1:38" x14ac:dyDescent="0.2">
      <c r="A338">
        <v>294</v>
      </c>
      <c r="B338">
        <v>764</v>
      </c>
      <c r="C338">
        <v>120</v>
      </c>
      <c r="D338">
        <v>0.47221761558116099</v>
      </c>
      <c r="E338">
        <v>35.448190950612101</v>
      </c>
      <c r="F338">
        <v>2.5189691819847901</v>
      </c>
      <c r="G338">
        <v>-562.61420948174396</v>
      </c>
      <c r="H338">
        <v>-486.0334445717387</v>
      </c>
      <c r="I338">
        <v>73.837694557204998</v>
      </c>
      <c r="J338">
        <v>42.119372156749101</v>
      </c>
      <c r="K338">
        <v>14.072498863476</v>
      </c>
      <c r="L338">
        <v>2.8324180091498523E-5</v>
      </c>
      <c r="M338">
        <v>1.8006028919992263E-6</v>
      </c>
      <c r="N338" s="1">
        <v>-1.4816803278193001E-7</v>
      </c>
      <c r="O338" s="1">
        <v>1.34605804367623E-10</v>
      </c>
      <c r="P338" s="1">
        <v>7.1188096147993299E-10</v>
      </c>
      <c r="Q338">
        <v>65.966255964492007</v>
      </c>
      <c r="S338">
        <v>19.0853165071908</v>
      </c>
      <c r="AA338">
        <v>0.35325752361728902</v>
      </c>
      <c r="AB338">
        <v>4.70182578825293</v>
      </c>
      <c r="AC338">
        <v>9.8933442164469003</v>
      </c>
      <c r="AJ338">
        <v>0.412219128185638</v>
      </c>
      <c r="AK338">
        <v>1.7114484298030301E-2</v>
      </c>
      <c r="AL338">
        <v>0.57066638751633103</v>
      </c>
    </row>
    <row r="339" spans="1:38" x14ac:dyDescent="0.2">
      <c r="A339">
        <v>295</v>
      </c>
      <c r="B339">
        <v>762</v>
      </c>
      <c r="C339">
        <v>120</v>
      </c>
      <c r="D339">
        <v>0.47106264792542502</v>
      </c>
      <c r="E339">
        <v>18.371030721091898</v>
      </c>
      <c r="F339">
        <v>2.5724101806126098</v>
      </c>
      <c r="G339">
        <v>-298.70593841313297</v>
      </c>
      <c r="H339">
        <v>-258.57844556686717</v>
      </c>
      <c r="I339">
        <v>38.764906386770697</v>
      </c>
      <c r="J339">
        <v>22.3331460675467</v>
      </c>
      <c r="K339">
        <v>7.1415635265122699</v>
      </c>
      <c r="L339">
        <v>3.0550564286222774E-5</v>
      </c>
      <c r="M339">
        <v>1.7988161061557719E-6</v>
      </c>
      <c r="N339" s="1">
        <v>-1.93414519020887E-7</v>
      </c>
      <c r="O339" s="1">
        <v>6.2984475528217794E-11</v>
      </c>
      <c r="P339" s="1">
        <v>7.1710582692405295E-10</v>
      </c>
      <c r="Q339">
        <v>64.482724419376197</v>
      </c>
      <c r="S339">
        <v>21.874607276370799</v>
      </c>
      <c r="AA339">
        <v>3.00061277312115</v>
      </c>
      <c r="AB339">
        <v>8.7083436676900892</v>
      </c>
      <c r="AC339">
        <v>1.9337118634416399</v>
      </c>
      <c r="AJ339">
        <v>0.74822159102548402</v>
      </c>
      <c r="AK339">
        <v>0.142467374364145</v>
      </c>
      <c r="AL339">
        <v>0.10931103461036901</v>
      </c>
    </row>
    <row r="340" spans="1:38" x14ac:dyDescent="0.2">
      <c r="A340">
        <v>295</v>
      </c>
      <c r="B340">
        <v>762</v>
      </c>
      <c r="C340">
        <v>120</v>
      </c>
      <c r="D340">
        <v>0.47106264792542502</v>
      </c>
      <c r="E340">
        <v>36.161698801267598</v>
      </c>
      <c r="F340">
        <v>2.51897245475292</v>
      </c>
      <c r="G340">
        <v>-573.70143289116413</v>
      </c>
      <c r="H340">
        <v>-495.82954544530804</v>
      </c>
      <c r="I340">
        <v>75.227636039082299</v>
      </c>
      <c r="J340">
        <v>42.966883674719199</v>
      </c>
      <c r="K340">
        <v>14.3557341141368</v>
      </c>
      <c r="L340">
        <v>2.8327068967526543E-5</v>
      </c>
      <c r="M340">
        <v>1.8005755196799927E-6</v>
      </c>
      <c r="N340" s="1">
        <v>-1.6180223441540299E-7</v>
      </c>
      <c r="O340" s="1">
        <v>1.37267179013136E-10</v>
      </c>
      <c r="P340" s="1">
        <v>7.5709413928403998E-10</v>
      </c>
      <c r="Q340">
        <v>65.962282283670405</v>
      </c>
      <c r="S340">
        <v>19.076841718711801</v>
      </c>
      <c r="AA340">
        <v>0.347192940443315</v>
      </c>
      <c r="AB340">
        <v>4.6707528938070402</v>
      </c>
      <c r="AC340">
        <v>9.9429301633673006</v>
      </c>
      <c r="AJ340">
        <v>0.409559542897657</v>
      </c>
      <c r="AK340">
        <v>1.68233249803969E-2</v>
      </c>
      <c r="AL340">
        <v>0.57361713212194398</v>
      </c>
    </row>
    <row r="341" spans="1:38" x14ac:dyDescent="0.2">
      <c r="A341">
        <v>296</v>
      </c>
      <c r="B341">
        <v>760</v>
      </c>
      <c r="C341">
        <v>120</v>
      </c>
      <c r="D341">
        <v>0.46990320863379098</v>
      </c>
      <c r="E341">
        <v>18.599368010135599</v>
      </c>
      <c r="F341">
        <v>2.5727728428088099</v>
      </c>
      <c r="G341">
        <v>-302.36091955008663</v>
      </c>
      <c r="H341">
        <v>-261.85870931898256</v>
      </c>
      <c r="I341">
        <v>39.2026426279863</v>
      </c>
      <c r="J341">
        <v>22.622039765022699</v>
      </c>
      <c r="K341">
        <v>7.2293082780794098</v>
      </c>
      <c r="L341">
        <v>3.0610180443709758E-5</v>
      </c>
      <c r="M341">
        <v>1.7989565922695495E-6</v>
      </c>
      <c r="N341" s="1">
        <v>-2.0862242924155201E-7</v>
      </c>
      <c r="O341" s="1">
        <v>6.3633944344587306E-11</v>
      </c>
      <c r="P341" s="1">
        <v>7.6308112990106701E-10</v>
      </c>
      <c r="Q341">
        <v>64.471491060642904</v>
      </c>
      <c r="S341">
        <v>21.887145319606599</v>
      </c>
      <c r="AA341">
        <v>3.0135779378605898</v>
      </c>
      <c r="AB341">
        <v>8.7161808404611492</v>
      </c>
      <c r="AC341">
        <v>1.91160484142859</v>
      </c>
      <c r="AJ341">
        <v>0.74886556216394995</v>
      </c>
      <c r="AK341">
        <v>0.14307733594442601</v>
      </c>
      <c r="AL341">
        <v>0.108057101891623</v>
      </c>
    </row>
    <row r="342" spans="1:38" x14ac:dyDescent="0.2">
      <c r="A342">
        <v>296</v>
      </c>
      <c r="B342">
        <v>760</v>
      </c>
      <c r="C342">
        <v>120</v>
      </c>
      <c r="D342">
        <v>0.46990320863379098</v>
      </c>
      <c r="E342">
        <v>36.671949931954501</v>
      </c>
      <c r="F342">
        <v>2.5189835418441402</v>
      </c>
      <c r="G342">
        <v>-581.56443557650584</v>
      </c>
      <c r="H342">
        <v>-502.84603171816229</v>
      </c>
      <c r="I342">
        <v>76.1926185533016</v>
      </c>
      <c r="J342">
        <v>43.5743015381939</v>
      </c>
      <c r="K342">
        <v>14.558233240820201</v>
      </c>
      <c r="L342">
        <v>2.8333582904185418E-5</v>
      </c>
      <c r="M342">
        <v>1.8005871155249577E-6</v>
      </c>
      <c r="N342" s="1">
        <v>-1.7570782542082701E-7</v>
      </c>
      <c r="O342" s="1">
        <v>1.39145673547519E-10</v>
      </c>
      <c r="P342" s="1">
        <v>8.0143706225198796E-10</v>
      </c>
      <c r="Q342">
        <v>65.959277813891504</v>
      </c>
      <c r="S342">
        <v>19.068770487221901</v>
      </c>
      <c r="AA342">
        <v>0.341235143770518</v>
      </c>
      <c r="AB342">
        <v>4.6428978113155104</v>
      </c>
      <c r="AC342">
        <v>9.9878187438004495</v>
      </c>
      <c r="AJ342">
        <v>0.407174666770861</v>
      </c>
      <c r="AK342">
        <v>1.6536978722214001E-2</v>
      </c>
      <c r="AL342">
        <v>0.57628835450692395</v>
      </c>
    </row>
    <row r="343" spans="1:38" x14ac:dyDescent="0.2">
      <c r="A343">
        <v>297</v>
      </c>
      <c r="B343">
        <v>758</v>
      </c>
      <c r="C343">
        <v>120</v>
      </c>
      <c r="D343">
        <v>0.46873927168695301</v>
      </c>
      <c r="E343">
        <v>18.7971444616642</v>
      </c>
      <c r="F343">
        <v>2.57309523859597</v>
      </c>
      <c r="G343">
        <v>-305.51594047602907</v>
      </c>
      <c r="H343">
        <v>-264.70809618937318</v>
      </c>
      <c r="I343">
        <v>39.575080528202399</v>
      </c>
      <c r="J343">
        <v>22.8749913887854</v>
      </c>
      <c r="K343">
        <v>7.3052657281045796</v>
      </c>
      <c r="L343">
        <v>3.0675299887252048E-5</v>
      </c>
      <c r="M343">
        <v>1.7991944353114977E-6</v>
      </c>
      <c r="N343" s="1">
        <v>-2.2466024289271299E-7</v>
      </c>
      <c r="O343" s="1">
        <v>6.4173786137066901E-11</v>
      </c>
      <c r="P343" s="1">
        <v>8.1113702397767304E-10</v>
      </c>
      <c r="Q343">
        <v>64.464210207784106</v>
      </c>
      <c r="S343">
        <v>21.896617779072599</v>
      </c>
      <c r="AA343">
        <v>3.02309170138922</v>
      </c>
      <c r="AB343">
        <v>8.7247891342429007</v>
      </c>
      <c r="AC343">
        <v>1.8912911775110299</v>
      </c>
      <c r="AJ343">
        <v>0.74957291325824804</v>
      </c>
      <c r="AK343">
        <v>0.143522852176688</v>
      </c>
      <c r="AL343">
        <v>0.106904234565062</v>
      </c>
    </row>
    <row r="344" spans="1:38" x14ac:dyDescent="0.2">
      <c r="A344">
        <v>297</v>
      </c>
      <c r="B344">
        <v>758</v>
      </c>
      <c r="C344">
        <v>120</v>
      </c>
      <c r="D344">
        <v>0.46873927168695301</v>
      </c>
      <c r="E344">
        <v>37.050804176535301</v>
      </c>
      <c r="F344">
        <v>2.5190003232691698</v>
      </c>
      <c r="G344">
        <v>-587.34374022549696</v>
      </c>
      <c r="H344">
        <v>-508.06588797732036</v>
      </c>
      <c r="I344">
        <v>76.882948405349893</v>
      </c>
      <c r="J344">
        <v>44.026844214212502</v>
      </c>
      <c r="K344">
        <v>14.7085349034217</v>
      </c>
      <c r="L344">
        <v>2.8343053421543495E-5</v>
      </c>
      <c r="M344">
        <v>1.8006254445338268E-6</v>
      </c>
      <c r="N344" s="1">
        <v>-1.9009988737048901E-7</v>
      </c>
      <c r="O344" s="1">
        <v>1.40515347844726E-10</v>
      </c>
      <c r="P344" s="1">
        <v>8.4609381362555903E-10</v>
      </c>
      <c r="Q344">
        <v>65.956876043834797</v>
      </c>
      <c r="S344">
        <v>19.060988683137602</v>
      </c>
      <c r="AA344">
        <v>0.335375495930058</v>
      </c>
      <c r="AB344">
        <v>4.6171445844113999</v>
      </c>
      <c r="AC344">
        <v>10.029615192686</v>
      </c>
      <c r="AJ344">
        <v>0.40496914819720398</v>
      </c>
      <c r="AK344">
        <v>1.6255135057696601E-2</v>
      </c>
      <c r="AL344">
        <v>0.57877571674509798</v>
      </c>
    </row>
    <row r="345" spans="1:38" x14ac:dyDescent="0.2">
      <c r="A345">
        <v>298</v>
      </c>
      <c r="B345">
        <v>756</v>
      </c>
      <c r="C345">
        <v>120</v>
      </c>
      <c r="D345">
        <v>0.46757081086333502</v>
      </c>
      <c r="E345">
        <v>18.973417429237099</v>
      </c>
      <c r="F345">
        <v>2.5734042495839602</v>
      </c>
      <c r="G345">
        <v>-308.31961961330785</v>
      </c>
      <c r="H345">
        <v>-267.25518005715401</v>
      </c>
      <c r="I345">
        <v>39.901316189237598</v>
      </c>
      <c r="J345">
        <v>23.102995913697399</v>
      </c>
      <c r="K345">
        <v>7.3728864916207701</v>
      </c>
      <c r="L345">
        <v>3.0744943657124185E-5</v>
      </c>
      <c r="M345">
        <v>1.7994714320798811E-6</v>
      </c>
      <c r="N345" s="1">
        <v>-2.4165326919357799E-7</v>
      </c>
      <c r="O345" s="1">
        <v>6.4631646328054694E-11</v>
      </c>
      <c r="P345" s="1">
        <v>8.6170581460201103E-10</v>
      </c>
      <c r="Q345">
        <v>64.458205048832397</v>
      </c>
      <c r="S345">
        <v>21.905074831226401</v>
      </c>
      <c r="AA345">
        <v>3.0314700777549901</v>
      </c>
      <c r="AB345">
        <v>8.7335782212155397</v>
      </c>
      <c r="AC345">
        <v>1.87167182097061</v>
      </c>
      <c r="AJ345">
        <v>0.75029507902811798</v>
      </c>
      <c r="AK345">
        <v>0.14391430342036801</v>
      </c>
      <c r="AL345">
        <v>0.10579061755151201</v>
      </c>
    </row>
    <row r="346" spans="1:38" x14ac:dyDescent="0.2">
      <c r="A346">
        <v>298</v>
      </c>
      <c r="B346">
        <v>756</v>
      </c>
      <c r="C346">
        <v>120</v>
      </c>
      <c r="D346">
        <v>0.46757081086333502</v>
      </c>
      <c r="E346">
        <v>37.3675683201445</v>
      </c>
      <c r="F346">
        <v>2.5190205880439702</v>
      </c>
      <c r="G346">
        <v>-592.13662855439622</v>
      </c>
      <c r="H346">
        <v>-512.43645216475409</v>
      </c>
      <c r="I346">
        <v>77.442721070438907</v>
      </c>
      <c r="J346">
        <v>44.406587890716999</v>
      </c>
      <c r="K346">
        <v>14.834165507619099</v>
      </c>
      <c r="L346">
        <v>2.8354570768515964E-5</v>
      </c>
      <c r="M346">
        <v>1.8006748835258959E-6</v>
      </c>
      <c r="N346" s="1">
        <v>-2.0522976950954199E-7</v>
      </c>
      <c r="O346" s="1">
        <v>1.4164078123070899E-10</v>
      </c>
      <c r="P346" s="1">
        <v>8.9233172900847898E-10</v>
      </c>
      <c r="Q346">
        <v>65.954603257696903</v>
      </c>
      <c r="S346">
        <v>19.053363165486601</v>
      </c>
      <c r="AA346">
        <v>0.32961468936324501</v>
      </c>
      <c r="AB346">
        <v>4.5920885164579497</v>
      </c>
      <c r="AC346">
        <v>10.0703303709951</v>
      </c>
      <c r="AJ346">
        <v>0.40282278099240598</v>
      </c>
      <c r="AK346">
        <v>1.5977952316993199E-2</v>
      </c>
      <c r="AL346">
        <v>0.58119926669059896</v>
      </c>
    </row>
    <row r="347" spans="1:38" x14ac:dyDescent="0.2">
      <c r="A347">
        <v>300</v>
      </c>
      <c r="B347">
        <v>796</v>
      </c>
      <c r="C347">
        <v>110</v>
      </c>
      <c r="D347">
        <v>0.50039797970350297</v>
      </c>
      <c r="E347">
        <v>0.54590851496826198</v>
      </c>
      <c r="F347">
        <v>2.5724791858109501</v>
      </c>
      <c r="G347">
        <v>-8.9309228788345507</v>
      </c>
      <c r="H347">
        <v>-7.6763158968905048</v>
      </c>
      <c r="I347">
        <v>1.1734620791694701</v>
      </c>
      <c r="J347">
        <v>0.66195538296591505</v>
      </c>
      <c r="K347">
        <v>0.21221105227180601</v>
      </c>
      <c r="L347">
        <v>3.0064593549982305E-5</v>
      </c>
      <c r="M347">
        <v>1.7951588819723688E-6</v>
      </c>
      <c r="N347" s="1">
        <v>-1.9811011410584998E-9</v>
      </c>
      <c r="O347" s="1">
        <v>1.8946914332482201E-12</v>
      </c>
      <c r="P347" s="1">
        <v>1.03130273463328E-11</v>
      </c>
      <c r="Q347">
        <v>64.402188116625496</v>
      </c>
      <c r="S347">
        <v>22.0379338395099</v>
      </c>
      <c r="AA347">
        <v>3.1541509052862899</v>
      </c>
      <c r="AB347">
        <v>8.9570546543650593</v>
      </c>
      <c r="AC347">
        <v>1.44867248421316</v>
      </c>
      <c r="AJ347">
        <v>0.76863750252262097</v>
      </c>
      <c r="AK347">
        <v>0.149571760000347</v>
      </c>
      <c r="AL347">
        <v>8.1790737477030903E-2</v>
      </c>
    </row>
    <row r="348" spans="1:38" x14ac:dyDescent="0.2">
      <c r="A348">
        <v>301</v>
      </c>
      <c r="B348">
        <v>794</v>
      </c>
      <c r="C348">
        <v>110</v>
      </c>
      <c r="D348">
        <v>0.49933045963547601</v>
      </c>
      <c r="E348">
        <v>1.17738749385194</v>
      </c>
      <c r="F348">
        <v>2.5717796442528802</v>
      </c>
      <c r="G348">
        <v>-19.25403211345602</v>
      </c>
      <c r="H348">
        <v>-16.555696561873699</v>
      </c>
      <c r="I348">
        <v>2.5285438331840102</v>
      </c>
      <c r="J348">
        <v>1.4278478944353099</v>
      </c>
      <c r="K348">
        <v>0.45781041018931401</v>
      </c>
      <c r="L348">
        <v>3.0120818717743699E-5</v>
      </c>
      <c r="M348">
        <v>1.7971987484387502E-6</v>
      </c>
      <c r="N348" s="1">
        <v>-4.5954500551437998E-9</v>
      </c>
      <c r="O348" s="1">
        <v>4.09034608910502E-12</v>
      </c>
      <c r="P348" s="1">
        <v>2.3192317587995098E-11</v>
      </c>
      <c r="Q348">
        <v>64.4860219637021</v>
      </c>
      <c r="S348">
        <v>21.972359686557599</v>
      </c>
      <c r="AA348">
        <v>3.0804900755417601</v>
      </c>
      <c r="AB348">
        <v>8.9719627203979204</v>
      </c>
      <c r="AC348">
        <v>1.4891655538005599</v>
      </c>
      <c r="AJ348">
        <v>0.76986102150512004</v>
      </c>
      <c r="AK348">
        <v>0.14606813207705199</v>
      </c>
      <c r="AL348">
        <v>8.4070846417827402E-2</v>
      </c>
    </row>
    <row r="349" spans="1:38" x14ac:dyDescent="0.2">
      <c r="A349">
        <v>302</v>
      </c>
      <c r="B349">
        <v>792</v>
      </c>
      <c r="C349">
        <v>110</v>
      </c>
      <c r="D349">
        <v>0.49825893066704502</v>
      </c>
      <c r="E349">
        <v>1.80894865204692</v>
      </c>
      <c r="F349">
        <v>2.5710964838387902</v>
      </c>
      <c r="G349">
        <v>-29.570145828634779</v>
      </c>
      <c r="H349">
        <v>-25.436005596420621</v>
      </c>
      <c r="I349">
        <v>3.8812751558129301</v>
      </c>
      <c r="J349">
        <v>2.1940456194343998</v>
      </c>
      <c r="K349">
        <v>0.70357089413698803</v>
      </c>
      <c r="L349">
        <v>3.0176351939781111E-5</v>
      </c>
      <c r="M349">
        <v>1.7991618890095285E-6</v>
      </c>
      <c r="N349" s="1">
        <v>-7.5803589367606303E-9</v>
      </c>
      <c r="O349" s="1">
        <v>6.2900728910636901E-12</v>
      </c>
      <c r="P349" s="1">
        <v>3.7161380405407202E-11</v>
      </c>
      <c r="Q349">
        <v>64.566726529851394</v>
      </c>
      <c r="S349">
        <v>21.908699880175899</v>
      </c>
      <c r="AA349">
        <v>3.0091387762437298</v>
      </c>
      <c r="AB349">
        <v>8.9849160600866202</v>
      </c>
      <c r="AC349">
        <v>1.53051875364229</v>
      </c>
      <c r="AJ349">
        <v>0.77092409184750199</v>
      </c>
      <c r="AK349">
        <v>0.14267589355367999</v>
      </c>
      <c r="AL349">
        <v>8.6400014598816702E-2</v>
      </c>
    </row>
    <row r="350" spans="1:38" x14ac:dyDescent="0.2">
      <c r="A350">
        <v>303</v>
      </c>
      <c r="B350">
        <v>790</v>
      </c>
      <c r="C350">
        <v>110</v>
      </c>
      <c r="D350">
        <v>0.49718337017354403</v>
      </c>
      <c r="E350">
        <v>2.4401203787454202</v>
      </c>
      <c r="F350">
        <v>2.57042938341205</v>
      </c>
      <c r="G350">
        <v>-39.871500711157744</v>
      </c>
      <c r="H350">
        <v>-34.310583813244001</v>
      </c>
      <c r="I350">
        <v>5.2306042401483603</v>
      </c>
      <c r="J350">
        <v>2.9599956446087599</v>
      </c>
      <c r="K350">
        <v>0.94930457708445104</v>
      </c>
      <c r="L350">
        <v>3.0231279846269356E-5</v>
      </c>
      <c r="M350">
        <v>1.8010497503608422E-6</v>
      </c>
      <c r="N350" s="1">
        <v>-1.0960959389153799E-8</v>
      </c>
      <c r="O350" s="1">
        <v>8.4917246223802002E-12</v>
      </c>
      <c r="P350" s="1">
        <v>5.2288556346448303E-11</v>
      </c>
      <c r="Q350">
        <v>64.644349700518902</v>
      </c>
      <c r="S350">
        <v>21.846921518654799</v>
      </c>
      <c r="AA350">
        <v>2.9400586897304799</v>
      </c>
      <c r="AB350">
        <v>8.9959351274686998</v>
      </c>
      <c r="AC350">
        <v>1.5727349636269701</v>
      </c>
      <c r="AJ350">
        <v>0.77182845171522096</v>
      </c>
      <c r="AK350">
        <v>0.139393094397323</v>
      </c>
      <c r="AL350">
        <v>8.8778453887455297E-2</v>
      </c>
    </row>
    <row r="351" spans="1:38" x14ac:dyDescent="0.2">
      <c r="A351">
        <v>304</v>
      </c>
      <c r="B351">
        <v>788</v>
      </c>
      <c r="C351">
        <v>110</v>
      </c>
      <c r="D351">
        <v>0.49610375535975398</v>
      </c>
      <c r="E351">
        <v>3.0704479629819099</v>
      </c>
      <c r="F351">
        <v>2.5697779507640899</v>
      </c>
      <c r="G351">
        <v>-50.150621540755012</v>
      </c>
      <c r="H351">
        <v>-43.173008420370451</v>
      </c>
      <c r="I351">
        <v>6.5755200682132999</v>
      </c>
      <c r="J351">
        <v>3.7251676111416199</v>
      </c>
      <c r="K351">
        <v>1.1948300677375401</v>
      </c>
      <c r="L351">
        <v>3.0285697068806975E-5</v>
      </c>
      <c r="M351">
        <v>1.8028639839527872E-6</v>
      </c>
      <c r="N351" s="1">
        <v>-1.47641239166646E-8</v>
      </c>
      <c r="O351" s="1">
        <v>1.06931986719883E-11</v>
      </c>
      <c r="P351" s="1">
        <v>6.8647153655331896E-11</v>
      </c>
      <c r="Q351">
        <v>64.718947984009901</v>
      </c>
      <c r="S351">
        <v>21.786985410660598</v>
      </c>
      <c r="AA351">
        <v>2.8732042973099001</v>
      </c>
      <c r="AB351">
        <v>9.0050431030956908</v>
      </c>
      <c r="AC351">
        <v>1.61581920492382</v>
      </c>
      <c r="AJ351">
        <v>0.77257605294773701</v>
      </c>
      <c r="AK351">
        <v>0.13621744942771699</v>
      </c>
      <c r="AL351">
        <v>9.1206497624545704E-2</v>
      </c>
    </row>
    <row r="352" spans="1:38" x14ac:dyDescent="0.2">
      <c r="A352">
        <v>305</v>
      </c>
      <c r="B352">
        <v>786</v>
      </c>
      <c r="C352">
        <v>110</v>
      </c>
      <c r="D352">
        <v>0.49502006325827702</v>
      </c>
      <c r="E352">
        <v>3.69949826631803</v>
      </c>
      <c r="F352">
        <v>2.56914172646735</v>
      </c>
      <c r="G352">
        <v>-60.400396535355611</v>
      </c>
      <c r="H352">
        <v>-52.017158219830137</v>
      </c>
      <c r="I352">
        <v>7.9150623759859204</v>
      </c>
      <c r="J352">
        <v>4.4890595483131603</v>
      </c>
      <c r="K352">
        <v>1.4399743806290299</v>
      </c>
      <c r="L352">
        <v>3.0339705868637516E-5</v>
      </c>
      <c r="M352">
        <v>1.8046064217972504E-6</v>
      </c>
      <c r="N352" s="1">
        <v>-1.90186568085172E-8</v>
      </c>
      <c r="O352" s="1">
        <v>1.28924546976942E-11</v>
      </c>
      <c r="P352" s="1">
        <v>8.6316018309086396E-11</v>
      </c>
      <c r="Q352">
        <v>64.790585571077102</v>
      </c>
      <c r="S352">
        <v>21.728846629455798</v>
      </c>
      <c r="AA352">
        <v>2.8085235559288</v>
      </c>
      <c r="AB352">
        <v>9.0122652513354602</v>
      </c>
      <c r="AC352">
        <v>1.65977899220271</v>
      </c>
      <c r="AJ352">
        <v>0.77316900862539595</v>
      </c>
      <c r="AK352">
        <v>0.133146370788365</v>
      </c>
      <c r="AL352">
        <v>9.3684620586237902E-2</v>
      </c>
    </row>
    <row r="353" spans="1:38" x14ac:dyDescent="0.2">
      <c r="A353">
        <v>306</v>
      </c>
      <c r="B353">
        <v>784</v>
      </c>
      <c r="C353">
        <v>110</v>
      </c>
      <c r="D353">
        <v>0.49393227072789903</v>
      </c>
      <c r="E353">
        <v>5.1939541097019504</v>
      </c>
      <c r="F353">
        <v>2.5675156004317001</v>
      </c>
      <c r="G353">
        <v>-84.740496021443889</v>
      </c>
      <c r="H353">
        <v>-73.003539364780352</v>
      </c>
      <c r="I353">
        <v>11.102451550549601</v>
      </c>
      <c r="J353">
        <v>6.3026488852337703</v>
      </c>
      <c r="K353">
        <v>2.0229493868814701</v>
      </c>
      <c r="L353">
        <v>3.039799157806676E-5</v>
      </c>
      <c r="M353">
        <v>1.8074061281386941E-6</v>
      </c>
      <c r="N353" s="1">
        <v>-2.84081132161677E-8</v>
      </c>
      <c r="O353" s="1">
        <v>1.81444420532652E-11</v>
      </c>
      <c r="P353" s="1">
        <v>1.26149139724555E-10</v>
      </c>
      <c r="Q353">
        <v>64.923294155188202</v>
      </c>
      <c r="S353">
        <v>21.608600284439099</v>
      </c>
      <c r="AA353">
        <v>2.6783533562062001</v>
      </c>
      <c r="AB353">
        <v>8.9927577889244095</v>
      </c>
      <c r="AC353">
        <v>1.7969944152419599</v>
      </c>
      <c r="AJ353">
        <v>0.77157235254656198</v>
      </c>
      <c r="AK353">
        <v>0.12698792431948899</v>
      </c>
      <c r="AL353">
        <v>0.101439723133947</v>
      </c>
    </row>
    <row r="354" spans="1:38" x14ac:dyDescent="0.2">
      <c r="A354">
        <v>307</v>
      </c>
      <c r="B354">
        <v>782</v>
      </c>
      <c r="C354">
        <v>110</v>
      </c>
      <c r="D354">
        <v>0.49284035445197399</v>
      </c>
      <c r="E354">
        <v>7.0433190080089201</v>
      </c>
      <c r="F354">
        <v>2.5653936458897499</v>
      </c>
      <c r="G354">
        <v>-114.81141058103844</v>
      </c>
      <c r="H354">
        <v>-98.940106076028528</v>
      </c>
      <c r="I354">
        <v>15.041751888366401</v>
      </c>
      <c r="J354">
        <v>8.5459493584841493</v>
      </c>
      <c r="K354">
        <v>2.74551198771917</v>
      </c>
      <c r="L354">
        <v>3.0445672827814277E-5</v>
      </c>
      <c r="M354">
        <v>1.8103429710590937E-6</v>
      </c>
      <c r="N354" s="1">
        <v>-4.0781457579872102E-8</v>
      </c>
      <c r="O354" s="1">
        <v>2.4684392301153001E-11</v>
      </c>
      <c r="P354" s="1">
        <v>1.7760156569661799E-10</v>
      </c>
      <c r="Q354">
        <v>65.073376615171497</v>
      </c>
      <c r="S354">
        <v>21.4629086748836</v>
      </c>
      <c r="AA354">
        <v>2.5231365962817498</v>
      </c>
      <c r="AB354">
        <v>8.9452590082460404</v>
      </c>
      <c r="AC354">
        <v>1.9953191054169599</v>
      </c>
      <c r="AJ354">
        <v>0.76768065354926096</v>
      </c>
      <c r="AK354">
        <v>0.119657308295523</v>
      </c>
      <c r="AL354">
        <v>0.112662038155214</v>
      </c>
    </row>
    <row r="355" spans="1:38" x14ac:dyDescent="0.2">
      <c r="A355">
        <v>308</v>
      </c>
      <c r="B355">
        <v>780</v>
      </c>
      <c r="C355">
        <v>110</v>
      </c>
      <c r="D355">
        <v>0.49174429093671501</v>
      </c>
      <c r="E355">
        <v>9.0226823867168893</v>
      </c>
      <c r="F355">
        <v>2.56295742145856</v>
      </c>
      <c r="G355">
        <v>-146.92309552620793</v>
      </c>
      <c r="H355">
        <v>-126.65005916058907</v>
      </c>
      <c r="I355">
        <v>19.2499039696328</v>
      </c>
      <c r="J355">
        <v>10.944997806826301</v>
      </c>
      <c r="K355">
        <v>3.5204183694874298</v>
      </c>
      <c r="L355">
        <v>3.0474468484437509E-5</v>
      </c>
      <c r="M355">
        <v>1.8130034468765697E-6</v>
      </c>
      <c r="N355" s="1">
        <v>-5.50087025597053E-8</v>
      </c>
      <c r="O355" s="1">
        <v>3.1737318421981402E-11</v>
      </c>
      <c r="P355" s="1">
        <v>2.3548001075415999E-10</v>
      </c>
      <c r="Q355">
        <v>65.222238501424798</v>
      </c>
      <c r="S355">
        <v>21.3063022268766</v>
      </c>
      <c r="AA355">
        <v>2.3591997870692798</v>
      </c>
      <c r="AB355">
        <v>8.8664255764283801</v>
      </c>
      <c r="AC355">
        <v>2.2458339082008201</v>
      </c>
      <c r="AJ355">
        <v>0.76121598126574397</v>
      </c>
      <c r="AK355">
        <v>0.111926992701642</v>
      </c>
      <c r="AL355">
        <v>0.12685702603261201</v>
      </c>
    </row>
    <row r="356" spans="1:38" x14ac:dyDescent="0.2">
      <c r="A356">
        <v>309</v>
      </c>
      <c r="B356">
        <v>778</v>
      </c>
      <c r="C356">
        <v>110</v>
      </c>
      <c r="D356">
        <v>0.49064405650953802</v>
      </c>
      <c r="E356">
        <v>11.2264253061015</v>
      </c>
      <c r="F356">
        <v>2.56008639328609</v>
      </c>
      <c r="G356">
        <v>-182.57468998863334</v>
      </c>
      <c r="H356">
        <v>-157.4256435844548</v>
      </c>
      <c r="I356">
        <v>23.9252688999462</v>
      </c>
      <c r="J356">
        <v>13.6118603273509</v>
      </c>
      <c r="K356">
        <v>4.3851743970606396</v>
      </c>
      <c r="L356">
        <v>3.0471377050517172E-5</v>
      </c>
      <c r="M356">
        <v>1.8151555102197224E-6</v>
      </c>
      <c r="N356" s="1">
        <v>-7.14901851364889E-8</v>
      </c>
      <c r="O356" s="1">
        <v>3.9658634641626503E-11</v>
      </c>
      <c r="P356" s="1">
        <v>3.0169060036948302E-10</v>
      </c>
      <c r="Q356">
        <v>65.365196602118601</v>
      </c>
      <c r="S356">
        <v>21.1360239376036</v>
      </c>
      <c r="AA356">
        <v>2.1853611364744299</v>
      </c>
      <c r="AB356">
        <v>8.7385933657004102</v>
      </c>
      <c r="AC356">
        <v>2.5748249581028202</v>
      </c>
      <c r="AJ356">
        <v>0.75072084914610004</v>
      </c>
      <c r="AK356">
        <v>0.103745902358806</v>
      </c>
      <c r="AL356">
        <v>0.145533248495093</v>
      </c>
    </row>
    <row r="357" spans="1:38" x14ac:dyDescent="0.2">
      <c r="A357">
        <v>309</v>
      </c>
      <c r="B357">
        <v>778</v>
      </c>
      <c r="C357">
        <v>110</v>
      </c>
      <c r="D357">
        <v>0.49064405650953802</v>
      </c>
      <c r="E357">
        <v>0.32615518626498302</v>
      </c>
      <c r="F357">
        <v>2.51985624128368</v>
      </c>
      <c r="G357">
        <v>-5.2044438927013115</v>
      </c>
      <c r="H357">
        <v>-4.4820771072775214</v>
      </c>
      <c r="I357">
        <v>0.68721570225352202</v>
      </c>
      <c r="J357">
        <v>0.38869480499197101</v>
      </c>
      <c r="K357">
        <v>0.12943404505442299</v>
      </c>
      <c r="L357">
        <v>2.8668703753078342E-5</v>
      </c>
      <c r="M357">
        <v>1.8072146034863875E-6</v>
      </c>
      <c r="N357" s="1">
        <v>-9.8041703392174602E-10</v>
      </c>
      <c r="O357" s="1">
        <v>1.23496162674634E-12</v>
      </c>
      <c r="P357" s="1">
        <v>5.4455551603319803E-12</v>
      </c>
      <c r="Q357">
        <v>66.151673812855904</v>
      </c>
      <c r="S357">
        <v>19.2051737788832</v>
      </c>
      <c r="AA357">
        <v>0.40887627991252401</v>
      </c>
      <c r="AB357">
        <v>5.42924094187397</v>
      </c>
      <c r="AC357">
        <v>8.8050351864742904</v>
      </c>
      <c r="AJ357">
        <v>0.47424181428853102</v>
      </c>
      <c r="AK357">
        <v>1.9736195338783E-2</v>
      </c>
      <c r="AL357">
        <v>0.50602199037268403</v>
      </c>
    </row>
    <row r="358" spans="1:38" x14ac:dyDescent="0.2">
      <c r="A358">
        <v>310</v>
      </c>
      <c r="B358">
        <v>776</v>
      </c>
      <c r="C358">
        <v>110</v>
      </c>
      <c r="D358">
        <v>0.48953962731735601</v>
      </c>
      <c r="E358">
        <v>14.7725251682918</v>
      </c>
      <c r="F358">
        <v>2.5663387369683099</v>
      </c>
      <c r="G358">
        <v>-240.45492853970475</v>
      </c>
      <c r="H358">
        <v>-207.48131475614326</v>
      </c>
      <c r="I358">
        <v>31.428884128638899</v>
      </c>
      <c r="J358">
        <v>17.9138671717992</v>
      </c>
      <c r="K358">
        <v>5.7562647344609896</v>
      </c>
      <c r="L358">
        <v>3.0324954319131812E-5</v>
      </c>
      <c r="M358">
        <v>1.8047752630635745E-6</v>
      </c>
      <c r="N358" s="1">
        <v>-9.9429990048596399E-8</v>
      </c>
      <c r="O358" s="1">
        <v>5.1565187600412101E-11</v>
      </c>
      <c r="P358" s="1">
        <v>4.1309534081865303E-10</v>
      </c>
      <c r="Q358">
        <v>64.847362809269697</v>
      </c>
      <c r="S358">
        <v>21.5612237329164</v>
      </c>
      <c r="AA358">
        <v>2.6569847576249401</v>
      </c>
      <c r="AB358">
        <v>8.6993450666323398</v>
      </c>
      <c r="AC358">
        <v>2.2350836335565698</v>
      </c>
      <c r="AJ358">
        <v>0.74748740451931905</v>
      </c>
      <c r="AK358">
        <v>0.12615869109263</v>
      </c>
      <c r="AL358">
        <v>0.126353904388049</v>
      </c>
    </row>
    <row r="359" spans="1:38" x14ac:dyDescent="0.2">
      <c r="A359">
        <v>310</v>
      </c>
      <c r="B359">
        <v>776</v>
      </c>
      <c r="C359">
        <v>110</v>
      </c>
      <c r="D359">
        <v>0.48953962731735601</v>
      </c>
      <c r="E359">
        <v>22.8767385292802</v>
      </c>
      <c r="F359">
        <v>2.5189276669709999</v>
      </c>
      <c r="G359">
        <v>-364.34295071433002</v>
      </c>
      <c r="H359">
        <v>-313.92266587980845</v>
      </c>
      <c r="I359">
        <v>48.0582231659168</v>
      </c>
      <c r="J359">
        <v>27.212607495535</v>
      </c>
      <c r="K359">
        <v>9.0819354716879594</v>
      </c>
      <c r="L359">
        <v>2.8431313738295136E-5</v>
      </c>
      <c r="M359">
        <v>1.8032502634775636E-6</v>
      </c>
      <c r="N359" s="1">
        <v>-6.5372105118666704E-8</v>
      </c>
      <c r="O359" s="1">
        <v>8.6871526075912105E-11</v>
      </c>
      <c r="P359" s="1">
        <v>3.7150220532420802E-10</v>
      </c>
      <c r="Q359">
        <v>66.039108695268794</v>
      </c>
      <c r="S359">
        <v>19.156938746193202</v>
      </c>
      <c r="AA359">
        <v>0.39534741538122897</v>
      </c>
      <c r="AB359">
        <v>5.0519412036528903</v>
      </c>
      <c r="AC359">
        <v>9.3566639395037203</v>
      </c>
      <c r="AJ359">
        <v>0.44212847463556698</v>
      </c>
      <c r="AK359">
        <v>1.91196480095637E-2</v>
      </c>
      <c r="AL359">
        <v>0.53875187735486796</v>
      </c>
    </row>
    <row r="360" spans="1:38" x14ac:dyDescent="0.2">
      <c r="A360">
        <v>311</v>
      </c>
      <c r="B360">
        <v>774</v>
      </c>
      <c r="C360">
        <v>110</v>
      </c>
      <c r="D360">
        <v>0.48843097932483898</v>
      </c>
      <c r="E360">
        <v>16.315462434694901</v>
      </c>
      <c r="F360">
        <v>2.5686702917194002</v>
      </c>
      <c r="G360">
        <v>-265.60392920472771</v>
      </c>
      <c r="H360">
        <v>-229.30496431136675</v>
      </c>
      <c r="I360">
        <v>34.664532200125002</v>
      </c>
      <c r="J360">
        <v>19.788385824040098</v>
      </c>
      <c r="K360">
        <v>6.3517153163996802</v>
      </c>
      <c r="L360">
        <v>3.0289286535434503E-5</v>
      </c>
      <c r="M360">
        <v>1.800956683429222E-6</v>
      </c>
      <c r="N360" s="1">
        <v>-1.16516078338333E-7</v>
      </c>
      <c r="O360" s="1">
        <v>5.6660482792589297E-11</v>
      </c>
      <c r="P360" s="1">
        <v>4.75981637428728E-10</v>
      </c>
      <c r="Q360">
        <v>64.653578952587495</v>
      </c>
      <c r="S360">
        <v>21.717840578795801</v>
      </c>
      <c r="AA360">
        <v>2.8314120728654601</v>
      </c>
      <c r="AB360">
        <v>8.6780995553434508</v>
      </c>
      <c r="AC360">
        <v>2.1190688404076599</v>
      </c>
      <c r="AJ360">
        <v>0.74573790401817197</v>
      </c>
      <c r="AK360">
        <v>0.134454536390128</v>
      </c>
      <c r="AL360">
        <v>0.119807559591698</v>
      </c>
    </row>
    <row r="361" spans="1:38" x14ac:dyDescent="0.2">
      <c r="A361">
        <v>311</v>
      </c>
      <c r="B361">
        <v>774</v>
      </c>
      <c r="C361">
        <v>110</v>
      </c>
      <c r="D361">
        <v>0.48843097932483898</v>
      </c>
      <c r="E361">
        <v>29.978400547044799</v>
      </c>
      <c r="F361">
        <v>2.5186782125297098</v>
      </c>
      <c r="G361">
        <v>-477.02676958514223</v>
      </c>
      <c r="H361">
        <v>-411.1995257483353</v>
      </c>
      <c r="I361">
        <v>62.863241977564698</v>
      </c>
      <c r="J361">
        <v>35.6377476953609</v>
      </c>
      <c r="K361">
        <v>11.902433743981501</v>
      </c>
      <c r="L361">
        <v>2.8355540486594085E-5</v>
      </c>
      <c r="M361">
        <v>1.802011293356044E-6</v>
      </c>
      <c r="N361" s="1">
        <v>-8.8610722830923501E-8</v>
      </c>
      <c r="O361" s="1">
        <v>1.13926956744917E-10</v>
      </c>
      <c r="P361" s="1">
        <v>4.9522792706861402E-10</v>
      </c>
      <c r="Q361">
        <v>66.001328022918798</v>
      </c>
      <c r="S361">
        <v>19.136416479290599</v>
      </c>
      <c r="AA361">
        <v>0.38723193845338999</v>
      </c>
      <c r="AB361">
        <v>4.9139472102777404</v>
      </c>
      <c r="AC361">
        <v>9.56107634905932</v>
      </c>
      <c r="AJ361">
        <v>0.430352651111302</v>
      </c>
      <c r="AK361">
        <v>1.8740274874588798E-2</v>
      </c>
      <c r="AL361">
        <v>0.55090707401410799</v>
      </c>
    </row>
    <row r="362" spans="1:38" x14ac:dyDescent="0.2">
      <c r="A362">
        <v>312</v>
      </c>
      <c r="B362">
        <v>772</v>
      </c>
      <c r="C362">
        <v>110</v>
      </c>
      <c r="D362">
        <v>0.48731808831268297</v>
      </c>
      <c r="E362">
        <v>17.066676666957601</v>
      </c>
      <c r="F362">
        <v>2.5698298440665899</v>
      </c>
      <c r="G362">
        <v>-277.81487400393297</v>
      </c>
      <c r="H362">
        <v>-239.9629934072218</v>
      </c>
      <c r="I362">
        <v>36.216696738947597</v>
      </c>
      <c r="J362">
        <v>20.704826797222601</v>
      </c>
      <c r="K362">
        <v>6.6411699227333703</v>
      </c>
      <c r="L362">
        <v>3.0298556357547259E-5</v>
      </c>
      <c r="M362">
        <v>1.7994119516697182E-6</v>
      </c>
      <c r="N362" s="1">
        <v>-1.29655966921967E-7</v>
      </c>
      <c r="O362" s="1">
        <v>5.9089318221946097E-11</v>
      </c>
      <c r="P362" s="1">
        <v>5.20658394093919E-10</v>
      </c>
      <c r="Q362">
        <v>64.566730168360195</v>
      </c>
      <c r="S362">
        <v>21.789555991892598</v>
      </c>
      <c r="AA362">
        <v>2.9108429994779002</v>
      </c>
      <c r="AB362">
        <v>8.6725729754116898</v>
      </c>
      <c r="AC362">
        <v>2.0602978648575001</v>
      </c>
      <c r="AJ362">
        <v>0.74528220374070198</v>
      </c>
      <c r="AK362">
        <v>0.138230016616741</v>
      </c>
      <c r="AL362">
        <v>0.11648777964255599</v>
      </c>
    </row>
    <row r="363" spans="1:38" x14ac:dyDescent="0.2">
      <c r="A363">
        <v>312</v>
      </c>
      <c r="B363">
        <v>772</v>
      </c>
      <c r="C363">
        <v>110</v>
      </c>
      <c r="D363">
        <v>0.48731808831268297</v>
      </c>
      <c r="E363">
        <v>32.997585131762001</v>
      </c>
      <c r="F363">
        <v>2.51858498141591</v>
      </c>
      <c r="G363">
        <v>-524.75915948419402</v>
      </c>
      <c r="H363">
        <v>-452.54696428583202</v>
      </c>
      <c r="I363">
        <v>69.092661530270206</v>
      </c>
      <c r="J363">
        <v>39.215932176160599</v>
      </c>
      <c r="K363">
        <v>13.101636583734001</v>
      </c>
      <c r="L363">
        <v>2.8325447926702451E-5</v>
      </c>
      <c r="M363">
        <v>1.8015230819996605E-6</v>
      </c>
      <c r="N363" s="1">
        <v>-1.03384712705734E-7</v>
      </c>
      <c r="O363" s="1">
        <v>1.2542212361286301E-10</v>
      </c>
      <c r="P363" s="1">
        <v>5.62096967470053E-10</v>
      </c>
      <c r="Q363">
        <v>65.984837428815098</v>
      </c>
      <c r="S363">
        <v>19.1231957980457</v>
      </c>
      <c r="AA363">
        <v>0.38017259575061602</v>
      </c>
      <c r="AB363">
        <v>4.8425390708186598</v>
      </c>
      <c r="AC363">
        <v>9.6692551065697803</v>
      </c>
      <c r="AJ363">
        <v>0.42425253615842801</v>
      </c>
      <c r="AK363">
        <v>1.8405300488440801E-2</v>
      </c>
      <c r="AL363">
        <v>0.55734216335313103</v>
      </c>
    </row>
    <row r="364" spans="1:38" x14ac:dyDescent="0.2">
      <c r="A364">
        <v>313</v>
      </c>
      <c r="B364">
        <v>770</v>
      </c>
      <c r="C364">
        <v>110</v>
      </c>
      <c r="D364">
        <v>0.486200929875856</v>
      </c>
      <c r="E364">
        <v>17.531573743913398</v>
      </c>
      <c r="F364">
        <v>2.5705738263317501</v>
      </c>
      <c r="G364">
        <v>-285.34492899914432</v>
      </c>
      <c r="H364">
        <v>-246.58129790290965</v>
      </c>
      <c r="I364">
        <v>37.160169770631803</v>
      </c>
      <c r="J364">
        <v>21.275402038137099</v>
      </c>
      <c r="K364">
        <v>6.8201012413369497</v>
      </c>
      <c r="L364">
        <v>3.0326617639244783E-5</v>
      </c>
      <c r="M364">
        <v>1.798713921855112E-6</v>
      </c>
      <c r="N364" s="1">
        <v>-1.4181788023098101E-7</v>
      </c>
      <c r="O364" s="1">
        <v>6.0556745912604301E-11</v>
      </c>
      <c r="P364" s="1">
        <v>5.6003105477758305E-10</v>
      </c>
      <c r="Q364">
        <v>64.518950063578302</v>
      </c>
      <c r="S364">
        <v>21.830622140569801</v>
      </c>
      <c r="AA364">
        <v>2.9558718268753301</v>
      </c>
      <c r="AB364">
        <v>8.6737578214930604</v>
      </c>
      <c r="AC364">
        <v>2.0207981474833399</v>
      </c>
      <c r="AJ364">
        <v>0.74537890943839202</v>
      </c>
      <c r="AK364">
        <v>0.14036738090995099</v>
      </c>
      <c r="AL364">
        <v>0.114253709651656</v>
      </c>
    </row>
    <row r="365" spans="1:38" x14ac:dyDescent="0.2">
      <c r="A365">
        <v>313</v>
      </c>
      <c r="B365">
        <v>770</v>
      </c>
      <c r="C365">
        <v>110</v>
      </c>
      <c r="D365">
        <v>0.486200929875856</v>
      </c>
      <c r="E365">
        <v>34.646274299840798</v>
      </c>
      <c r="F365">
        <v>2.5185431395480502</v>
      </c>
      <c r="G365">
        <v>-550.70810226163599</v>
      </c>
      <c r="H365">
        <v>-475.13541424967349</v>
      </c>
      <c r="I365">
        <v>72.446616509574199</v>
      </c>
      <c r="J365">
        <v>41.169136308996798</v>
      </c>
      <c r="K365">
        <v>13.756474429919001</v>
      </c>
      <c r="L365">
        <v>2.8311823092079483E-5</v>
      </c>
      <c r="M365">
        <v>1.8012940012941218E-6</v>
      </c>
      <c r="N365" s="1">
        <v>-1.1594850664309999E-7</v>
      </c>
      <c r="O365" s="1">
        <v>1.3168126292408601E-10</v>
      </c>
      <c r="P365" s="1">
        <v>6.1171666029757496E-10</v>
      </c>
      <c r="Q365">
        <v>65.975685488095706</v>
      </c>
      <c r="S365">
        <v>19.112510104857201</v>
      </c>
      <c r="AA365">
        <v>0.373492269709228</v>
      </c>
      <c r="AB365">
        <v>4.7941305277044801</v>
      </c>
      <c r="AC365">
        <v>9.7441816096332197</v>
      </c>
      <c r="AJ365">
        <v>0.42011468865629997</v>
      </c>
      <c r="AK365">
        <v>1.8086328718561102E-2</v>
      </c>
      <c r="AL365">
        <v>0.56179898262513805</v>
      </c>
    </row>
    <row r="366" spans="1:38" x14ac:dyDescent="0.2">
      <c r="A366">
        <v>314</v>
      </c>
      <c r="B366">
        <v>768</v>
      </c>
      <c r="C366">
        <v>110</v>
      </c>
      <c r="D366">
        <v>0.48507947942179502</v>
      </c>
      <c r="E366">
        <v>17.8652894077944</v>
      </c>
      <c r="F366">
        <v>2.5711250101037599</v>
      </c>
      <c r="G366">
        <v>-290.72944012880953</v>
      </c>
      <c r="H366">
        <v>-251.34839369637314</v>
      </c>
      <c r="I366">
        <v>37.824565559656499</v>
      </c>
      <c r="J366">
        <v>21.687974506225</v>
      </c>
      <c r="K366">
        <v>6.9484328212705</v>
      </c>
      <c r="L366">
        <v>3.0365184823465263E-5</v>
      </c>
      <c r="M366">
        <v>1.7984210817616659E-6</v>
      </c>
      <c r="N366" s="1">
        <v>-1.5393917751390499E-7</v>
      </c>
      <c r="O366" s="1">
        <v>6.1582272273999702E-11</v>
      </c>
      <c r="P366" s="1">
        <v>5.9813573148268399E-10</v>
      </c>
      <c r="Q366">
        <v>64.4895503930139</v>
      </c>
      <c r="S366">
        <v>21.8573406663882</v>
      </c>
      <c r="AA366">
        <v>2.9847748954583202</v>
      </c>
      <c r="AB366">
        <v>8.6782883210658905</v>
      </c>
      <c r="AC366">
        <v>1.9900457240735301</v>
      </c>
      <c r="AJ366">
        <v>0.74575096718872502</v>
      </c>
      <c r="AK366">
        <v>0.141736637051843</v>
      </c>
      <c r="AL366">
        <v>0.11251239575943001</v>
      </c>
    </row>
    <row r="367" spans="1:38" x14ac:dyDescent="0.2">
      <c r="A367">
        <v>314</v>
      </c>
      <c r="B367">
        <v>768</v>
      </c>
      <c r="C367">
        <v>110</v>
      </c>
      <c r="D367">
        <v>0.48507947942179502</v>
      </c>
      <c r="E367">
        <v>35.6807414308429</v>
      </c>
      <c r="F367">
        <v>2.5185249947953698</v>
      </c>
      <c r="G367">
        <v>-566.89918691201058</v>
      </c>
      <c r="H367">
        <v>-489.32042449111339</v>
      </c>
      <c r="I367">
        <v>74.512570158859901</v>
      </c>
      <c r="J367">
        <v>42.394807884723797</v>
      </c>
      <c r="K367">
        <v>14.1673167844585</v>
      </c>
      <c r="L367">
        <v>2.8306353345074608E-5</v>
      </c>
      <c r="M367">
        <v>1.8011841510231568E-6</v>
      </c>
      <c r="N367" s="1">
        <v>-1.2790913055716801E-7</v>
      </c>
      <c r="O367" s="1">
        <v>1.3558880650816201E-10</v>
      </c>
      <c r="P367" s="1">
        <v>6.5471565418151199E-10</v>
      </c>
      <c r="Q367">
        <v>65.969844400908102</v>
      </c>
      <c r="S367">
        <v>19.103019939189199</v>
      </c>
      <c r="AA367">
        <v>0.36702572370401698</v>
      </c>
      <c r="AB367">
        <v>4.7562342749888398</v>
      </c>
      <c r="AC367">
        <v>9.8038756612097906</v>
      </c>
      <c r="AJ367">
        <v>0.41687399882656001</v>
      </c>
      <c r="AK367">
        <v>1.7776606702703101E-2</v>
      </c>
      <c r="AL367">
        <v>0.56534939447073596</v>
      </c>
    </row>
    <row r="368" spans="1:38" x14ac:dyDescent="0.2">
      <c r="A368">
        <v>315</v>
      </c>
      <c r="B368">
        <v>766</v>
      </c>
      <c r="C368">
        <v>110</v>
      </c>
      <c r="D368">
        <v>0.483953712168602</v>
      </c>
      <c r="E368">
        <v>18.128239273131701</v>
      </c>
      <c r="F368">
        <v>2.5715701038486101</v>
      </c>
      <c r="G368">
        <v>-294.95598350146537</v>
      </c>
      <c r="H368">
        <v>-255.1168541385855</v>
      </c>
      <c r="I368">
        <v>38.3381892536013</v>
      </c>
      <c r="J368">
        <v>22.015717589529402</v>
      </c>
      <c r="K368">
        <v>7.0494828221874997</v>
      </c>
      <c r="L368">
        <v>3.041101542785037E-5</v>
      </c>
      <c r="M368">
        <v>1.7983579674091327E-6</v>
      </c>
      <c r="N368" s="1">
        <v>-1.66416024070176E-7</v>
      </c>
      <c r="O368" s="1">
        <v>6.2367106778429298E-11</v>
      </c>
      <c r="P368" s="1">
        <v>6.3663159048232297E-10</v>
      </c>
      <c r="Q368">
        <v>64.470351374642306</v>
      </c>
      <c r="S368">
        <v>21.876115557420899</v>
      </c>
      <c r="AA368">
        <v>3.0047442012693502</v>
      </c>
      <c r="AB368">
        <v>8.68472515577945</v>
      </c>
      <c r="AC368">
        <v>1.9640637108879</v>
      </c>
      <c r="AJ368">
        <v>0.74627988737921402</v>
      </c>
      <c r="AK368">
        <v>0.142680280487996</v>
      </c>
      <c r="AL368">
        <v>0.11103983213278899</v>
      </c>
    </row>
    <row r="369" spans="1:38" x14ac:dyDescent="0.2">
      <c r="A369">
        <v>315</v>
      </c>
      <c r="B369">
        <v>766</v>
      </c>
      <c r="C369">
        <v>110</v>
      </c>
      <c r="D369">
        <v>0.483953712168602</v>
      </c>
      <c r="E369">
        <v>36.386111739277602</v>
      </c>
      <c r="F369">
        <v>2.5185203274924999</v>
      </c>
      <c r="G369">
        <v>-577.86395644728429</v>
      </c>
      <c r="H369">
        <v>-499.00425813083024</v>
      </c>
      <c r="I369">
        <v>75.888657380025904</v>
      </c>
      <c r="J369">
        <v>43.231115889983997</v>
      </c>
      <c r="K369">
        <v>14.447416342874799</v>
      </c>
      <c r="L369">
        <v>2.8305894597894164E-5</v>
      </c>
      <c r="M369">
        <v>1.8011401229724513E-6</v>
      </c>
      <c r="N369" s="1">
        <v>-1.3986302724299099E-7</v>
      </c>
      <c r="O369" s="1">
        <v>1.38233106303013E-10</v>
      </c>
      <c r="P369" s="1">
        <v>6.9506767870837501E-10</v>
      </c>
      <c r="Q369">
        <v>65.965763450137402</v>
      </c>
      <c r="S369">
        <v>19.094214388903598</v>
      </c>
      <c r="AA369">
        <v>0.36071328862894803</v>
      </c>
      <c r="AB369">
        <v>4.7240552001349903</v>
      </c>
      <c r="AC369">
        <v>9.8552536721949497</v>
      </c>
      <c r="AJ369">
        <v>0.41412124041473702</v>
      </c>
      <c r="AK369">
        <v>1.7473724125775199E-2</v>
      </c>
      <c r="AL369">
        <v>0.56840503545948695</v>
      </c>
    </row>
    <row r="370" spans="1:38" x14ac:dyDescent="0.2">
      <c r="A370">
        <v>316</v>
      </c>
      <c r="B370">
        <v>764</v>
      </c>
      <c r="C370">
        <v>110</v>
      </c>
      <c r="D370">
        <v>0.48282360314323097</v>
      </c>
      <c r="E370">
        <v>18.3485456689742</v>
      </c>
      <c r="F370">
        <v>2.5719498731155301</v>
      </c>
      <c r="G370">
        <v>-298.48433949669487</v>
      </c>
      <c r="H370">
        <v>-258.28363047426035</v>
      </c>
      <c r="I370">
        <v>38.760747261663603</v>
      </c>
      <c r="J370">
        <v>22.292717297587402</v>
      </c>
      <c r="K370">
        <v>7.1340992531661298</v>
      </c>
      <c r="L370">
        <v>3.0462654316014426E-5</v>
      </c>
      <c r="M370">
        <v>1.7984413064873058E-6</v>
      </c>
      <c r="N370" s="1">
        <v>-1.794647439328E-7</v>
      </c>
      <c r="O370" s="1">
        <v>6.3004368978355305E-11</v>
      </c>
      <c r="P370" s="1">
        <v>6.7638026236747003E-10</v>
      </c>
      <c r="Q370">
        <v>64.457472608553303</v>
      </c>
      <c r="S370">
        <v>21.889973562140199</v>
      </c>
      <c r="AA370">
        <v>3.0191822810602602</v>
      </c>
      <c r="AB370">
        <v>8.6923560771170401</v>
      </c>
      <c r="AC370">
        <v>1.9410154711291501</v>
      </c>
      <c r="AJ370">
        <v>0.74690703045111795</v>
      </c>
      <c r="AK370">
        <v>0.14336038647906801</v>
      </c>
      <c r="AL370">
        <v>0.109732583069813</v>
      </c>
    </row>
    <row r="371" spans="1:38" x14ac:dyDescent="0.2">
      <c r="A371">
        <v>316</v>
      </c>
      <c r="B371">
        <v>764</v>
      </c>
      <c r="C371">
        <v>110</v>
      </c>
      <c r="D371">
        <v>0.48282360314323097</v>
      </c>
      <c r="E371">
        <v>36.893425373796802</v>
      </c>
      <c r="F371">
        <v>2.5185244810019598</v>
      </c>
      <c r="G371">
        <v>-585.68443219682456</v>
      </c>
      <c r="H371">
        <v>-505.97978086691541</v>
      </c>
      <c r="I371">
        <v>76.849685513097597</v>
      </c>
      <c r="J371">
        <v>43.833440815108197</v>
      </c>
      <c r="K371">
        <v>14.648825394430601</v>
      </c>
      <c r="L371">
        <v>2.8309024509937936E-5</v>
      </c>
      <c r="M371">
        <v>1.8011372045814568E-6</v>
      </c>
      <c r="N371" s="1">
        <v>-1.5209678391551299E-7</v>
      </c>
      <c r="O371" s="1">
        <v>1.4011449164622801E-10</v>
      </c>
      <c r="P371" s="1">
        <v>7.3463131587412502E-10</v>
      </c>
      <c r="Q371">
        <v>65.962719265337896</v>
      </c>
      <c r="S371">
        <v>19.085855603709899</v>
      </c>
      <c r="AA371">
        <v>0.35452752416334299</v>
      </c>
      <c r="AB371">
        <v>4.6953577554303996</v>
      </c>
      <c r="AC371">
        <v>9.9015398513583808</v>
      </c>
      <c r="AJ371">
        <v>0.41166556388154202</v>
      </c>
      <c r="AK371">
        <v>1.71765761591255E-2</v>
      </c>
      <c r="AL371">
        <v>0.57115785995933099</v>
      </c>
    </row>
    <row r="372" spans="1:38" x14ac:dyDescent="0.2">
      <c r="A372">
        <v>317</v>
      </c>
      <c r="B372">
        <v>762</v>
      </c>
      <c r="C372">
        <v>110</v>
      </c>
      <c r="D372">
        <v>0.48168912717963802</v>
      </c>
      <c r="E372">
        <v>18.5410445186847</v>
      </c>
      <c r="F372">
        <v>2.5722861312983198</v>
      </c>
      <c r="G372">
        <v>-301.55710384342666</v>
      </c>
      <c r="H372">
        <v>-261.05817354236433</v>
      </c>
      <c r="I372">
        <v>39.123731151101097</v>
      </c>
      <c r="J372">
        <v>22.536983849265599</v>
      </c>
      <c r="K372">
        <v>7.2080023653225602</v>
      </c>
      <c r="L372">
        <v>3.0519410828196085E-5</v>
      </c>
      <c r="M372">
        <v>1.7986264567748042E-6</v>
      </c>
      <c r="N372" s="1">
        <v>-1.9323133195896499E-7</v>
      </c>
      <c r="O372" s="1">
        <v>6.3542811890784994E-11</v>
      </c>
      <c r="P372" s="1">
        <v>7.1792532498970696E-10</v>
      </c>
      <c r="Q372">
        <v>64.4488259144766</v>
      </c>
      <c r="S372">
        <v>21.9005395591685</v>
      </c>
      <c r="AA372">
        <v>3.0299169246507098</v>
      </c>
      <c r="AB372">
        <v>8.7007875178673704</v>
      </c>
      <c r="AC372">
        <v>1.9199300838367599</v>
      </c>
      <c r="AJ372">
        <v>0.74759999178085701</v>
      </c>
      <c r="AK372">
        <v>0.14386403482926499</v>
      </c>
      <c r="AL372">
        <v>0.108535973389876</v>
      </c>
    </row>
    <row r="373" spans="1:38" x14ac:dyDescent="0.2">
      <c r="A373">
        <v>317</v>
      </c>
      <c r="B373">
        <v>762</v>
      </c>
      <c r="C373">
        <v>110</v>
      </c>
      <c r="D373">
        <v>0.48168912717963802</v>
      </c>
      <c r="E373">
        <v>37.271537047413403</v>
      </c>
      <c r="F373">
        <v>2.5185350134018298</v>
      </c>
      <c r="G373">
        <v>-591.45438851304198</v>
      </c>
      <c r="H373">
        <v>-511.18883154659761</v>
      </c>
      <c r="I373">
        <v>77.540025084716603</v>
      </c>
      <c r="J373">
        <v>44.283424798508001</v>
      </c>
      <c r="K373">
        <v>14.7988957267146</v>
      </c>
      <c r="L373">
        <v>2.8315027399537055E-5</v>
      </c>
      <c r="M373">
        <v>1.8011623995129838E-6</v>
      </c>
      <c r="N373" s="1">
        <v>-1.6477897868662399E-7</v>
      </c>
      <c r="O373" s="1">
        <v>1.41495807123351E-10</v>
      </c>
      <c r="P373" s="1">
        <v>7.74432042546421E-10</v>
      </c>
      <c r="Q373">
        <v>65.960327399435997</v>
      </c>
      <c r="S373">
        <v>19.077816838958601</v>
      </c>
      <c r="AA373">
        <v>0.34845357014240802</v>
      </c>
      <c r="AB373">
        <v>4.6689529436085397</v>
      </c>
      <c r="AC373">
        <v>9.9444492478543491</v>
      </c>
      <c r="AJ373">
        <v>0.40940544170160598</v>
      </c>
      <c r="AK373">
        <v>1.6884562921503699E-2</v>
      </c>
      <c r="AL373">
        <v>0.57370999537688905</v>
      </c>
    </row>
    <row r="374" spans="1:38" x14ac:dyDescent="0.2">
      <c r="A374">
        <v>318</v>
      </c>
      <c r="B374">
        <v>760</v>
      </c>
      <c r="C374">
        <v>110</v>
      </c>
      <c r="D374">
        <v>0.480550258916906</v>
      </c>
      <c r="E374">
        <v>18.714307155549601</v>
      </c>
      <c r="F374">
        <v>2.5725916901967998</v>
      </c>
      <c r="G374">
        <v>-304.31445559495302</v>
      </c>
      <c r="H374">
        <v>-263.56151095618219</v>
      </c>
      <c r="I374">
        <v>39.445331886725803</v>
      </c>
      <c r="J374">
        <v>22.7589514821757</v>
      </c>
      <c r="K374">
        <v>7.2744956873113198</v>
      </c>
      <c r="L374">
        <v>3.0580971815085275E-5</v>
      </c>
      <c r="M374">
        <v>1.7988873332861965E-6</v>
      </c>
      <c r="N374" s="1">
        <v>-2.0783192939646299E-7</v>
      </c>
      <c r="O374" s="1">
        <v>6.4010293022112297E-11</v>
      </c>
      <c r="P374" s="1">
        <v>7.6166945932284699E-10</v>
      </c>
      <c r="Q374">
        <v>64.443180366155303</v>
      </c>
      <c r="S374">
        <v>21.908769764511501</v>
      </c>
      <c r="AA374">
        <v>3.0380242398503898</v>
      </c>
      <c r="AB374">
        <v>8.7097832694420596</v>
      </c>
      <c r="AC374">
        <v>1.90024236004062</v>
      </c>
      <c r="AJ374">
        <v>0.74833932192102404</v>
      </c>
      <c r="AK374">
        <v>0.14424250060545901</v>
      </c>
      <c r="AL374">
        <v>0.10741817747351499</v>
      </c>
    </row>
    <row r="375" spans="1:38" x14ac:dyDescent="0.2">
      <c r="A375">
        <v>318</v>
      </c>
      <c r="B375">
        <v>760</v>
      </c>
      <c r="C375">
        <v>110</v>
      </c>
      <c r="D375">
        <v>0.480550258916906</v>
      </c>
      <c r="E375">
        <v>37.560254507927098</v>
      </c>
      <c r="F375">
        <v>2.5185505101110301</v>
      </c>
      <c r="G375">
        <v>-595.80609060864992</v>
      </c>
      <c r="H375">
        <v>-515.17582675278823</v>
      </c>
      <c r="I375">
        <v>78.043133964924394</v>
      </c>
      <c r="J375">
        <v>44.6282779103175</v>
      </c>
      <c r="K375">
        <v>14.913441027740699</v>
      </c>
      <c r="L375">
        <v>2.8323524132891836E-5</v>
      </c>
      <c r="M375">
        <v>1.8012082425352145E-6</v>
      </c>
      <c r="N375" s="1">
        <v>-1.7802678325025E-7</v>
      </c>
      <c r="O375" s="1">
        <v>1.42528901260288E-10</v>
      </c>
      <c r="P375" s="1">
        <v>8.1511675281373703E-10</v>
      </c>
      <c r="Q375">
        <v>65.958363575605603</v>
      </c>
      <c r="S375">
        <v>19.070023673354299</v>
      </c>
      <c r="AA375">
        <v>0.34248236016685202</v>
      </c>
      <c r="AB375">
        <v>4.6441458706861596</v>
      </c>
      <c r="AC375">
        <v>9.9849845201869893</v>
      </c>
      <c r="AJ375">
        <v>0.40728152789808297</v>
      </c>
      <c r="AK375">
        <v>1.6597315859364099E-2</v>
      </c>
      <c r="AL375">
        <v>0.576121156242552</v>
      </c>
    </row>
    <row r="376" spans="1:38" x14ac:dyDescent="0.2">
      <c r="A376">
        <v>320</v>
      </c>
      <c r="B376">
        <v>804</v>
      </c>
      <c r="C376">
        <v>100</v>
      </c>
      <c r="D376">
        <v>0.514840551455232</v>
      </c>
      <c r="E376">
        <v>0.23000101502876599</v>
      </c>
      <c r="F376">
        <v>2.5715930179680799</v>
      </c>
      <c r="G376">
        <v>-3.7677522731445725</v>
      </c>
      <c r="H376">
        <v>-3.2329561834693599</v>
      </c>
      <c r="I376">
        <v>0.496491751079433</v>
      </c>
      <c r="J376">
        <v>0.27883787266649801</v>
      </c>
      <c r="K376">
        <v>8.9439119418087104E-2</v>
      </c>
      <c r="L376">
        <v>2.9976432445541147E-5</v>
      </c>
      <c r="M376">
        <v>1.7945618540580724E-6</v>
      </c>
      <c r="N376" s="1">
        <v>-6.1501657808700605E-10</v>
      </c>
      <c r="O376" s="1">
        <v>7.99989840787209E-13</v>
      </c>
      <c r="P376" s="1">
        <v>3.6919860154139E-12</v>
      </c>
      <c r="Q376">
        <v>64.384439886855802</v>
      </c>
      <c r="S376">
        <v>22.0523618473803</v>
      </c>
      <c r="AA376">
        <v>3.1701954662932201</v>
      </c>
      <c r="AB376">
        <v>8.9553285743465292</v>
      </c>
      <c r="AC376">
        <v>1.4376742251240799</v>
      </c>
      <c r="AJ376">
        <v>0.76849570610364804</v>
      </c>
      <c r="AK376">
        <v>0.15033384013348</v>
      </c>
      <c r="AL376">
        <v>8.1170453762870701E-2</v>
      </c>
    </row>
    <row r="377" spans="1:38" x14ac:dyDescent="0.2">
      <c r="A377">
        <v>321</v>
      </c>
      <c r="B377">
        <v>802</v>
      </c>
      <c r="C377">
        <v>100</v>
      </c>
      <c r="D377">
        <v>0.51380784076640695</v>
      </c>
      <c r="E377">
        <v>0.85235331568554595</v>
      </c>
      <c r="F377">
        <v>2.57090849547235</v>
      </c>
      <c r="G377">
        <v>-13.9572455039643</v>
      </c>
      <c r="H377">
        <v>-11.980832573341006</v>
      </c>
      <c r="I377">
        <v>1.83826715400018</v>
      </c>
      <c r="J377">
        <v>1.03340888882191</v>
      </c>
      <c r="K377">
        <v>0.33153778797908601</v>
      </c>
      <c r="L377">
        <v>3.0027166458025277E-5</v>
      </c>
      <c r="M377">
        <v>1.7965650763258089E-6</v>
      </c>
      <c r="N377" s="1">
        <v>-2.46944275450033E-9</v>
      </c>
      <c r="O377" s="1">
        <v>2.9678162831575599E-12</v>
      </c>
      <c r="P377" s="1">
        <v>1.42442547594345E-11</v>
      </c>
      <c r="Q377">
        <v>64.467157979806203</v>
      </c>
      <c r="S377">
        <v>21.987837894326901</v>
      </c>
      <c r="AA377">
        <v>3.09766140819052</v>
      </c>
      <c r="AB377">
        <v>8.9705034777038701</v>
      </c>
      <c r="AC377">
        <v>1.4768392399724399</v>
      </c>
      <c r="AJ377">
        <v>0.76974110338067903</v>
      </c>
      <c r="AK377">
        <v>0.14688335867616201</v>
      </c>
      <c r="AL377">
        <v>8.3375537943157996E-2</v>
      </c>
    </row>
    <row r="378" spans="1:38" x14ac:dyDescent="0.2">
      <c r="A378">
        <v>322</v>
      </c>
      <c r="B378">
        <v>800</v>
      </c>
      <c r="C378">
        <v>100</v>
      </c>
      <c r="D378">
        <v>0.51277128080883805</v>
      </c>
      <c r="E378">
        <v>1.47467813341177</v>
      </c>
      <c r="F378">
        <v>2.5702401979815899</v>
      </c>
      <c r="G378">
        <v>-24.138151806451518</v>
      </c>
      <c r="H378">
        <v>-20.728195995908166</v>
      </c>
      <c r="I378">
        <v>3.1775202073739401</v>
      </c>
      <c r="J378">
        <v>1.78806178204863</v>
      </c>
      <c r="K378">
        <v>0.57375109710362304</v>
      </c>
      <c r="L378">
        <v>3.0077046300668174E-5</v>
      </c>
      <c r="M378">
        <v>1.7984935502905614E-6</v>
      </c>
      <c r="N378" s="1">
        <v>-4.6167883536860298E-9</v>
      </c>
      <c r="O378" s="1">
        <v>5.1398147811755503E-12</v>
      </c>
      <c r="P378" s="1">
        <v>2.5661007275248098E-11</v>
      </c>
      <c r="Q378">
        <v>64.546841091599106</v>
      </c>
      <c r="S378">
        <v>21.925181411383299</v>
      </c>
      <c r="AA378">
        <v>3.0273762034120399</v>
      </c>
      <c r="AB378">
        <v>8.9838109039613006</v>
      </c>
      <c r="AC378">
        <v>1.5167903896442501</v>
      </c>
      <c r="AJ378">
        <v>0.77083319681028895</v>
      </c>
      <c r="AK378">
        <v>0.14354133824207899</v>
      </c>
      <c r="AL378">
        <v>8.5625464947631097E-2</v>
      </c>
    </row>
    <row r="379" spans="1:38" x14ac:dyDescent="0.2">
      <c r="A379">
        <v>323</v>
      </c>
      <c r="B379">
        <v>798</v>
      </c>
      <c r="C379">
        <v>100</v>
      </c>
      <c r="D379">
        <v>0.51173085002101004</v>
      </c>
      <c r="E379">
        <v>2.0965249236777699</v>
      </c>
      <c r="F379">
        <v>2.5695878452488201</v>
      </c>
      <c r="G379">
        <v>-34.303051405917124</v>
      </c>
      <c r="H379">
        <v>-29.468691548448927</v>
      </c>
      <c r="I379">
        <v>4.5132426433909298</v>
      </c>
      <c r="J379">
        <v>2.5422631991101698</v>
      </c>
      <c r="K379">
        <v>0.81589929978625197</v>
      </c>
      <c r="L379">
        <v>3.0126144095582694E-5</v>
      </c>
      <c r="M379">
        <v>1.800348617408395E-6</v>
      </c>
      <c r="N379" s="1">
        <v>-7.0759523224570798E-9</v>
      </c>
      <c r="O379" s="1">
        <v>7.3139696795924599E-12</v>
      </c>
      <c r="P379" s="1">
        <v>3.7993171882004203E-11</v>
      </c>
      <c r="Q379">
        <v>64.623533954845001</v>
      </c>
      <c r="S379">
        <v>21.864362435111701</v>
      </c>
      <c r="AA379">
        <v>2.9593046940717098</v>
      </c>
      <c r="AB379">
        <v>8.9952719842956999</v>
      </c>
      <c r="AC379">
        <v>1.5575269316757601</v>
      </c>
      <c r="AJ379">
        <v>0.77177377891627796</v>
      </c>
      <c r="AK379">
        <v>0.14030598378884601</v>
      </c>
      <c r="AL379">
        <v>8.7920237294875303E-2</v>
      </c>
    </row>
    <row r="380" spans="1:38" x14ac:dyDescent="0.2">
      <c r="A380">
        <v>324</v>
      </c>
      <c r="B380">
        <v>796</v>
      </c>
      <c r="C380">
        <v>100</v>
      </c>
      <c r="D380">
        <v>0.51068652668007097</v>
      </c>
      <c r="E380">
        <v>2.7174577074725201</v>
      </c>
      <c r="F380">
        <v>2.5689510921425298</v>
      </c>
      <c r="G380">
        <v>-44.444774720805107</v>
      </c>
      <c r="H380">
        <v>-38.196168271378362</v>
      </c>
      <c r="I380">
        <v>5.8444619084569496</v>
      </c>
      <c r="J380">
        <v>3.29549910847558</v>
      </c>
      <c r="K380">
        <v>1.0578082688238799</v>
      </c>
      <c r="L380">
        <v>3.0174538814949831E-5</v>
      </c>
      <c r="M380">
        <v>1.8021318110399151E-6</v>
      </c>
      <c r="N380" s="1">
        <v>-9.8670430968931597E-9</v>
      </c>
      <c r="O380" s="1">
        <v>9.4883053914629195E-12</v>
      </c>
      <c r="P380" s="1">
        <v>5.1295152269268802E-11</v>
      </c>
      <c r="Q380">
        <v>64.697289410027196</v>
      </c>
      <c r="S380">
        <v>21.805345161817201</v>
      </c>
      <c r="AA380">
        <v>2.8934050121500601</v>
      </c>
      <c r="AB380">
        <v>9.0049106068490801</v>
      </c>
      <c r="AC380">
        <v>1.5990498091563601</v>
      </c>
      <c r="AJ380">
        <v>0.772564859138823</v>
      </c>
      <c r="AK380">
        <v>0.13717518793095601</v>
      </c>
      <c r="AL380">
        <v>9.0259952930219295E-2</v>
      </c>
    </row>
    <row r="381" spans="1:38" x14ac:dyDescent="0.2">
      <c r="A381">
        <v>325</v>
      </c>
      <c r="B381">
        <v>794</v>
      </c>
      <c r="C381">
        <v>100</v>
      </c>
      <c r="D381">
        <v>0.50963828890034402</v>
      </c>
      <c r="E381">
        <v>3.3370593282726699</v>
      </c>
      <c r="F381">
        <v>2.5683295322483</v>
      </c>
      <c r="G381">
        <v>-54.556471172683977</v>
      </c>
      <c r="H381">
        <v>-46.904738565659237</v>
      </c>
      <c r="I381">
        <v>7.1702502994187602</v>
      </c>
      <c r="J381">
        <v>4.0472800890163203</v>
      </c>
      <c r="K381">
        <v>1.29931120067424</v>
      </c>
      <c r="L381">
        <v>3.022231590885373E-5</v>
      </c>
      <c r="M381">
        <v>1.8038448344989511E-6</v>
      </c>
      <c r="N381" s="1">
        <v>-1.3011509326950501E-8</v>
      </c>
      <c r="O381" s="1">
        <v>1.16609028128145E-11</v>
      </c>
      <c r="P381" s="1">
        <v>6.5625227586935905E-11</v>
      </c>
      <c r="Q381">
        <v>64.768167554690393</v>
      </c>
      <c r="S381">
        <v>21.748088453888201</v>
      </c>
      <c r="AA381">
        <v>2.8296291957559498</v>
      </c>
      <c r="AB381">
        <v>9.0127528481809502</v>
      </c>
      <c r="AC381">
        <v>1.6413619474844099</v>
      </c>
      <c r="AJ381">
        <v>0.77320861746664105</v>
      </c>
      <c r="AK381">
        <v>0.13414656052316401</v>
      </c>
      <c r="AL381">
        <v>9.2644822010194805E-2</v>
      </c>
    </row>
    <row r="382" spans="1:38" x14ac:dyDescent="0.2">
      <c r="A382">
        <v>326</v>
      </c>
      <c r="B382">
        <v>792</v>
      </c>
      <c r="C382">
        <v>100</v>
      </c>
      <c r="D382">
        <v>0.50858611463174297</v>
      </c>
      <c r="E382">
        <v>3.9549352396105801</v>
      </c>
      <c r="F382">
        <v>2.5677227020990001</v>
      </c>
      <c r="G382">
        <v>-64.631670113730323</v>
      </c>
      <c r="H382">
        <v>-55.588830994608344</v>
      </c>
      <c r="I382">
        <v>8.4897330133051305</v>
      </c>
      <c r="J382">
        <v>4.7971460486898101</v>
      </c>
      <c r="K382">
        <v>1.54025013541282</v>
      </c>
      <c r="L382">
        <v>3.0269566921530148E-5</v>
      </c>
      <c r="M382">
        <v>1.8054895380095097E-6</v>
      </c>
      <c r="N382" s="1">
        <v>-1.6532285536794299E-8</v>
      </c>
      <c r="O382" s="1">
        <v>1.38299138597441E-11</v>
      </c>
      <c r="P382" s="1">
        <v>8.1045990763632196E-11</v>
      </c>
      <c r="Q382">
        <v>64.836234835357402</v>
      </c>
      <c r="S382">
        <v>21.692546391660301</v>
      </c>
      <c r="AA382">
        <v>2.7679238563084501</v>
      </c>
      <c r="AB382">
        <v>9.01882639643466</v>
      </c>
      <c r="AC382">
        <v>1.6844685202390199</v>
      </c>
      <c r="AJ382">
        <v>0.773707357460094</v>
      </c>
      <c r="AK382">
        <v>0.13121746055081601</v>
      </c>
      <c r="AL382">
        <v>9.5075181989089194E-2</v>
      </c>
    </row>
    <row r="383" spans="1:38" x14ac:dyDescent="0.2">
      <c r="A383">
        <v>327</v>
      </c>
      <c r="B383">
        <v>790</v>
      </c>
      <c r="C383">
        <v>100</v>
      </c>
      <c r="D383">
        <v>0.507529981658283</v>
      </c>
      <c r="E383">
        <v>5.0972112108817198</v>
      </c>
      <c r="F383">
        <v>2.5665308001529099</v>
      </c>
      <c r="G383">
        <v>-83.25040049652965</v>
      </c>
      <c r="H383">
        <v>-71.62843877044314</v>
      </c>
      <c r="I383">
        <v>10.9316293336655</v>
      </c>
      <c r="J383">
        <v>6.1828318122410497</v>
      </c>
      <c r="K383">
        <v>1.9860315763902101</v>
      </c>
      <c r="L383">
        <v>3.0318994852352212E-5</v>
      </c>
      <c r="M383">
        <v>1.8077310024369249E-6</v>
      </c>
      <c r="N383" s="1">
        <v>-2.2754097610715001E-8</v>
      </c>
      <c r="O383" s="1">
        <v>1.7855299603497301E-11</v>
      </c>
      <c r="P383" s="1">
        <v>1.08686927552953E-10</v>
      </c>
      <c r="Q383">
        <v>64.939378140503806</v>
      </c>
      <c r="S383">
        <v>21.600734616578201</v>
      </c>
      <c r="AA383">
        <v>2.6681111215916902</v>
      </c>
      <c r="AB383">
        <v>9.0079792169073798</v>
      </c>
      <c r="AC383">
        <v>1.78379690441881</v>
      </c>
      <c r="AJ383">
        <v>0.77282008445204797</v>
      </c>
      <c r="AK383">
        <v>0.12649277731306499</v>
      </c>
      <c r="AL383">
        <v>0.100687138234886</v>
      </c>
    </row>
    <row r="384" spans="1:38" x14ac:dyDescent="0.2">
      <c r="A384">
        <v>328</v>
      </c>
      <c r="B384">
        <v>788</v>
      </c>
      <c r="C384">
        <v>100</v>
      </c>
      <c r="D384">
        <v>0.50646986759647905</v>
      </c>
      <c r="E384">
        <v>6.9056567991504902</v>
      </c>
      <c r="F384">
        <v>2.5645190273608902</v>
      </c>
      <c r="G384">
        <v>-112.69073122187855</v>
      </c>
      <c r="H384">
        <v>-96.989401787293147</v>
      </c>
      <c r="I384">
        <v>14.7965221076995</v>
      </c>
      <c r="J384">
        <v>8.3753393926022</v>
      </c>
      <c r="K384">
        <v>2.6927687903555899</v>
      </c>
      <c r="L384">
        <v>3.0362003925051543E-5</v>
      </c>
      <c r="M384">
        <v>1.8105463401518868E-6</v>
      </c>
      <c r="N384" s="1">
        <v>-3.2710181177372201E-8</v>
      </c>
      <c r="O384" s="1">
        <v>2.4266152662883901E-11</v>
      </c>
      <c r="P384" s="1">
        <v>1.5271325701874401E-10</v>
      </c>
      <c r="Q384">
        <v>65.082933895446601</v>
      </c>
      <c r="S384">
        <v>21.461852723427398</v>
      </c>
      <c r="AA384">
        <v>2.5200353648224398</v>
      </c>
      <c r="AB384">
        <v>8.9637885808724906</v>
      </c>
      <c r="AC384">
        <v>1.971389435431</v>
      </c>
      <c r="AJ384">
        <v>0.76920010201459699</v>
      </c>
      <c r="AK384">
        <v>0.11949924302267</v>
      </c>
      <c r="AL384">
        <v>0.111300654962731</v>
      </c>
    </row>
    <row r="385" spans="1:38" x14ac:dyDescent="0.2">
      <c r="A385">
        <v>329</v>
      </c>
      <c r="B385">
        <v>786</v>
      </c>
      <c r="C385">
        <v>100</v>
      </c>
      <c r="D385">
        <v>0.50540574989378495</v>
      </c>
      <c r="E385">
        <v>8.8211696115301592</v>
      </c>
      <c r="F385">
        <v>2.5622498009605201</v>
      </c>
      <c r="G385">
        <v>-143.80737348755821</v>
      </c>
      <c r="H385">
        <v>-123.80806276379998</v>
      </c>
      <c r="I385">
        <v>18.882415827558098</v>
      </c>
      <c r="J385">
        <v>10.6958336419391</v>
      </c>
      <c r="K385">
        <v>3.4427437981352602</v>
      </c>
      <c r="L385">
        <v>3.0388532762727029E-5</v>
      </c>
      <c r="M385">
        <v>1.8130941642874041E-6</v>
      </c>
      <c r="N385" s="1">
        <v>-4.4104180877150302E-8</v>
      </c>
      <c r="O385" s="1">
        <v>3.1105119929050202E-11</v>
      </c>
      <c r="P385" s="1">
        <v>2.0177925618078E-10</v>
      </c>
      <c r="Q385">
        <v>65.224056145973606</v>
      </c>
      <c r="S385">
        <v>21.3146292043728</v>
      </c>
      <c r="AA385">
        <v>2.36564550625845</v>
      </c>
      <c r="AB385">
        <v>8.8923063539344191</v>
      </c>
      <c r="AC385">
        <v>2.2033627894605998</v>
      </c>
      <c r="AJ385">
        <v>0.76333965343824095</v>
      </c>
      <c r="AK385">
        <v>0.11221834595685901</v>
      </c>
      <c r="AL385">
        <v>0.124442000604898</v>
      </c>
    </row>
    <row r="386" spans="1:38" x14ac:dyDescent="0.2">
      <c r="A386">
        <v>330</v>
      </c>
      <c r="B386">
        <v>784</v>
      </c>
      <c r="C386">
        <v>100</v>
      </c>
      <c r="D386">
        <v>0.50433760582698905</v>
      </c>
      <c r="E386">
        <v>10.943446839847899</v>
      </c>
      <c r="F386">
        <v>2.55950256037791</v>
      </c>
      <c r="G386">
        <v>-178.18957301944758</v>
      </c>
      <c r="H386">
        <v>-153.45188090472081</v>
      </c>
      <c r="I386">
        <v>23.4003614574344</v>
      </c>
      <c r="J386">
        <v>13.2631156522183</v>
      </c>
      <c r="K386">
        <v>4.2756147265709803</v>
      </c>
      <c r="L386">
        <v>3.0389672808100665E-5</v>
      </c>
      <c r="M386">
        <v>1.81533935562745E-6</v>
      </c>
      <c r="N386" s="1">
        <v>-5.73088399379986E-8</v>
      </c>
      <c r="O386" s="1">
        <v>3.8750330178436098E-11</v>
      </c>
      <c r="P386" s="1">
        <v>2.5775572229688597E-10</v>
      </c>
      <c r="Q386">
        <v>65.367285437368906</v>
      </c>
      <c r="S386">
        <v>21.149037462115501</v>
      </c>
      <c r="AA386">
        <v>2.1956100262950602</v>
      </c>
      <c r="AB386">
        <v>8.7773648694382107</v>
      </c>
      <c r="AC386">
        <v>2.51070220478225</v>
      </c>
      <c r="AJ386">
        <v>0.75390612794266998</v>
      </c>
      <c r="AK386">
        <v>0.104212332619729</v>
      </c>
      <c r="AL386">
        <v>0.14188153943759901</v>
      </c>
    </row>
    <row r="387" spans="1:38" x14ac:dyDescent="0.2">
      <c r="A387">
        <v>331</v>
      </c>
      <c r="B387">
        <v>782</v>
      </c>
      <c r="C387">
        <v>100</v>
      </c>
      <c r="D387">
        <v>0.50326541250059598</v>
      </c>
      <c r="E387">
        <v>13.411371401102199</v>
      </c>
      <c r="F387">
        <v>2.5621366901593401</v>
      </c>
      <c r="G387">
        <v>-218.36982633786744</v>
      </c>
      <c r="H387">
        <v>-188.15511221969717</v>
      </c>
      <c r="I387">
        <v>28.635468054940201</v>
      </c>
      <c r="J387">
        <v>16.2509183629051</v>
      </c>
      <c r="K387">
        <v>5.2344480497908696</v>
      </c>
      <c r="L387">
        <v>3.0287636820222718E-5</v>
      </c>
      <c r="M387">
        <v>1.80974906027633E-6</v>
      </c>
      <c r="N387" s="1">
        <v>-7.3789363791165704E-8</v>
      </c>
      <c r="O387" s="1">
        <v>4.7237382145141302E-11</v>
      </c>
      <c r="P387" s="1">
        <v>3.2646907734703402E-10</v>
      </c>
      <c r="Q387">
        <v>65.105527951021998</v>
      </c>
      <c r="S387">
        <v>21.338985073923901</v>
      </c>
      <c r="AA387">
        <v>2.4133962819299701</v>
      </c>
      <c r="AB387">
        <v>8.6920247052198807</v>
      </c>
      <c r="AC387">
        <v>2.45006598790417</v>
      </c>
      <c r="AJ387">
        <v>0.74688951032763495</v>
      </c>
      <c r="AK387">
        <v>0.114597419326069</v>
      </c>
      <c r="AL387">
        <v>0.13851307034629501</v>
      </c>
    </row>
    <row r="388" spans="1:38" x14ac:dyDescent="0.2">
      <c r="A388">
        <v>331</v>
      </c>
      <c r="B388">
        <v>782</v>
      </c>
      <c r="C388">
        <v>100</v>
      </c>
      <c r="D388">
        <v>0.50326541250059598</v>
      </c>
      <c r="E388">
        <v>14.3505453307375</v>
      </c>
      <c r="F388">
        <v>2.5190301156087598</v>
      </c>
      <c r="G388">
        <v>-229.06089480383054</v>
      </c>
      <c r="H388">
        <v>-197.10437169947667</v>
      </c>
      <c r="I388">
        <v>30.2862371268102</v>
      </c>
      <c r="J388">
        <v>17.0889338997343</v>
      </c>
      <c r="K388">
        <v>5.6968534206148096</v>
      </c>
      <c r="L388">
        <v>2.8544125837298738E-5</v>
      </c>
      <c r="M388">
        <v>1.805801156973E-6</v>
      </c>
      <c r="N388" s="1">
        <v>-3.4275537501126301E-8</v>
      </c>
      <c r="O388" s="1">
        <v>5.4438200437195601E-11</v>
      </c>
      <c r="P388" s="1">
        <v>2.1340333582040701E-10</v>
      </c>
      <c r="Q388">
        <v>66.096628278332901</v>
      </c>
      <c r="S388">
        <v>19.206435325951301</v>
      </c>
      <c r="AA388">
        <v>0.42276119212117602</v>
      </c>
      <c r="AB388">
        <v>5.3098822292643701</v>
      </c>
      <c r="AC388">
        <v>8.9642929743301902</v>
      </c>
      <c r="AJ388">
        <v>0.46409584033257001</v>
      </c>
      <c r="AK388">
        <v>2.0418728350260901E-2</v>
      </c>
      <c r="AL388">
        <v>0.51548543131716795</v>
      </c>
    </row>
    <row r="389" spans="1:38" x14ac:dyDescent="0.2">
      <c r="A389">
        <v>332</v>
      </c>
      <c r="B389">
        <v>780</v>
      </c>
      <c r="C389">
        <v>100</v>
      </c>
      <c r="D389">
        <v>0.50218914684517901</v>
      </c>
      <c r="E389">
        <v>15.436431921541301</v>
      </c>
      <c r="F389">
        <v>2.5662427250876498</v>
      </c>
      <c r="G389">
        <v>-251.45913192597996</v>
      </c>
      <c r="H389">
        <v>-216.80041709574408</v>
      </c>
      <c r="I389">
        <v>32.909571124944897</v>
      </c>
      <c r="J389">
        <v>18.706715266467</v>
      </c>
      <c r="K389">
        <v>6.0151877960078997</v>
      </c>
      <c r="L389">
        <v>3.0195629536407082E-5</v>
      </c>
      <c r="M389">
        <v>1.8029078146091894E-6</v>
      </c>
      <c r="N389" s="1">
        <v>-9.0020472486595705E-8</v>
      </c>
      <c r="O389" s="1">
        <v>5.3933073371403802E-11</v>
      </c>
      <c r="P389" s="1">
        <v>3.9099468787177003E-10</v>
      </c>
      <c r="Q389">
        <v>64.764037490083396</v>
      </c>
      <c r="S389">
        <v>21.617736167736901</v>
      </c>
      <c r="AA389">
        <v>2.7230509190949999</v>
      </c>
      <c r="AB389">
        <v>8.6618137555506394</v>
      </c>
      <c r="AC389">
        <v>2.2333616675339498</v>
      </c>
      <c r="AJ389">
        <v>0.74440045123912701</v>
      </c>
      <c r="AK389">
        <v>0.12931959596510401</v>
      </c>
      <c r="AL389">
        <v>0.12627995279576701</v>
      </c>
    </row>
    <row r="390" spans="1:38" x14ac:dyDescent="0.2">
      <c r="A390">
        <v>332</v>
      </c>
      <c r="B390">
        <v>780</v>
      </c>
      <c r="C390">
        <v>100</v>
      </c>
      <c r="D390">
        <v>0.50218914684517901</v>
      </c>
      <c r="E390">
        <v>26.779542761833302</v>
      </c>
      <c r="F390">
        <v>2.5184452414738798</v>
      </c>
      <c r="G390">
        <v>-426.87233275501296</v>
      </c>
      <c r="H390">
        <v>-367.48959487897883</v>
      </c>
      <c r="I390">
        <v>56.385830960484199</v>
      </c>
      <c r="J390">
        <v>31.8517505017692</v>
      </c>
      <c r="K390">
        <v>10.633363124528699</v>
      </c>
      <c r="L390">
        <v>2.8396144668830708E-5</v>
      </c>
      <c r="M390">
        <v>1.8033574101881015E-6</v>
      </c>
      <c r="N390" s="1">
        <v>-6.3501008639802204E-8</v>
      </c>
      <c r="O390" s="1">
        <v>1.0176616231449799E-10</v>
      </c>
      <c r="P390" s="1">
        <v>3.96551682534922E-10</v>
      </c>
      <c r="Q390">
        <v>66.026606120294701</v>
      </c>
      <c r="S390">
        <v>19.172111912379101</v>
      </c>
      <c r="AA390">
        <v>0.410782737794469</v>
      </c>
      <c r="AB390">
        <v>5.0638583134866897</v>
      </c>
      <c r="AC390">
        <v>9.3266409160449903</v>
      </c>
      <c r="AJ390">
        <v>0.44314451497182</v>
      </c>
      <c r="AK390">
        <v>1.9864919430373901E-2</v>
      </c>
      <c r="AL390">
        <v>0.536990565597805</v>
      </c>
    </row>
    <row r="391" spans="1:38" x14ac:dyDescent="0.2">
      <c r="A391">
        <v>333</v>
      </c>
      <c r="B391">
        <v>778</v>
      </c>
      <c r="C391">
        <v>100</v>
      </c>
      <c r="D391">
        <v>0.501108785615755</v>
      </c>
      <c r="E391">
        <v>16.433400836773099</v>
      </c>
      <c r="F391">
        <v>2.56806386567381</v>
      </c>
      <c r="G391">
        <v>-267.71226307462211</v>
      </c>
      <c r="H391">
        <v>-230.93225984835601</v>
      </c>
      <c r="I391">
        <v>34.990251844423803</v>
      </c>
      <c r="J391">
        <v>19.9181432798249</v>
      </c>
      <c r="K391">
        <v>6.3991402458604103</v>
      </c>
      <c r="L391">
        <v>3.0175082183971625E-5</v>
      </c>
      <c r="M391">
        <v>1.8000922293327813E-6</v>
      </c>
      <c r="N391" s="1">
        <v>-1.0191158046770699E-7</v>
      </c>
      <c r="O391" s="1">
        <v>5.71842825094293E-11</v>
      </c>
      <c r="P391" s="1">
        <v>4.3418234994732898E-10</v>
      </c>
      <c r="Q391">
        <v>64.617856626063201</v>
      </c>
      <c r="S391">
        <v>21.736966201093999</v>
      </c>
      <c r="AA391">
        <v>2.85552622363116</v>
      </c>
      <c r="AB391">
        <v>8.6486345713938899</v>
      </c>
      <c r="AC391">
        <v>2.1410163778176399</v>
      </c>
      <c r="AJ391">
        <v>0.74331444508390698</v>
      </c>
      <c r="AK391">
        <v>0.13561944678919</v>
      </c>
      <c r="AL391">
        <v>0.121066108126901</v>
      </c>
    </row>
    <row r="392" spans="1:38" x14ac:dyDescent="0.2">
      <c r="A392">
        <v>333</v>
      </c>
      <c r="B392">
        <v>778</v>
      </c>
      <c r="C392">
        <v>100</v>
      </c>
      <c r="D392">
        <v>0.501108785615755</v>
      </c>
      <c r="E392">
        <v>31.556353694254899</v>
      </c>
      <c r="F392">
        <v>2.5182436045531902</v>
      </c>
      <c r="G392">
        <v>-502.63468550086088</v>
      </c>
      <c r="H392">
        <v>-432.90765561751124</v>
      </c>
      <c r="I392">
        <v>66.334043555486403</v>
      </c>
      <c r="J392">
        <v>37.514653467398901</v>
      </c>
      <c r="K392">
        <v>12.531096529818701</v>
      </c>
      <c r="L392">
        <v>2.833877713980948E-5</v>
      </c>
      <c r="M392">
        <v>1.8024457954163164E-6</v>
      </c>
      <c r="N392" s="1">
        <v>-7.8396116381408699E-8</v>
      </c>
      <c r="O392" s="1">
        <v>1.19987029472638E-10</v>
      </c>
      <c r="P392" s="1">
        <v>4.77608257388208E-10</v>
      </c>
      <c r="Q392">
        <v>65.998732917760904</v>
      </c>
      <c r="S392">
        <v>19.154038744276001</v>
      </c>
      <c r="AA392">
        <v>0.40237601981514598</v>
      </c>
      <c r="AB392">
        <v>4.9543632162871303</v>
      </c>
      <c r="AC392">
        <v>9.4904891018607493</v>
      </c>
      <c r="AJ392">
        <v>0.43380316702067201</v>
      </c>
      <c r="AK392">
        <v>1.9469184307537399E-2</v>
      </c>
      <c r="AL392">
        <v>0.54672764867179002</v>
      </c>
    </row>
    <row r="393" spans="1:38" x14ac:dyDescent="0.2">
      <c r="A393">
        <v>334</v>
      </c>
      <c r="B393">
        <v>776</v>
      </c>
      <c r="C393">
        <v>100</v>
      </c>
      <c r="D393">
        <v>0.50002430539008103</v>
      </c>
      <c r="E393">
        <v>17.000095287178599</v>
      </c>
      <c r="F393">
        <v>2.56909767013682</v>
      </c>
      <c r="G393">
        <v>-276.92076519272268</v>
      </c>
      <c r="H393">
        <v>-238.98977794979527</v>
      </c>
      <c r="I393">
        <v>36.1540172929775</v>
      </c>
      <c r="J393">
        <v>20.609527986172498</v>
      </c>
      <c r="K393">
        <v>6.6171463563988597</v>
      </c>
      <c r="L393">
        <v>3.0184988054987855E-5</v>
      </c>
      <c r="M393">
        <v>1.7988035112516604E-6</v>
      </c>
      <c r="N393" s="1">
        <v>-1.12290672782153E-7</v>
      </c>
      <c r="O393" s="1">
        <v>5.8998508567879105E-11</v>
      </c>
      <c r="P393" s="1">
        <v>4.6930936035007002E-10</v>
      </c>
      <c r="Q393">
        <v>64.543409584913405</v>
      </c>
      <c r="S393">
        <v>21.799188778625599</v>
      </c>
      <c r="AA393">
        <v>2.9242316864990201</v>
      </c>
      <c r="AB393">
        <v>8.6458579083684501</v>
      </c>
      <c r="AC393">
        <v>2.0873120415934401</v>
      </c>
      <c r="AJ393">
        <v>0.74308497040440602</v>
      </c>
      <c r="AK393">
        <v>0.13888423553941801</v>
      </c>
      <c r="AL393">
        <v>0.118030794056174</v>
      </c>
    </row>
    <row r="394" spans="1:38" x14ac:dyDescent="0.2">
      <c r="A394">
        <v>334</v>
      </c>
      <c r="B394">
        <v>776</v>
      </c>
      <c r="C394">
        <v>100</v>
      </c>
      <c r="D394">
        <v>0.50002430539008103</v>
      </c>
      <c r="E394">
        <v>33.899944491077797</v>
      </c>
      <c r="F394">
        <v>2.5181534778389998</v>
      </c>
      <c r="G394">
        <v>-539.6600658574157</v>
      </c>
      <c r="H394">
        <v>-465.00368763738288</v>
      </c>
      <c r="I394">
        <v>71.158917428425596</v>
      </c>
      <c r="J394">
        <v>40.290155029801497</v>
      </c>
      <c r="K394">
        <v>13.4622233272967</v>
      </c>
      <c r="L394">
        <v>2.8311763520992166E-5</v>
      </c>
      <c r="M394">
        <v>1.8020344704997231E-6</v>
      </c>
      <c r="N394" s="1">
        <v>-8.9770568729831604E-8</v>
      </c>
      <c r="O394" s="1">
        <v>1.2891940018115999E-10</v>
      </c>
      <c r="P394" s="1">
        <v>5.2927485226871702E-10</v>
      </c>
      <c r="Q394">
        <v>65.984898311166603</v>
      </c>
      <c r="S394">
        <v>19.141134460112202</v>
      </c>
      <c r="AA394">
        <v>0.39495796956831702</v>
      </c>
      <c r="AB394">
        <v>4.8897032786670804</v>
      </c>
      <c r="AC394">
        <v>9.5893059804856708</v>
      </c>
      <c r="AJ394">
        <v>0.428281988430113</v>
      </c>
      <c r="AK394">
        <v>1.9116526208599001E-2</v>
      </c>
      <c r="AL394">
        <v>0.55260148536128695</v>
      </c>
    </row>
    <row r="395" spans="1:38" x14ac:dyDescent="0.2">
      <c r="A395">
        <v>335</v>
      </c>
      <c r="B395">
        <v>774</v>
      </c>
      <c r="C395">
        <v>100</v>
      </c>
      <c r="D395">
        <v>0.49893568256697302</v>
      </c>
      <c r="E395">
        <v>17.383758177778201</v>
      </c>
      <c r="F395">
        <v>2.5698049906165301</v>
      </c>
      <c r="G395">
        <v>-283.13165266317191</v>
      </c>
      <c r="H395">
        <v>-244.4628429654658</v>
      </c>
      <c r="I395">
        <v>36.927670054630298</v>
      </c>
      <c r="J395">
        <v>21.0801366226009</v>
      </c>
      <c r="K395">
        <v>6.7646215340283904</v>
      </c>
      <c r="L395">
        <v>3.0209616892432968E-5</v>
      </c>
      <c r="M395">
        <v>1.7981744147577344E-6</v>
      </c>
      <c r="N395" s="1">
        <v>-1.2236930297853199E-7</v>
      </c>
      <c r="O395" s="1">
        <v>6.0201693669707006E-11</v>
      </c>
      <c r="P395" s="1">
        <v>5.0198821959576301E-10</v>
      </c>
      <c r="Q395">
        <v>64.499438010560397</v>
      </c>
      <c r="S395">
        <v>21.837425490606901</v>
      </c>
      <c r="AA395">
        <v>2.9660375311415499</v>
      </c>
      <c r="AB395">
        <v>8.6481121241552206</v>
      </c>
      <c r="AC395">
        <v>2.0489868435357801</v>
      </c>
      <c r="AJ395">
        <v>0.74326970943255799</v>
      </c>
      <c r="AK395">
        <v>0.140868066952684</v>
      </c>
      <c r="AL395">
        <v>0.115862223614756</v>
      </c>
    </row>
    <row r="396" spans="1:38" x14ac:dyDescent="0.2">
      <c r="A396">
        <v>335</v>
      </c>
      <c r="B396">
        <v>774</v>
      </c>
      <c r="C396">
        <v>100</v>
      </c>
      <c r="D396">
        <v>0.49893568256697302</v>
      </c>
      <c r="E396">
        <v>35.2776332390726</v>
      </c>
      <c r="F396">
        <v>2.51810723102933</v>
      </c>
      <c r="G396">
        <v>-561.32053393243507</v>
      </c>
      <c r="H396">
        <v>-483.88173556025293</v>
      </c>
      <c r="I396">
        <v>73.951963302470602</v>
      </c>
      <c r="J396">
        <v>41.920777000007</v>
      </c>
      <c r="K396">
        <v>14.0095833903992</v>
      </c>
      <c r="L396">
        <v>2.8297628257214421E-5</v>
      </c>
      <c r="M396">
        <v>1.8018261785431526E-6</v>
      </c>
      <c r="N396" s="1">
        <v>-1.0017326524921801E-7</v>
      </c>
      <c r="O396" s="1">
        <v>1.3415674448838699E-10</v>
      </c>
      <c r="P396" s="1">
        <v>5.7051033549481796E-10</v>
      </c>
      <c r="Q396">
        <v>65.976735842599894</v>
      </c>
      <c r="S396">
        <v>19.130347756614899</v>
      </c>
      <c r="AA396">
        <v>0.38796342918793197</v>
      </c>
      <c r="AB396">
        <v>4.8432349095349103</v>
      </c>
      <c r="AC396">
        <v>9.6617180620622491</v>
      </c>
      <c r="AJ396">
        <v>0.42431192844798499</v>
      </c>
      <c r="AK396">
        <v>1.8782408713669901E-2</v>
      </c>
      <c r="AL396">
        <v>0.55690566283834397</v>
      </c>
    </row>
    <row r="397" spans="1:38" x14ac:dyDescent="0.2">
      <c r="A397">
        <v>336</v>
      </c>
      <c r="B397">
        <v>772</v>
      </c>
      <c r="C397">
        <v>100</v>
      </c>
      <c r="D397">
        <v>0.49784289336458698</v>
      </c>
      <c r="E397">
        <v>17.6748076811025</v>
      </c>
      <c r="F397">
        <v>2.5703463729582801</v>
      </c>
      <c r="G397">
        <v>-287.82512121072108</v>
      </c>
      <c r="H397">
        <v>-248.62810730002906</v>
      </c>
      <c r="I397">
        <v>37.503720911536099</v>
      </c>
      <c r="J397">
        <v>21.439392911047399</v>
      </c>
      <c r="K397">
        <v>6.87643030023228</v>
      </c>
      <c r="L397">
        <v>3.0243173260156098E-5</v>
      </c>
      <c r="M397">
        <v>1.7978904124602685E-6</v>
      </c>
      <c r="N397" s="1">
        <v>-1.3261392656852499E-7</v>
      </c>
      <c r="O397" s="1">
        <v>6.10942389275342E-11</v>
      </c>
      <c r="P397" s="1">
        <v>5.3433764007204399E-10</v>
      </c>
      <c r="Q397">
        <v>64.471155768036695</v>
      </c>
      <c r="S397">
        <v>21.863370160987699</v>
      </c>
      <c r="AA397">
        <v>2.99404142450775</v>
      </c>
      <c r="AB397">
        <v>8.6531039895647499</v>
      </c>
      <c r="AC397">
        <v>2.0183286569030399</v>
      </c>
      <c r="AJ397">
        <v>0.74367982237386598</v>
      </c>
      <c r="AK397">
        <v>0.14219445810539899</v>
      </c>
      <c r="AL397">
        <v>0.114125719520733</v>
      </c>
    </row>
    <row r="398" spans="1:38" x14ac:dyDescent="0.2">
      <c r="A398">
        <v>336</v>
      </c>
      <c r="B398">
        <v>772</v>
      </c>
      <c r="C398">
        <v>100</v>
      </c>
      <c r="D398">
        <v>0.49784289336458698</v>
      </c>
      <c r="E398">
        <v>36.178985792440898</v>
      </c>
      <c r="F398">
        <v>2.5180832516074299</v>
      </c>
      <c r="G398">
        <v>-575.40744311030505</v>
      </c>
      <c r="H398">
        <v>-496.24408655176575</v>
      </c>
      <c r="I398">
        <v>75.743535912107504</v>
      </c>
      <c r="J398">
        <v>42.987362742436503</v>
      </c>
      <c r="K398">
        <v>14.3676686500916</v>
      </c>
      <c r="L398">
        <v>2.8290462172726351E-5</v>
      </c>
      <c r="M398">
        <v>1.8017202181542003E-6</v>
      </c>
      <c r="N398" s="1">
        <v>-1.10396563045014E-7</v>
      </c>
      <c r="O398" s="1">
        <v>1.3756809151436201E-10</v>
      </c>
      <c r="P398" s="1">
        <v>6.0746135568662404E-10</v>
      </c>
      <c r="Q398">
        <v>65.971375059254498</v>
      </c>
      <c r="S398">
        <v>19.120656640975199</v>
      </c>
      <c r="AA398">
        <v>0.38121902506312</v>
      </c>
      <c r="AB398">
        <v>4.8058821717028</v>
      </c>
      <c r="AC398">
        <v>9.7208671030043305</v>
      </c>
      <c r="AJ398">
        <v>0.42111932187705098</v>
      </c>
      <c r="AK398">
        <v>1.8459392580666999E-2</v>
      </c>
      <c r="AL398">
        <v>0.56042128554228099</v>
      </c>
    </row>
    <row r="399" spans="1:38" x14ac:dyDescent="0.2">
      <c r="A399">
        <v>337</v>
      </c>
      <c r="B399">
        <v>770</v>
      </c>
      <c r="C399">
        <v>100</v>
      </c>
      <c r="D399">
        <v>0.49674591381872402</v>
      </c>
      <c r="E399">
        <v>17.912657550122599</v>
      </c>
      <c r="F399">
        <v>2.5707911524010698</v>
      </c>
      <c r="G399">
        <v>-291.64649157982029</v>
      </c>
      <c r="H399">
        <v>-252.04220599134848</v>
      </c>
      <c r="I399">
        <v>37.966050509007999</v>
      </c>
      <c r="J399">
        <v>21.735008964768799</v>
      </c>
      <c r="K399">
        <v>6.9677606963103598</v>
      </c>
      <c r="L399">
        <v>3.0283149632971264E-5</v>
      </c>
      <c r="M399">
        <v>1.7978130274348878E-6</v>
      </c>
      <c r="N399" s="1">
        <v>-1.43252979065135E-7</v>
      </c>
      <c r="O399" s="1">
        <v>6.1806428069059898E-11</v>
      </c>
      <c r="P399" s="1">
        <v>5.6735181491850599E-10</v>
      </c>
      <c r="Q399">
        <v>64.452083167783599</v>
      </c>
      <c r="S399">
        <v>21.882116316918498</v>
      </c>
      <c r="AA399">
        <v>3.0139575256258802</v>
      </c>
      <c r="AB399">
        <v>8.6597472074719004</v>
      </c>
      <c r="AC399">
        <v>1.99209578220003</v>
      </c>
      <c r="AJ399">
        <v>0.74422584942359504</v>
      </c>
      <c r="AK399">
        <v>0.143135531185235</v>
      </c>
      <c r="AL399">
        <v>0.112638619391169</v>
      </c>
    </row>
    <row r="400" spans="1:38" x14ac:dyDescent="0.2">
      <c r="A400">
        <v>337</v>
      </c>
      <c r="B400">
        <v>770</v>
      </c>
      <c r="C400">
        <v>100</v>
      </c>
      <c r="D400">
        <v>0.49674591381872402</v>
      </c>
      <c r="E400">
        <v>36.809702272741497</v>
      </c>
      <c r="F400">
        <v>2.5180726352307201</v>
      </c>
      <c r="G400">
        <v>-585.19295248100912</v>
      </c>
      <c r="H400">
        <v>-504.90553788101312</v>
      </c>
      <c r="I400">
        <v>76.966317979193605</v>
      </c>
      <c r="J400">
        <v>43.733849070701403</v>
      </c>
      <c r="K400">
        <v>14.618205113598201</v>
      </c>
      <c r="L400">
        <v>2.8287783166681102E-5</v>
      </c>
      <c r="M400">
        <v>1.8016738686930346E-6</v>
      </c>
      <c r="N400" s="1">
        <v>-1.20772770779058E-7</v>
      </c>
      <c r="O400" s="1">
        <v>1.3993930053592101E-10</v>
      </c>
      <c r="P400" s="1">
        <v>6.4270450197744603E-10</v>
      </c>
      <c r="Q400">
        <v>65.967588102992906</v>
      </c>
      <c r="S400">
        <v>19.1116281151976</v>
      </c>
      <c r="AA400">
        <v>0.37465403332457498</v>
      </c>
      <c r="AB400">
        <v>4.77377368860797</v>
      </c>
      <c r="AC400">
        <v>9.7723560598768895</v>
      </c>
      <c r="AJ400">
        <v>0.418373990489178</v>
      </c>
      <c r="AK400">
        <v>1.8144460251729801E-2</v>
      </c>
      <c r="AL400">
        <v>0.563481549259091</v>
      </c>
    </row>
    <row r="401" spans="1:38" x14ac:dyDescent="0.2">
      <c r="A401">
        <v>338</v>
      </c>
      <c r="B401">
        <v>768</v>
      </c>
      <c r="C401">
        <v>100</v>
      </c>
      <c r="D401">
        <v>0.49564471978101199</v>
      </c>
      <c r="E401">
        <v>18.117044990527699</v>
      </c>
      <c r="F401">
        <v>2.5711741753024802</v>
      </c>
      <c r="G401">
        <v>-294.91896799368294</v>
      </c>
      <c r="H401">
        <v>-254.98394001624808</v>
      </c>
      <c r="I401">
        <v>38.3566517576092</v>
      </c>
      <c r="J401">
        <v>21.990898560333498</v>
      </c>
      <c r="K401">
        <v>7.0462145911979599</v>
      </c>
      <c r="L401">
        <v>3.0328341241624942E-5</v>
      </c>
      <c r="M401">
        <v>1.7978720052405228E-6</v>
      </c>
      <c r="N401" s="1">
        <v>-1.5442627197823299E-7</v>
      </c>
      <c r="O401" s="1">
        <v>6.24031185814445E-11</v>
      </c>
      <c r="P401" s="1">
        <v>6.0159995206073495E-10</v>
      </c>
      <c r="Q401">
        <v>64.438934555052199</v>
      </c>
      <c r="S401">
        <v>21.896237163996801</v>
      </c>
      <c r="AA401">
        <v>3.0286754180791902</v>
      </c>
      <c r="AB401">
        <v>8.6674658654515007</v>
      </c>
      <c r="AC401">
        <v>1.9686869974202299</v>
      </c>
      <c r="AJ401">
        <v>0.74486035919677296</v>
      </c>
      <c r="AK401">
        <v>0.143828928530222</v>
      </c>
      <c r="AL401">
        <v>0.111310712273003</v>
      </c>
    </row>
    <row r="402" spans="1:38" x14ac:dyDescent="0.2">
      <c r="A402">
        <v>338</v>
      </c>
      <c r="B402">
        <v>768</v>
      </c>
      <c r="C402">
        <v>100</v>
      </c>
      <c r="D402">
        <v>0.49564471978101199</v>
      </c>
      <c r="E402">
        <v>37.2710777934753</v>
      </c>
      <c r="F402">
        <v>2.51807103625227</v>
      </c>
      <c r="G402">
        <v>-592.28793091489217</v>
      </c>
      <c r="H402">
        <v>-511.25177766113802</v>
      </c>
      <c r="I402">
        <v>77.833312446577295</v>
      </c>
      <c r="J402">
        <v>44.2803338796774</v>
      </c>
      <c r="K402">
        <v>14.801440172612001</v>
      </c>
      <c r="L402">
        <v>2.8288389384731934E-5</v>
      </c>
      <c r="M402">
        <v>1.8016659869044892E-6</v>
      </c>
      <c r="N402" s="1">
        <v>-1.3147717473900599E-7</v>
      </c>
      <c r="O402" s="1">
        <v>1.4165744823781699E-10</v>
      </c>
      <c r="P402" s="1">
        <v>6.7753945980321E-10</v>
      </c>
      <c r="Q402">
        <v>65.964762427738407</v>
      </c>
      <c r="S402">
        <v>19.1030467361633</v>
      </c>
      <c r="AA402">
        <v>0.36823364044617402</v>
      </c>
      <c r="AB402">
        <v>4.7449796220162597</v>
      </c>
      <c r="AC402">
        <v>9.8189775736357596</v>
      </c>
      <c r="AJ402">
        <v>0.41591129089515</v>
      </c>
      <c r="AK402">
        <v>1.7836129244138799E-2</v>
      </c>
      <c r="AL402">
        <v>0.56625257986071098</v>
      </c>
    </row>
    <row r="403" spans="1:38" x14ac:dyDescent="0.2">
      <c r="A403">
        <v>339</v>
      </c>
      <c r="B403">
        <v>766</v>
      </c>
      <c r="C403">
        <v>100</v>
      </c>
      <c r="D403">
        <v>0.49453928691719501</v>
      </c>
      <c r="E403">
        <v>18.298920236503999</v>
      </c>
      <c r="F403">
        <v>2.57151495832843</v>
      </c>
      <c r="G403">
        <v>-297.82189073097805</v>
      </c>
      <c r="H403">
        <v>-257.60801454171906</v>
      </c>
      <c r="I403">
        <v>38.698817484731798</v>
      </c>
      <c r="J403">
        <v>22.220352063374602</v>
      </c>
      <c r="K403">
        <v>7.1160076970343198</v>
      </c>
      <c r="L403">
        <v>3.0378143983099274E-5</v>
      </c>
      <c r="M403">
        <v>1.7980278945992004E-6</v>
      </c>
      <c r="N403" s="1">
        <v>-1.6623680577378499E-7</v>
      </c>
      <c r="O403" s="1">
        <v>6.2920006536668401E-11</v>
      </c>
      <c r="P403" s="1">
        <v>6.3746910817702001E-10</v>
      </c>
      <c r="Q403">
        <v>64.429858913874895</v>
      </c>
      <c r="S403">
        <v>21.907178726295399</v>
      </c>
      <c r="AA403">
        <v>3.0398199958049101</v>
      </c>
      <c r="AB403">
        <v>8.6759260137701499</v>
      </c>
      <c r="AC403">
        <v>1.9472163502546</v>
      </c>
      <c r="AJ403">
        <v>0.74555584641443595</v>
      </c>
      <c r="AK403">
        <v>0.14435206405495901</v>
      </c>
      <c r="AL403">
        <v>0.110092089530604</v>
      </c>
    </row>
    <row r="404" spans="1:38" x14ac:dyDescent="0.2">
      <c r="A404">
        <v>339</v>
      </c>
      <c r="B404">
        <v>766</v>
      </c>
      <c r="C404">
        <v>100</v>
      </c>
      <c r="D404">
        <v>0.49453928691719501</v>
      </c>
      <c r="E404">
        <v>37.618908155943998</v>
      </c>
      <c r="F404">
        <v>2.5180760681477699</v>
      </c>
      <c r="G404">
        <v>-597.57950184578806</v>
      </c>
      <c r="H404">
        <v>-516.04589741256757</v>
      </c>
      <c r="I404">
        <v>78.461824022730596</v>
      </c>
      <c r="J404">
        <v>44.692968771213401</v>
      </c>
      <c r="K404">
        <v>14.9395439763722</v>
      </c>
      <c r="L404">
        <v>2.82916453458239E-5</v>
      </c>
      <c r="M404">
        <v>1.8016849260468009E-6</v>
      </c>
      <c r="N404" s="1">
        <v>-1.4262149630019E-7</v>
      </c>
      <c r="O404" s="1">
        <v>1.4293570007215799E-10</v>
      </c>
      <c r="P404" s="1">
        <v>7.1272360773601002E-10</v>
      </c>
      <c r="Q404">
        <v>65.962557240668403</v>
      </c>
      <c r="S404">
        <v>19.094792402001001</v>
      </c>
      <c r="AA404">
        <v>0.36193828050055399</v>
      </c>
      <c r="AB404">
        <v>4.7184256707248498</v>
      </c>
      <c r="AC404">
        <v>9.86228640610517</v>
      </c>
      <c r="AJ404">
        <v>0.41363954881640702</v>
      </c>
      <c r="AK404">
        <v>1.7533565774324598E-2</v>
      </c>
      <c r="AL404">
        <v>0.56882688540926696</v>
      </c>
    </row>
    <row r="405" spans="1:38" x14ac:dyDescent="0.2">
      <c r="A405">
        <v>340</v>
      </c>
      <c r="B405">
        <v>764</v>
      </c>
      <c r="C405">
        <v>100</v>
      </c>
      <c r="D405">
        <v>0.49342959070530001</v>
      </c>
      <c r="E405">
        <v>18.464845538771598</v>
      </c>
      <c r="F405">
        <v>2.5718253473681001</v>
      </c>
      <c r="G405">
        <v>-300.46275064701484</v>
      </c>
      <c r="H405">
        <v>-260.00715478556407</v>
      </c>
      <c r="I405">
        <v>39.0065042293311</v>
      </c>
      <c r="J405">
        <v>22.431357719050599</v>
      </c>
      <c r="K405">
        <v>7.1796654301069696</v>
      </c>
      <c r="L405">
        <v>3.0432266288580266E-5</v>
      </c>
      <c r="M405">
        <v>1.7982568384245413E-6</v>
      </c>
      <c r="N405" s="1">
        <v>-1.7877179945505799E-7</v>
      </c>
      <c r="O405" s="1">
        <v>6.3378237299916395E-11</v>
      </c>
      <c r="P405" s="1">
        <v>6.7526254087027005E-10</v>
      </c>
      <c r="Q405">
        <v>64.423728345171995</v>
      </c>
      <c r="S405">
        <v>21.9158205507057</v>
      </c>
      <c r="AA405">
        <v>3.0483800738251698</v>
      </c>
      <c r="AB405">
        <v>8.6849200363293395</v>
      </c>
      <c r="AC405">
        <v>1.9271509939676601</v>
      </c>
      <c r="AJ405">
        <v>0.74629521023919798</v>
      </c>
      <c r="AK405">
        <v>0.14475205387027901</v>
      </c>
      <c r="AL405">
        <v>0.108952735890522</v>
      </c>
    </row>
    <row r="406" spans="1:38" x14ac:dyDescent="0.2">
      <c r="A406">
        <v>340</v>
      </c>
      <c r="B406">
        <v>764</v>
      </c>
      <c r="C406">
        <v>100</v>
      </c>
      <c r="D406">
        <v>0.49342959070530001</v>
      </c>
      <c r="E406">
        <v>37.886568347588899</v>
      </c>
      <c r="F406">
        <v>2.51808630220278</v>
      </c>
      <c r="G406">
        <v>-601.598228971965</v>
      </c>
      <c r="H406">
        <v>-519.74426447334974</v>
      </c>
      <c r="I406">
        <v>78.922011761669296</v>
      </c>
      <c r="J406">
        <v>45.011330847521997</v>
      </c>
      <c r="K406">
        <v>15.045778341451699</v>
      </c>
      <c r="L406">
        <v>2.8297199662720351E-5</v>
      </c>
      <c r="M406">
        <v>1.801723762388148E-6</v>
      </c>
      <c r="N406" s="1">
        <v>-1.54288970848478E-7</v>
      </c>
      <c r="O406" s="1">
        <v>1.43901470778889E-10</v>
      </c>
      <c r="P406" s="1">
        <v>7.4875515907807097E-10</v>
      </c>
      <c r="Q406">
        <v>65.960767080958306</v>
      </c>
      <c r="S406">
        <v>19.0867922825595</v>
      </c>
      <c r="AA406">
        <v>0.35575580934197798</v>
      </c>
      <c r="AB406">
        <v>4.6934630425931703</v>
      </c>
      <c r="AC406">
        <v>9.9032217845469894</v>
      </c>
      <c r="AJ406">
        <v>0.41150339095030303</v>
      </c>
      <c r="AK406">
        <v>1.7236250881959399E-2</v>
      </c>
      <c r="AL406">
        <v>0.57126035816773701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41B9-8EA2-4C29-843A-F3AD6686D4E7}">
  <sheetPr codeName="Sheet12"/>
  <dimension ref="A1:AJ28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300</v>
      </c>
      <c r="D2">
        <v>0.27672065169955901</v>
      </c>
      <c r="E2">
        <v>0.17533803008120599</v>
      </c>
      <c r="F2">
        <v>2.5446339321928</v>
      </c>
      <c r="G2">
        <v>-2.8577673755453952</v>
      </c>
      <c r="H2">
        <v>-2.5015772404936603</v>
      </c>
      <c r="I2">
        <v>0.34542999083715697</v>
      </c>
      <c r="J2">
        <v>0.20322174407494201</v>
      </c>
      <c r="K2">
        <v>6.8905011390031801E-2</v>
      </c>
      <c r="L2">
        <v>0</v>
      </c>
      <c r="M2">
        <v>1.2383389820830548E-6</v>
      </c>
      <c r="N2">
        <v>0</v>
      </c>
      <c r="O2" s="1">
        <v>9.8029297752313402E-14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300</v>
      </c>
      <c r="D3">
        <v>0.27517903123937498</v>
      </c>
      <c r="E3">
        <v>0.61449120506493005</v>
      </c>
      <c r="F3">
        <v>2.5446339321928</v>
      </c>
      <c r="G3">
        <v>-10.012936911323434</v>
      </c>
      <c r="H3">
        <v>-8.7684738828553286</v>
      </c>
      <c r="I3">
        <v>1.2092144278949599</v>
      </c>
      <c r="J3">
        <v>0.71203245013951799</v>
      </c>
      <c r="K3">
        <v>0.24148511001556899</v>
      </c>
      <c r="L3">
        <v>0</v>
      </c>
      <c r="M3">
        <v>1.238338982083055E-6</v>
      </c>
      <c r="N3">
        <v>0</v>
      </c>
      <c r="O3" s="1">
        <v>3.4355434060476802E-13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1.04925585900309</v>
      </c>
      <c r="F4">
        <v>2.5446339321928</v>
      </c>
      <c r="G4">
        <v>-17.093160220222213</v>
      </c>
      <c r="H4">
        <v>-14.974773501828462</v>
      </c>
      <c r="I4">
        <v>2.0623927550929699</v>
      </c>
      <c r="J4">
        <v>1.2155003156906401</v>
      </c>
      <c r="K4">
        <v>0.41234059081296198</v>
      </c>
      <c r="L4">
        <v>0</v>
      </c>
      <c r="M4">
        <v>1.238338982083055E-6</v>
      </c>
      <c r="N4">
        <v>0</v>
      </c>
      <c r="O4" s="1">
        <v>5.8662581627577203E-13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752</v>
      </c>
      <c r="C5">
        <v>300</v>
      </c>
      <c r="D5">
        <v>0.27207774472028401</v>
      </c>
      <c r="E5">
        <v>1.4797058758724999</v>
      </c>
      <c r="F5">
        <v>2.5446339321928</v>
      </c>
      <c r="G5">
        <v>-24.099698307925994</v>
      </c>
      <c r="H5">
        <v>-21.121499448559121</v>
      </c>
      <c r="I5">
        <v>2.9051347211304401</v>
      </c>
      <c r="J5">
        <v>1.7137131117378499</v>
      </c>
      <c r="K5">
        <v>0.58150048899072504</v>
      </c>
      <c r="L5">
        <v>0</v>
      </c>
      <c r="M5">
        <v>1.2383389820830548E-6</v>
      </c>
      <c r="N5">
        <v>0</v>
      </c>
      <c r="O5" s="1">
        <v>8.2728503237188699E-13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750</v>
      </c>
      <c r="C6">
        <v>300</v>
      </c>
      <c r="D6">
        <v>0.270518008112205</v>
      </c>
      <c r="E6">
        <v>1.90591354732489</v>
      </c>
      <c r="F6">
        <v>2.5446339321928</v>
      </c>
      <c r="G6">
        <v>-31.033784987114522</v>
      </c>
      <c r="H6">
        <v>-27.209653037013261</v>
      </c>
      <c r="I6">
        <v>3.7376063628023801</v>
      </c>
      <c r="J6">
        <v>2.2067566971708099</v>
      </c>
      <c r="K6">
        <v>0.74899321399934804</v>
      </c>
      <c r="L6">
        <v>0</v>
      </c>
      <c r="M6">
        <v>1.2383389820830548E-6</v>
      </c>
      <c r="N6">
        <v>0</v>
      </c>
      <c r="O6" s="1">
        <v>1.06557240625064E-12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748</v>
      </c>
      <c r="C7">
        <v>300</v>
      </c>
      <c r="D7">
        <v>0.26895216177838999</v>
      </c>
      <c r="E7">
        <v>2.3279496185293</v>
      </c>
      <c r="F7">
        <v>2.5446339321928</v>
      </c>
      <c r="G7">
        <v>-37.896627658001705</v>
      </c>
      <c r="H7">
        <v>-33.240214179752257</v>
      </c>
      <c r="I7">
        <v>4.5599701104141896</v>
      </c>
      <c r="J7">
        <v>2.6947150734547201</v>
      </c>
      <c r="K7">
        <v>0.91484656754664095</v>
      </c>
      <c r="L7">
        <v>0</v>
      </c>
      <c r="M7">
        <v>1.238338982083055E-6</v>
      </c>
      <c r="N7">
        <v>0</v>
      </c>
      <c r="O7" s="1">
        <v>1.30152749065049E-12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746</v>
      </c>
      <c r="C8">
        <v>300</v>
      </c>
      <c r="D8">
        <v>0.26738016974930101</v>
      </c>
      <c r="E8">
        <v>2.7458833297638501</v>
      </c>
      <c r="F8">
        <v>2.5446339321928</v>
      </c>
      <c r="G8">
        <v>-44.689408018517931</v>
      </c>
      <c r="H8">
        <v>-39.214141963651073</v>
      </c>
      <c r="I8">
        <v>5.3723848843318898</v>
      </c>
      <c r="J8">
        <v>3.1776704343455999</v>
      </c>
      <c r="K8">
        <v>1.0790877599425901</v>
      </c>
      <c r="L8">
        <v>0</v>
      </c>
      <c r="M8">
        <v>1.2383389820830548E-6</v>
      </c>
      <c r="N8">
        <v>0</v>
      </c>
      <c r="O8" s="1">
        <v>1.5351889969441699E-12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3.15978245868429</v>
      </c>
      <c r="F9">
        <v>2.5446339321928</v>
      </c>
      <c r="G9">
        <v>-51.41328278443445</v>
      </c>
      <c r="H9">
        <v>-45.132375235872935</v>
      </c>
      <c r="I9">
        <v>6.1750061923624999</v>
      </c>
      <c r="J9">
        <v>3.6557032163344898</v>
      </c>
      <c r="K9">
        <v>1.2417434267102501</v>
      </c>
      <c r="L9">
        <v>0</v>
      </c>
      <c r="M9">
        <v>1.2383389820830548E-6</v>
      </c>
      <c r="N9">
        <v>0</v>
      </c>
      <c r="O9" s="1">
        <v>1.7665948187705701E-12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742</v>
      </c>
      <c r="C10">
        <v>300</v>
      </c>
      <c r="D10">
        <v>0.264217603309855</v>
      </c>
      <c r="E10">
        <v>3.56971336258801</v>
      </c>
      <c r="F10">
        <v>2.5446339321928</v>
      </c>
      <c r="G10">
        <v>-58.069384408330095</v>
      </c>
      <c r="H10">
        <v>-50.99583319037626</v>
      </c>
      <c r="I10">
        <v>6.9679862266205301</v>
      </c>
      <c r="J10">
        <v>4.1288921490302002</v>
      </c>
      <c r="K10">
        <v>1.4028396451948</v>
      </c>
      <c r="L10">
        <v>0</v>
      </c>
      <c r="M10">
        <v>1.2383389820830548E-6</v>
      </c>
      <c r="N10">
        <v>0</v>
      </c>
      <c r="O10" s="1">
        <v>1.9957820556640302E-12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740</v>
      </c>
      <c r="C11">
        <v>300</v>
      </c>
      <c r="D11">
        <v>0.26262695553471999</v>
      </c>
      <c r="E11">
        <v>3.9757410156041999</v>
      </c>
      <c r="F11">
        <v>2.5446339321928</v>
      </c>
      <c r="G11">
        <v>-64.658821714959487</v>
      </c>
      <c r="H11">
        <v>-56.80541588252273</v>
      </c>
      <c r="I11">
        <v>7.7514739499943301</v>
      </c>
      <c r="J11">
        <v>4.5973142996176399</v>
      </c>
      <c r="K11">
        <v>1.56240194917866</v>
      </c>
      <c r="L11">
        <v>0</v>
      </c>
      <c r="M11">
        <v>1.2383389820830548E-6</v>
      </c>
      <c r="N11">
        <v>0</v>
      </c>
      <c r="O11" s="1">
        <v>2.2227870338468101E-12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738</v>
      </c>
      <c r="C12">
        <v>300</v>
      </c>
      <c r="D12">
        <v>0.26103001532908299</v>
      </c>
      <c r="E12">
        <v>4.3779290477998201</v>
      </c>
      <c r="F12">
        <v>2.5446339321928</v>
      </c>
      <c r="G12">
        <v>-71.182680566814781</v>
      </c>
      <c r="H12">
        <v>-62.562004771589621</v>
      </c>
      <c r="I12">
        <v>8.5256151859023497</v>
      </c>
      <c r="J12">
        <v>5.0610451194824604</v>
      </c>
      <c r="K12">
        <v>1.7204553442495301</v>
      </c>
      <c r="L12">
        <v>0</v>
      </c>
      <c r="M12">
        <v>1.2383389820830548E-6</v>
      </c>
      <c r="N12">
        <v>0</v>
      </c>
      <c r="O12" s="1">
        <v>2.4476453280928599E-12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736</v>
      </c>
      <c r="C13">
        <v>300</v>
      </c>
      <c r="D13">
        <v>0.25942674528068399</v>
      </c>
      <c r="E13">
        <v>4.9282716924137304</v>
      </c>
      <c r="F13">
        <v>2.5446339321928</v>
      </c>
      <c r="G13">
        <v>-80.111761078081585</v>
      </c>
      <c r="H13">
        <v>-70.437970001892538</v>
      </c>
      <c r="I13">
        <v>9.5860784582956402</v>
      </c>
      <c r="J13">
        <v>5.6957507330750596</v>
      </c>
      <c r="K13">
        <v>1.93673110700322</v>
      </c>
      <c r="L13">
        <v>0</v>
      </c>
      <c r="M13">
        <v>1.2383389820830546E-6</v>
      </c>
      <c r="N13">
        <v>0</v>
      </c>
      <c r="O13" s="1">
        <v>2.7553350115555199E-12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734</v>
      </c>
      <c r="C14">
        <v>300</v>
      </c>
      <c r="D14">
        <v>0.25781710768008598</v>
      </c>
      <c r="E14">
        <v>24.013375904250701</v>
      </c>
      <c r="F14">
        <v>2.5446339321928</v>
      </c>
      <c r="G14">
        <v>-390.257241517848</v>
      </c>
      <c r="H14">
        <v>-343.26982544257896</v>
      </c>
      <c r="I14">
        <v>46.653841111323104</v>
      </c>
      <c r="J14">
        <v>27.745582805242599</v>
      </c>
      <c r="K14">
        <v>9.4368685414634506</v>
      </c>
      <c r="L14">
        <v>0</v>
      </c>
      <c r="M14">
        <v>1.2383389820830548E-6</v>
      </c>
      <c r="N14">
        <v>0</v>
      </c>
      <c r="O14" s="1">
        <v>1.34255778707321E-11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732</v>
      </c>
      <c r="C15">
        <v>300</v>
      </c>
      <c r="D15">
        <v>0.256201064517732</v>
      </c>
      <c r="E15">
        <v>28.8791012801805</v>
      </c>
      <c r="F15">
        <v>2.5446339321928</v>
      </c>
      <c r="G15">
        <v>-469.22121229896482</v>
      </c>
      <c r="H15">
        <v>-412.89181561255054</v>
      </c>
      <c r="I15">
        <v>56.040786635242704</v>
      </c>
      <c r="J15">
        <v>33.358618752420497</v>
      </c>
      <c r="K15">
        <v>11.3490199571827</v>
      </c>
      <c r="L15">
        <v>0</v>
      </c>
      <c r="M15">
        <v>1.2383389820830548E-6</v>
      </c>
      <c r="N15">
        <v>0</v>
      </c>
      <c r="O15" s="1">
        <v>1.61459440196908E-11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730</v>
      </c>
      <c r="C16">
        <v>300</v>
      </c>
      <c r="D16">
        <v>0.25457857748093798</v>
      </c>
      <c r="E16">
        <v>30.522529616427502</v>
      </c>
      <c r="F16">
        <v>2.5446339321928</v>
      </c>
      <c r="G16">
        <v>-495.80488063341664</v>
      </c>
      <c r="H16">
        <v>-436.45883067481884</v>
      </c>
      <c r="I16">
        <v>59.159696913320801</v>
      </c>
      <c r="J16">
        <v>35.247483313670003</v>
      </c>
      <c r="K16">
        <v>11.9948607264405</v>
      </c>
      <c r="L16">
        <v>0</v>
      </c>
      <c r="M16">
        <v>1.238338982083055E-6</v>
      </c>
      <c r="N16">
        <v>0</v>
      </c>
      <c r="O16" s="1">
        <v>1.7064764230194701E-11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728</v>
      </c>
      <c r="C17">
        <v>300</v>
      </c>
      <c r="D17">
        <v>0.25294960795086002</v>
      </c>
      <c r="E17">
        <v>31.403546911351299</v>
      </c>
      <c r="F17">
        <v>2.5446339321928</v>
      </c>
      <c r="G17">
        <v>-509.99437408836991</v>
      </c>
      <c r="H17">
        <v>-449.12951283545146</v>
      </c>
      <c r="I17">
        <v>60.794947063795</v>
      </c>
      <c r="J17">
        <v>36.2550862285145</v>
      </c>
      <c r="K17">
        <v>12.341086281235601</v>
      </c>
      <c r="L17">
        <v>0</v>
      </c>
      <c r="M17">
        <v>1.2383389820830548E-6</v>
      </c>
      <c r="N17">
        <v>0</v>
      </c>
      <c r="O17" s="1">
        <v>1.75573299712893E-11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726</v>
      </c>
      <c r="C18">
        <v>300</v>
      </c>
      <c r="D18">
        <v>0.251314116999449</v>
      </c>
      <c r="E18">
        <v>31.9699079099416</v>
      </c>
      <c r="F18">
        <v>2.5446339321928</v>
      </c>
      <c r="G18">
        <v>-519.06838164825263</v>
      </c>
      <c r="H18">
        <v>-457.3033433025596</v>
      </c>
      <c r="I18">
        <v>61.817583291490799</v>
      </c>
      <c r="J18">
        <v>36.898925270451002</v>
      </c>
      <c r="K18">
        <v>12.5636569981568</v>
      </c>
      <c r="L18">
        <v>0</v>
      </c>
      <c r="M18">
        <v>1.2383389820830548E-6</v>
      </c>
      <c r="N18">
        <v>0</v>
      </c>
      <c r="O18" s="1">
        <v>1.7873975315943799E-11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724</v>
      </c>
      <c r="C19">
        <v>300</v>
      </c>
      <c r="D19">
        <v>0.249672065386352</v>
      </c>
      <c r="E19">
        <v>32.372467262194498</v>
      </c>
      <c r="F19">
        <v>2.5446339321928</v>
      </c>
      <c r="G19">
        <v>-525.47928058222851</v>
      </c>
      <c r="H19">
        <v>-463.13634198153301</v>
      </c>
      <c r="I19">
        <v>62.521123803535602</v>
      </c>
      <c r="J19">
        <v>37.353359042777399</v>
      </c>
      <c r="K19">
        <v>12.721856316007599</v>
      </c>
      <c r="L19">
        <v>0</v>
      </c>
      <c r="M19">
        <v>1.2383389820830548E-6</v>
      </c>
      <c r="N19">
        <v>0</v>
      </c>
      <c r="O19" s="1">
        <v>1.8099041210585702E-11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758</v>
      </c>
      <c r="C20">
        <v>290</v>
      </c>
      <c r="D20">
        <v>0.28738835280996899</v>
      </c>
      <c r="E20">
        <v>0.162604315526717</v>
      </c>
      <c r="F20">
        <v>2.5443188411737401</v>
      </c>
      <c r="G20">
        <v>-2.6508644888938515</v>
      </c>
      <c r="H20">
        <v>-2.320542236039568</v>
      </c>
      <c r="I20">
        <v>0.320343551233364</v>
      </c>
      <c r="J20">
        <v>0.188463008168548</v>
      </c>
      <c r="K20">
        <v>6.3908780965401396E-2</v>
      </c>
      <c r="L20">
        <v>0</v>
      </c>
      <c r="M20">
        <v>1.2383278936018501E-6</v>
      </c>
      <c r="N20">
        <v>0</v>
      </c>
      <c r="O20" s="1">
        <v>9.0910037344420698E-14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756</v>
      </c>
      <c r="C21">
        <v>290</v>
      </c>
      <c r="D21">
        <v>0.28586746344070502</v>
      </c>
      <c r="E21">
        <v>0.597134876777761</v>
      </c>
      <c r="F21">
        <v>2.5443188411737401</v>
      </c>
      <c r="G21">
        <v>-9.7324679027683683</v>
      </c>
      <c r="H21">
        <v>-8.5231547815492306</v>
      </c>
      <c r="I21">
        <v>1.1750601187573599</v>
      </c>
      <c r="J21">
        <v>0.69192106554381205</v>
      </c>
      <c r="K21">
        <v>0.23469341464385399</v>
      </c>
      <c r="L21">
        <v>0</v>
      </c>
      <c r="M21">
        <v>1.2383278936018501E-6</v>
      </c>
      <c r="N21">
        <v>0</v>
      </c>
      <c r="O21" s="1">
        <v>3.3385063472440702E-13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754</v>
      </c>
      <c r="C22">
        <v>290</v>
      </c>
      <c r="D22">
        <v>0.28434065131675001</v>
      </c>
      <c r="E22">
        <v>1.0273446153149699</v>
      </c>
      <c r="F22">
        <v>2.5443188411737401</v>
      </c>
      <c r="G22">
        <v>-16.740247272773317</v>
      </c>
      <c r="H22">
        <v>-14.66609808444826</v>
      </c>
      <c r="I22">
        <v>2.0193245274059799</v>
      </c>
      <c r="J22">
        <v>1.1901174470685001</v>
      </c>
      <c r="K22">
        <v>0.40377982456044598</v>
      </c>
      <c r="L22">
        <v>0</v>
      </c>
      <c r="M22">
        <v>1.2383278936018503E-6</v>
      </c>
      <c r="N22">
        <v>0</v>
      </c>
      <c r="O22" s="1">
        <v>5.7437551421277203E-13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752</v>
      </c>
      <c r="C23">
        <v>290</v>
      </c>
      <c r="D23">
        <v>0.28280788177339999</v>
      </c>
      <c r="E23">
        <v>1.4533053041080599</v>
      </c>
      <c r="F23">
        <v>2.5443188411737401</v>
      </c>
      <c r="G23">
        <v>-23.675428644482995</v>
      </c>
      <c r="H23">
        <v>-20.750366123896374</v>
      </c>
      <c r="I23">
        <v>2.8533019758929101</v>
      </c>
      <c r="J23">
        <v>1.6831374367149901</v>
      </c>
      <c r="K23">
        <v>0.57119621982503899</v>
      </c>
      <c r="L23">
        <v>0</v>
      </c>
      <c r="M23">
        <v>1.2383278936018499E-6</v>
      </c>
      <c r="N23">
        <v>0</v>
      </c>
      <c r="O23" s="1">
        <v>8.12524803178431E-13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750</v>
      </c>
      <c r="C24">
        <v>290</v>
      </c>
      <c r="D24">
        <v>0.281269119874895</v>
      </c>
      <c r="E24">
        <v>1.8750871688559201</v>
      </c>
      <c r="F24">
        <v>2.5443188411737401</v>
      </c>
      <c r="G24">
        <v>-30.539211632831499</v>
      </c>
      <c r="H24">
        <v>-26.77693145925732</v>
      </c>
      <c r="I24">
        <v>3.6771540571511299</v>
      </c>
      <c r="J24">
        <v>2.1710644606413099</v>
      </c>
      <c r="K24">
        <v>0.73697020141976699</v>
      </c>
      <c r="L24">
        <v>0</v>
      </c>
      <c r="M24">
        <v>1.2383278936018501E-6</v>
      </c>
      <c r="N24">
        <v>0</v>
      </c>
      <c r="O24" s="1">
        <v>1.04833776393055E-12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290</v>
      </c>
      <c r="D25">
        <v>0.27972433041179201</v>
      </c>
      <c r="E25">
        <v>2.2927589325486699</v>
      </c>
      <c r="F25">
        <v>2.5443188411737401</v>
      </c>
      <c r="G25">
        <v>-37.332770181009394</v>
      </c>
      <c r="H25">
        <v>-32.746745848300193</v>
      </c>
      <c r="I25">
        <v>4.4910388608032097</v>
      </c>
      <c r="J25">
        <v>2.65398014036063</v>
      </c>
      <c r="K25">
        <v>0.90112877971338401</v>
      </c>
      <c r="L25">
        <v>0</v>
      </c>
      <c r="M25">
        <v>1.2383278936018501E-6</v>
      </c>
      <c r="N25">
        <v>0</v>
      </c>
      <c r="O25" s="1">
        <v>1.28185281863264E-12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746</v>
      </c>
      <c r="C26">
        <v>290</v>
      </c>
      <c r="D26">
        <v>0.27817347789824898</v>
      </c>
      <c r="E26">
        <v>2.7063878558090999</v>
      </c>
      <c r="F26">
        <v>2.5443188411737401</v>
      </c>
      <c r="G26">
        <v>-44.057253249509991</v>
      </c>
      <c r="H26">
        <v>-38.660740805738456</v>
      </c>
      <c r="I26">
        <v>5.2951110668415202</v>
      </c>
      <c r="J26">
        <v>3.1319643409671598</v>
      </c>
      <c r="K26">
        <v>1.0636983903167501</v>
      </c>
      <c r="L26">
        <v>0</v>
      </c>
      <c r="M26">
        <v>1.2383278936018501E-6</v>
      </c>
      <c r="N26">
        <v>0</v>
      </c>
      <c r="O26" s="1">
        <v>1.51310757185695E-12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744</v>
      </c>
      <c r="C27">
        <v>290</v>
      </c>
      <c r="D27">
        <v>0.27661652656933799</v>
      </c>
      <c r="E27">
        <v>3.1160397777392501</v>
      </c>
      <c r="F27">
        <v>2.5443188411737401</v>
      </c>
      <c r="G27">
        <v>-50.713785512357887</v>
      </c>
      <c r="H27">
        <v>-44.519828169557179</v>
      </c>
      <c r="I27">
        <v>6.0895220398178198</v>
      </c>
      <c r="J27">
        <v>3.6050952198939799</v>
      </c>
      <c r="K27">
        <v>1.2247049101368701</v>
      </c>
      <c r="L27">
        <v>0</v>
      </c>
      <c r="M27">
        <v>1.2383278936018501E-6</v>
      </c>
      <c r="N27">
        <v>0</v>
      </c>
      <c r="O27" s="1">
        <v>1.74213883342125E-12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742</v>
      </c>
      <c r="C28">
        <v>290</v>
      </c>
      <c r="D28">
        <v>0.27505344037826801</v>
      </c>
      <c r="E28">
        <v>3.5217791530414102</v>
      </c>
      <c r="F28">
        <v>2.5443188411737401</v>
      </c>
      <c r="G28">
        <v>-57.303467991669862</v>
      </c>
      <c r="H28">
        <v>-50.324900614680288</v>
      </c>
      <c r="I28">
        <v>6.8744199152731804</v>
      </c>
      <c r="J28">
        <v>4.0734492713075197</v>
      </c>
      <c r="K28">
        <v>1.38417367196665</v>
      </c>
      <c r="L28">
        <v>0</v>
      </c>
      <c r="M28">
        <v>1.2383278936018501E-6</v>
      </c>
      <c r="N28">
        <v>0</v>
      </c>
      <c r="O28" s="1">
        <v>1.9689826391427499E-12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740</v>
      </c>
      <c r="C29">
        <v>290</v>
      </c>
      <c r="D29">
        <v>0.27348418299363703</v>
      </c>
      <c r="E29">
        <v>3.9236690911811598</v>
      </c>
      <c r="F29">
        <v>2.5443188411737401</v>
      </c>
      <c r="G29">
        <v>-63.827378724477946</v>
      </c>
      <c r="H29">
        <v>-56.076832196348235</v>
      </c>
      <c r="I29">
        <v>7.6499496897100103</v>
      </c>
      <c r="J29">
        <v>4.5371013728150498</v>
      </c>
      <c r="K29">
        <v>1.54212947987725</v>
      </c>
      <c r="L29">
        <v>0</v>
      </c>
      <c r="M29">
        <v>1.2383278936018501E-6</v>
      </c>
      <c r="N29">
        <v>0</v>
      </c>
      <c r="O29" s="1">
        <v>2.1936742727336801E-12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738</v>
      </c>
      <c r="C30">
        <v>290</v>
      </c>
      <c r="D30">
        <v>0.27190871779657</v>
      </c>
      <c r="E30">
        <v>4.3217713915210103</v>
      </c>
      <c r="F30">
        <v>2.5443188411737401</v>
      </c>
      <c r="G30">
        <v>-70.286573363017681</v>
      </c>
      <c r="H30">
        <v>-61.776478836450273</v>
      </c>
      <c r="I30">
        <v>8.4162533022473394</v>
      </c>
      <c r="J30">
        <v>4.9961248274612098</v>
      </c>
      <c r="K30">
        <v>1.69859662302673</v>
      </c>
      <c r="L30">
        <v>0</v>
      </c>
      <c r="M30">
        <v>1.2383278936018501E-6</v>
      </c>
      <c r="N30">
        <v>0</v>
      </c>
      <c r="O30" s="1">
        <v>2.4162482854439898E-12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736</v>
      </c>
      <c r="C31">
        <v>290</v>
      </c>
      <c r="D31">
        <v>0.27032700787792002</v>
      </c>
      <c r="E31">
        <v>20.722670956080101</v>
      </c>
      <c r="F31">
        <v>2.5443188411737401</v>
      </c>
      <c r="G31">
        <v>-336.93983112878391</v>
      </c>
      <c r="H31">
        <v>-296.26293628990652</v>
      </c>
      <c r="I31">
        <v>40.308075943989898</v>
      </c>
      <c r="J31">
        <v>23.9498095186303</v>
      </c>
      <c r="K31">
        <v>8.1446832137281593</v>
      </c>
      <c r="L31">
        <v>0</v>
      </c>
      <c r="M31">
        <v>1.2383278936018501E-6</v>
      </c>
      <c r="N31">
        <v>0</v>
      </c>
      <c r="O31" s="1">
        <v>1.1585785926966E-11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734</v>
      </c>
      <c r="C32">
        <v>290</v>
      </c>
      <c r="D32">
        <v>0.268739016035347</v>
      </c>
      <c r="E32">
        <v>28.072181342247401</v>
      </c>
      <c r="F32">
        <v>2.5443188411737401</v>
      </c>
      <c r="G32">
        <v>-456.32989699533061</v>
      </c>
      <c r="H32">
        <v>-401.4005413675327</v>
      </c>
      <c r="I32">
        <v>54.539398925480803</v>
      </c>
      <c r="J32">
        <v>32.435215900536498</v>
      </c>
      <c r="K32">
        <v>11.0332796691852</v>
      </c>
      <c r="L32">
        <v>0</v>
      </c>
      <c r="M32">
        <v>1.2383278936018499E-6</v>
      </c>
      <c r="N32">
        <v>0</v>
      </c>
      <c r="O32" s="1">
        <v>1.5694805183345401E-11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732</v>
      </c>
      <c r="C33">
        <v>290</v>
      </c>
      <c r="D33">
        <v>0.267144704770434</v>
      </c>
      <c r="E33">
        <v>30.122858690357798</v>
      </c>
      <c r="F33">
        <v>2.5443188411737401</v>
      </c>
      <c r="G33">
        <v>-489.54789127137963</v>
      </c>
      <c r="H33">
        <v>-430.79251519385372</v>
      </c>
      <c r="I33">
        <v>58.4543362458597</v>
      </c>
      <c r="J33">
        <v>34.795298823038799</v>
      </c>
      <c r="K33">
        <v>11.839262518081799</v>
      </c>
      <c r="L33">
        <v>0</v>
      </c>
      <c r="M33">
        <v>1.2383278936018503E-6</v>
      </c>
      <c r="N33">
        <v>0</v>
      </c>
      <c r="O33" s="1">
        <v>1.68413132184747E-11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730</v>
      </c>
      <c r="C34">
        <v>290</v>
      </c>
      <c r="D34">
        <v>0.265544036285703</v>
      </c>
      <c r="E34">
        <v>31.146074224935401</v>
      </c>
      <c r="F34">
        <v>2.5443188411737401</v>
      </c>
      <c r="G34">
        <v>-506.05608273475326</v>
      </c>
      <c r="H34">
        <v>-445.49765261130807</v>
      </c>
      <c r="I34">
        <v>60.368270072716101</v>
      </c>
      <c r="J34">
        <v>35.967553978189301</v>
      </c>
      <c r="K34">
        <v>12.2414194797091</v>
      </c>
      <c r="L34">
        <v>0</v>
      </c>
      <c r="M34">
        <v>1.2383278936018503E-6</v>
      </c>
      <c r="N34">
        <v>0</v>
      </c>
      <c r="O34" s="1">
        <v>1.7413380215334701E-11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728</v>
      </c>
      <c r="C35">
        <v>290</v>
      </c>
      <c r="D35">
        <v>0.26393697248164799</v>
      </c>
      <c r="E35">
        <v>31.781457632469898</v>
      </c>
      <c r="F35">
        <v>2.5443188411737401</v>
      </c>
      <c r="G35">
        <v>-516.2565572169101</v>
      </c>
      <c r="H35">
        <v>-454.65924737556293</v>
      </c>
      <c r="I35">
        <v>61.526554303897697</v>
      </c>
      <c r="J35">
        <v>36.691380441378797</v>
      </c>
      <c r="K35">
        <v>12.4911458100937</v>
      </c>
      <c r="L35">
        <v>0</v>
      </c>
      <c r="M35">
        <v>1.2383278936018501E-6</v>
      </c>
      <c r="N35">
        <v>0</v>
      </c>
      <c r="O35" s="1">
        <v>1.7768615124813501E-11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726</v>
      </c>
      <c r="C36">
        <v>290</v>
      </c>
      <c r="D36">
        <v>0.26232347495371</v>
      </c>
      <c r="E36">
        <v>32.223919016071498</v>
      </c>
      <c r="F36">
        <v>2.5443188411737401</v>
      </c>
      <c r="G36">
        <v>-523.31918798461891</v>
      </c>
      <c r="H36">
        <v>-461.06340672673031</v>
      </c>
      <c r="I36">
        <v>62.308743690025103</v>
      </c>
      <c r="J36">
        <v>37.1920989902301</v>
      </c>
      <c r="K36">
        <v>12.665047514723399</v>
      </c>
      <c r="L36">
        <v>0</v>
      </c>
      <c r="M36">
        <v>1.2383278936018501E-6</v>
      </c>
      <c r="N36">
        <v>0</v>
      </c>
      <c r="O36" s="1">
        <v>1.8015989745692302E-11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724</v>
      </c>
      <c r="C37">
        <v>290</v>
      </c>
      <c r="D37">
        <v>0.26070350498922301</v>
      </c>
      <c r="E37">
        <v>32.554643420106601</v>
      </c>
      <c r="F37">
        <v>2.5443188411737401</v>
      </c>
      <c r="G37">
        <v>-528.56435923849403</v>
      </c>
      <c r="H37">
        <v>-465.87058556133553</v>
      </c>
      <c r="I37">
        <v>62.8729616177691</v>
      </c>
      <c r="J37">
        <v>37.563565184323799</v>
      </c>
      <c r="K37">
        <v>12.7950329547095</v>
      </c>
      <c r="L37">
        <v>0</v>
      </c>
      <c r="M37">
        <v>1.2383278936018501E-6</v>
      </c>
      <c r="N37">
        <v>0</v>
      </c>
      <c r="O37" s="1">
        <v>1.82008936200092E-11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758</v>
      </c>
      <c r="C38">
        <v>280</v>
      </c>
      <c r="D38">
        <v>0.29805605392037998</v>
      </c>
      <c r="E38">
        <v>0.15323424798249799</v>
      </c>
      <c r="F38">
        <v>2.5440037919938501</v>
      </c>
      <c r="G38">
        <v>-2.4987108204764885</v>
      </c>
      <c r="H38">
        <v>-2.1874233749738856</v>
      </c>
      <c r="I38">
        <v>0.30188376618591101</v>
      </c>
      <c r="J38">
        <v>0.17760283443696201</v>
      </c>
      <c r="K38">
        <v>6.0233498261573599E-2</v>
      </c>
      <c r="L38">
        <v>0</v>
      </c>
      <c r="M38">
        <v>1.2383167902535472E-6</v>
      </c>
      <c r="N38">
        <v>0</v>
      </c>
      <c r="O38" s="1">
        <v>8.5671349874132395E-14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756</v>
      </c>
      <c r="C39">
        <v>280</v>
      </c>
      <c r="D39">
        <v>0.29655589564203599</v>
      </c>
      <c r="E39">
        <v>0.58307926452778502</v>
      </c>
      <c r="F39">
        <v>2.5440037919938501</v>
      </c>
      <c r="G39">
        <v>-9.5056728067612823</v>
      </c>
      <c r="H39">
        <v>-8.3248250071666074</v>
      </c>
      <c r="I39">
        <v>1.14740105873261</v>
      </c>
      <c r="J39">
        <v>0.67563433605758105</v>
      </c>
      <c r="K39">
        <v>0.22919748247340399</v>
      </c>
      <c r="L39">
        <v>0</v>
      </c>
      <c r="M39">
        <v>1.238316790253547E-6</v>
      </c>
      <c r="N39">
        <v>0</v>
      </c>
      <c r="O39" s="1">
        <v>3.2599231786236799E-13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754</v>
      </c>
      <c r="C40">
        <v>280</v>
      </c>
      <c r="D40">
        <v>0.29504989534147702</v>
      </c>
      <c r="E40">
        <v>1.0086750238064099</v>
      </c>
      <c r="F40">
        <v>2.5440037919938501</v>
      </c>
      <c r="G40">
        <v>-16.439997001042851</v>
      </c>
      <c r="H40">
        <v>-14.403540635064438</v>
      </c>
      <c r="I40">
        <v>1.98262801536135</v>
      </c>
      <c r="J40">
        <v>1.16848983910448</v>
      </c>
      <c r="K40">
        <v>0.39649116364557901</v>
      </c>
      <c r="L40">
        <v>0</v>
      </c>
      <c r="M40">
        <v>1.2383167902535472E-6</v>
      </c>
      <c r="N40">
        <v>0</v>
      </c>
      <c r="O40" s="1">
        <v>5.6393757930464299E-13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752</v>
      </c>
      <c r="C41">
        <v>280</v>
      </c>
      <c r="D41">
        <v>0.29353801882651298</v>
      </c>
      <c r="E41">
        <v>1.4300911838299999</v>
      </c>
      <c r="F41">
        <v>2.5440037919938501</v>
      </c>
      <c r="G41">
        <v>-23.302874361440146</v>
      </c>
      <c r="H41">
        <v>-20.424534819832413</v>
      </c>
      <c r="I41">
        <v>2.8077252515316999</v>
      </c>
      <c r="J41">
        <v>1.6562521327186699</v>
      </c>
      <c r="K41">
        <v>0.56214192303116595</v>
      </c>
      <c r="L41">
        <v>0</v>
      </c>
      <c r="M41">
        <v>1.238316790253547E-6</v>
      </c>
      <c r="N41">
        <v>0</v>
      </c>
      <c r="O41" s="1">
        <v>7.9954607912328898E-13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750</v>
      </c>
      <c r="C42">
        <v>280</v>
      </c>
      <c r="D42">
        <v>0.292020231637589</v>
      </c>
      <c r="E42">
        <v>1.84739590630012</v>
      </c>
      <c r="F42">
        <v>2.5440037919938501</v>
      </c>
      <c r="G42">
        <v>-30.095470274535707</v>
      </c>
      <c r="H42">
        <v>-26.38875140489732</v>
      </c>
      <c r="I42">
        <v>3.6228498945788798</v>
      </c>
      <c r="J42">
        <v>2.1390022093477499</v>
      </c>
      <c r="K42">
        <v>0.72617655371190903</v>
      </c>
      <c r="L42">
        <v>0</v>
      </c>
      <c r="M42">
        <v>1.238316790253547E-6</v>
      </c>
      <c r="N42">
        <v>0</v>
      </c>
      <c r="O42" s="1">
        <v>1.0328559256724001E-12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748</v>
      </c>
      <c r="C43">
        <v>280</v>
      </c>
      <c r="D43">
        <v>0.29049649904519698</v>
      </c>
      <c r="E43">
        <v>2.2606558945603199</v>
      </c>
      <c r="F43">
        <v>2.5440037919938501</v>
      </c>
      <c r="G43">
        <v>-36.818925205701682</v>
      </c>
      <c r="H43">
        <v>-32.297114040490563</v>
      </c>
      <c r="I43">
        <v>4.4281556727328102</v>
      </c>
      <c r="J43">
        <v>2.6168193102110702</v>
      </c>
      <c r="K43">
        <v>0.88862127551647097</v>
      </c>
      <c r="L43">
        <v>0</v>
      </c>
      <c r="M43">
        <v>1.238316790253547E-6</v>
      </c>
      <c r="N43">
        <v>0</v>
      </c>
      <c r="O43" s="1">
        <v>1.2639044119563701E-12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746</v>
      </c>
      <c r="C44">
        <v>280</v>
      </c>
      <c r="D44">
        <v>0.288966786047197</v>
      </c>
      <c r="E44">
        <v>2.6699364356650599</v>
      </c>
      <c r="F44">
        <v>2.5440037919938501</v>
      </c>
      <c r="G44">
        <v>-43.474355415477078</v>
      </c>
      <c r="H44">
        <v>-38.150526767554759</v>
      </c>
      <c r="I44">
        <v>5.2237930117473503</v>
      </c>
      <c r="J44">
        <v>3.0897809754810601</v>
      </c>
      <c r="K44">
        <v>1.04950175155694</v>
      </c>
      <c r="L44">
        <v>0</v>
      </c>
      <c r="M44">
        <v>1.2383167902535468E-6</v>
      </c>
      <c r="N44">
        <v>0</v>
      </c>
      <c r="O44" s="1">
        <v>1.4927280391501E-12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744</v>
      </c>
      <c r="C45">
        <v>280</v>
      </c>
      <c r="D45">
        <v>0.28743105736617303</v>
      </c>
      <c r="E45">
        <v>3.0753014358621198</v>
      </c>
      <c r="F45">
        <v>2.5440037919938501</v>
      </c>
      <c r="G45">
        <v>-50.062853567643906</v>
      </c>
      <c r="H45">
        <v>-43.949874508113524</v>
      </c>
      <c r="I45">
        <v>6.0099091181540398</v>
      </c>
      <c r="J45">
        <v>3.5579630867880998</v>
      </c>
      <c r="K45">
        <v>1.2088431021763</v>
      </c>
      <c r="L45">
        <v>0</v>
      </c>
      <c r="M45">
        <v>1.238316790253547E-6</v>
      </c>
      <c r="N45">
        <v>0</v>
      </c>
      <c r="O45" s="1">
        <v>1.71936253643674E-12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742</v>
      </c>
      <c r="C46">
        <v>280</v>
      </c>
      <c r="D46">
        <v>0.28588927744668102</v>
      </c>
      <c r="E46">
        <v>3.4768134581772201</v>
      </c>
      <c r="F46">
        <v>2.5440037919938501</v>
      </c>
      <c r="G46">
        <v>-56.585489370600264</v>
      </c>
      <c r="H46">
        <v>-49.696023586194045</v>
      </c>
      <c r="I46">
        <v>6.78664806620323</v>
      </c>
      <c r="J46">
        <v>4.0214399121118598</v>
      </c>
      <c r="K46">
        <v>1.3666699197222001</v>
      </c>
      <c r="L46">
        <v>0</v>
      </c>
      <c r="M46">
        <v>1.238316790253547E-6</v>
      </c>
      <c r="N46">
        <v>0</v>
      </c>
      <c r="O46" s="1">
        <v>1.9438428820208198E-12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740</v>
      </c>
      <c r="C47">
        <v>280</v>
      </c>
      <c r="D47">
        <v>0.28434141045255101</v>
      </c>
      <c r="E47">
        <v>3.8745337598617402</v>
      </c>
      <c r="F47">
        <v>2.5440037919938501</v>
      </c>
      <c r="G47">
        <v>-63.04331021553898</v>
      </c>
      <c r="H47">
        <v>-55.389822247322542</v>
      </c>
      <c r="I47">
        <v>7.5541508840906397</v>
      </c>
      <c r="J47">
        <v>4.48028415046464</v>
      </c>
      <c r="K47">
        <v>1.5230062832670099</v>
      </c>
      <c r="L47">
        <v>0</v>
      </c>
      <c r="M47">
        <v>1.2383167902535472E-6</v>
      </c>
      <c r="N47">
        <v>0</v>
      </c>
      <c r="O47" s="1">
        <v>2.1662033240647601E-12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738</v>
      </c>
      <c r="C48">
        <v>280</v>
      </c>
      <c r="D48">
        <v>0.28278742026405701</v>
      </c>
      <c r="E48">
        <v>4.2685223256052902</v>
      </c>
      <c r="F48">
        <v>2.5440037919938501</v>
      </c>
      <c r="G48">
        <v>-69.437341744773505</v>
      </c>
      <c r="H48">
        <v>-61.032101117994337</v>
      </c>
      <c r="I48">
        <v>8.3125556314880793</v>
      </c>
      <c r="J48">
        <v>4.9345669716286196</v>
      </c>
      <c r="K48">
        <v>1.6778757716629999</v>
      </c>
      <c r="L48">
        <v>0</v>
      </c>
      <c r="M48">
        <v>1.2383167902535472E-6</v>
      </c>
      <c r="N48">
        <v>0</v>
      </c>
      <c r="O48" s="1">
        <v>2.3864773992576501E-12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736</v>
      </c>
      <c r="C49">
        <v>280</v>
      </c>
      <c r="D49">
        <v>0.281227270475152</v>
      </c>
      <c r="E49">
        <v>27.010248847639499</v>
      </c>
      <c r="F49">
        <v>2.5440037919938501</v>
      </c>
      <c r="G49">
        <v>-439.27873680869061</v>
      </c>
      <c r="H49">
        <v>-386.25984487743688</v>
      </c>
      <c r="I49">
        <v>52.538167696827799</v>
      </c>
      <c r="J49">
        <v>31.216551009413699</v>
      </c>
      <c r="K49">
        <v>10.617220356605801</v>
      </c>
      <c r="L49">
        <v>0</v>
      </c>
      <c r="M49">
        <v>1.238316790253547E-6</v>
      </c>
      <c r="N49">
        <v>0</v>
      </c>
      <c r="O49" s="1">
        <v>1.5101092018788101E-11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734</v>
      </c>
      <c r="C50">
        <v>280</v>
      </c>
      <c r="D50">
        <v>0.27966092439060802</v>
      </c>
      <c r="E50">
        <v>29.654729972633199</v>
      </c>
      <c r="F50">
        <v>2.5440037919938501</v>
      </c>
      <c r="G50">
        <v>-482.1717201345499</v>
      </c>
      <c r="H50">
        <v>-424.14576237751425</v>
      </c>
      <c r="I50">
        <v>57.614017531684098</v>
      </c>
      <c r="J50">
        <v>34.2637274035743</v>
      </c>
      <c r="K50">
        <v>11.656716104731601</v>
      </c>
      <c r="L50">
        <v>0</v>
      </c>
      <c r="M50">
        <v>1.2383167902535468E-6</v>
      </c>
      <c r="N50">
        <v>0</v>
      </c>
      <c r="O50" s="1">
        <v>1.6579588312389102E-11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732</v>
      </c>
      <c r="C51">
        <v>280</v>
      </c>
      <c r="D51">
        <v>0.27808834502313201</v>
      </c>
      <c r="E51">
        <v>30.858806383730101</v>
      </c>
      <c r="F51">
        <v>2.5440037919938501</v>
      </c>
      <c r="G51">
        <v>-501.62959063572544</v>
      </c>
      <c r="H51">
        <v>-441.4387304980059</v>
      </c>
      <c r="I51">
        <v>59.882465440699903</v>
      </c>
      <c r="J51">
        <v>35.645401403681603</v>
      </c>
      <c r="K51">
        <v>12.130015875308301</v>
      </c>
      <c r="L51">
        <v>0</v>
      </c>
      <c r="M51">
        <v>1.2383167902535468E-6</v>
      </c>
      <c r="N51">
        <v>0</v>
      </c>
      <c r="O51" s="1">
        <v>1.7252772361310501E-11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730</v>
      </c>
      <c r="C52">
        <v>280</v>
      </c>
      <c r="D52">
        <v>0.27650949509046802</v>
      </c>
      <c r="E52">
        <v>31.576695260585399</v>
      </c>
      <c r="F52">
        <v>2.5440037919938501</v>
      </c>
      <c r="G52">
        <v>-513.17685397257367</v>
      </c>
      <c r="H52">
        <v>-451.78115191210145</v>
      </c>
      <c r="I52">
        <v>61.202912884884803</v>
      </c>
      <c r="J52">
        <v>36.464836082894699</v>
      </c>
      <c r="K52">
        <v>12.4122044786094</v>
      </c>
      <c r="L52">
        <v>0</v>
      </c>
      <c r="M52">
        <v>1.238316790253547E-6</v>
      </c>
      <c r="N52">
        <v>0</v>
      </c>
      <c r="O52" s="1">
        <v>1.7654135045890201E-11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728</v>
      </c>
      <c r="C53">
        <v>280</v>
      </c>
      <c r="D53">
        <v>0.27492433701243602</v>
      </c>
      <c r="E53">
        <v>32.0651761889849</v>
      </c>
      <c r="F53">
        <v>2.5440037919938501</v>
      </c>
      <c r="G53">
        <v>-520.99130295641919</v>
      </c>
      <c r="H53">
        <v>-458.84410330084467</v>
      </c>
      <c r="I53">
        <v>62.075812471232602</v>
      </c>
      <c r="J53">
        <v>37.018930726068497</v>
      </c>
      <c r="K53">
        <v>12.6042171359555</v>
      </c>
      <c r="L53">
        <v>0</v>
      </c>
      <c r="M53">
        <v>1.238316790253547E-6</v>
      </c>
      <c r="N53">
        <v>0</v>
      </c>
      <c r="O53" s="1">
        <v>1.7927238618197E-11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726</v>
      </c>
      <c r="C54">
        <v>280</v>
      </c>
      <c r="D54">
        <v>0.273332832907971</v>
      </c>
      <c r="E54">
        <v>32.424868794989898</v>
      </c>
      <c r="F54">
        <v>2.5440037919938501</v>
      </c>
      <c r="G54">
        <v>-526.71007766477771</v>
      </c>
      <c r="H54">
        <v>-464.06606661168877</v>
      </c>
      <c r="I54">
        <v>62.697303761286101</v>
      </c>
      <c r="J54">
        <v>37.424030558388203</v>
      </c>
      <c r="K54">
        <v>12.745605528196499</v>
      </c>
      <c r="L54">
        <v>0</v>
      </c>
      <c r="M54">
        <v>1.238316790253547E-6</v>
      </c>
      <c r="N54">
        <v>0</v>
      </c>
      <c r="O54" s="1">
        <v>1.8128338251613799E-11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758</v>
      </c>
      <c r="C55">
        <v>270</v>
      </c>
      <c r="D55">
        <v>0.30872375503079302</v>
      </c>
      <c r="E55">
        <v>0.148193949910045</v>
      </c>
      <c r="F55">
        <v>2.5436887846510299</v>
      </c>
      <c r="G55">
        <v>-2.4171038718374072</v>
      </c>
      <c r="H55">
        <v>-2.1160555310532545</v>
      </c>
      <c r="I55">
        <v>0.29195397447912702</v>
      </c>
      <c r="J55">
        <v>0.171760986182666</v>
      </c>
      <c r="K55">
        <v>5.8259465860866201E-2</v>
      </c>
      <c r="L55">
        <v>0</v>
      </c>
      <c r="M55">
        <v>1.2383056720441413E-6</v>
      </c>
      <c r="N55">
        <v>0</v>
      </c>
      <c r="O55" s="1">
        <v>8.2853382315832901E-14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756</v>
      </c>
      <c r="C56">
        <v>270</v>
      </c>
      <c r="D56">
        <v>0.30724432784336703</v>
      </c>
      <c r="E56">
        <v>0.57326607550056297</v>
      </c>
      <c r="F56">
        <v>2.5436887846510299</v>
      </c>
      <c r="G56">
        <v>-9.3479464444798275</v>
      </c>
      <c r="H56">
        <v>-8.1869722424811631</v>
      </c>
      <c r="I56">
        <v>1.1280903677779299</v>
      </c>
      <c r="J56">
        <v>0.66426345073140702</v>
      </c>
      <c r="K56">
        <v>0.225368008444951</v>
      </c>
      <c r="L56">
        <v>0</v>
      </c>
      <c r="M56">
        <v>1.2383056720441415E-6</v>
      </c>
      <c r="N56">
        <v>0</v>
      </c>
      <c r="O56" s="1">
        <v>3.2050588671788802E-13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754</v>
      </c>
      <c r="C57">
        <v>270</v>
      </c>
      <c r="D57">
        <v>0.30575913936620902</v>
      </c>
      <c r="E57">
        <v>0.99416451297096398</v>
      </c>
      <c r="F57">
        <v>2.5436887846510299</v>
      </c>
      <c r="G57">
        <v>-16.207404014632473</v>
      </c>
      <c r="H57">
        <v>-14.200243528364586</v>
      </c>
      <c r="I57">
        <v>1.95410649493052</v>
      </c>
      <c r="J57">
        <v>1.15168027797601</v>
      </c>
      <c r="K57">
        <v>0.39083574962860601</v>
      </c>
      <c r="L57">
        <v>0</v>
      </c>
      <c r="M57">
        <v>1.2383056720441413E-6</v>
      </c>
      <c r="N57">
        <v>0</v>
      </c>
      <c r="O57" s="1">
        <v>5.5582493433784803E-13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752</v>
      </c>
      <c r="C58">
        <v>270</v>
      </c>
      <c r="D58">
        <v>0.30426815587962902</v>
      </c>
      <c r="E58">
        <v>1.4109567956973601</v>
      </c>
      <c r="F58">
        <v>2.5436887846510299</v>
      </c>
      <c r="G58">
        <v>-22.996632230297646</v>
      </c>
      <c r="H58">
        <v>-20.156804404998198</v>
      </c>
      <c r="I58">
        <v>2.7701583429736498</v>
      </c>
      <c r="J58">
        <v>1.6340917477646999</v>
      </c>
      <c r="K58">
        <v>0.55468923879810905</v>
      </c>
      <c r="L58">
        <v>0</v>
      </c>
      <c r="M58">
        <v>1.2383056720441415E-6</v>
      </c>
      <c r="N58">
        <v>0</v>
      </c>
      <c r="O58" s="1">
        <v>7.8884828224092404E-13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750</v>
      </c>
      <c r="C59">
        <v>270</v>
      </c>
      <c r="D59">
        <v>0.302771343400284</v>
      </c>
      <c r="E59">
        <v>1.82370901053783</v>
      </c>
      <c r="F59">
        <v>2.5436887846510299</v>
      </c>
      <c r="G59">
        <v>-29.716762008658556</v>
      </c>
      <c r="H59">
        <v>-26.057569856593727</v>
      </c>
      <c r="I59">
        <v>3.5763985261836702</v>
      </c>
      <c r="J59">
        <v>2.1115764030030699</v>
      </c>
      <c r="K59">
        <v>0.716954456670306</v>
      </c>
      <c r="L59">
        <v>0</v>
      </c>
      <c r="M59">
        <v>1.2383056720441413E-6</v>
      </c>
      <c r="N59">
        <v>0</v>
      </c>
      <c r="O59" s="1">
        <v>1.01961287876218E-12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748</v>
      </c>
      <c r="C60">
        <v>270</v>
      </c>
      <c r="D60">
        <v>0.301268667678598</v>
      </c>
      <c r="E60">
        <v>2.2324858347046401</v>
      </c>
      <c r="F60">
        <v>2.5436887846510299</v>
      </c>
      <c r="G60">
        <v>-36.368900167897692</v>
      </c>
      <c r="H60">
        <v>-31.903435345129299</v>
      </c>
      <c r="I60">
        <v>4.3729763724902302</v>
      </c>
      <c r="J60">
        <v>2.5842110938179799</v>
      </c>
      <c r="K60">
        <v>0.87765682978821002</v>
      </c>
      <c r="L60">
        <v>0</v>
      </c>
      <c r="M60">
        <v>1.2383056720441411E-6</v>
      </c>
      <c r="N60">
        <v>0</v>
      </c>
      <c r="O60" s="1">
        <v>1.2481548841214001E-12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746</v>
      </c>
      <c r="C61">
        <v>270</v>
      </c>
      <c r="D61">
        <v>0.29976009419614502</v>
      </c>
      <c r="E61">
        <v>2.6373505749841399</v>
      </c>
      <c r="F61">
        <v>2.5436887846510201</v>
      </c>
      <c r="G61">
        <v>-42.954130096292729</v>
      </c>
      <c r="H61">
        <v>-37.695277354273223</v>
      </c>
      <c r="I61">
        <v>5.1600380140504303</v>
      </c>
      <c r="J61">
        <v>3.0520710243913398</v>
      </c>
      <c r="K61">
        <v>1.0368212459394699</v>
      </c>
      <c r="L61">
        <v>0</v>
      </c>
      <c r="M61">
        <v>1.2383056720441413E-6</v>
      </c>
      <c r="N61">
        <v>0</v>
      </c>
      <c r="O61" s="1">
        <v>1.4745096923503401E-12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744</v>
      </c>
      <c r="C62">
        <v>270</v>
      </c>
      <c r="D62">
        <v>0.298245588163005</v>
      </c>
      <c r="E62">
        <v>3.03836520201834</v>
      </c>
      <c r="F62">
        <v>2.5436887846510299</v>
      </c>
      <c r="G62">
        <v>-49.473512339897965</v>
      </c>
      <c r="H62">
        <v>-43.433953863271078</v>
      </c>
      <c r="I62">
        <v>5.9377264677057298</v>
      </c>
      <c r="J62">
        <v>3.5152297940290098</v>
      </c>
      <c r="K62">
        <v>1.1944720676335301</v>
      </c>
      <c r="L62">
        <v>0</v>
      </c>
      <c r="M62">
        <v>1.2383056720441413E-6</v>
      </c>
      <c r="N62">
        <v>0</v>
      </c>
      <c r="O62" s="1">
        <v>1.69871195045922E-12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742</v>
      </c>
      <c r="C63">
        <v>270</v>
      </c>
      <c r="D63">
        <v>0.29672511451509398</v>
      </c>
      <c r="E63">
        <v>3.43559038731911</v>
      </c>
      <c r="F63">
        <v>2.5436887846510299</v>
      </c>
      <c r="G63">
        <v>-55.928085233819743</v>
      </c>
      <c r="H63">
        <v>-49.120304860385787</v>
      </c>
      <c r="I63">
        <v>6.7061817203703402</v>
      </c>
      <c r="J63">
        <v>3.9737594413466701</v>
      </c>
      <c r="K63">
        <v>1.35063314665298</v>
      </c>
      <c r="L63">
        <v>0</v>
      </c>
      <c r="M63">
        <v>1.2383056720441415E-6</v>
      </c>
      <c r="N63">
        <v>0</v>
      </c>
      <c r="O63" s="1">
        <v>1.92079557913083E-12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740</v>
      </c>
      <c r="C64">
        <v>270</v>
      </c>
      <c r="D64">
        <v>0.295198637911468</v>
      </c>
      <c r="E64">
        <v>3.82908553605998</v>
      </c>
      <c r="F64">
        <v>2.5436887846510299</v>
      </c>
      <c r="G64">
        <v>-62.318865463823386</v>
      </c>
      <c r="H64">
        <v>-54.755152796482385</v>
      </c>
      <c r="I64">
        <v>7.46554080574544</v>
      </c>
      <c r="J64">
        <v>4.4277304835240603</v>
      </c>
      <c r="K64">
        <v>1.5053278369449901</v>
      </c>
      <c r="L64">
        <v>0</v>
      </c>
      <c r="M64">
        <v>1.2383056720441413E-6</v>
      </c>
      <c r="N64">
        <v>0</v>
      </c>
      <c r="O64" s="1">
        <v>2.1407937910540699E-12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738</v>
      </c>
      <c r="C65">
        <v>270</v>
      </c>
      <c r="D65">
        <v>0.29366612273154402</v>
      </c>
      <c r="E65">
        <v>25.5085256404505</v>
      </c>
      <c r="F65">
        <v>2.5436887846510299</v>
      </c>
      <c r="G65">
        <v>-415.05516547170873</v>
      </c>
      <c r="H65">
        <v>-364.82576998366955</v>
      </c>
      <c r="I65">
        <v>49.675513512376099</v>
      </c>
      <c r="J65">
        <v>29.488782889863302</v>
      </c>
      <c r="K65">
        <v>10.028162955457599</v>
      </c>
      <c r="L65">
        <v>0</v>
      </c>
      <c r="M65">
        <v>1.2383056720441413E-6</v>
      </c>
      <c r="N65">
        <v>0</v>
      </c>
      <c r="O65" s="1">
        <v>1.42614973720881E-11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736</v>
      </c>
      <c r="C66">
        <v>270</v>
      </c>
      <c r="D66">
        <v>0.29212753307238798</v>
      </c>
      <c r="E66">
        <v>29.102625147125899</v>
      </c>
      <c r="F66">
        <v>2.5436887846510201</v>
      </c>
      <c r="G66">
        <v>-473.42231334998155</v>
      </c>
      <c r="H66">
        <v>-416.29625922530431</v>
      </c>
      <c r="I66">
        <v>56.608090100259801</v>
      </c>
      <c r="J66">
        <v>33.634772768578003</v>
      </c>
      <c r="K66">
        <v>11.4411107690277</v>
      </c>
      <c r="L66">
        <v>0</v>
      </c>
      <c r="M66">
        <v>1.2383056720441411E-6</v>
      </c>
      <c r="N66">
        <v>0</v>
      </c>
      <c r="O66" s="1">
        <v>1.6270913415647801E-11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734</v>
      </c>
      <c r="C67">
        <v>270</v>
      </c>
      <c r="D67">
        <v>0.29058283274586499</v>
      </c>
      <c r="E67">
        <v>30.5387074111222</v>
      </c>
      <c r="F67">
        <v>2.5436887846510299</v>
      </c>
      <c r="G67">
        <v>-496.66481966083307</v>
      </c>
      <c r="H67">
        <v>-436.90916692592134</v>
      </c>
      <c r="I67">
        <v>59.331432989040103</v>
      </c>
      <c r="J67">
        <v>35.285094383184202</v>
      </c>
      <c r="K67">
        <v>12.005677579504599</v>
      </c>
      <c r="L67">
        <v>0</v>
      </c>
      <c r="M67">
        <v>1.2383056720441413E-6</v>
      </c>
      <c r="N67">
        <v>0</v>
      </c>
      <c r="O67" s="1">
        <v>1.7073809032696301E-11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732</v>
      </c>
      <c r="C68">
        <v>270</v>
      </c>
      <c r="D68">
        <v>0.28903198527583002</v>
      </c>
      <c r="E68">
        <v>31.355061658216101</v>
      </c>
      <c r="F68">
        <v>2.5436887846510299</v>
      </c>
      <c r="G68">
        <v>-509.81979528924882</v>
      </c>
      <c r="H68">
        <v>-448.66097704427909</v>
      </c>
      <c r="I68">
        <v>60.845464104829801</v>
      </c>
      <c r="J68">
        <v>36.218632209753103</v>
      </c>
      <c r="K68">
        <v>12.3266108053064</v>
      </c>
      <c r="L68">
        <v>0</v>
      </c>
      <c r="M68">
        <v>1.2383056720441411E-6</v>
      </c>
      <c r="N68">
        <v>0</v>
      </c>
      <c r="O68" s="1">
        <v>1.7530222473195599E-11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730</v>
      </c>
      <c r="C69">
        <v>270</v>
      </c>
      <c r="D69">
        <v>0.28747495389523398</v>
      </c>
      <c r="E69">
        <v>31.8963316130057</v>
      </c>
      <c r="F69">
        <v>2.5436887846510299</v>
      </c>
      <c r="G69">
        <v>-518.49689330542685</v>
      </c>
      <c r="H69">
        <v>-456.47971081139616</v>
      </c>
      <c r="I69">
        <v>61.822441802353303</v>
      </c>
      <c r="J69">
        <v>36.833952835010599</v>
      </c>
      <c r="K69">
        <v>12.539400183494299</v>
      </c>
      <c r="L69">
        <v>0</v>
      </c>
      <c r="M69">
        <v>1.2383056720441411E-6</v>
      </c>
      <c r="N69">
        <v>0</v>
      </c>
      <c r="O69" s="1">
        <v>1.78328397293486E-11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728</v>
      </c>
      <c r="C70">
        <v>270</v>
      </c>
      <c r="D70">
        <v>0.28591170154322698</v>
      </c>
      <c r="E70">
        <v>32.288430871017198</v>
      </c>
      <c r="F70">
        <v>2.5436887846510299</v>
      </c>
      <c r="G70">
        <v>-524.74564701176303</v>
      </c>
      <c r="H70">
        <v>-462.16574574817218</v>
      </c>
      <c r="I70">
        <v>62.5080170439903</v>
      </c>
      <c r="J70">
        <v>37.276676061996604</v>
      </c>
      <c r="K70">
        <v>12.693546107468</v>
      </c>
      <c r="L70">
        <v>0</v>
      </c>
      <c r="M70">
        <v>1.2383056720441413E-6</v>
      </c>
      <c r="N70">
        <v>0</v>
      </c>
      <c r="O70" s="1">
        <v>1.80520575162387E-11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758</v>
      </c>
      <c r="C71">
        <v>260</v>
      </c>
      <c r="D71">
        <v>0.31939145614120401</v>
      </c>
      <c r="E71">
        <v>0.14856612831326499</v>
      </c>
      <c r="F71">
        <v>2.5433738191431599</v>
      </c>
      <c r="G71">
        <v>-2.4237583476243874</v>
      </c>
      <c r="H71">
        <v>-2.1219539456728715</v>
      </c>
      <c r="I71">
        <v>0.29268719580227398</v>
      </c>
      <c r="J71">
        <v>0.172192351495567</v>
      </c>
      <c r="K71">
        <v>5.8413013138318502E-2</v>
      </c>
      <c r="L71">
        <v>0</v>
      </c>
      <c r="M71">
        <v>1.2382945389796266E-6</v>
      </c>
      <c r="N71">
        <v>0</v>
      </c>
      <c r="O71" s="1">
        <v>8.3061462602176698E-14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756</v>
      </c>
      <c r="C72">
        <v>260</v>
      </c>
      <c r="D72">
        <v>0.317932760044698</v>
      </c>
      <c r="E72">
        <v>0.568752323678411</v>
      </c>
      <c r="F72">
        <v>2.5433738191431599</v>
      </c>
      <c r="G72">
        <v>-9.2765791564166076</v>
      </c>
      <c r="H72">
        <v>-8.1247461711124185</v>
      </c>
      <c r="I72">
        <v>1.1192080700618801</v>
      </c>
      <c r="J72">
        <v>0.65903320863394899</v>
      </c>
      <c r="K72">
        <v>0.22362120715311001</v>
      </c>
      <c r="L72">
        <v>0</v>
      </c>
      <c r="M72">
        <v>1.2382945389796266E-6</v>
      </c>
      <c r="N72">
        <v>0</v>
      </c>
      <c r="O72" s="1">
        <v>3.1798230457687201E-13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754</v>
      </c>
      <c r="C73">
        <v>260</v>
      </c>
      <c r="D73">
        <v>0.31646838339093702</v>
      </c>
      <c r="E73">
        <v>0.98484457047393803</v>
      </c>
      <c r="F73">
        <v>2.5433738191431599</v>
      </c>
      <c r="G73">
        <v>-16.059337262567386</v>
      </c>
      <c r="H73">
        <v>-14.070993199607967</v>
      </c>
      <c r="I73">
        <v>1.9357874341229799</v>
      </c>
      <c r="J73">
        <v>1.1408836806064</v>
      </c>
      <c r="K73">
        <v>0.387219748454327</v>
      </c>
      <c r="L73">
        <v>0</v>
      </c>
      <c r="M73">
        <v>1.2382945389796268E-6</v>
      </c>
      <c r="N73">
        <v>0</v>
      </c>
      <c r="O73" s="1">
        <v>5.5061427115398402E-13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752</v>
      </c>
      <c r="C74">
        <v>260</v>
      </c>
      <c r="D74">
        <v>0.31499829293274201</v>
      </c>
      <c r="E74">
        <v>1.3969082575365299</v>
      </c>
      <c r="F74">
        <v>2.5433738191431599</v>
      </c>
      <c r="G74">
        <v>-22.773152612161738</v>
      </c>
      <c r="H74">
        <v>-19.9616002306573</v>
      </c>
      <c r="I74">
        <v>2.74257658050474</v>
      </c>
      <c r="J74">
        <v>1.6178215116052499</v>
      </c>
      <c r="K74">
        <v>0.54923434652918302</v>
      </c>
      <c r="L74">
        <v>0</v>
      </c>
      <c r="M74">
        <v>1.2382945389796266E-6</v>
      </c>
      <c r="N74">
        <v>0</v>
      </c>
      <c r="O74" s="1">
        <v>7.8099392041356899E-13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750</v>
      </c>
      <c r="C75">
        <v>260</v>
      </c>
      <c r="D75">
        <v>0.313522455162978</v>
      </c>
      <c r="E75">
        <v>1.8050073787819001</v>
      </c>
      <c r="F75">
        <v>2.5433738191431599</v>
      </c>
      <c r="G75">
        <v>-29.419121291416278</v>
      </c>
      <c r="H75">
        <v>-25.797453143321754</v>
      </c>
      <c r="I75">
        <v>3.5397235479592699</v>
      </c>
      <c r="J75">
        <v>2.0899227707156398</v>
      </c>
      <c r="K75">
        <v>0.70969016241190597</v>
      </c>
      <c r="L75">
        <v>0</v>
      </c>
      <c r="M75">
        <v>1.2382945389796266E-6</v>
      </c>
      <c r="N75">
        <v>0</v>
      </c>
      <c r="O75" s="1">
        <v>1.0091570305528299E-12</v>
      </c>
      <c r="P75">
        <v>0</v>
      </c>
      <c r="Q75">
        <v>100</v>
      </c>
      <c r="AJ75">
        <v>1</v>
      </c>
    </row>
    <row r="76" spans="1:36" x14ac:dyDescent="0.2">
      <c r="A76">
        <v>80</v>
      </c>
      <c r="B76">
        <v>748</v>
      </c>
      <c r="C76">
        <v>260</v>
      </c>
      <c r="D76">
        <v>0.31204083631200402</v>
      </c>
      <c r="E76">
        <v>2.2092045695968898</v>
      </c>
      <c r="F76">
        <v>2.5433738191431599</v>
      </c>
      <c r="G76">
        <v>-35.998316149714817</v>
      </c>
      <c r="H76">
        <v>-31.579418999964584</v>
      </c>
      <c r="I76">
        <v>4.3273732064341504</v>
      </c>
      <c r="J76">
        <v>2.5572618954695301</v>
      </c>
      <c r="K76">
        <v>0.86861182299232398</v>
      </c>
      <c r="L76">
        <v>0</v>
      </c>
      <c r="M76">
        <v>1.2382945389796266E-6</v>
      </c>
      <c r="N76">
        <v>0</v>
      </c>
      <c r="O76" s="1">
        <v>1.23513862023249E-12</v>
      </c>
      <c r="P76">
        <v>0</v>
      </c>
      <c r="Q76">
        <v>100</v>
      </c>
      <c r="AJ76">
        <v>1</v>
      </c>
    </row>
    <row r="77" spans="1:36" x14ac:dyDescent="0.2">
      <c r="A77">
        <v>81</v>
      </c>
      <c r="B77">
        <v>746</v>
      </c>
      <c r="C77">
        <v>260</v>
      </c>
      <c r="D77">
        <v>0.31055340234509199</v>
      </c>
      <c r="E77">
        <v>2.6095611412722</v>
      </c>
      <c r="F77">
        <v>2.5433738191431599</v>
      </c>
      <c r="G77">
        <v>-42.511787389783407</v>
      </c>
      <c r="H77">
        <v>-37.308346522492045</v>
      </c>
      <c r="I77">
        <v>5.1056673377730002</v>
      </c>
      <c r="J77">
        <v>3.0199117330855398</v>
      </c>
      <c r="K77">
        <v>1.02602343455408</v>
      </c>
      <c r="L77">
        <v>0</v>
      </c>
      <c r="M77">
        <v>1.2382945389796264E-6</v>
      </c>
      <c r="N77">
        <v>0</v>
      </c>
      <c r="O77" s="1">
        <v>1.4589729678276901E-12</v>
      </c>
      <c r="P77">
        <v>0</v>
      </c>
      <c r="Q77">
        <v>100</v>
      </c>
      <c r="AJ77">
        <v>1</v>
      </c>
    </row>
    <row r="78" spans="1:36" x14ac:dyDescent="0.2">
      <c r="A78">
        <v>82</v>
      </c>
      <c r="B78">
        <v>744</v>
      </c>
      <c r="C78">
        <v>260</v>
      </c>
      <c r="D78">
        <v>0.30906011895984098</v>
      </c>
      <c r="E78">
        <v>3.0061371178501801</v>
      </c>
      <c r="F78">
        <v>2.5433738191431599</v>
      </c>
      <c r="G78">
        <v>-48.96056319630722</v>
      </c>
      <c r="H78">
        <v>-42.985066603615152</v>
      </c>
      <c r="I78">
        <v>5.8747447207315302</v>
      </c>
      <c r="J78">
        <v>3.4779435844590898</v>
      </c>
      <c r="K78">
        <v>1.1819485972624</v>
      </c>
      <c r="L78">
        <v>0</v>
      </c>
      <c r="M78">
        <v>1.2382945389796268E-6</v>
      </c>
      <c r="N78">
        <v>0</v>
      </c>
      <c r="O78" s="1">
        <v>1.6806936320291301E-12</v>
      </c>
      <c r="P78">
        <v>0</v>
      </c>
      <c r="Q78">
        <v>100</v>
      </c>
      <c r="AJ78">
        <v>1</v>
      </c>
    </row>
    <row r="79" spans="1:36" x14ac:dyDescent="0.2">
      <c r="A79">
        <v>83</v>
      </c>
      <c r="B79">
        <v>742</v>
      </c>
      <c r="C79">
        <v>260</v>
      </c>
      <c r="D79">
        <v>0.30756095158350699</v>
      </c>
      <c r="E79">
        <v>4.0017273407521099</v>
      </c>
      <c r="F79">
        <v>2.5433738191431599</v>
      </c>
      <c r="G79">
        <v>-65.159979671862502</v>
      </c>
      <c r="H79">
        <v>-57.230372885570198</v>
      </c>
      <c r="I79">
        <v>7.8112661048045098</v>
      </c>
      <c r="J79">
        <v>4.6285790822745598</v>
      </c>
      <c r="K79">
        <v>1.5733933056290701</v>
      </c>
      <c r="L79">
        <v>0</v>
      </c>
      <c r="M79">
        <v>1.2382945389796266E-6</v>
      </c>
      <c r="N79">
        <v>0</v>
      </c>
      <c r="O79" s="1">
        <v>2.2373156629424701E-12</v>
      </c>
      <c r="P79">
        <v>0</v>
      </c>
      <c r="Q79">
        <v>100</v>
      </c>
      <c r="AJ79">
        <v>1</v>
      </c>
    </row>
    <row r="80" spans="1:36" x14ac:dyDescent="0.2">
      <c r="A80">
        <v>84</v>
      </c>
      <c r="B80">
        <v>740</v>
      </c>
      <c r="C80">
        <v>260</v>
      </c>
      <c r="D80">
        <v>0.30605586537038199</v>
      </c>
      <c r="E80">
        <v>23.570074107843801</v>
      </c>
      <c r="F80">
        <v>2.5433738191431599</v>
      </c>
      <c r="G80">
        <v>-383.69869054071694</v>
      </c>
      <c r="H80">
        <v>-337.13998444215662</v>
      </c>
      <c r="I80">
        <v>45.954405664077598</v>
      </c>
      <c r="J80">
        <v>27.2550546712536</v>
      </c>
      <c r="K80">
        <v>9.2672472801439607</v>
      </c>
      <c r="L80">
        <v>0</v>
      </c>
      <c r="M80">
        <v>1.2382945389796266E-6</v>
      </c>
      <c r="N80">
        <v>0</v>
      </c>
      <c r="O80" s="1">
        <v>1.31777333855741E-11</v>
      </c>
      <c r="P80">
        <v>0</v>
      </c>
      <c r="Q80">
        <v>100</v>
      </c>
      <c r="AJ80">
        <v>1</v>
      </c>
    </row>
    <row r="81" spans="1:36" x14ac:dyDescent="0.2">
      <c r="A81">
        <v>85</v>
      </c>
      <c r="B81">
        <v>738</v>
      </c>
      <c r="C81">
        <v>260</v>
      </c>
      <c r="D81">
        <v>0.30454482519902998</v>
      </c>
      <c r="E81">
        <v>28.4477763158032</v>
      </c>
      <c r="F81">
        <v>2.5433738191431599</v>
      </c>
      <c r="G81">
        <v>-462.99224183046283</v>
      </c>
      <c r="H81">
        <v>-406.97510358175782</v>
      </c>
      <c r="I81">
        <v>55.399434553434098</v>
      </c>
      <c r="J81">
        <v>32.886663514014799</v>
      </c>
      <c r="K81">
        <v>11.185055103455801</v>
      </c>
      <c r="L81">
        <v>0</v>
      </c>
      <c r="M81">
        <v>1.2382945389796266E-6</v>
      </c>
      <c r="N81">
        <v>0</v>
      </c>
      <c r="O81" s="1">
        <v>1.5904795631395499E-11</v>
      </c>
      <c r="P81">
        <v>0</v>
      </c>
      <c r="Q81">
        <v>100</v>
      </c>
      <c r="AJ81">
        <v>1</v>
      </c>
    </row>
    <row r="82" spans="1:36" x14ac:dyDescent="0.2">
      <c r="A82">
        <v>86</v>
      </c>
      <c r="B82">
        <v>736</v>
      </c>
      <c r="C82">
        <v>260</v>
      </c>
      <c r="D82">
        <v>0.30302779566962401</v>
      </c>
      <c r="E82">
        <v>30.183444663301099</v>
      </c>
      <c r="F82">
        <v>2.5433738191431599</v>
      </c>
      <c r="G82">
        <v>-491.12303994136806</v>
      </c>
      <c r="H82">
        <v>-431.87542620246705</v>
      </c>
      <c r="I82">
        <v>58.710413455780603</v>
      </c>
      <c r="J82">
        <v>34.883908152297401</v>
      </c>
      <c r="K82">
        <v>11.867482646915599</v>
      </c>
      <c r="L82">
        <v>0</v>
      </c>
      <c r="M82">
        <v>1.2382945389796268E-6</v>
      </c>
      <c r="N82">
        <v>0</v>
      </c>
      <c r="O82" s="1">
        <v>1.6875186077537401E-11</v>
      </c>
      <c r="P82">
        <v>0</v>
      </c>
      <c r="Q82">
        <v>100</v>
      </c>
      <c r="AJ82">
        <v>1</v>
      </c>
    </row>
    <row r="83" spans="1:36" x14ac:dyDescent="0.2">
      <c r="A83">
        <v>87</v>
      </c>
      <c r="B83">
        <v>734</v>
      </c>
      <c r="C83">
        <v>260</v>
      </c>
      <c r="D83">
        <v>0.30150474110112602</v>
      </c>
      <c r="E83">
        <v>31.116727726341299</v>
      </c>
      <c r="F83">
        <v>2.5433738191431599</v>
      </c>
      <c r="G83">
        <v>-506.18776236492249</v>
      </c>
      <c r="H83">
        <v>-445.30108660519937</v>
      </c>
      <c r="I83">
        <v>60.454426609465401</v>
      </c>
      <c r="J83">
        <v>35.952951771623503</v>
      </c>
      <c r="K83">
        <v>12.234429517256</v>
      </c>
      <c r="L83">
        <v>0</v>
      </c>
      <c r="M83">
        <v>1.2382945389796266E-6</v>
      </c>
      <c r="N83">
        <v>0</v>
      </c>
      <c r="O83" s="1">
        <v>1.7396972955327601E-11</v>
      </c>
      <c r="P83">
        <v>0</v>
      </c>
      <c r="Q83">
        <v>100</v>
      </c>
      <c r="AJ83">
        <v>1</v>
      </c>
    </row>
    <row r="84" spans="1:36" x14ac:dyDescent="0.2">
      <c r="A84">
        <v>88</v>
      </c>
      <c r="B84">
        <v>732</v>
      </c>
      <c r="C84">
        <v>260</v>
      </c>
      <c r="D84">
        <v>0.29997562552852802</v>
      </c>
      <c r="E84">
        <v>31.718023190346798</v>
      </c>
      <c r="F84">
        <v>2.5433738191431599</v>
      </c>
      <c r="G84">
        <v>-515.84609418239825</v>
      </c>
      <c r="H84">
        <v>-453.97931055003852</v>
      </c>
      <c r="I84">
        <v>61.549802151280502</v>
      </c>
      <c r="J84">
        <v>36.637893711510799</v>
      </c>
      <c r="K84">
        <v>12.470845988747399</v>
      </c>
      <c r="L84">
        <v>0</v>
      </c>
      <c r="M84">
        <v>1.2382945389796266E-6</v>
      </c>
      <c r="N84">
        <v>0</v>
      </c>
      <c r="O84" s="1">
        <v>1.7733149722289201E-11</v>
      </c>
      <c r="P84">
        <v>0</v>
      </c>
      <c r="Q84">
        <v>100</v>
      </c>
      <c r="AJ84">
        <v>1</v>
      </c>
    </row>
    <row r="85" spans="1:36" x14ac:dyDescent="0.2">
      <c r="A85">
        <v>89</v>
      </c>
      <c r="B85">
        <v>730</v>
      </c>
      <c r="C85">
        <v>260</v>
      </c>
      <c r="D85">
        <v>0.29844041269999899</v>
      </c>
      <c r="E85">
        <v>32.1460066117425</v>
      </c>
      <c r="F85">
        <v>2.5433738191431599</v>
      </c>
      <c r="G85">
        <v>-522.68191617255809</v>
      </c>
      <c r="H85">
        <v>-460.17928161624235</v>
      </c>
      <c r="I85">
        <v>62.306369492414497</v>
      </c>
      <c r="J85">
        <v>37.122278064354603</v>
      </c>
      <c r="K85">
        <v>12.639119884694001</v>
      </c>
      <c r="L85">
        <v>0</v>
      </c>
      <c r="M85">
        <v>1.2382945389796268E-6</v>
      </c>
      <c r="N85">
        <v>0</v>
      </c>
      <c r="O85" s="1">
        <v>1.7972429895732599E-11</v>
      </c>
      <c r="P85">
        <v>0</v>
      </c>
      <c r="Q85">
        <v>100</v>
      </c>
      <c r="AJ85">
        <v>1</v>
      </c>
    </row>
    <row r="86" spans="1:36" x14ac:dyDescent="0.2">
      <c r="A86">
        <v>90</v>
      </c>
      <c r="B86">
        <v>728</v>
      </c>
      <c r="C86">
        <v>260</v>
      </c>
      <c r="D86">
        <v>0.29689906607401501</v>
      </c>
      <c r="E86">
        <v>32.470544207736097</v>
      </c>
      <c r="F86">
        <v>2.5433738191431599</v>
      </c>
      <c r="G86">
        <v>-527.83297881207147</v>
      </c>
      <c r="H86">
        <v>-464.90011413950657</v>
      </c>
      <c r="I86">
        <v>62.860575011301897</v>
      </c>
      <c r="J86">
        <v>37.486924119158601</v>
      </c>
      <c r="K86">
        <v>12.766721102238501</v>
      </c>
      <c r="L86">
        <v>0</v>
      </c>
      <c r="M86">
        <v>1.2382945389796266E-6</v>
      </c>
      <c r="N86">
        <v>0</v>
      </c>
      <c r="O86" s="1">
        <v>1.8153874803119499E-11</v>
      </c>
      <c r="P86">
        <v>0</v>
      </c>
      <c r="Q86">
        <v>100</v>
      </c>
      <c r="AJ86">
        <v>1</v>
      </c>
    </row>
    <row r="87" spans="1:36" x14ac:dyDescent="0.2">
      <c r="A87">
        <v>92</v>
      </c>
      <c r="B87">
        <v>758</v>
      </c>
      <c r="C87">
        <v>250</v>
      </c>
      <c r="D87">
        <v>0.330059157251614</v>
      </c>
      <c r="E87">
        <v>0.15556812504457199</v>
      </c>
      <c r="F87">
        <v>2.5430588954681599</v>
      </c>
      <c r="G87">
        <v>-2.538603002170547</v>
      </c>
      <c r="H87">
        <v>-2.2225744061853647</v>
      </c>
      <c r="I87">
        <v>0.30648169130115099</v>
      </c>
      <c r="J87">
        <v>0.18030786406910401</v>
      </c>
      <c r="K87">
        <v>6.1173622569969201E-2</v>
      </c>
      <c r="L87">
        <v>0</v>
      </c>
      <c r="M87">
        <v>1.2382833910659954E-6</v>
      </c>
      <c r="N87">
        <v>0</v>
      </c>
      <c r="O87" s="1">
        <v>8.6976191324269097E-14</v>
      </c>
      <c r="P87">
        <v>0</v>
      </c>
      <c r="Q87">
        <v>100</v>
      </c>
      <c r="AJ87">
        <v>1</v>
      </c>
    </row>
    <row r="88" spans="1:36" x14ac:dyDescent="0.2">
      <c r="A88">
        <v>93</v>
      </c>
      <c r="B88">
        <v>756</v>
      </c>
      <c r="C88">
        <v>250</v>
      </c>
      <c r="D88">
        <v>0.32862119224602798</v>
      </c>
      <c r="E88">
        <v>0.57072815246298603</v>
      </c>
      <c r="F88">
        <v>2.5430588954681599</v>
      </c>
      <c r="G88">
        <v>-9.3110498381358848</v>
      </c>
      <c r="H88">
        <v>-8.1552154190394468</v>
      </c>
      <c r="I88">
        <v>1.1230961658615699</v>
      </c>
      <c r="J88">
        <v>0.66132267054803495</v>
      </c>
      <c r="K88">
        <v>0.22442584931086201</v>
      </c>
      <c r="L88">
        <v>0</v>
      </c>
      <c r="M88">
        <v>1.2382833910659952E-6</v>
      </c>
      <c r="N88">
        <v>0</v>
      </c>
      <c r="O88" s="1">
        <v>3.1908696571707698E-13</v>
      </c>
      <c r="P88">
        <v>0</v>
      </c>
      <c r="Q88">
        <v>100</v>
      </c>
      <c r="AJ88">
        <v>1</v>
      </c>
    </row>
    <row r="89" spans="1:36" x14ac:dyDescent="0.2">
      <c r="A89">
        <v>94</v>
      </c>
      <c r="B89">
        <v>754</v>
      </c>
      <c r="C89">
        <v>250</v>
      </c>
      <c r="D89">
        <v>0.32717762741566497</v>
      </c>
      <c r="E89">
        <v>0.981878329027148</v>
      </c>
      <c r="F89">
        <v>2.5430588954681599</v>
      </c>
      <c r="G89">
        <v>-16.014829112851064</v>
      </c>
      <c r="H89">
        <v>-14.032473719319137</v>
      </c>
      <c r="I89">
        <v>1.9299570593700299</v>
      </c>
      <c r="J89">
        <v>1.1374474668516199</v>
      </c>
      <c r="K89">
        <v>0.38610129351581102</v>
      </c>
      <c r="L89">
        <v>0</v>
      </c>
      <c r="M89">
        <v>1.2382833910659954E-6</v>
      </c>
      <c r="N89">
        <v>0</v>
      </c>
      <c r="O89" s="1">
        <v>5.4895588269223399E-13</v>
      </c>
      <c r="P89">
        <v>0</v>
      </c>
      <c r="Q89">
        <v>100</v>
      </c>
      <c r="AJ89">
        <v>1</v>
      </c>
    </row>
    <row r="90" spans="1:36" x14ac:dyDescent="0.2">
      <c r="A90">
        <v>95</v>
      </c>
      <c r="B90">
        <v>752</v>
      </c>
      <c r="C90">
        <v>250</v>
      </c>
      <c r="D90">
        <v>0.32572842998585799</v>
      </c>
      <c r="E90">
        <v>1.3890818722087099</v>
      </c>
      <c r="F90">
        <v>2.5430588954681599</v>
      </c>
      <c r="G90">
        <v>-22.651024563005382</v>
      </c>
      <c r="H90">
        <v>-19.855224319974091</v>
      </c>
      <c r="I90">
        <v>2.7272108891686999</v>
      </c>
      <c r="J90">
        <v>1.6087574270648699</v>
      </c>
      <c r="K90">
        <v>0.54622481401595402</v>
      </c>
      <c r="L90">
        <v>0</v>
      </c>
      <c r="M90">
        <v>1.2382833910659956E-6</v>
      </c>
      <c r="N90">
        <v>0</v>
      </c>
      <c r="O90" s="1">
        <v>7.7661828634679299E-13</v>
      </c>
      <c r="P90">
        <v>0</v>
      </c>
      <c r="Q90">
        <v>100</v>
      </c>
      <c r="AJ90">
        <v>1</v>
      </c>
    </row>
    <row r="91" spans="1:36" x14ac:dyDescent="0.2">
      <c r="A91">
        <v>96</v>
      </c>
      <c r="B91">
        <v>750</v>
      </c>
      <c r="C91">
        <v>250</v>
      </c>
      <c r="D91">
        <v>0.324273566925672</v>
      </c>
      <c r="E91">
        <v>1.79240065817399</v>
      </c>
      <c r="F91">
        <v>2.5430588954681599</v>
      </c>
      <c r="G91">
        <v>-29.220696970217752</v>
      </c>
      <c r="H91">
        <v>-25.624323654163415</v>
      </c>
      <c r="I91">
        <v>3.5150010419335702</v>
      </c>
      <c r="J91">
        <v>2.0753261143405801</v>
      </c>
      <c r="K91">
        <v>0.70482074220464397</v>
      </c>
      <c r="L91">
        <v>0</v>
      </c>
      <c r="M91">
        <v>1.2382833910659956E-6</v>
      </c>
      <c r="N91">
        <v>0</v>
      </c>
      <c r="O91" s="1">
        <v>1.0021087708707701E-12</v>
      </c>
      <c r="P91">
        <v>0</v>
      </c>
      <c r="Q91">
        <v>100</v>
      </c>
      <c r="AJ91">
        <v>1</v>
      </c>
    </row>
    <row r="92" spans="1:36" x14ac:dyDescent="0.2">
      <c r="A92">
        <v>97</v>
      </c>
      <c r="B92">
        <v>748</v>
      </c>
      <c r="C92">
        <v>250</v>
      </c>
      <c r="D92">
        <v>0.32281300494540499</v>
      </c>
      <c r="E92">
        <v>2.1918952556705098</v>
      </c>
      <c r="F92">
        <v>2.5430588954681599</v>
      </c>
      <c r="G92">
        <v>-35.724884742235488</v>
      </c>
      <c r="H92">
        <v>-31.340610043944043</v>
      </c>
      <c r="I92">
        <v>4.2934678531963399</v>
      </c>
      <c r="J92">
        <v>2.5372255214959201</v>
      </c>
      <c r="K92">
        <v>0.86191289536257498</v>
      </c>
      <c r="L92">
        <v>0</v>
      </c>
      <c r="M92">
        <v>1.2382833910659954E-6</v>
      </c>
      <c r="N92">
        <v>0</v>
      </c>
      <c r="O92" s="1">
        <v>1.2254611994927301E-12</v>
      </c>
      <c r="P92">
        <v>0</v>
      </c>
      <c r="Q92">
        <v>100</v>
      </c>
      <c r="AJ92">
        <v>1</v>
      </c>
    </row>
    <row r="93" spans="1:36" x14ac:dyDescent="0.2">
      <c r="A93">
        <v>98</v>
      </c>
      <c r="B93">
        <v>746</v>
      </c>
      <c r="C93">
        <v>250</v>
      </c>
      <c r="D93">
        <v>0.32134671049404001</v>
      </c>
      <c r="E93">
        <v>2.5876249609297801</v>
      </c>
      <c r="F93">
        <v>2.5430588954681599</v>
      </c>
      <c r="G93">
        <v>-42.164604509812612</v>
      </c>
      <c r="H93">
        <v>-37.004904183971206</v>
      </c>
      <c r="I93">
        <v>5.0627486884574404</v>
      </c>
      <c r="J93">
        <v>2.9945261127421698</v>
      </c>
      <c r="K93">
        <v>1.0175245903824801</v>
      </c>
      <c r="L93">
        <v>0</v>
      </c>
      <c r="M93">
        <v>1.2382833910659956E-6</v>
      </c>
      <c r="N93">
        <v>0</v>
      </c>
      <c r="O93" s="1">
        <v>1.4467087239934299E-12</v>
      </c>
      <c r="P93">
        <v>0</v>
      </c>
      <c r="Q93">
        <v>100</v>
      </c>
      <c r="AJ93">
        <v>1</v>
      </c>
    </row>
    <row r="94" spans="1:36" x14ac:dyDescent="0.2">
      <c r="A94">
        <v>99</v>
      </c>
      <c r="B94">
        <v>744</v>
      </c>
      <c r="C94">
        <v>250</v>
      </c>
      <c r="D94">
        <v>0.31987464975667701</v>
      </c>
      <c r="E94">
        <v>3.6451058536847198</v>
      </c>
      <c r="F94">
        <v>2.5430588954681599</v>
      </c>
      <c r="G94">
        <v>-59.381696327717009</v>
      </c>
      <c r="H94">
        <v>-52.136079526221366</v>
      </c>
      <c r="I94">
        <v>7.12344964016678</v>
      </c>
      <c r="J94">
        <v>4.2171970277800401</v>
      </c>
      <c r="K94">
        <v>1.43335487045952</v>
      </c>
      <c r="L94">
        <v>0</v>
      </c>
      <c r="M94">
        <v>1.2382833910659954E-6</v>
      </c>
      <c r="N94">
        <v>0</v>
      </c>
      <c r="O94" s="1">
        <v>2.0379330536796E-12</v>
      </c>
      <c r="P94">
        <v>0</v>
      </c>
      <c r="Q94">
        <v>100</v>
      </c>
      <c r="AJ94">
        <v>1</v>
      </c>
    </row>
    <row r="95" spans="1:36" x14ac:dyDescent="0.2">
      <c r="A95">
        <v>100</v>
      </c>
      <c r="B95">
        <v>742</v>
      </c>
      <c r="C95">
        <v>250</v>
      </c>
      <c r="D95">
        <v>0.318396788651924</v>
      </c>
      <c r="E95">
        <v>20.729071442480201</v>
      </c>
      <c r="F95">
        <v>2.5430588954681599</v>
      </c>
      <c r="G95">
        <v>-337.61221812061859</v>
      </c>
      <c r="H95">
        <v>-296.5366096177824</v>
      </c>
      <c r="I95">
        <v>40.462600111152199</v>
      </c>
      <c r="J95">
        <v>23.976182858976699</v>
      </c>
      <c r="K95">
        <v>8.1512353014789998</v>
      </c>
      <c r="L95">
        <v>0</v>
      </c>
      <c r="M95">
        <v>1.2382833910659956E-6</v>
      </c>
      <c r="N95">
        <v>0</v>
      </c>
      <c r="O95" s="1">
        <v>1.1589364358791601E-11</v>
      </c>
      <c r="P95">
        <v>0</v>
      </c>
      <c r="Q95">
        <v>100</v>
      </c>
      <c r="AJ95">
        <v>1</v>
      </c>
    </row>
    <row r="96" spans="1:36" x14ac:dyDescent="0.2">
      <c r="A96">
        <v>101</v>
      </c>
      <c r="B96">
        <v>740</v>
      </c>
      <c r="C96">
        <v>250</v>
      </c>
      <c r="D96">
        <v>0.31691309282929903</v>
      </c>
      <c r="E96">
        <v>27.6142679527659</v>
      </c>
      <c r="F96">
        <v>2.5430588954681599</v>
      </c>
      <c r="G96">
        <v>-449.64295174348217</v>
      </c>
      <c r="H96">
        <v>-395.09562279334267</v>
      </c>
      <c r="I96">
        <v>53.839341607994299</v>
      </c>
      <c r="J96">
        <v>31.9315238176879</v>
      </c>
      <c r="K96">
        <v>10.8586820391677</v>
      </c>
      <c r="L96">
        <v>0</v>
      </c>
      <c r="M96">
        <v>1.2382833910659954E-6</v>
      </c>
      <c r="N96">
        <v>0</v>
      </c>
      <c r="O96" s="1">
        <v>1.5438791539406E-11</v>
      </c>
      <c r="P96">
        <v>0</v>
      </c>
      <c r="Q96">
        <v>100</v>
      </c>
      <c r="AJ96">
        <v>1</v>
      </c>
    </row>
    <row r="97" spans="1:36" x14ac:dyDescent="0.2">
      <c r="A97">
        <v>102</v>
      </c>
      <c r="B97">
        <v>738</v>
      </c>
      <c r="C97">
        <v>250</v>
      </c>
      <c r="D97">
        <v>0.31542352766652099</v>
      </c>
      <c r="E97">
        <v>29.792419385327999</v>
      </c>
      <c r="F97">
        <v>2.5430588954681599</v>
      </c>
      <c r="G97">
        <v>-484.9936737569559</v>
      </c>
      <c r="H97">
        <v>-426.32876944440955</v>
      </c>
      <c r="I97">
        <v>58.018003572710597</v>
      </c>
      <c r="J97">
        <v>34.441119780930499</v>
      </c>
      <c r="K97">
        <v>11.715190489067799</v>
      </c>
      <c r="L97">
        <v>0</v>
      </c>
      <c r="M97">
        <v>1.2382833910659954E-6</v>
      </c>
      <c r="N97">
        <v>0</v>
      </c>
      <c r="O97" s="1">
        <v>1.6656568739442799E-11</v>
      </c>
      <c r="P97">
        <v>0</v>
      </c>
      <c r="Q97">
        <v>100</v>
      </c>
      <c r="AJ97">
        <v>1</v>
      </c>
    </row>
    <row r="98" spans="1:36" x14ac:dyDescent="0.2">
      <c r="A98">
        <v>103</v>
      </c>
      <c r="B98">
        <v>736</v>
      </c>
      <c r="C98">
        <v>250</v>
      </c>
      <c r="D98">
        <v>0.31392805826685999</v>
      </c>
      <c r="E98">
        <v>30.8631001582553</v>
      </c>
      <c r="F98">
        <v>2.5430588954681599</v>
      </c>
      <c r="G98">
        <v>-502.30325400893958</v>
      </c>
      <c r="H98">
        <v>-441.72153256000888</v>
      </c>
      <c r="I98">
        <v>60.032424762355099</v>
      </c>
      <c r="J98">
        <v>35.669406299565303</v>
      </c>
      <c r="K98">
        <v>12.1362113214344</v>
      </c>
      <c r="L98">
        <v>0</v>
      </c>
      <c r="M98">
        <v>1.2382833910659952E-6</v>
      </c>
      <c r="N98">
        <v>0</v>
      </c>
      <c r="O98" s="1">
        <v>1.72551729568984E-11</v>
      </c>
      <c r="P98">
        <v>0</v>
      </c>
      <c r="Q98">
        <v>100</v>
      </c>
      <c r="AJ98">
        <v>1</v>
      </c>
    </row>
    <row r="99" spans="1:36" x14ac:dyDescent="0.2">
      <c r="A99">
        <v>104</v>
      </c>
      <c r="B99">
        <v>734</v>
      </c>
      <c r="C99">
        <v>250</v>
      </c>
      <c r="D99">
        <v>0.31242664945638698</v>
      </c>
      <c r="E99">
        <v>31.531707056240499</v>
      </c>
      <c r="F99">
        <v>2.5430588954681599</v>
      </c>
      <c r="G99">
        <v>-513.06237410575659</v>
      </c>
      <c r="H99">
        <v>-451.36370062799682</v>
      </c>
      <c r="I99">
        <v>61.2606597604724</v>
      </c>
      <c r="J99">
        <v>36.432428018782304</v>
      </c>
      <c r="K99">
        <v>12.399125758523001</v>
      </c>
      <c r="L99">
        <v>0</v>
      </c>
      <c r="M99">
        <v>1.2382833910659956E-6</v>
      </c>
      <c r="N99">
        <v>0</v>
      </c>
      <c r="O99" s="1">
        <v>1.7628982703999401E-11</v>
      </c>
      <c r="P99">
        <v>0</v>
      </c>
      <c r="Q99">
        <v>100</v>
      </c>
      <c r="AJ99">
        <v>1</v>
      </c>
    </row>
    <row r="100" spans="1:36" x14ac:dyDescent="0.2">
      <c r="A100">
        <v>105</v>
      </c>
      <c r="B100">
        <v>732</v>
      </c>
      <c r="C100">
        <v>250</v>
      </c>
      <c r="D100">
        <v>0.31091926578122597</v>
      </c>
      <c r="E100">
        <v>31.9988390924795</v>
      </c>
      <c r="F100">
        <v>2.5430588954681599</v>
      </c>
      <c r="G100">
        <v>-520.5389641771452</v>
      </c>
      <c r="H100">
        <v>-458.12444222725196</v>
      </c>
      <c r="I100">
        <v>62.094734069435603</v>
      </c>
      <c r="J100">
        <v>36.962267746837597</v>
      </c>
      <c r="K100">
        <v>12.5828147942239</v>
      </c>
      <c r="L100">
        <v>0</v>
      </c>
      <c r="M100">
        <v>1.2382833910659954E-6</v>
      </c>
      <c r="N100">
        <v>0</v>
      </c>
      <c r="O100" s="1">
        <v>1.7890150377942801E-11</v>
      </c>
      <c r="P100">
        <v>0</v>
      </c>
      <c r="Q100">
        <v>100</v>
      </c>
      <c r="AJ100">
        <v>1</v>
      </c>
    </row>
    <row r="101" spans="1:36" x14ac:dyDescent="0.2">
      <c r="A101">
        <v>106</v>
      </c>
      <c r="B101">
        <v>730</v>
      </c>
      <c r="C101">
        <v>250</v>
      </c>
      <c r="D101">
        <v>0.30940587150476501</v>
      </c>
      <c r="E101">
        <v>32.348708999818399</v>
      </c>
      <c r="F101">
        <v>2.5430588954681599</v>
      </c>
      <c r="G101">
        <v>-526.10497643651695</v>
      </c>
      <c r="H101">
        <v>-463.20822035093596</v>
      </c>
      <c r="I101">
        <v>62.699253437253702</v>
      </c>
      <c r="J101">
        <v>37.356359221163402</v>
      </c>
      <c r="K101">
        <v>12.7203931680328</v>
      </c>
      <c r="L101">
        <v>0</v>
      </c>
      <c r="M101">
        <v>1.2382833910659954E-6</v>
      </c>
      <c r="N101">
        <v>0</v>
      </c>
      <c r="O101" s="1">
        <v>1.8085758263495101E-11</v>
      </c>
      <c r="P101">
        <v>0</v>
      </c>
      <c r="Q101">
        <v>100</v>
      </c>
      <c r="AJ101">
        <v>1</v>
      </c>
    </row>
    <row r="102" spans="1:36" x14ac:dyDescent="0.2">
      <c r="A102">
        <v>108</v>
      </c>
      <c r="B102">
        <v>758</v>
      </c>
      <c r="C102">
        <v>240</v>
      </c>
      <c r="D102">
        <v>0.34072685836202499</v>
      </c>
      <c r="E102">
        <v>0.170573312723759</v>
      </c>
      <c r="F102">
        <v>2.5427440136239099</v>
      </c>
      <c r="G102">
        <v>-2.7841325206039711</v>
      </c>
      <c r="H102">
        <v>-2.4376216623083753</v>
      </c>
      <c r="I102">
        <v>0.33604311525538999</v>
      </c>
      <c r="J102">
        <v>0.19769930167635899</v>
      </c>
      <c r="K102">
        <v>6.70823770736792E-2</v>
      </c>
      <c r="L102">
        <v>0</v>
      </c>
      <c r="M102">
        <v>1.2382722283092387E-6</v>
      </c>
      <c r="N102">
        <v>0</v>
      </c>
      <c r="O102" s="1">
        <v>9.5365403922079105E-14</v>
      </c>
      <c r="P102">
        <v>0</v>
      </c>
      <c r="Q102">
        <v>100</v>
      </c>
      <c r="AJ102">
        <v>1</v>
      </c>
    </row>
    <row r="103" spans="1:36" x14ac:dyDescent="0.2">
      <c r="A103">
        <v>109</v>
      </c>
      <c r="B103">
        <v>756</v>
      </c>
      <c r="C103">
        <v>240</v>
      </c>
      <c r="D103">
        <v>0.33930962444735902</v>
      </c>
      <c r="E103">
        <v>0.58053799731163402</v>
      </c>
      <c r="F103">
        <v>2.5427440136239099</v>
      </c>
      <c r="G103">
        <v>-9.4733739006357514</v>
      </c>
      <c r="H103">
        <v>-8.2976726565489365</v>
      </c>
      <c r="I103">
        <v>1.1424002760402401</v>
      </c>
      <c r="J103">
        <v>0.672689680857537</v>
      </c>
      <c r="K103">
        <v>0.228311616978011</v>
      </c>
      <c r="L103">
        <v>0</v>
      </c>
      <c r="M103">
        <v>1.2382722283092387E-6</v>
      </c>
      <c r="N103">
        <v>0</v>
      </c>
      <c r="O103" s="1">
        <v>3.2457152717317802E-13</v>
      </c>
      <c r="P103">
        <v>0</v>
      </c>
      <c r="Q103">
        <v>100</v>
      </c>
      <c r="AJ103">
        <v>1</v>
      </c>
    </row>
    <row r="104" spans="1:36" x14ac:dyDescent="0.2">
      <c r="A104">
        <v>110</v>
      </c>
      <c r="B104">
        <v>754</v>
      </c>
      <c r="C104">
        <v>240</v>
      </c>
      <c r="D104">
        <v>0.33788687144039198</v>
      </c>
      <c r="E104">
        <v>0.98658149016546803</v>
      </c>
      <c r="F104">
        <v>2.5427440136239099</v>
      </c>
      <c r="G104">
        <v>-16.095419303436724</v>
      </c>
      <c r="H104">
        <v>-14.103568500368226</v>
      </c>
      <c r="I104">
        <v>1.9392014828102</v>
      </c>
      <c r="J104">
        <v>1.14289579844713</v>
      </c>
      <c r="K104">
        <v>0.38799874658219902</v>
      </c>
      <c r="L104">
        <v>0</v>
      </c>
      <c r="M104">
        <v>1.2382722283092387E-6</v>
      </c>
      <c r="N104">
        <v>0</v>
      </c>
      <c r="O104" s="1">
        <v>5.5158536121090901E-13</v>
      </c>
      <c r="P104">
        <v>0</v>
      </c>
      <c r="Q104">
        <v>100</v>
      </c>
      <c r="AJ104">
        <v>1</v>
      </c>
    </row>
    <row r="105" spans="1:36" x14ac:dyDescent="0.2">
      <c r="A105">
        <v>111</v>
      </c>
      <c r="B105">
        <v>752</v>
      </c>
      <c r="C105">
        <v>240</v>
      </c>
      <c r="D105">
        <v>0.33645856703896998</v>
      </c>
      <c r="E105">
        <v>1.3887648063648299</v>
      </c>
      <c r="F105">
        <v>2.5427440136239099</v>
      </c>
      <c r="G105">
        <v>-22.651315677198149</v>
      </c>
      <c r="H105">
        <v>-19.856153591485814</v>
      </c>
      <c r="I105">
        <v>2.72658838776016</v>
      </c>
      <c r="J105">
        <v>1.6083902190252199</v>
      </c>
      <c r="K105">
        <v>0.54616776164800296</v>
      </c>
      <c r="L105">
        <v>0</v>
      </c>
      <c r="M105">
        <v>1.2382722283092387E-6</v>
      </c>
      <c r="N105">
        <v>0</v>
      </c>
      <c r="O105" s="1">
        <v>7.7644101880247998E-13</v>
      </c>
      <c r="P105">
        <v>0</v>
      </c>
      <c r="Q105">
        <v>100</v>
      </c>
      <c r="AJ105">
        <v>1</v>
      </c>
    </row>
    <row r="106" spans="1:36" x14ac:dyDescent="0.2">
      <c r="A106">
        <v>112</v>
      </c>
      <c r="B106">
        <v>750</v>
      </c>
      <c r="C106">
        <v>240</v>
      </c>
      <c r="D106">
        <v>0.335024678688366</v>
      </c>
      <c r="E106">
        <v>1.7871476726764299</v>
      </c>
      <c r="F106">
        <v>2.5427440136239099</v>
      </c>
      <c r="G106">
        <v>-29.142087910704554</v>
      </c>
      <c r="H106">
        <v>-25.556254479684782</v>
      </c>
      <c r="I106">
        <v>3.5046996344815202</v>
      </c>
      <c r="J106">
        <v>2.0692439596997501</v>
      </c>
      <c r="K106">
        <v>0.70284215127475502</v>
      </c>
      <c r="L106">
        <v>0</v>
      </c>
      <c r="M106">
        <v>1.2382722283092387E-6</v>
      </c>
      <c r="N106">
        <v>0</v>
      </c>
      <c r="O106" s="1">
        <v>9.9917189243550293E-13</v>
      </c>
      <c r="P106">
        <v>0</v>
      </c>
      <c r="Q106">
        <v>100</v>
      </c>
      <c r="AJ106">
        <v>1</v>
      </c>
    </row>
    <row r="107" spans="1:36" x14ac:dyDescent="0.2">
      <c r="A107">
        <v>113</v>
      </c>
      <c r="B107">
        <v>748</v>
      </c>
      <c r="C107">
        <v>240</v>
      </c>
      <c r="D107">
        <v>0.33358517357881101</v>
      </c>
      <c r="E107">
        <v>2.1817885629789102</v>
      </c>
      <c r="F107">
        <v>2.5427440136239099</v>
      </c>
      <c r="G107">
        <v>-35.568739438610422</v>
      </c>
      <c r="H107">
        <v>-31.204680358258095</v>
      </c>
      <c r="I107">
        <v>4.2736709399719199</v>
      </c>
      <c r="J107">
        <v>2.52552653242758</v>
      </c>
      <c r="K107">
        <v>0.85804491183107201</v>
      </c>
      <c r="L107">
        <v>0</v>
      </c>
      <c r="M107">
        <v>1.2382722283092385E-6</v>
      </c>
      <c r="N107">
        <v>0</v>
      </c>
      <c r="O107" s="1">
        <v>1.2198106741235501E-12</v>
      </c>
      <c r="P107">
        <v>0</v>
      </c>
      <c r="Q107">
        <v>100</v>
      </c>
      <c r="AJ107">
        <v>1</v>
      </c>
    </row>
    <row r="108" spans="1:36" x14ac:dyDescent="0.2">
      <c r="A108">
        <v>114</v>
      </c>
      <c r="B108">
        <v>746</v>
      </c>
      <c r="C108">
        <v>240</v>
      </c>
      <c r="D108">
        <v>0.33214001864298798</v>
      </c>
      <c r="E108">
        <v>3.3227099941014</v>
      </c>
      <c r="F108">
        <v>2.5427440136239099</v>
      </c>
      <c r="G108">
        <v>-54.155670316440215</v>
      </c>
      <c r="H108">
        <v>-47.530217208629239</v>
      </c>
      <c r="I108">
        <v>6.50095972900061</v>
      </c>
      <c r="J108">
        <v>3.8452024511429999</v>
      </c>
      <c r="K108">
        <v>1.30674184121502</v>
      </c>
      <c r="L108">
        <v>0</v>
      </c>
      <c r="M108">
        <v>1.2382722283092385E-6</v>
      </c>
      <c r="N108">
        <v>0</v>
      </c>
      <c r="O108" s="1">
        <v>1.8576855643096799E-12</v>
      </c>
      <c r="P108">
        <v>0</v>
      </c>
      <c r="Q108">
        <v>100</v>
      </c>
      <c r="AJ108">
        <v>1</v>
      </c>
    </row>
    <row r="109" spans="1:36" x14ac:dyDescent="0.2">
      <c r="A109">
        <v>115</v>
      </c>
      <c r="B109">
        <v>744</v>
      </c>
      <c r="C109">
        <v>240</v>
      </c>
      <c r="D109">
        <v>0.33068918055350899</v>
      </c>
      <c r="E109">
        <v>16.3042312549751</v>
      </c>
      <c r="F109">
        <v>2.5427440136239099</v>
      </c>
      <c r="G109">
        <v>-265.67311350461824</v>
      </c>
      <c r="H109">
        <v>-233.26412000526622</v>
      </c>
      <c r="I109">
        <v>31.8625507539222</v>
      </c>
      <c r="J109">
        <v>18.863143718916699</v>
      </c>
      <c r="K109">
        <v>6.4120616025906498</v>
      </c>
      <c r="L109">
        <v>0</v>
      </c>
      <c r="M109">
        <v>1.2382722283092387E-6</v>
      </c>
      <c r="N109">
        <v>0</v>
      </c>
      <c r="O109" s="1">
        <v>9.1154915997190802E-12</v>
      </c>
      <c r="P109">
        <v>0</v>
      </c>
      <c r="Q109">
        <v>100</v>
      </c>
      <c r="AJ109">
        <v>1</v>
      </c>
    </row>
    <row r="110" spans="1:36" x14ac:dyDescent="0.2">
      <c r="A110">
        <v>116</v>
      </c>
      <c r="B110">
        <v>742</v>
      </c>
      <c r="C110">
        <v>240</v>
      </c>
      <c r="D110">
        <v>0.32923262572033701</v>
      </c>
      <c r="E110">
        <v>26.749571364601799</v>
      </c>
      <c r="F110">
        <v>2.5427440136239099</v>
      </c>
      <c r="G110">
        <v>-435.77266365995655</v>
      </c>
      <c r="H110">
        <v>-382.76715764682302</v>
      </c>
      <c r="I110">
        <v>52.214456989738999</v>
      </c>
      <c r="J110">
        <v>30.939765739945798</v>
      </c>
      <c r="K110">
        <v>10.519962379727801</v>
      </c>
      <c r="L110">
        <v>0</v>
      </c>
      <c r="M110">
        <v>1.2382722283092387E-6</v>
      </c>
      <c r="N110">
        <v>0</v>
      </c>
      <c r="O110" s="1">
        <v>1.4955350501159601E-11</v>
      </c>
      <c r="P110">
        <v>0</v>
      </c>
      <c r="Q110">
        <v>100</v>
      </c>
      <c r="AJ110">
        <v>1</v>
      </c>
    </row>
    <row r="111" spans="1:36" x14ac:dyDescent="0.2">
      <c r="A111">
        <v>117</v>
      </c>
      <c r="B111">
        <v>740</v>
      </c>
      <c r="C111">
        <v>240</v>
      </c>
      <c r="D111">
        <v>0.32777032028821201</v>
      </c>
      <c r="E111">
        <v>29.368515168742299</v>
      </c>
      <c r="F111">
        <v>2.5427440136239099</v>
      </c>
      <c r="G111">
        <v>-478.32284029854998</v>
      </c>
      <c r="H111">
        <v>-420.31029184255931</v>
      </c>
      <c r="I111">
        <v>57.259584914366698</v>
      </c>
      <c r="J111">
        <v>33.960032661553498</v>
      </c>
      <c r="K111">
        <v>11.5499299227083</v>
      </c>
      <c r="L111">
        <v>0</v>
      </c>
      <c r="M111">
        <v>1.2382722283092385E-6</v>
      </c>
      <c r="N111">
        <v>0</v>
      </c>
      <c r="O111" s="1">
        <v>1.64195691983456E-11</v>
      </c>
      <c r="P111">
        <v>0</v>
      </c>
      <c r="Q111">
        <v>100</v>
      </c>
      <c r="AJ111">
        <v>1</v>
      </c>
    </row>
    <row r="112" spans="1:36" x14ac:dyDescent="0.2">
      <c r="A112">
        <v>118</v>
      </c>
      <c r="B112">
        <v>738</v>
      </c>
      <c r="C112">
        <v>240</v>
      </c>
      <c r="D112">
        <v>0.326302230134007</v>
      </c>
      <c r="E112">
        <v>30.597539863402901</v>
      </c>
      <c r="F112">
        <v>2.5427440136239099</v>
      </c>
      <c r="G112">
        <v>-498.22063311884324</v>
      </c>
      <c r="H112">
        <v>-437.97034847194249</v>
      </c>
      <c r="I112">
        <v>59.585901841369498</v>
      </c>
      <c r="J112">
        <v>35.371868320175203</v>
      </c>
      <c r="K112">
        <v>12.033275744417301</v>
      </c>
      <c r="L112">
        <v>0</v>
      </c>
      <c r="M112">
        <v>1.2382722283092387E-6</v>
      </c>
      <c r="N112">
        <v>0</v>
      </c>
      <c r="O112" s="1">
        <v>1.7106701520306901E-11</v>
      </c>
      <c r="P112">
        <v>0</v>
      </c>
      <c r="Q112">
        <v>100</v>
      </c>
      <c r="AJ112">
        <v>1</v>
      </c>
    </row>
    <row r="113" spans="1:36" x14ac:dyDescent="0.2">
      <c r="A113">
        <v>119</v>
      </c>
      <c r="B113">
        <v>736</v>
      </c>
      <c r="C113">
        <v>240</v>
      </c>
      <c r="D113">
        <v>0.32482832086409602</v>
      </c>
      <c r="E113">
        <v>31.3400134798915</v>
      </c>
      <c r="F113">
        <v>2.5427440136239099</v>
      </c>
      <c r="G113">
        <v>-510.18836074978032</v>
      </c>
      <c r="H113">
        <v>-448.67049776424125</v>
      </c>
      <c r="I113">
        <v>60.9600782693743</v>
      </c>
      <c r="J113">
        <v>36.2205892640727</v>
      </c>
      <c r="K113">
        <v>12.325272741562999</v>
      </c>
      <c r="L113">
        <v>0</v>
      </c>
      <c r="M113">
        <v>1.2382722283092387E-6</v>
      </c>
      <c r="N113">
        <v>0</v>
      </c>
      <c r="O113" s="1">
        <v>1.7521809225066001E-11</v>
      </c>
      <c r="P113">
        <v>0</v>
      </c>
      <c r="Q113">
        <v>100</v>
      </c>
      <c r="AJ113">
        <v>1</v>
      </c>
    </row>
    <row r="114" spans="1:36" x14ac:dyDescent="0.2">
      <c r="A114">
        <v>120</v>
      </c>
      <c r="B114">
        <v>734</v>
      </c>
      <c r="C114">
        <v>240</v>
      </c>
      <c r="D114">
        <v>0.32334855781164801</v>
      </c>
      <c r="E114">
        <v>31.8489408908694</v>
      </c>
      <c r="F114">
        <v>2.5427440136239099</v>
      </c>
      <c r="G114">
        <v>-518.34943258266344</v>
      </c>
      <c r="H114">
        <v>-456.03002180248103</v>
      </c>
      <c r="I114">
        <v>61.876990299540701</v>
      </c>
      <c r="J114">
        <v>36.7989669703407</v>
      </c>
      <c r="K114">
        <v>12.5254216390734</v>
      </c>
      <c r="L114">
        <v>0</v>
      </c>
      <c r="M114">
        <v>1.2382722283092387E-6</v>
      </c>
      <c r="N114">
        <v>0</v>
      </c>
      <c r="O114" s="1">
        <v>1.7806344169835099E-11</v>
      </c>
      <c r="P114">
        <v>0</v>
      </c>
      <c r="Q114">
        <v>100</v>
      </c>
      <c r="AJ114">
        <v>1</v>
      </c>
    </row>
    <row r="115" spans="1:36" x14ac:dyDescent="0.2">
      <c r="A115">
        <v>121</v>
      </c>
      <c r="B115">
        <v>732</v>
      </c>
      <c r="C115">
        <v>240</v>
      </c>
      <c r="D115">
        <v>0.32186290603392398</v>
      </c>
      <c r="E115">
        <v>32.225390010689203</v>
      </c>
      <c r="F115">
        <v>2.5427440136239099</v>
      </c>
      <c r="G115">
        <v>-524.35109286563932</v>
      </c>
      <c r="H115">
        <v>-461.49467778279541</v>
      </c>
      <c r="I115">
        <v>62.534363112812997</v>
      </c>
      <c r="J115">
        <v>37.223959606125199</v>
      </c>
      <c r="K115">
        <v>12.673470014294301</v>
      </c>
      <c r="L115">
        <v>0</v>
      </c>
      <c r="M115">
        <v>1.2382722283092387E-6</v>
      </c>
      <c r="N115">
        <v>0</v>
      </c>
      <c r="O115" s="1">
        <v>1.80168121603692E-11</v>
      </c>
      <c r="P115">
        <v>0</v>
      </c>
      <c r="Q115">
        <v>100</v>
      </c>
      <c r="AJ115">
        <v>1</v>
      </c>
    </row>
    <row r="116" spans="1:36" x14ac:dyDescent="0.2">
      <c r="A116">
        <v>123</v>
      </c>
      <c r="B116">
        <v>758</v>
      </c>
      <c r="C116">
        <v>230</v>
      </c>
      <c r="D116">
        <v>0.35139455947243498</v>
      </c>
      <c r="E116">
        <v>0.195136485193456</v>
      </c>
      <c r="F116">
        <v>2.5424291736083</v>
      </c>
      <c r="G116">
        <v>-3.1858251211973259</v>
      </c>
      <c r="H116">
        <v>-2.7894154490777789</v>
      </c>
      <c r="I116">
        <v>0.38443453631338398</v>
      </c>
      <c r="J116">
        <v>0.226168714427224</v>
      </c>
      <c r="K116">
        <v>7.6751984762868403E-2</v>
      </c>
      <c r="L116">
        <v>0</v>
      </c>
      <c r="M116">
        <v>1.2382610507153452E-6</v>
      </c>
      <c r="N116">
        <v>0</v>
      </c>
      <c r="O116" s="1">
        <v>1.09098366170247E-13</v>
      </c>
      <c r="P116">
        <v>0</v>
      </c>
      <c r="Q116">
        <v>100</v>
      </c>
      <c r="AJ116">
        <v>1</v>
      </c>
    </row>
    <row r="117" spans="1:36" x14ac:dyDescent="0.2">
      <c r="A117">
        <v>124</v>
      </c>
      <c r="B117">
        <v>756</v>
      </c>
      <c r="C117">
        <v>230</v>
      </c>
      <c r="D117">
        <v>0.34999805664869299</v>
      </c>
      <c r="E117">
        <v>0.59970574647409602</v>
      </c>
      <c r="F117">
        <v>2.5424291736083</v>
      </c>
      <c r="G117">
        <v>-9.788516988872761</v>
      </c>
      <c r="H117">
        <v>-8.5739973614225686</v>
      </c>
      <c r="I117">
        <v>1.1801191541079401</v>
      </c>
      <c r="J117">
        <v>0.694900022172944</v>
      </c>
      <c r="K117">
        <v>0.23587903753596901</v>
      </c>
      <c r="L117">
        <v>0</v>
      </c>
      <c r="M117">
        <v>1.2382610507153454E-6</v>
      </c>
      <c r="N117">
        <v>0</v>
      </c>
      <c r="O117" s="1">
        <v>3.3528797578970699E-13</v>
      </c>
      <c r="P117">
        <v>0</v>
      </c>
      <c r="Q117">
        <v>100</v>
      </c>
      <c r="AJ117">
        <v>1</v>
      </c>
    </row>
    <row r="118" spans="1:36" x14ac:dyDescent="0.2">
      <c r="A118">
        <v>125</v>
      </c>
      <c r="B118">
        <v>754</v>
      </c>
      <c r="C118">
        <v>230</v>
      </c>
      <c r="D118">
        <v>0.34859611546511998</v>
      </c>
      <c r="E118">
        <v>1.00044725223344</v>
      </c>
      <c r="F118">
        <v>2.5424291736083</v>
      </c>
      <c r="G118">
        <v>-16.325564729687496</v>
      </c>
      <c r="H118">
        <v>-14.30571975727206</v>
      </c>
      <c r="I118">
        <v>1.96645570015619</v>
      </c>
      <c r="J118">
        <v>1.1589584565931801</v>
      </c>
      <c r="K118">
        <v>0.39350053980601901</v>
      </c>
      <c r="L118">
        <v>0</v>
      </c>
      <c r="M118">
        <v>1.238261050715345E-6</v>
      </c>
      <c r="N118">
        <v>0</v>
      </c>
      <c r="O118" s="1">
        <v>5.5933753521271798E-13</v>
      </c>
      <c r="P118">
        <v>0</v>
      </c>
      <c r="Q118">
        <v>100</v>
      </c>
      <c r="AJ118">
        <v>1</v>
      </c>
    </row>
    <row r="119" spans="1:36" x14ac:dyDescent="0.2">
      <c r="A119">
        <v>126</v>
      </c>
      <c r="B119">
        <v>752</v>
      </c>
      <c r="C119">
        <v>230</v>
      </c>
      <c r="D119">
        <v>0.34718870409208602</v>
      </c>
      <c r="E119">
        <v>1.3974197761921401</v>
      </c>
      <c r="F119">
        <v>2.5424291736083</v>
      </c>
      <c r="G119">
        <v>-22.797977791382358</v>
      </c>
      <c r="H119">
        <v>-19.985395878062501</v>
      </c>
      <c r="I119">
        <v>2.74358085482111</v>
      </c>
      <c r="J119">
        <v>1.6184139240848501</v>
      </c>
      <c r="K119">
        <v>0.54963960872462503</v>
      </c>
      <c r="L119">
        <v>0</v>
      </c>
      <c r="M119">
        <v>1.2382610507153452E-6</v>
      </c>
      <c r="N119">
        <v>0</v>
      </c>
      <c r="O119" s="1">
        <v>7.8127990409077499E-13</v>
      </c>
      <c r="P119">
        <v>0</v>
      </c>
      <c r="Q119">
        <v>100</v>
      </c>
      <c r="AJ119">
        <v>1</v>
      </c>
    </row>
    <row r="120" spans="1:36" x14ac:dyDescent="0.2">
      <c r="A120">
        <v>127</v>
      </c>
      <c r="B120">
        <v>750</v>
      </c>
      <c r="C120">
        <v>230</v>
      </c>
      <c r="D120">
        <v>0.34577579045105999</v>
      </c>
      <c r="E120">
        <v>1.7906808616113701</v>
      </c>
      <c r="F120">
        <v>2.5424291736083</v>
      </c>
      <c r="G120">
        <v>-29.206744538389739</v>
      </c>
      <c r="H120">
        <v>-25.61382191871774</v>
      </c>
      <c r="I120">
        <v>3.5116284217094198</v>
      </c>
      <c r="J120">
        <v>2.0733348526762398</v>
      </c>
      <c r="K120">
        <v>0.70431887747337796</v>
      </c>
      <c r="L120">
        <v>0</v>
      </c>
      <c r="M120">
        <v>1.238261050715345E-6</v>
      </c>
      <c r="N120">
        <v>0</v>
      </c>
      <c r="O120" s="1">
        <v>1.00114725414087E-12</v>
      </c>
      <c r="P120">
        <v>0</v>
      </c>
      <c r="Q120">
        <v>100</v>
      </c>
      <c r="AJ120">
        <v>1</v>
      </c>
    </row>
    <row r="121" spans="1:36" x14ac:dyDescent="0.2">
      <c r="A121">
        <v>128</v>
      </c>
      <c r="B121">
        <v>748</v>
      </c>
      <c r="C121">
        <v>230</v>
      </c>
      <c r="D121">
        <v>0.34435734221221198</v>
      </c>
      <c r="E121">
        <v>3.0434979381036702</v>
      </c>
      <c r="F121">
        <v>2.5424291736083</v>
      </c>
      <c r="G121">
        <v>-49.628778505753552</v>
      </c>
      <c r="H121">
        <v>-43.541110324616753</v>
      </c>
      <c r="I121">
        <v>5.9615807483100403</v>
      </c>
      <c r="J121">
        <v>3.5229971063624701</v>
      </c>
      <c r="K121">
        <v>1.1970826836384301</v>
      </c>
      <c r="L121">
        <v>0</v>
      </c>
      <c r="M121">
        <v>1.2382610507153452E-6</v>
      </c>
      <c r="N121">
        <v>0</v>
      </c>
      <c r="O121" s="1">
        <v>1.7015815989533801E-12</v>
      </c>
      <c r="P121">
        <v>0</v>
      </c>
      <c r="Q121">
        <v>100</v>
      </c>
      <c r="AJ121">
        <v>1</v>
      </c>
    </row>
    <row r="122" spans="1:36" x14ac:dyDescent="0.2">
      <c r="A122">
        <v>129</v>
      </c>
      <c r="B122">
        <v>746</v>
      </c>
      <c r="C122">
        <v>230</v>
      </c>
      <c r="D122">
        <v>0.342933326791936</v>
      </c>
      <c r="E122">
        <v>6.0006044800806002</v>
      </c>
      <c r="F122">
        <v>2.5424291736083</v>
      </c>
      <c r="G122">
        <v>-97.825322030535233</v>
      </c>
      <c r="H122">
        <v>-85.860171995812934</v>
      </c>
      <c r="I122">
        <v>11.7403228521044</v>
      </c>
      <c r="J122">
        <v>6.94419287151349</v>
      </c>
      <c r="K122">
        <v>2.3601855038362101</v>
      </c>
      <c r="L122">
        <v>0</v>
      </c>
      <c r="M122">
        <v>1.2382610507153454E-6</v>
      </c>
      <c r="N122">
        <v>0</v>
      </c>
      <c r="O122" s="1">
        <v>3.3548628497722298E-12</v>
      </c>
      <c r="P122">
        <v>0</v>
      </c>
      <c r="Q122">
        <v>100</v>
      </c>
      <c r="AJ122">
        <v>1</v>
      </c>
    </row>
    <row r="123" spans="1:36" x14ac:dyDescent="0.2">
      <c r="A123">
        <v>130</v>
      </c>
      <c r="B123">
        <v>744</v>
      </c>
      <c r="C123">
        <v>230</v>
      </c>
      <c r="D123">
        <v>0.34150371135034502</v>
      </c>
      <c r="E123">
        <v>25.779719802316301</v>
      </c>
      <c r="F123">
        <v>2.5424291736083</v>
      </c>
      <c r="G123">
        <v>-420.17507185014688</v>
      </c>
      <c r="H123">
        <v>-368.93102615290229</v>
      </c>
      <c r="I123">
        <v>50.380028213385003</v>
      </c>
      <c r="J123">
        <v>29.825788904712098</v>
      </c>
      <c r="K123">
        <v>10.1397986106841</v>
      </c>
      <c r="L123">
        <v>0</v>
      </c>
      <c r="M123">
        <v>1.238261050715345E-6</v>
      </c>
      <c r="N123">
        <v>0</v>
      </c>
      <c r="O123" s="1">
        <v>1.4413118633202601E-11</v>
      </c>
      <c r="P123">
        <v>0</v>
      </c>
      <c r="Q123">
        <v>100</v>
      </c>
      <c r="AJ123">
        <v>1</v>
      </c>
    </row>
    <row r="124" spans="1:36" x14ac:dyDescent="0.2">
      <c r="A124">
        <v>131</v>
      </c>
      <c r="B124">
        <v>742</v>
      </c>
      <c r="C124">
        <v>230</v>
      </c>
      <c r="D124">
        <v>0.34006846278875003</v>
      </c>
      <c r="E124">
        <v>28.920809366181601</v>
      </c>
      <c r="F124">
        <v>2.5424291736083</v>
      </c>
      <c r="G124">
        <v>-471.25767390899165</v>
      </c>
      <c r="H124">
        <v>-413.94975992901561</v>
      </c>
      <c r="I124">
        <v>56.4526562379707</v>
      </c>
      <c r="J124">
        <v>33.451117948880501</v>
      </c>
      <c r="K124">
        <v>11.3752664838785</v>
      </c>
      <c r="L124">
        <v>0</v>
      </c>
      <c r="M124">
        <v>1.2382610507153452E-6</v>
      </c>
      <c r="N124">
        <v>0</v>
      </c>
      <c r="O124" s="1">
        <v>1.6169262488475899E-11</v>
      </c>
      <c r="P124">
        <v>0</v>
      </c>
      <c r="Q124">
        <v>100</v>
      </c>
      <c r="AJ124">
        <v>1</v>
      </c>
    </row>
    <row r="125" spans="1:36" x14ac:dyDescent="0.2">
      <c r="A125">
        <v>132</v>
      </c>
      <c r="B125">
        <v>740</v>
      </c>
      <c r="C125">
        <v>230</v>
      </c>
      <c r="D125">
        <v>0.33862754774713</v>
      </c>
      <c r="E125">
        <v>30.3262985281692</v>
      </c>
      <c r="F125">
        <v>2.5424291736083</v>
      </c>
      <c r="G125">
        <v>-494.04146064140872</v>
      </c>
      <c r="H125">
        <v>-434.13697269750566</v>
      </c>
      <c r="I125">
        <v>59.126968310618402</v>
      </c>
      <c r="J125">
        <v>35.067557300846502</v>
      </c>
      <c r="K125">
        <v>11.928079980741</v>
      </c>
      <c r="L125">
        <v>0</v>
      </c>
      <c r="M125">
        <v>1.2382610507153452E-6</v>
      </c>
      <c r="N125">
        <v>0</v>
      </c>
      <c r="O125" s="1">
        <v>1.6955053885153E-11</v>
      </c>
      <c r="P125">
        <v>0</v>
      </c>
      <c r="Q125">
        <v>100</v>
      </c>
      <c r="AJ125">
        <v>1</v>
      </c>
    </row>
    <row r="126" spans="1:36" x14ac:dyDescent="0.2">
      <c r="A126">
        <v>133</v>
      </c>
      <c r="B126">
        <v>738</v>
      </c>
      <c r="C126">
        <v>230</v>
      </c>
      <c r="D126">
        <v>0.33718093260149401</v>
      </c>
      <c r="E126">
        <v>31.1471733100549</v>
      </c>
      <c r="F126">
        <v>2.5424291736083</v>
      </c>
      <c r="G126">
        <v>-507.29283246320642</v>
      </c>
      <c r="H126">
        <v>-445.9602525808038</v>
      </c>
      <c r="I126">
        <v>60.656262554915301</v>
      </c>
      <c r="J126">
        <v>36.007264563995101</v>
      </c>
      <c r="K126">
        <v>12.250950246078901</v>
      </c>
      <c r="L126">
        <v>0</v>
      </c>
      <c r="M126">
        <v>1.2382610507153454E-6</v>
      </c>
      <c r="N126">
        <v>0</v>
      </c>
      <c r="O126" s="1">
        <v>1.7413994700066701E-11</v>
      </c>
      <c r="P126">
        <v>0</v>
      </c>
      <c r="Q126">
        <v>100</v>
      </c>
      <c r="AJ126">
        <v>1</v>
      </c>
    </row>
    <row r="127" spans="1:36" x14ac:dyDescent="0.2">
      <c r="A127">
        <v>134</v>
      </c>
      <c r="B127">
        <v>736</v>
      </c>
      <c r="C127">
        <v>230</v>
      </c>
      <c r="D127">
        <v>0.335728583461332</v>
      </c>
      <c r="E127">
        <v>31.6993271113618</v>
      </c>
      <c r="F127">
        <v>2.5424291736083</v>
      </c>
      <c r="G127">
        <v>-516.16234998198752</v>
      </c>
      <c r="H127">
        <v>-453.93918395744981</v>
      </c>
      <c r="I127">
        <v>61.658986299893698</v>
      </c>
      <c r="J127">
        <v>36.635858755606897</v>
      </c>
      <c r="K127">
        <v>12.4681259326382</v>
      </c>
      <c r="L127">
        <v>0</v>
      </c>
      <c r="M127">
        <v>1.2382610507153452E-6</v>
      </c>
      <c r="N127">
        <v>0</v>
      </c>
      <c r="O127" s="1">
        <v>1.77226969785645E-11</v>
      </c>
      <c r="P127">
        <v>0</v>
      </c>
      <c r="Q127">
        <v>100</v>
      </c>
      <c r="AJ127">
        <v>1</v>
      </c>
    </row>
    <row r="128" spans="1:36" x14ac:dyDescent="0.2">
      <c r="A128">
        <v>135</v>
      </c>
      <c r="B128">
        <v>734</v>
      </c>
      <c r="C128">
        <v>230</v>
      </c>
      <c r="D128">
        <v>0.33427046616690598</v>
      </c>
      <c r="E128">
        <v>32.1028398650379</v>
      </c>
      <c r="F128">
        <v>2.5424291736083</v>
      </c>
      <c r="G128">
        <v>-522.60796207897056</v>
      </c>
      <c r="H128">
        <v>-459.79174248740293</v>
      </c>
      <c r="I128">
        <v>62.3702721457257</v>
      </c>
      <c r="J128">
        <v>37.092327430779299</v>
      </c>
      <c r="K128">
        <v>12.626837434954499</v>
      </c>
      <c r="L128">
        <v>0</v>
      </c>
      <c r="M128">
        <v>1.2382610507153452E-6</v>
      </c>
      <c r="N128">
        <v>0</v>
      </c>
      <c r="O128" s="1">
        <v>1.7948295908007601E-11</v>
      </c>
      <c r="P128">
        <v>0</v>
      </c>
      <c r="Q128">
        <v>100</v>
      </c>
      <c r="AJ128">
        <v>1</v>
      </c>
    </row>
    <row r="129" spans="1:36" x14ac:dyDescent="0.2">
      <c r="A129">
        <v>136</v>
      </c>
      <c r="B129">
        <v>732</v>
      </c>
      <c r="C129">
        <v>230</v>
      </c>
      <c r="D129">
        <v>0.33280654628662198</v>
      </c>
      <c r="E129">
        <v>32.414297305757501</v>
      </c>
      <c r="F129">
        <v>2.5424291736083</v>
      </c>
      <c r="G129">
        <v>-527.55235799187744</v>
      </c>
      <c r="H129">
        <v>-464.32747458802771</v>
      </c>
      <c r="I129">
        <v>62.900943544595101</v>
      </c>
      <c r="J129">
        <v>37.442168835512199</v>
      </c>
      <c r="K129">
        <v>12.7493413158699</v>
      </c>
      <c r="L129">
        <v>0</v>
      </c>
      <c r="M129">
        <v>1.2382610507153452E-6</v>
      </c>
      <c r="N129">
        <v>0</v>
      </c>
      <c r="O129" s="1">
        <v>1.8122427864316999E-11</v>
      </c>
      <c r="P129">
        <v>0</v>
      </c>
      <c r="Q129">
        <v>100</v>
      </c>
      <c r="AJ129">
        <v>1</v>
      </c>
    </row>
    <row r="130" spans="1:36" x14ac:dyDescent="0.2">
      <c r="A130">
        <v>138</v>
      </c>
      <c r="B130">
        <v>758</v>
      </c>
      <c r="C130">
        <v>220</v>
      </c>
      <c r="D130">
        <v>0.36206226058284502</v>
      </c>
      <c r="E130">
        <v>0.231024020759964</v>
      </c>
      <c r="F130">
        <v>2.5421143754192301</v>
      </c>
      <c r="G130">
        <v>-3.7726386980222681</v>
      </c>
      <c r="H130">
        <v>-3.3033253544391608</v>
      </c>
      <c r="I130">
        <v>0.45513586149746099</v>
      </c>
      <c r="J130">
        <v>0.267763384819034</v>
      </c>
      <c r="K130">
        <v>9.0878688619926901E-2</v>
      </c>
      <c r="L130">
        <v>0</v>
      </c>
      <c r="M130">
        <v>1.2382498582903022E-6</v>
      </c>
      <c r="N130">
        <v>0</v>
      </c>
      <c r="O130" s="1">
        <v>1.2916263806845699E-13</v>
      </c>
      <c r="P130">
        <v>0</v>
      </c>
      <c r="Q130">
        <v>100</v>
      </c>
      <c r="AJ130">
        <v>1</v>
      </c>
    </row>
    <row r="131" spans="1:36" x14ac:dyDescent="0.2">
      <c r="A131">
        <v>139</v>
      </c>
      <c r="B131">
        <v>756</v>
      </c>
      <c r="C131">
        <v>220</v>
      </c>
      <c r="D131">
        <v>0.36068648885002402</v>
      </c>
      <c r="E131">
        <v>0.62996469358161999</v>
      </c>
      <c r="F131">
        <v>2.5421143754192301</v>
      </c>
      <c r="G131">
        <v>-10.284887527653</v>
      </c>
      <c r="H131">
        <v>-9.0090877050668858</v>
      </c>
      <c r="I131">
        <v>1.2396636278347299</v>
      </c>
      <c r="J131">
        <v>0.72996212244390901</v>
      </c>
      <c r="K131">
        <v>0.24781131001539999</v>
      </c>
      <c r="L131">
        <v>0</v>
      </c>
      <c r="M131">
        <v>1.2382498582903022E-6</v>
      </c>
      <c r="N131">
        <v>0</v>
      </c>
      <c r="O131" s="1">
        <v>3.52205374338677E-13</v>
      </c>
      <c r="P131">
        <v>0</v>
      </c>
      <c r="Q131">
        <v>100</v>
      </c>
      <c r="AJ131">
        <v>1</v>
      </c>
    </row>
    <row r="132" spans="1:36" x14ac:dyDescent="0.2">
      <c r="A132">
        <v>140</v>
      </c>
      <c r="B132">
        <v>754</v>
      </c>
      <c r="C132">
        <v>220</v>
      </c>
      <c r="D132">
        <v>0.35930535948985198</v>
      </c>
      <c r="E132">
        <v>1.02517603518268</v>
      </c>
      <c r="F132">
        <v>2.5421143754192301</v>
      </c>
      <c r="G132">
        <v>-16.733128115780872</v>
      </c>
      <c r="H132">
        <v>-14.663357164956796</v>
      </c>
      <c r="I132">
        <v>2.01506201706087</v>
      </c>
      <c r="J132">
        <v>1.1876052763593501</v>
      </c>
      <c r="K132">
        <v>0.40327691196570198</v>
      </c>
      <c r="L132">
        <v>0</v>
      </c>
      <c r="M132">
        <v>1.2382498582903022E-6</v>
      </c>
      <c r="N132">
        <v>0</v>
      </c>
      <c r="O132" s="1">
        <v>5.7316308820690502E-13</v>
      </c>
      <c r="P132">
        <v>0</v>
      </c>
      <c r="Q132">
        <v>100</v>
      </c>
      <c r="AJ132">
        <v>1</v>
      </c>
    </row>
    <row r="133" spans="1:36" x14ac:dyDescent="0.2">
      <c r="A133">
        <v>141</v>
      </c>
      <c r="B133">
        <v>752</v>
      </c>
      <c r="C133">
        <v>220</v>
      </c>
      <c r="D133">
        <v>0.35791884114519901</v>
      </c>
      <c r="E133">
        <v>1.41671453942498</v>
      </c>
      <c r="F133">
        <v>2.5421143754192301</v>
      </c>
      <c r="G133">
        <v>-23.11833170197896</v>
      </c>
      <c r="H133">
        <v>-20.266915285945554</v>
      </c>
      <c r="I133">
        <v>2.78146263086709</v>
      </c>
      <c r="J133">
        <v>1.6407600465671399</v>
      </c>
      <c r="K133">
        <v>0.55729771764944702</v>
      </c>
      <c r="L133">
        <v>0</v>
      </c>
      <c r="M133">
        <v>1.2382498582903022E-6</v>
      </c>
      <c r="N133">
        <v>0</v>
      </c>
      <c r="O133" s="1">
        <v>7.9206736468410505E-13</v>
      </c>
      <c r="P133">
        <v>0</v>
      </c>
      <c r="Q133">
        <v>100</v>
      </c>
      <c r="AJ133">
        <v>1</v>
      </c>
    </row>
    <row r="134" spans="1:36" x14ac:dyDescent="0.2">
      <c r="A134">
        <v>142</v>
      </c>
      <c r="B134">
        <v>750</v>
      </c>
      <c r="C134">
        <v>220</v>
      </c>
      <c r="D134">
        <v>0.356526902213751</v>
      </c>
      <c r="E134">
        <v>2.81775647696315</v>
      </c>
      <c r="F134">
        <v>2.5421143754192301</v>
      </c>
      <c r="G134">
        <v>-45.969855700329902</v>
      </c>
      <c r="H134">
        <v>-40.316150900191488</v>
      </c>
      <c r="I134">
        <v>5.5257829254150401</v>
      </c>
      <c r="J134">
        <v>3.26253149586061</v>
      </c>
      <c r="K134">
        <v>1.1084302516870199</v>
      </c>
      <c r="L134">
        <v>0</v>
      </c>
      <c r="M134">
        <v>1.2382498582903024E-6</v>
      </c>
      <c r="N134">
        <v>0</v>
      </c>
      <c r="O134" s="1">
        <v>1.57537237384154E-12</v>
      </c>
      <c r="P134">
        <v>0</v>
      </c>
      <c r="Q134">
        <v>100</v>
      </c>
      <c r="AJ134">
        <v>1</v>
      </c>
    </row>
    <row r="135" spans="1:36" x14ac:dyDescent="0.2">
      <c r="A135">
        <v>143</v>
      </c>
      <c r="B135">
        <v>748</v>
      </c>
      <c r="C135">
        <v>220</v>
      </c>
      <c r="D135">
        <v>0.355129510845618</v>
      </c>
      <c r="E135">
        <v>4.2296177380848503</v>
      </c>
      <c r="F135">
        <v>2.5421143754192301</v>
      </c>
      <c r="G135">
        <v>-68.986870145432405</v>
      </c>
      <c r="H135">
        <v>-60.526700351936768</v>
      </c>
      <c r="I135">
        <v>8.2849432438874206</v>
      </c>
      <c r="J135">
        <v>4.8959885484846799</v>
      </c>
      <c r="K135">
        <v>1.66381881908336</v>
      </c>
      <c r="L135">
        <v>0</v>
      </c>
      <c r="M135">
        <v>1.2382498582903022E-6</v>
      </c>
      <c r="N135">
        <v>0</v>
      </c>
      <c r="O135" s="1">
        <v>2.3647263313791899E-12</v>
      </c>
      <c r="P135">
        <v>0</v>
      </c>
      <c r="Q135">
        <v>100</v>
      </c>
      <c r="AJ135">
        <v>1</v>
      </c>
    </row>
    <row r="136" spans="1:36" x14ac:dyDescent="0.2">
      <c r="A136">
        <v>144</v>
      </c>
      <c r="B136">
        <v>746</v>
      </c>
      <c r="C136">
        <v>220</v>
      </c>
      <c r="D136">
        <v>0.35372663494088302</v>
      </c>
      <c r="E136">
        <v>24.7518043703415</v>
      </c>
      <c r="F136">
        <v>2.5421143754192301</v>
      </c>
      <c r="G136">
        <v>-403.61558007600939</v>
      </c>
      <c r="H136">
        <v>-354.26071026175146</v>
      </c>
      <c r="I136">
        <v>48.427483505134603</v>
      </c>
      <c r="J136">
        <v>28.643998123221301</v>
      </c>
      <c r="K136">
        <v>9.7366997369107793</v>
      </c>
      <c r="L136">
        <v>0</v>
      </c>
      <c r="M136">
        <v>1.2382498582903022E-6</v>
      </c>
      <c r="N136">
        <v>0</v>
      </c>
      <c r="O136" s="1">
        <v>1.3838423982540699E-11</v>
      </c>
      <c r="P136">
        <v>0</v>
      </c>
      <c r="Q136">
        <v>100</v>
      </c>
      <c r="AJ136">
        <v>1</v>
      </c>
    </row>
    <row r="137" spans="1:36" x14ac:dyDescent="0.2">
      <c r="A137">
        <v>145</v>
      </c>
      <c r="B137">
        <v>744</v>
      </c>
      <c r="C137">
        <v>220</v>
      </c>
      <c r="D137">
        <v>0.352318242147177</v>
      </c>
      <c r="E137">
        <v>28.446134374876099</v>
      </c>
      <c r="F137">
        <v>2.5421143754192301</v>
      </c>
      <c r="G137">
        <v>-463.74596798659218</v>
      </c>
      <c r="H137">
        <v>-407.2017145581612</v>
      </c>
      <c r="I137">
        <v>55.5908700077972</v>
      </c>
      <c r="J137">
        <v>32.910691253669</v>
      </c>
      <c r="K137">
        <v>11.189950637128501</v>
      </c>
      <c r="L137">
        <v>0</v>
      </c>
      <c r="M137">
        <v>1.2382498582903022E-6</v>
      </c>
      <c r="N137">
        <v>0</v>
      </c>
      <c r="O137" s="1">
        <v>1.5903877642776899E-11</v>
      </c>
      <c r="P137">
        <v>0</v>
      </c>
      <c r="Q137">
        <v>100</v>
      </c>
      <c r="AJ137">
        <v>1</v>
      </c>
    </row>
    <row r="138" spans="1:36" x14ac:dyDescent="0.2">
      <c r="A138">
        <v>146</v>
      </c>
      <c r="B138">
        <v>742</v>
      </c>
      <c r="C138">
        <v>220</v>
      </c>
      <c r="D138">
        <v>0.35090429985716198</v>
      </c>
      <c r="E138">
        <v>30.059574126060401</v>
      </c>
      <c r="F138">
        <v>2.5421143754192301</v>
      </c>
      <c r="G138">
        <v>-489.93181242992739</v>
      </c>
      <c r="H138">
        <v>-430.36738370044128</v>
      </c>
      <c r="I138">
        <v>58.675494980531099</v>
      </c>
      <c r="J138">
        <v>34.768264845304302</v>
      </c>
      <c r="K138">
        <v>11.824634806647101</v>
      </c>
      <c r="L138">
        <v>0</v>
      </c>
      <c r="M138">
        <v>1.2382498582903022E-6</v>
      </c>
      <c r="N138">
        <v>0</v>
      </c>
      <c r="O138" s="1">
        <v>1.6805931610766701E-11</v>
      </c>
      <c r="P138">
        <v>0</v>
      </c>
      <c r="Q138">
        <v>100</v>
      </c>
      <c r="AJ138">
        <v>1</v>
      </c>
    </row>
    <row r="139" spans="1:36" x14ac:dyDescent="0.2">
      <c r="A139">
        <v>147</v>
      </c>
      <c r="B139">
        <v>740</v>
      </c>
      <c r="C139">
        <v>220</v>
      </c>
      <c r="D139">
        <v>0.34948477520604299</v>
      </c>
      <c r="E139">
        <v>30.959460558898201</v>
      </c>
      <c r="F139">
        <v>2.5421143754192301</v>
      </c>
      <c r="G139">
        <v>-504.4779928826465</v>
      </c>
      <c r="H139">
        <v>-443.32280013541543</v>
      </c>
      <c r="I139">
        <v>60.361439813681102</v>
      </c>
      <c r="J139">
        <v>35.7997088284285</v>
      </c>
      <c r="K139">
        <v>12.178626130381099</v>
      </c>
      <c r="L139">
        <v>0</v>
      </c>
      <c r="M139">
        <v>1.2382498582903022E-6</v>
      </c>
      <c r="N139">
        <v>0</v>
      </c>
      <c r="O139" s="1">
        <v>1.7309046850666802E-11</v>
      </c>
      <c r="P139">
        <v>0</v>
      </c>
      <c r="Q139">
        <v>100</v>
      </c>
      <c r="AJ139">
        <v>1</v>
      </c>
    </row>
    <row r="140" spans="1:36" x14ac:dyDescent="0.2">
      <c r="A140">
        <v>148</v>
      </c>
      <c r="B140">
        <v>738</v>
      </c>
      <c r="C140">
        <v>220</v>
      </c>
      <c r="D140">
        <v>0.34805963506898102</v>
      </c>
      <c r="E140">
        <v>31.554248475877401</v>
      </c>
      <c r="F140">
        <v>2.5421143754192301</v>
      </c>
      <c r="G140">
        <v>-514.04696859070737</v>
      </c>
      <c r="H140">
        <v>-451.912808100093</v>
      </c>
      <c r="I140">
        <v>61.449004094955498</v>
      </c>
      <c r="J140">
        <v>36.477858253101097</v>
      </c>
      <c r="K140">
        <v>12.412599834605601</v>
      </c>
      <c r="L140">
        <v>0</v>
      </c>
      <c r="M140">
        <v>1.2382498582903022E-6</v>
      </c>
      <c r="N140">
        <v>0</v>
      </c>
      <c r="O140" s="1">
        <v>1.7641585329546899E-11</v>
      </c>
      <c r="P140">
        <v>0</v>
      </c>
      <c r="Q140">
        <v>100</v>
      </c>
      <c r="AJ140">
        <v>1</v>
      </c>
    </row>
    <row r="141" spans="1:36" x14ac:dyDescent="0.2">
      <c r="A141">
        <v>149</v>
      </c>
      <c r="B141">
        <v>736</v>
      </c>
      <c r="C141">
        <v>220</v>
      </c>
      <c r="D141">
        <v>0.34662884605856398</v>
      </c>
      <c r="E141">
        <v>31.984138076681202</v>
      </c>
      <c r="F141">
        <v>2.5421143754192301</v>
      </c>
      <c r="G141">
        <v>-520.92575603635066</v>
      </c>
      <c r="H141">
        <v>-458.14352956493281</v>
      </c>
      <c r="I141">
        <v>62.212977725232001</v>
      </c>
      <c r="J141">
        <v>36.965023291523799</v>
      </c>
      <c r="K141">
        <v>12.5817069388967</v>
      </c>
      <c r="L141">
        <v>0</v>
      </c>
      <c r="M141">
        <v>1.238249858290302E-6</v>
      </c>
      <c r="N141">
        <v>0</v>
      </c>
      <c r="O141" s="1">
        <v>1.7881931224035901E-11</v>
      </c>
      <c r="P141">
        <v>0</v>
      </c>
      <c r="Q141">
        <v>100</v>
      </c>
      <c r="AJ141">
        <v>1</v>
      </c>
    </row>
    <row r="142" spans="1:36" x14ac:dyDescent="0.2">
      <c r="A142">
        <v>150</v>
      </c>
      <c r="B142">
        <v>734</v>
      </c>
      <c r="C142">
        <v>220</v>
      </c>
      <c r="D142">
        <v>0.345192374522167</v>
      </c>
      <c r="E142">
        <v>32.313427887060399</v>
      </c>
      <c r="F142">
        <v>2.5421143754192301</v>
      </c>
      <c r="G142">
        <v>-526.16326728378351</v>
      </c>
      <c r="H142">
        <v>-462.93498622069717</v>
      </c>
      <c r="I142">
        <v>62.779408293785799</v>
      </c>
      <c r="J142">
        <v>37.335645464283502</v>
      </c>
      <c r="K142">
        <v>12.7112407685163</v>
      </c>
      <c r="L142">
        <v>0</v>
      </c>
      <c r="M142">
        <v>1.2382498582903022E-6</v>
      </c>
      <c r="N142">
        <v>0</v>
      </c>
      <c r="O142" s="1">
        <v>1.8066033034997998E-11</v>
      </c>
      <c r="P142">
        <v>0</v>
      </c>
      <c r="Q142">
        <v>100</v>
      </c>
      <c r="AJ142">
        <v>1</v>
      </c>
    </row>
    <row r="143" spans="1:36" x14ac:dyDescent="0.2">
      <c r="A143">
        <v>152</v>
      </c>
      <c r="B143">
        <v>758</v>
      </c>
      <c r="C143">
        <v>210</v>
      </c>
      <c r="D143">
        <v>0.37272996169325601</v>
      </c>
      <c r="E143">
        <v>0.28024969892586599</v>
      </c>
      <c r="F143">
        <v>2.54179961905457</v>
      </c>
      <c r="G143">
        <v>-4.5776000210634971</v>
      </c>
      <c r="H143">
        <v>-4.008287259522942</v>
      </c>
      <c r="I143">
        <v>0.55211439804156004</v>
      </c>
      <c r="J143">
        <v>0.32481734034433202</v>
      </c>
      <c r="K143">
        <v>0.11025640920904101</v>
      </c>
      <c r="L143">
        <v>0</v>
      </c>
      <c r="M143">
        <v>1.2382386510400951E-6</v>
      </c>
      <c r="N143">
        <v>0</v>
      </c>
      <c r="O143" s="1">
        <v>1.5668409852828899E-13</v>
      </c>
      <c r="P143">
        <v>0</v>
      </c>
      <c r="Q143">
        <v>100</v>
      </c>
      <c r="AJ143">
        <v>1</v>
      </c>
    </row>
    <row r="144" spans="1:36" x14ac:dyDescent="0.2">
      <c r="A144">
        <v>153</v>
      </c>
      <c r="B144">
        <v>756</v>
      </c>
      <c r="C144">
        <v>210</v>
      </c>
      <c r="D144">
        <v>0.371374921051355</v>
      </c>
      <c r="E144">
        <v>0.67329316665348804</v>
      </c>
      <c r="F144">
        <v>2.54179961905457</v>
      </c>
      <c r="G144">
        <v>-10.994922672110528</v>
      </c>
      <c r="H144">
        <v>-9.6313743473921196</v>
      </c>
      <c r="I144">
        <v>1.3249267110901199</v>
      </c>
      <c r="J144">
        <v>0.78016833953517895</v>
      </c>
      <c r="K144">
        <v>0.26488837342100102</v>
      </c>
      <c r="L144">
        <v>0</v>
      </c>
      <c r="M144">
        <v>1.2382386510400956E-6</v>
      </c>
      <c r="N144">
        <v>0</v>
      </c>
      <c r="O144" s="1">
        <v>3.7642978125113002E-13</v>
      </c>
      <c r="P144">
        <v>0</v>
      </c>
      <c r="Q144">
        <v>100</v>
      </c>
      <c r="AJ144">
        <v>1</v>
      </c>
    </row>
    <row r="145" spans="1:36" x14ac:dyDescent="0.2">
      <c r="A145">
        <v>154</v>
      </c>
      <c r="B145">
        <v>754</v>
      </c>
      <c r="C145">
        <v>210</v>
      </c>
      <c r="D145">
        <v>0.37001460351457899</v>
      </c>
      <c r="E145">
        <v>1.2599980360024701</v>
      </c>
      <c r="F145">
        <v>2.54179961905457</v>
      </c>
      <c r="G145">
        <v>-20.570896542739554</v>
      </c>
      <c r="H145">
        <v>-18.027033592852526</v>
      </c>
      <c r="I145">
        <v>2.47662264507328</v>
      </c>
      <c r="J145">
        <v>1.45963255519556</v>
      </c>
      <c r="K145">
        <v>0.49571100198336399</v>
      </c>
      <c r="L145">
        <v>0</v>
      </c>
      <c r="M145">
        <v>1.2382386510400956E-6</v>
      </c>
      <c r="N145">
        <v>0</v>
      </c>
      <c r="O145" s="1">
        <v>7.0444912938402998E-13</v>
      </c>
      <c r="P145">
        <v>0</v>
      </c>
      <c r="Q145">
        <v>100</v>
      </c>
      <c r="AJ145">
        <v>1</v>
      </c>
    </row>
    <row r="146" spans="1:36" x14ac:dyDescent="0.2">
      <c r="A146">
        <v>155</v>
      </c>
      <c r="B146">
        <v>752</v>
      </c>
      <c r="C146">
        <v>210</v>
      </c>
      <c r="D146">
        <v>0.36864897819831499</v>
      </c>
      <c r="E146">
        <v>2.6573458408214301</v>
      </c>
      <c r="F146">
        <v>2.54179961905457</v>
      </c>
      <c r="G146">
        <v>-43.373743354510125</v>
      </c>
      <c r="H146">
        <v>-38.025312641946293</v>
      </c>
      <c r="I146">
        <v>5.2172176877177199</v>
      </c>
      <c r="J146">
        <v>3.0775902725617699</v>
      </c>
      <c r="K146">
        <v>1.0454584306727599</v>
      </c>
      <c r="L146">
        <v>0</v>
      </c>
      <c r="M146">
        <v>1.2382386510400953E-6</v>
      </c>
      <c r="N146">
        <v>0</v>
      </c>
      <c r="O146" s="1">
        <v>1.4856887951809801E-12</v>
      </c>
      <c r="P146">
        <v>0</v>
      </c>
      <c r="Q146">
        <v>100</v>
      </c>
      <c r="AJ146">
        <v>1</v>
      </c>
    </row>
    <row r="147" spans="1:36" x14ac:dyDescent="0.2">
      <c r="A147">
        <v>156</v>
      </c>
      <c r="B147">
        <v>750</v>
      </c>
      <c r="C147">
        <v>210</v>
      </c>
      <c r="D147">
        <v>0.36727801397644499</v>
      </c>
      <c r="E147">
        <v>4.0719197131723002</v>
      </c>
      <c r="F147">
        <v>2.54179961905457</v>
      </c>
      <c r="G147">
        <v>-66.446728222611782</v>
      </c>
      <c r="H147">
        <v>-58.276599889537394</v>
      </c>
      <c r="I147">
        <v>7.9852693476756897</v>
      </c>
      <c r="J147">
        <v>4.7146609089363398</v>
      </c>
      <c r="K147">
        <v>1.60198297405004</v>
      </c>
      <c r="L147">
        <v>0</v>
      </c>
      <c r="M147">
        <v>1.2382386510400956E-6</v>
      </c>
      <c r="N147">
        <v>0</v>
      </c>
      <c r="O147" s="1">
        <v>2.2765593397006399E-12</v>
      </c>
      <c r="P147">
        <v>0</v>
      </c>
      <c r="Q147">
        <v>100</v>
      </c>
      <c r="AJ147">
        <v>1</v>
      </c>
    </row>
    <row r="148" spans="1:36" x14ac:dyDescent="0.2">
      <c r="A148">
        <v>157</v>
      </c>
      <c r="B148">
        <v>748</v>
      </c>
      <c r="C148">
        <v>210</v>
      </c>
      <c r="D148">
        <v>0.36590167947901903</v>
      </c>
      <c r="E148">
        <v>23.7752796679633</v>
      </c>
      <c r="F148">
        <v>2.54179961905457</v>
      </c>
      <c r="G148">
        <v>-387.87848803034018</v>
      </c>
      <c r="H148">
        <v>-340.322676764547</v>
      </c>
      <c r="I148">
        <v>46.5708380412213</v>
      </c>
      <c r="J148">
        <v>27.521044264410499</v>
      </c>
      <c r="K148">
        <v>9.3537191089856897</v>
      </c>
      <c r="L148">
        <v>0</v>
      </c>
      <c r="M148">
        <v>1.2382386510400953E-6</v>
      </c>
      <c r="N148">
        <v>0</v>
      </c>
      <c r="O148" s="1">
        <v>1.32924612454917E-11</v>
      </c>
      <c r="P148">
        <v>0</v>
      </c>
      <c r="Q148">
        <v>100</v>
      </c>
      <c r="AJ148">
        <v>1</v>
      </c>
    </row>
    <row r="149" spans="1:36" x14ac:dyDescent="0.2">
      <c r="A149">
        <v>158</v>
      </c>
      <c r="B149">
        <v>746</v>
      </c>
      <c r="C149">
        <v>210</v>
      </c>
      <c r="D149">
        <v>0.36451994308983099</v>
      </c>
      <c r="E149">
        <v>28.055232600370001</v>
      </c>
      <c r="F149">
        <v>2.54179961905457</v>
      </c>
      <c r="G149">
        <v>-457.59333879617992</v>
      </c>
      <c r="H149">
        <v>-401.65146353398143</v>
      </c>
      <c r="I149">
        <v>54.890718012263598</v>
      </c>
      <c r="J149">
        <v>32.466886774301301</v>
      </c>
      <c r="K149">
        <v>11.037546937238499</v>
      </c>
      <c r="L149">
        <v>0</v>
      </c>
      <c r="M149">
        <v>1.2382386510400951E-6</v>
      </c>
      <c r="N149">
        <v>0</v>
      </c>
      <c r="O149" s="1">
        <v>1.56853293539246E-11</v>
      </c>
      <c r="P149">
        <v>0</v>
      </c>
      <c r="Q149">
        <v>100</v>
      </c>
      <c r="AJ149">
        <v>1</v>
      </c>
    </row>
    <row r="150" spans="1:36" x14ac:dyDescent="0.2">
      <c r="A150">
        <v>159</v>
      </c>
      <c r="B150">
        <v>744</v>
      </c>
      <c r="C150">
        <v>210</v>
      </c>
      <c r="D150">
        <v>0.36313277294401303</v>
      </c>
      <c r="E150">
        <v>29.812377798897199</v>
      </c>
      <c r="F150">
        <v>2.54179961905457</v>
      </c>
      <c r="G150">
        <v>-486.13657008707776</v>
      </c>
      <c r="H150">
        <v>-426.87654468785121</v>
      </c>
      <c r="I150">
        <v>58.260851791010701</v>
      </c>
      <c r="J150">
        <v>34.491363513483201</v>
      </c>
      <c r="K150">
        <v>11.7288465917647</v>
      </c>
      <c r="L150">
        <v>0</v>
      </c>
      <c r="M150">
        <v>1.2382386510400953E-6</v>
      </c>
      <c r="N150">
        <v>0</v>
      </c>
      <c r="O150" s="1">
        <v>1.6667727238631699E-11</v>
      </c>
      <c r="P150">
        <v>0</v>
      </c>
      <c r="Q150">
        <v>100</v>
      </c>
      <c r="AJ150">
        <v>1</v>
      </c>
    </row>
    <row r="151" spans="1:36" x14ac:dyDescent="0.2">
      <c r="A151">
        <v>160</v>
      </c>
      <c r="B151">
        <v>742</v>
      </c>
      <c r="C151">
        <v>210</v>
      </c>
      <c r="D151">
        <v>0.361740136925575</v>
      </c>
      <c r="E151">
        <v>30.785525860281901</v>
      </c>
      <c r="F151">
        <v>2.54179961905457</v>
      </c>
      <c r="G151">
        <v>-501.88498744067243</v>
      </c>
      <c r="H151">
        <v>-440.88205195946898</v>
      </c>
      <c r="I151">
        <v>60.092533597205701</v>
      </c>
      <c r="J151">
        <v>35.607933499772699</v>
      </c>
      <c r="K151">
        <v>12.1117044905894</v>
      </c>
      <c r="L151">
        <v>0</v>
      </c>
      <c r="M151">
        <v>1.2382386510400953E-6</v>
      </c>
      <c r="N151">
        <v>0</v>
      </c>
      <c r="O151" s="1">
        <v>1.7211802137969701E-11</v>
      </c>
      <c r="P151">
        <v>0</v>
      </c>
      <c r="Q151">
        <v>100</v>
      </c>
      <c r="AJ151">
        <v>1</v>
      </c>
    </row>
    <row r="152" spans="1:36" x14ac:dyDescent="0.2">
      <c r="A152">
        <v>161</v>
      </c>
      <c r="B152">
        <v>740</v>
      </c>
      <c r="C152">
        <v>210</v>
      </c>
      <c r="D152">
        <v>0.36034200266496003</v>
      </c>
      <c r="E152">
        <v>31.4193643245295</v>
      </c>
      <c r="F152">
        <v>2.54179961905457</v>
      </c>
      <c r="G152">
        <v>-512.09563247245035</v>
      </c>
      <c r="H152">
        <v>-450.03197740305268</v>
      </c>
      <c r="I152">
        <v>61.258110910919001</v>
      </c>
      <c r="J152">
        <v>36.331514635166599</v>
      </c>
      <c r="K152">
        <v>12.3610705143688</v>
      </c>
      <c r="L152">
        <v>0</v>
      </c>
      <c r="M152">
        <v>1.2382386510400953E-6</v>
      </c>
      <c r="N152">
        <v>0</v>
      </c>
      <c r="O152" s="1">
        <v>1.7566173288996299E-11</v>
      </c>
      <c r="P152">
        <v>0</v>
      </c>
      <c r="Q152">
        <v>100</v>
      </c>
      <c r="AJ152">
        <v>1</v>
      </c>
    </row>
    <row r="153" spans="1:36" x14ac:dyDescent="0.2">
      <c r="A153">
        <v>162</v>
      </c>
      <c r="B153">
        <v>738</v>
      </c>
      <c r="C153">
        <v>210</v>
      </c>
      <c r="D153">
        <v>0.35893833753646798</v>
      </c>
      <c r="E153">
        <v>31.873299193801699</v>
      </c>
      <c r="F153">
        <v>2.54179961905457</v>
      </c>
      <c r="G153">
        <v>-519.36997935869329</v>
      </c>
      <c r="H153">
        <v>-456.60756912455184</v>
      </c>
      <c r="I153">
        <v>62.070326098147</v>
      </c>
      <c r="J153">
        <v>36.846692480697797</v>
      </c>
      <c r="K153">
        <v>12.5396584982009</v>
      </c>
      <c r="L153">
        <v>0</v>
      </c>
      <c r="M153">
        <v>1.2382386510400953E-6</v>
      </c>
      <c r="N153">
        <v>0</v>
      </c>
      <c r="O153" s="1">
        <v>1.7819962592089401E-11</v>
      </c>
      <c r="P153">
        <v>0</v>
      </c>
      <c r="Q153">
        <v>100</v>
      </c>
      <c r="AJ153">
        <v>1</v>
      </c>
    </row>
    <row r="154" spans="1:36" x14ac:dyDescent="0.2">
      <c r="A154">
        <v>163</v>
      </c>
      <c r="B154">
        <v>736</v>
      </c>
      <c r="C154">
        <v>210</v>
      </c>
      <c r="D154">
        <v>0.35752910865580001</v>
      </c>
      <c r="E154">
        <v>32.218824899228501</v>
      </c>
      <c r="F154">
        <v>2.54179961905457</v>
      </c>
      <c r="G154">
        <v>-524.87484915479877</v>
      </c>
      <c r="H154">
        <v>-461.63195179684027</v>
      </c>
      <c r="I154">
        <v>62.669471691976902</v>
      </c>
      <c r="J154">
        <v>37.236257859135897</v>
      </c>
      <c r="K154">
        <v>12.6755959272715</v>
      </c>
      <c r="L154">
        <v>0</v>
      </c>
      <c r="M154">
        <v>1.2382386510400953E-6</v>
      </c>
      <c r="N154">
        <v>0</v>
      </c>
      <c r="O154" s="1">
        <v>1.8013141688733101E-11</v>
      </c>
      <c r="P154">
        <v>0</v>
      </c>
      <c r="Q154">
        <v>100</v>
      </c>
      <c r="AJ154">
        <v>1</v>
      </c>
    </row>
    <row r="155" spans="1:36" x14ac:dyDescent="0.2">
      <c r="A155">
        <v>165</v>
      </c>
      <c r="B155">
        <v>758</v>
      </c>
      <c r="C155">
        <v>200</v>
      </c>
      <c r="D155">
        <v>0.383397662803666</v>
      </c>
      <c r="E155">
        <v>0.34511716066286902</v>
      </c>
      <c r="F155">
        <v>2.5414849045122199</v>
      </c>
      <c r="G155">
        <v>-5.6385033251574708</v>
      </c>
      <c r="H155">
        <v>-4.9374156717359865</v>
      </c>
      <c r="I155">
        <v>0.67990850353632704</v>
      </c>
      <c r="J155">
        <v>0.400000566149954</v>
      </c>
      <c r="K155">
        <v>0.13579351191507699</v>
      </c>
      <c r="L155">
        <v>0</v>
      </c>
      <c r="M155">
        <v>1.2382274289707085E-6</v>
      </c>
      <c r="N155">
        <v>0</v>
      </c>
      <c r="O155" s="1">
        <v>1.92950684380248E-13</v>
      </c>
      <c r="P155">
        <v>0</v>
      </c>
      <c r="Q155">
        <v>100</v>
      </c>
      <c r="AJ155">
        <v>1</v>
      </c>
    </row>
    <row r="156" spans="1:36" x14ac:dyDescent="0.2">
      <c r="A156">
        <v>166</v>
      </c>
      <c r="B156">
        <v>756</v>
      </c>
      <c r="C156">
        <v>200</v>
      </c>
      <c r="D156">
        <v>0.38206335325268598</v>
      </c>
      <c r="E156">
        <v>1.1772279136008199</v>
      </c>
      <c r="F156">
        <v>2.5414849045122199</v>
      </c>
      <c r="G156">
        <v>-19.228842726538112</v>
      </c>
      <c r="H156">
        <v>-16.844729491911632</v>
      </c>
      <c r="I156">
        <v>2.3165847880546799</v>
      </c>
      <c r="J156">
        <v>1.3640951551214699</v>
      </c>
      <c r="K156">
        <v>0.46320476329044602</v>
      </c>
      <c r="L156">
        <v>0</v>
      </c>
      <c r="M156">
        <v>1.2382274289707085E-6</v>
      </c>
      <c r="N156">
        <v>0</v>
      </c>
      <c r="O156" s="1">
        <v>6.5817339005840405E-13</v>
      </c>
      <c r="P156">
        <v>0</v>
      </c>
      <c r="Q156">
        <v>100</v>
      </c>
      <c r="AJ156">
        <v>1</v>
      </c>
    </row>
    <row r="157" spans="1:36" x14ac:dyDescent="0.2">
      <c r="A157">
        <v>167</v>
      </c>
      <c r="B157">
        <v>754</v>
      </c>
      <c r="C157">
        <v>200</v>
      </c>
      <c r="D157">
        <v>0.38072384753930699</v>
      </c>
      <c r="E157">
        <v>2.5760120798249999</v>
      </c>
      <c r="F157">
        <v>2.5414849045122199</v>
      </c>
      <c r="G157">
        <v>-42.066453151784728</v>
      </c>
      <c r="H157">
        <v>-36.865634181368996</v>
      </c>
      <c r="I157">
        <v>5.0633490438745401</v>
      </c>
      <c r="J157">
        <v>2.9841563136231799</v>
      </c>
      <c r="K157">
        <v>1.0135854339529899</v>
      </c>
      <c r="L157">
        <v>0</v>
      </c>
      <c r="M157">
        <v>1.2382274289707085E-6</v>
      </c>
      <c r="N157">
        <v>0</v>
      </c>
      <c r="O157" s="1">
        <v>1.44021610753677E-12</v>
      </c>
      <c r="P157">
        <v>0</v>
      </c>
      <c r="Q157">
        <v>100</v>
      </c>
      <c r="AJ157">
        <v>1</v>
      </c>
    </row>
    <row r="158" spans="1:36" x14ac:dyDescent="0.2">
      <c r="A158">
        <v>168</v>
      </c>
      <c r="B158">
        <v>752</v>
      </c>
      <c r="C158">
        <v>200</v>
      </c>
      <c r="D158">
        <v>0.37937911525142798</v>
      </c>
      <c r="E158">
        <v>3.9939631366696999</v>
      </c>
      <c r="F158">
        <v>2.5414849045122199</v>
      </c>
      <c r="G158">
        <v>-65.205998859862206</v>
      </c>
      <c r="H158">
        <v>-57.16736317426065</v>
      </c>
      <c r="I158">
        <v>7.8414238751417296</v>
      </c>
      <c r="J158">
        <v>4.62558614297091</v>
      </c>
      <c r="K158">
        <v>1.5715077156581601</v>
      </c>
      <c r="L158">
        <v>0</v>
      </c>
      <c r="M158">
        <v>1.2382274289707085E-6</v>
      </c>
      <c r="N158">
        <v>0</v>
      </c>
      <c r="O158" s="1">
        <v>2.2329747936316199E-12</v>
      </c>
      <c r="P158">
        <v>0</v>
      </c>
      <c r="Q158">
        <v>100</v>
      </c>
      <c r="AJ158">
        <v>1</v>
      </c>
    </row>
    <row r="159" spans="1:36" x14ac:dyDescent="0.2">
      <c r="A159">
        <v>169</v>
      </c>
      <c r="B159">
        <v>750</v>
      </c>
      <c r="C159">
        <v>200</v>
      </c>
      <c r="D159">
        <v>0.37802912573913899</v>
      </c>
      <c r="E159">
        <v>23.031512998813501</v>
      </c>
      <c r="F159">
        <v>2.5414849045122199</v>
      </c>
      <c r="G159">
        <v>-375.92530707242912</v>
      </c>
      <c r="H159">
        <v>-329.71358627241869</v>
      </c>
      <c r="I159">
        <v>45.166125006118797</v>
      </c>
      <c r="J159">
        <v>26.666973235719698</v>
      </c>
      <c r="K159">
        <v>9.0622269516229395</v>
      </c>
      <c r="L159">
        <v>0</v>
      </c>
      <c r="M159">
        <v>1.2382274289707085E-6</v>
      </c>
      <c r="N159">
        <v>0</v>
      </c>
      <c r="O159" s="1">
        <v>1.2876630611176E-11</v>
      </c>
      <c r="P159">
        <v>0</v>
      </c>
      <c r="Q159">
        <v>100</v>
      </c>
      <c r="AJ159">
        <v>1</v>
      </c>
    </row>
    <row r="160" spans="1:36" x14ac:dyDescent="0.2">
      <c r="A160">
        <v>170</v>
      </c>
      <c r="B160">
        <v>748</v>
      </c>
      <c r="C160">
        <v>200</v>
      </c>
      <c r="D160">
        <v>0.37667384811242399</v>
      </c>
      <c r="E160">
        <v>27.744915770646401</v>
      </c>
      <c r="F160">
        <v>2.5414849045122199</v>
      </c>
      <c r="G160">
        <v>-452.7497245939503</v>
      </c>
      <c r="H160">
        <v>-397.25376423508663</v>
      </c>
      <c r="I160">
        <v>54.346531223486899</v>
      </c>
      <c r="J160">
        <v>32.116091406705699</v>
      </c>
      <c r="K160">
        <v>10.916813128178401</v>
      </c>
      <c r="L160">
        <v>0</v>
      </c>
      <c r="M160">
        <v>1.2382274289707083E-6</v>
      </c>
      <c r="N160">
        <v>0</v>
      </c>
      <c r="O160" s="1">
        <v>1.5511835098945099E-11</v>
      </c>
      <c r="P160">
        <v>0</v>
      </c>
      <c r="Q160">
        <v>100</v>
      </c>
      <c r="AJ160">
        <v>1</v>
      </c>
    </row>
    <row r="161" spans="1:36" x14ac:dyDescent="0.2">
      <c r="A161">
        <v>171</v>
      </c>
      <c r="B161">
        <v>746</v>
      </c>
      <c r="C161">
        <v>200</v>
      </c>
      <c r="D161">
        <v>0.37531325123877901</v>
      </c>
      <c r="E161">
        <v>29.579192353997701</v>
      </c>
      <c r="F161">
        <v>2.5414849045122199</v>
      </c>
      <c r="G161">
        <v>-482.56617937861279</v>
      </c>
      <c r="H161">
        <v>-423.58554241172862</v>
      </c>
      <c r="I161">
        <v>57.872380873163003</v>
      </c>
      <c r="J161">
        <v>34.230487506985</v>
      </c>
      <c r="K161">
        <v>11.6385473317122</v>
      </c>
      <c r="L161">
        <v>0</v>
      </c>
      <c r="M161">
        <v>1.2382274289707085E-6</v>
      </c>
      <c r="N161">
        <v>0</v>
      </c>
      <c r="O161" s="1">
        <v>1.65373561753833E-11</v>
      </c>
      <c r="P161">
        <v>0</v>
      </c>
      <c r="Q161">
        <v>100</v>
      </c>
      <c r="AJ161">
        <v>1</v>
      </c>
    </row>
    <row r="162" spans="1:36" x14ac:dyDescent="0.2">
      <c r="A162">
        <v>172</v>
      </c>
      <c r="B162">
        <v>744</v>
      </c>
      <c r="C162">
        <v>200</v>
      </c>
      <c r="D162">
        <v>0.373947303740848</v>
      </c>
      <c r="E162">
        <v>30.6364043964067</v>
      </c>
      <c r="F162">
        <v>2.5414849045122199</v>
      </c>
      <c r="G162">
        <v>-499.69412614146631</v>
      </c>
      <c r="H162">
        <v>-438.79612884253248</v>
      </c>
      <c r="I162">
        <v>59.871206114077403</v>
      </c>
      <c r="J162">
        <v>35.4447192340903</v>
      </c>
      <c r="K162">
        <v>12.0545293588067</v>
      </c>
      <c r="L162">
        <v>0</v>
      </c>
      <c r="M162">
        <v>1.2382274289707085E-6</v>
      </c>
      <c r="N162">
        <v>0</v>
      </c>
      <c r="O162" s="1">
        <v>1.71284301942065E-11</v>
      </c>
      <c r="P162">
        <v>0</v>
      </c>
      <c r="Q162">
        <v>100</v>
      </c>
      <c r="AJ162">
        <v>1</v>
      </c>
    </row>
    <row r="163" spans="1:36" x14ac:dyDescent="0.2">
      <c r="A163">
        <v>173</v>
      </c>
      <c r="B163">
        <v>742</v>
      </c>
      <c r="C163">
        <v>200</v>
      </c>
      <c r="D163">
        <v>0.37257597399398801</v>
      </c>
      <c r="E163">
        <v>31.301757678281898</v>
      </c>
      <c r="F163">
        <v>2.5414849045122199</v>
      </c>
      <c r="G163">
        <v>-510.42407856436608</v>
      </c>
      <c r="H163">
        <v>-448.39820599156582</v>
      </c>
      <c r="I163">
        <v>61.100204475003899</v>
      </c>
      <c r="J163">
        <v>36.205030600833602</v>
      </c>
      <c r="K163">
        <v>12.316326421104399</v>
      </c>
      <c r="L163">
        <v>0</v>
      </c>
      <c r="M163">
        <v>1.2382274289707083E-6</v>
      </c>
      <c r="N163">
        <v>0</v>
      </c>
      <c r="O163" s="1">
        <v>1.75004208852689E-11</v>
      </c>
      <c r="P163">
        <v>0</v>
      </c>
      <c r="Q163">
        <v>100</v>
      </c>
      <c r="AJ163">
        <v>1</v>
      </c>
    </row>
    <row r="164" spans="1:36" x14ac:dyDescent="0.2">
      <c r="A164">
        <v>174</v>
      </c>
      <c r="B164">
        <v>740</v>
      </c>
      <c r="C164">
        <v>200</v>
      </c>
      <c r="D164">
        <v>0.37119923012387401</v>
      </c>
      <c r="E164">
        <v>31.775295120880902</v>
      </c>
      <c r="F164">
        <v>2.5414849045122199</v>
      </c>
      <c r="G164">
        <v>-518.02187000455604</v>
      </c>
      <c r="H164">
        <v>-455.2551336778435</v>
      </c>
      <c r="I164">
        <v>61.9520666502616</v>
      </c>
      <c r="J164">
        <v>36.743092183431898</v>
      </c>
      <c r="K164">
        <v>12.502649559108599</v>
      </c>
      <c r="L164">
        <v>0</v>
      </c>
      <c r="M164">
        <v>1.2382274289707085E-6</v>
      </c>
      <c r="N164">
        <v>0</v>
      </c>
      <c r="O164" s="1">
        <v>1.7765169741725799E-11</v>
      </c>
      <c r="P164">
        <v>0</v>
      </c>
      <c r="Q164">
        <v>100</v>
      </c>
      <c r="AJ164">
        <v>1</v>
      </c>
    </row>
    <row r="165" spans="1:36" x14ac:dyDescent="0.2">
      <c r="A165">
        <v>175</v>
      </c>
      <c r="B165">
        <v>738</v>
      </c>
      <c r="C165">
        <v>200</v>
      </c>
      <c r="D165">
        <v>0.36981704000395799</v>
      </c>
      <c r="E165">
        <v>32.134194301130997</v>
      </c>
      <c r="F165">
        <v>2.5414849045122199</v>
      </c>
      <c r="G165">
        <v>-523.7476515090184</v>
      </c>
      <c r="H165">
        <v>-460.47150701552988</v>
      </c>
      <c r="I165">
        <v>62.578395384946297</v>
      </c>
      <c r="J165">
        <v>37.148296708456897</v>
      </c>
      <c r="K165">
        <v>12.643865892761699</v>
      </c>
      <c r="L165">
        <v>0</v>
      </c>
      <c r="M165">
        <v>1.2382274289707085E-6</v>
      </c>
      <c r="N165">
        <v>0</v>
      </c>
      <c r="O165" s="1">
        <v>1.79658257807351E-11</v>
      </c>
      <c r="P165">
        <v>0</v>
      </c>
      <c r="Q165">
        <v>100</v>
      </c>
      <c r="AJ165">
        <v>1</v>
      </c>
    </row>
    <row r="166" spans="1:36" x14ac:dyDescent="0.2">
      <c r="A166">
        <v>177</v>
      </c>
      <c r="B166">
        <v>760</v>
      </c>
      <c r="C166">
        <v>190</v>
      </c>
      <c r="D166">
        <v>0.39537385665198899</v>
      </c>
      <c r="E166">
        <v>4.4528498857627899E-2</v>
      </c>
      <c r="F166">
        <v>2.54117023179005</v>
      </c>
      <c r="G166">
        <v>-0.72785469167634365</v>
      </c>
      <c r="H166">
        <v>-0.63711856834620595</v>
      </c>
      <c r="I166">
        <v>8.7824733417352405E-2</v>
      </c>
      <c r="J166">
        <v>5.1622797893249799E-2</v>
      </c>
      <c r="K166">
        <v>1.7522831922307299E-2</v>
      </c>
      <c r="L166">
        <v>0</v>
      </c>
      <c r="M166">
        <v>1.2382161920881238E-6</v>
      </c>
      <c r="N166">
        <v>0</v>
      </c>
      <c r="O166" s="1">
        <v>2.48953263074547E-14</v>
      </c>
      <c r="P166">
        <v>0</v>
      </c>
      <c r="Q166">
        <v>100</v>
      </c>
      <c r="AJ166">
        <v>1</v>
      </c>
    </row>
    <row r="167" spans="1:36" x14ac:dyDescent="0.2">
      <c r="A167">
        <v>178</v>
      </c>
      <c r="B167">
        <v>758</v>
      </c>
      <c r="C167">
        <v>190</v>
      </c>
      <c r="D167">
        <v>0.39406536391407598</v>
      </c>
      <c r="E167">
        <v>1.19035022740334</v>
      </c>
      <c r="F167">
        <v>2.54117023179005</v>
      </c>
      <c r="G167">
        <v>-19.4525540859157</v>
      </c>
      <c r="H167">
        <v>-17.034419194920893</v>
      </c>
      <c r="I167">
        <v>2.34508547834437</v>
      </c>
      <c r="J167">
        <v>1.37964963539784</v>
      </c>
      <c r="K167">
        <v>0.468426008030497</v>
      </c>
      <c r="L167">
        <v>0</v>
      </c>
      <c r="M167">
        <v>1.2382161920881235E-6</v>
      </c>
      <c r="N167">
        <v>0</v>
      </c>
      <c r="O167" s="1">
        <v>6.6550991144141996E-13</v>
      </c>
      <c r="P167">
        <v>0</v>
      </c>
      <c r="Q167">
        <v>100</v>
      </c>
      <c r="AJ167">
        <v>1</v>
      </c>
    </row>
    <row r="168" spans="1:36" x14ac:dyDescent="0.2">
      <c r="A168">
        <v>179</v>
      </c>
      <c r="B168">
        <v>756</v>
      </c>
      <c r="C168">
        <v>190</v>
      </c>
      <c r="D168">
        <v>0.39275178545401701</v>
      </c>
      <c r="E168">
        <v>2.5898167852799698</v>
      </c>
      <c r="F168">
        <v>2.54117023179005</v>
      </c>
      <c r="G168">
        <v>-42.31226254207202</v>
      </c>
      <c r="H168">
        <v>-37.067384807090448</v>
      </c>
      <c r="I168">
        <v>5.0963200067838201</v>
      </c>
      <c r="J168">
        <v>3.0009112837351299</v>
      </c>
      <c r="K168">
        <v>1.01914336665893</v>
      </c>
      <c r="L168">
        <v>0</v>
      </c>
      <c r="M168">
        <v>1.2382161920881235E-6</v>
      </c>
      <c r="N168">
        <v>0</v>
      </c>
      <c r="O168" s="1">
        <v>1.4479341455505501E-12</v>
      </c>
      <c r="P168">
        <v>0</v>
      </c>
      <c r="Q168">
        <v>100</v>
      </c>
      <c r="AJ168">
        <v>1</v>
      </c>
    </row>
    <row r="169" spans="1:36" x14ac:dyDescent="0.2">
      <c r="A169">
        <v>180</v>
      </c>
      <c r="B169">
        <v>754</v>
      </c>
      <c r="C169">
        <v>190</v>
      </c>
      <c r="D169">
        <v>0.391433091564035</v>
      </c>
      <c r="E169">
        <v>4.0126590368182598</v>
      </c>
      <c r="F169">
        <v>2.54117023179005</v>
      </c>
      <c r="G169">
        <v>-65.542785670291195</v>
      </c>
      <c r="H169">
        <v>-57.441459824834645</v>
      </c>
      <c r="I169">
        <v>7.8871886729849896</v>
      </c>
      <c r="J169">
        <v>4.6484261051880598</v>
      </c>
      <c r="K169">
        <v>1.5790595162102401</v>
      </c>
      <c r="L169">
        <v>0</v>
      </c>
      <c r="M169">
        <v>1.2382161920881235E-6</v>
      </c>
      <c r="N169">
        <v>0</v>
      </c>
      <c r="O169" s="1">
        <v>2.2434274373710402E-12</v>
      </c>
      <c r="P169">
        <v>0</v>
      </c>
      <c r="Q169">
        <v>100</v>
      </c>
      <c r="AJ169">
        <v>1</v>
      </c>
    </row>
    <row r="170" spans="1:36" x14ac:dyDescent="0.2">
      <c r="A170">
        <v>181</v>
      </c>
      <c r="B170">
        <v>752</v>
      </c>
      <c r="C170">
        <v>190</v>
      </c>
      <c r="D170">
        <v>0.39010925230454402</v>
      </c>
      <c r="E170">
        <v>22.729239998238601</v>
      </c>
      <c r="F170">
        <v>2.54117023179005</v>
      </c>
      <c r="G170">
        <v>-371.17017873183181</v>
      </c>
      <c r="H170">
        <v>-325.42311660226142</v>
      </c>
      <c r="I170">
        <v>44.6247496752381</v>
      </c>
      <c r="J170">
        <v>26.323742603137401</v>
      </c>
      <c r="K170">
        <v>8.9443988103967609</v>
      </c>
      <c r="L170">
        <v>0</v>
      </c>
      <c r="M170">
        <v>1.2382161920881235E-6</v>
      </c>
      <c r="N170">
        <v>0</v>
      </c>
      <c r="O170" s="1">
        <v>1.2707633560381499E-11</v>
      </c>
      <c r="P170">
        <v>0</v>
      </c>
      <c r="Q170">
        <v>100</v>
      </c>
      <c r="AJ170">
        <v>1</v>
      </c>
    </row>
    <row r="171" spans="1:36" x14ac:dyDescent="0.2">
      <c r="A171">
        <v>182</v>
      </c>
      <c r="B171">
        <v>750</v>
      </c>
      <c r="C171">
        <v>190</v>
      </c>
      <c r="D171">
        <v>0.38878023750183299</v>
      </c>
      <c r="E171">
        <v>27.5650321502957</v>
      </c>
      <c r="F171">
        <v>2.54117023179005</v>
      </c>
      <c r="G171">
        <v>-450.03084845224316</v>
      </c>
      <c r="H171">
        <v>-394.72282028933444</v>
      </c>
      <c r="I171">
        <v>54.056617468512599</v>
      </c>
      <c r="J171">
        <v>31.9160957698071</v>
      </c>
      <c r="K171">
        <v>10.847377245906999</v>
      </c>
      <c r="L171">
        <v>0</v>
      </c>
      <c r="M171">
        <v>1.2382161920881238E-6</v>
      </c>
      <c r="N171">
        <v>0</v>
      </c>
      <c r="O171" s="1">
        <v>1.54112644185744E-11</v>
      </c>
      <c r="P171">
        <v>0</v>
      </c>
      <c r="Q171">
        <v>100</v>
      </c>
      <c r="AJ171">
        <v>1</v>
      </c>
    </row>
    <row r="172" spans="1:36" x14ac:dyDescent="0.2">
      <c r="A172">
        <v>183</v>
      </c>
      <c r="B172">
        <v>748</v>
      </c>
      <c r="C172">
        <v>190</v>
      </c>
      <c r="D172">
        <v>0.38744601674582602</v>
      </c>
      <c r="E172">
        <v>29.449187637588501</v>
      </c>
      <c r="F172">
        <v>2.54117023179005</v>
      </c>
      <c r="G172">
        <v>-480.67641705990599</v>
      </c>
      <c r="H172">
        <v>-421.77153649561103</v>
      </c>
      <c r="I172">
        <v>57.684846069916198</v>
      </c>
      <c r="J172">
        <v>34.088869104538801</v>
      </c>
      <c r="K172">
        <v>11.588829142250701</v>
      </c>
      <c r="L172">
        <v>0</v>
      </c>
      <c r="M172">
        <v>1.2382161920881235E-6</v>
      </c>
      <c r="N172">
        <v>0</v>
      </c>
      <c r="O172" s="1">
        <v>1.64646721658266E-11</v>
      </c>
      <c r="P172">
        <v>0</v>
      </c>
      <c r="Q172">
        <v>100</v>
      </c>
      <c r="AJ172">
        <v>1</v>
      </c>
    </row>
    <row r="173" spans="1:36" x14ac:dyDescent="0.2">
      <c r="A173">
        <v>184</v>
      </c>
      <c r="B173">
        <v>746</v>
      </c>
      <c r="C173">
        <v>190</v>
      </c>
      <c r="D173">
        <v>0.38610655938772698</v>
      </c>
      <c r="E173">
        <v>30.524914689595199</v>
      </c>
      <c r="F173">
        <v>2.54117023179005</v>
      </c>
      <c r="G173">
        <v>-498.11516683372525</v>
      </c>
      <c r="H173">
        <v>-437.24876824496192</v>
      </c>
      <c r="I173">
        <v>59.722708716835797</v>
      </c>
      <c r="J173">
        <v>35.324923629726896</v>
      </c>
      <c r="K173">
        <v>12.012148697371099</v>
      </c>
      <c r="L173">
        <v>0</v>
      </c>
      <c r="M173">
        <v>1.2382161920881235E-6</v>
      </c>
      <c r="N173">
        <v>0</v>
      </c>
      <c r="O173" s="1">
        <v>1.70660976947466E-11</v>
      </c>
      <c r="P173">
        <v>0</v>
      </c>
      <c r="Q173">
        <v>100</v>
      </c>
      <c r="AJ173">
        <v>1</v>
      </c>
    </row>
    <row r="174" spans="1:36" x14ac:dyDescent="0.2">
      <c r="A174">
        <v>185</v>
      </c>
      <c r="B174">
        <v>744</v>
      </c>
      <c r="C174">
        <v>190</v>
      </c>
      <c r="D174">
        <v>0.38476183453767998</v>
      </c>
      <c r="E174">
        <v>31.209665077143001</v>
      </c>
      <c r="F174">
        <v>2.54117023179005</v>
      </c>
      <c r="G174">
        <v>-509.16708525007016</v>
      </c>
      <c r="H174">
        <v>-447.12957996790971</v>
      </c>
      <c r="I174">
        <v>60.991501039335802</v>
      </c>
      <c r="J174">
        <v>36.107951890694899</v>
      </c>
      <c r="K174">
        <v>12.281611316986901</v>
      </c>
      <c r="L174">
        <v>0</v>
      </c>
      <c r="M174">
        <v>1.2382161920881235E-6</v>
      </c>
      <c r="N174">
        <v>0</v>
      </c>
      <c r="O174" s="1">
        <v>1.7448933064779299E-11</v>
      </c>
      <c r="P174">
        <v>0</v>
      </c>
      <c r="Q174">
        <v>100</v>
      </c>
      <c r="AJ174">
        <v>1</v>
      </c>
    </row>
    <row r="175" spans="1:36" x14ac:dyDescent="0.2">
      <c r="A175">
        <v>186</v>
      </c>
      <c r="B175">
        <v>742</v>
      </c>
      <c r="C175">
        <v>190</v>
      </c>
      <c r="D175">
        <v>0.38341181106240502</v>
      </c>
      <c r="E175">
        <v>31.695924091851701</v>
      </c>
      <c r="F175">
        <v>2.54117023179005</v>
      </c>
      <c r="G175">
        <v>-516.97629987174173</v>
      </c>
      <c r="H175">
        <v>-454.1693684206561</v>
      </c>
      <c r="I175">
        <v>61.869606906452802</v>
      </c>
      <c r="J175">
        <v>36.660941326735703</v>
      </c>
      <c r="K175">
        <v>12.4729637138573</v>
      </c>
      <c r="L175">
        <v>0</v>
      </c>
      <c r="M175">
        <v>1.2382161920881235E-6</v>
      </c>
      <c r="N175">
        <v>0</v>
      </c>
      <c r="O175" s="1">
        <v>1.7720794392955101E-11</v>
      </c>
      <c r="P175">
        <v>0</v>
      </c>
      <c r="Q175">
        <v>100</v>
      </c>
      <c r="AJ175">
        <v>1</v>
      </c>
    </row>
    <row r="176" spans="1:36" x14ac:dyDescent="0.2">
      <c r="A176">
        <v>187</v>
      </c>
      <c r="B176">
        <v>740</v>
      </c>
      <c r="C176">
        <v>190</v>
      </c>
      <c r="D176">
        <v>0.382056457582788</v>
      </c>
      <c r="E176">
        <v>32.063872637211801</v>
      </c>
      <c r="F176">
        <v>2.54117023179005</v>
      </c>
      <c r="G176">
        <v>-522.85262125013446</v>
      </c>
      <c r="H176">
        <v>-459.51584871106076</v>
      </c>
      <c r="I176">
        <v>62.514704179118198</v>
      </c>
      <c r="J176">
        <v>37.076786339356403</v>
      </c>
      <c r="K176">
        <v>12.6177586358019</v>
      </c>
      <c r="L176">
        <v>0</v>
      </c>
      <c r="M176">
        <v>1.2382161920881235E-6</v>
      </c>
      <c r="N176">
        <v>0</v>
      </c>
      <c r="O176" s="1">
        <v>1.7926509818718401E-11</v>
      </c>
      <c r="P176">
        <v>0</v>
      </c>
      <c r="Q176">
        <v>100</v>
      </c>
      <c r="AJ176">
        <v>1</v>
      </c>
    </row>
    <row r="177" spans="1:36" x14ac:dyDescent="0.2">
      <c r="A177">
        <v>190</v>
      </c>
      <c r="B177">
        <v>760</v>
      </c>
      <c r="C177">
        <v>180</v>
      </c>
      <c r="D177">
        <v>0.40602090693510101</v>
      </c>
      <c r="E177">
        <v>1.31768764772106</v>
      </c>
      <c r="F177">
        <v>2.5408556008859402</v>
      </c>
      <c r="G177">
        <v>-21.543866774226409</v>
      </c>
      <c r="H177">
        <v>-18.858802781916776</v>
      </c>
      <c r="I177">
        <v>2.5989101217728598</v>
      </c>
      <c r="J177">
        <v>1.5276221940970101</v>
      </c>
      <c r="K177">
        <v>0.51859997367092103</v>
      </c>
      <c r="L177">
        <v>0</v>
      </c>
      <c r="M177">
        <v>1.238204940398321E-6</v>
      </c>
      <c r="N177">
        <v>0</v>
      </c>
      <c r="O177" s="1">
        <v>7.3670266914238896E-13</v>
      </c>
      <c r="P177">
        <v>0</v>
      </c>
      <c r="Q177">
        <v>100</v>
      </c>
      <c r="AJ177">
        <v>1</v>
      </c>
    </row>
    <row r="178" spans="1:36" x14ac:dyDescent="0.2">
      <c r="A178">
        <v>191</v>
      </c>
      <c r="B178">
        <v>758</v>
      </c>
      <c r="C178">
        <v>180</v>
      </c>
      <c r="D178">
        <v>0.40473306502448703</v>
      </c>
      <c r="E178">
        <v>2.7177943617711202</v>
      </c>
      <c r="F178">
        <v>2.5408556008859402</v>
      </c>
      <c r="G178">
        <v>-44.424550223296649</v>
      </c>
      <c r="H178">
        <v>-38.90349161260189</v>
      </c>
      <c r="I178">
        <v>5.3542730065409998</v>
      </c>
      <c r="J178">
        <v>3.1500006586156601</v>
      </c>
      <c r="K178">
        <v>1.06963747204819</v>
      </c>
      <c r="L178">
        <v>0</v>
      </c>
      <c r="M178">
        <v>1.2382049403983212E-6</v>
      </c>
      <c r="N178">
        <v>0</v>
      </c>
      <c r="O178" s="1">
        <v>1.5194848065546701E-12</v>
      </c>
      <c r="P178">
        <v>0</v>
      </c>
      <c r="Q178">
        <v>100</v>
      </c>
      <c r="AJ178">
        <v>1</v>
      </c>
    </row>
    <row r="179" spans="1:36" x14ac:dyDescent="0.2">
      <c r="A179">
        <v>192</v>
      </c>
      <c r="B179">
        <v>756</v>
      </c>
      <c r="C179">
        <v>180</v>
      </c>
      <c r="D179">
        <v>0.40344021765534699</v>
      </c>
      <c r="E179">
        <v>4.1488894077721303</v>
      </c>
      <c r="F179">
        <v>2.5408556008859402</v>
      </c>
      <c r="G179">
        <v>-67.800619961525925</v>
      </c>
      <c r="H179">
        <v>-59.398319921072485</v>
      </c>
      <c r="I179">
        <v>8.1643103925117195</v>
      </c>
      <c r="J179">
        <v>4.8074632574468401</v>
      </c>
      <c r="K179">
        <v>1.63287099287558</v>
      </c>
      <c r="L179">
        <v>0</v>
      </c>
      <c r="M179">
        <v>1.238204940398321E-6</v>
      </c>
      <c r="N179">
        <v>0</v>
      </c>
      <c r="O179" s="1">
        <v>2.3195921324515102E-12</v>
      </c>
      <c r="P179">
        <v>0</v>
      </c>
      <c r="Q179">
        <v>100</v>
      </c>
      <c r="AJ179">
        <v>1</v>
      </c>
    </row>
    <row r="180" spans="1:36" x14ac:dyDescent="0.2">
      <c r="A180">
        <v>193</v>
      </c>
      <c r="B180">
        <v>754</v>
      </c>
      <c r="C180">
        <v>180</v>
      </c>
      <c r="D180">
        <v>0.402142335588766</v>
      </c>
      <c r="E180">
        <v>22.997389245448499</v>
      </c>
      <c r="F180">
        <v>2.5408556008859402</v>
      </c>
      <c r="G180">
        <v>-375.72993503899289</v>
      </c>
      <c r="H180">
        <v>-329.29954009073299</v>
      </c>
      <c r="I180">
        <v>45.203129969585603</v>
      </c>
      <c r="J180">
        <v>26.6411034525572</v>
      </c>
      <c r="K180">
        <v>9.0510414040962406</v>
      </c>
      <c r="L180">
        <v>0</v>
      </c>
      <c r="M180">
        <v>1.238204940398321E-6</v>
      </c>
      <c r="N180">
        <v>0</v>
      </c>
      <c r="O180" s="1">
        <v>1.28575524478277E-11</v>
      </c>
      <c r="P180">
        <v>0</v>
      </c>
      <c r="Q180">
        <v>100</v>
      </c>
      <c r="AJ180">
        <v>1</v>
      </c>
    </row>
    <row r="181" spans="1:36" x14ac:dyDescent="0.2">
      <c r="A181">
        <v>194</v>
      </c>
      <c r="B181">
        <v>752</v>
      </c>
      <c r="C181">
        <v>180</v>
      </c>
      <c r="D181">
        <v>0.40083938935765601</v>
      </c>
      <c r="E181">
        <v>27.5576655684463</v>
      </c>
      <c r="F181">
        <v>2.5408556008859402</v>
      </c>
      <c r="G181">
        <v>-450.12717870831437</v>
      </c>
      <c r="H181">
        <v>-394.66196126138988</v>
      </c>
      <c r="I181">
        <v>54.104489535116201</v>
      </c>
      <c r="J181">
        <v>31.9157567619216</v>
      </c>
      <c r="K181">
        <v>10.8458212103188</v>
      </c>
      <c r="L181">
        <v>0</v>
      </c>
      <c r="M181">
        <v>1.2382049403983212E-6</v>
      </c>
      <c r="N181">
        <v>0</v>
      </c>
      <c r="O181" s="1">
        <v>1.5407145854876602E-11</v>
      </c>
      <c r="P181">
        <v>0</v>
      </c>
      <c r="Q181">
        <v>100</v>
      </c>
      <c r="AJ181">
        <v>1</v>
      </c>
    </row>
    <row r="182" spans="1:36" x14ac:dyDescent="0.2">
      <c r="A182">
        <v>195</v>
      </c>
      <c r="B182">
        <v>750</v>
      </c>
      <c r="C182">
        <v>180</v>
      </c>
      <c r="D182">
        <v>0.39953134926452799</v>
      </c>
      <c r="E182">
        <v>29.403906915105502</v>
      </c>
      <c r="F182">
        <v>2.5408556008859402</v>
      </c>
      <c r="G182">
        <v>-480.16831088140736</v>
      </c>
      <c r="H182">
        <v>-421.17066114557139</v>
      </c>
      <c r="I182">
        <v>57.662756913293201</v>
      </c>
      <c r="J182">
        <v>34.045231799192102</v>
      </c>
      <c r="K182">
        <v>11.572443119102401</v>
      </c>
      <c r="L182">
        <v>0</v>
      </c>
      <c r="M182">
        <v>1.2382049403983212E-6</v>
      </c>
      <c r="N182">
        <v>0</v>
      </c>
      <c r="O182" s="1">
        <v>1.64393562807064E-11</v>
      </c>
      <c r="P182">
        <v>0</v>
      </c>
      <c r="Q182">
        <v>100</v>
      </c>
      <c r="AJ182">
        <v>1</v>
      </c>
    </row>
    <row r="183" spans="1:36" x14ac:dyDescent="0.2">
      <c r="A183">
        <v>196</v>
      </c>
      <c r="B183">
        <v>748</v>
      </c>
      <c r="C183">
        <v>180</v>
      </c>
      <c r="D183">
        <v>0.39821818537923098</v>
      </c>
      <c r="E183">
        <v>30.464213652845402</v>
      </c>
      <c r="F183">
        <v>2.5408556008859402</v>
      </c>
      <c r="G183">
        <v>-497.36379528353808</v>
      </c>
      <c r="H183">
        <v>-436.42863847073818</v>
      </c>
      <c r="I183">
        <v>59.673071353669698</v>
      </c>
      <c r="J183">
        <v>35.263811157189203</v>
      </c>
      <c r="K183">
        <v>11.9897461478028</v>
      </c>
      <c r="L183">
        <v>0</v>
      </c>
      <c r="M183">
        <v>1.2382049403983212E-6</v>
      </c>
      <c r="N183">
        <v>0</v>
      </c>
      <c r="O183" s="1">
        <v>1.7032160504949999E-11</v>
      </c>
      <c r="P183">
        <v>0</v>
      </c>
      <c r="Q183">
        <v>100</v>
      </c>
      <c r="AJ183">
        <v>1</v>
      </c>
    </row>
    <row r="184" spans="1:36" x14ac:dyDescent="0.2">
      <c r="A184">
        <v>197</v>
      </c>
      <c r="B184">
        <v>746</v>
      </c>
      <c r="C184">
        <v>180</v>
      </c>
      <c r="D184">
        <v>0.396899867536674</v>
      </c>
      <c r="E184">
        <v>31.151803853839301</v>
      </c>
      <c r="F184">
        <v>2.5408556008859402</v>
      </c>
      <c r="G184">
        <v>-508.46753756193664</v>
      </c>
      <c r="H184">
        <v>-446.35112775676646</v>
      </c>
      <c r="I184">
        <v>60.949232012137699</v>
      </c>
      <c r="J184">
        <v>36.0503904189518</v>
      </c>
      <c r="K184">
        <v>12.260359794935701</v>
      </c>
      <c r="L184">
        <v>0</v>
      </c>
      <c r="M184">
        <v>1.2382049403983212E-6</v>
      </c>
      <c r="N184">
        <v>0</v>
      </c>
      <c r="O184" s="1">
        <v>1.7416583579131799E-11</v>
      </c>
      <c r="P184">
        <v>0</v>
      </c>
      <c r="Q184">
        <v>100</v>
      </c>
      <c r="AJ184">
        <v>1</v>
      </c>
    </row>
    <row r="185" spans="1:36" x14ac:dyDescent="0.2">
      <c r="A185">
        <v>198</v>
      </c>
      <c r="B185">
        <v>744</v>
      </c>
      <c r="C185">
        <v>180</v>
      </c>
      <c r="D185">
        <v>0.39557636533451601</v>
      </c>
      <c r="E185">
        <v>31.6414583976036</v>
      </c>
      <c r="F185">
        <v>2.5408556008859402</v>
      </c>
      <c r="G185">
        <v>-516.33605894432117</v>
      </c>
      <c r="H185">
        <v>-453.44024966137556</v>
      </c>
      <c r="I185">
        <v>61.835333316566498</v>
      </c>
      <c r="J185">
        <v>36.607514202670302</v>
      </c>
      <c r="K185">
        <v>12.453072259033901</v>
      </c>
      <c r="L185">
        <v>0</v>
      </c>
      <c r="M185">
        <v>1.238204940398321E-6</v>
      </c>
      <c r="N185">
        <v>0</v>
      </c>
      <c r="O185" s="1">
        <v>1.7690343305097901E-11</v>
      </c>
      <c r="P185">
        <v>0</v>
      </c>
      <c r="Q185">
        <v>100</v>
      </c>
      <c r="AJ185">
        <v>1</v>
      </c>
    </row>
    <row r="186" spans="1:36" x14ac:dyDescent="0.2">
      <c r="A186">
        <v>199</v>
      </c>
      <c r="B186">
        <v>742</v>
      </c>
      <c r="C186">
        <v>180</v>
      </c>
      <c r="D186">
        <v>0.39424764813081797</v>
      </c>
      <c r="E186">
        <v>32.012629000729</v>
      </c>
      <c r="F186">
        <v>2.5408556008859402</v>
      </c>
      <c r="G186">
        <v>-522.26789832049781</v>
      </c>
      <c r="H186">
        <v>-458.83340152553893</v>
      </c>
      <c r="I186">
        <v>62.487806526088498</v>
      </c>
      <c r="J186">
        <v>37.027256568045402</v>
      </c>
      <c r="K186">
        <v>12.599153210267801</v>
      </c>
      <c r="L186">
        <v>0</v>
      </c>
      <c r="M186">
        <v>1.238204940398321E-6</v>
      </c>
      <c r="N186">
        <v>0</v>
      </c>
      <c r="O186" s="1">
        <v>1.78978601430242E-11</v>
      </c>
      <c r="P186">
        <v>0</v>
      </c>
      <c r="Q186">
        <v>100</v>
      </c>
      <c r="AJ186">
        <v>1</v>
      </c>
    </row>
    <row r="187" spans="1:36" x14ac:dyDescent="0.2">
      <c r="A187">
        <v>200</v>
      </c>
      <c r="B187">
        <v>740</v>
      </c>
      <c r="C187">
        <v>180</v>
      </c>
      <c r="D187">
        <v>0.39291368504170499</v>
      </c>
      <c r="E187">
        <v>32.306470070469501</v>
      </c>
      <c r="F187">
        <v>2.5408556008859402</v>
      </c>
      <c r="G187">
        <v>-526.93569974055254</v>
      </c>
      <c r="H187">
        <v>-463.11971688828135</v>
      </c>
      <c r="I187">
        <v>62.987694667394898</v>
      </c>
      <c r="J187">
        <v>37.3573118173965</v>
      </c>
      <c r="K187">
        <v>12.714799715184499</v>
      </c>
      <c r="L187">
        <v>0</v>
      </c>
      <c r="M187">
        <v>1.2382049403983215E-6</v>
      </c>
      <c r="N187">
        <v>0</v>
      </c>
      <c r="O187" s="1">
        <v>1.80621430068393E-11</v>
      </c>
      <c r="P187">
        <v>0</v>
      </c>
      <c r="Q187">
        <v>100</v>
      </c>
      <c r="AJ187">
        <v>1</v>
      </c>
    </row>
    <row r="188" spans="1:36" x14ac:dyDescent="0.2">
      <c r="A188">
        <v>203</v>
      </c>
      <c r="B188">
        <v>764</v>
      </c>
      <c r="C188">
        <v>170</v>
      </c>
      <c r="D188">
        <v>0.419187677770818</v>
      </c>
      <c r="E188">
        <v>0.18605782860459799</v>
      </c>
      <c r="F188">
        <v>2.54054101179777</v>
      </c>
      <c r="G188">
        <v>-3.0442012740766971</v>
      </c>
      <c r="H188">
        <v>-2.6627370060492312</v>
      </c>
      <c r="I188">
        <v>0.36780048018846401</v>
      </c>
      <c r="J188">
        <v>0.21580862866719999</v>
      </c>
      <c r="K188">
        <v>7.3235514695721399E-2</v>
      </c>
      <c r="L188">
        <v>0</v>
      </c>
      <c r="M188">
        <v>1.2381936739072806E-6</v>
      </c>
      <c r="N188">
        <v>0</v>
      </c>
      <c r="O188" s="1">
        <v>1.04022602917243E-13</v>
      </c>
      <c r="P188">
        <v>0</v>
      </c>
      <c r="Q188">
        <v>100</v>
      </c>
      <c r="AJ188">
        <v>1</v>
      </c>
    </row>
    <row r="189" spans="1:36" x14ac:dyDescent="0.2">
      <c r="A189">
        <v>204</v>
      </c>
      <c r="B189">
        <v>762</v>
      </c>
      <c r="C189">
        <v>170</v>
      </c>
      <c r="D189">
        <v>0.41793025165435399</v>
      </c>
      <c r="E189">
        <v>1.5807842237455201</v>
      </c>
      <c r="F189">
        <v>2.54054101179777</v>
      </c>
      <c r="G189">
        <v>-25.857891688183408</v>
      </c>
      <c r="H189">
        <v>-22.626808510891632</v>
      </c>
      <c r="I189">
        <v>3.1213671229211002</v>
      </c>
      <c r="J189">
        <v>1.8330951640609101</v>
      </c>
      <c r="K189">
        <v>0.62222346201248802</v>
      </c>
      <c r="L189">
        <v>0</v>
      </c>
      <c r="M189">
        <v>1.2381936739072806E-6</v>
      </c>
      <c r="N189">
        <v>0</v>
      </c>
      <c r="O189" s="1">
        <v>8.8379667137778996E-13</v>
      </c>
      <c r="P189">
        <v>0</v>
      </c>
      <c r="Q189">
        <v>100</v>
      </c>
      <c r="AJ189">
        <v>1</v>
      </c>
    </row>
    <row r="190" spans="1:36" x14ac:dyDescent="0.2">
      <c r="A190">
        <v>205</v>
      </c>
      <c r="B190">
        <v>760</v>
      </c>
      <c r="C190">
        <v>170</v>
      </c>
      <c r="D190">
        <v>0.41666795721821598</v>
      </c>
      <c r="E190">
        <v>2.9831030391552402</v>
      </c>
      <c r="F190">
        <v>2.54054101179777</v>
      </c>
      <c r="G190">
        <v>-48.784737331274663</v>
      </c>
      <c r="H190">
        <v>-42.706041390215994</v>
      </c>
      <c r="I190">
        <v>5.8836528491106499</v>
      </c>
      <c r="J190">
        <v>3.4583722612663399</v>
      </c>
      <c r="K190">
        <v>1.1741999146253801</v>
      </c>
      <c r="L190">
        <v>0</v>
      </c>
      <c r="M190">
        <v>1.2381936739072806E-6</v>
      </c>
      <c r="N190">
        <v>0</v>
      </c>
      <c r="O190" s="1">
        <v>1.6678155669693701E-12</v>
      </c>
      <c r="P190">
        <v>0</v>
      </c>
      <c r="Q190">
        <v>100</v>
      </c>
      <c r="AJ190">
        <v>1</v>
      </c>
    </row>
    <row r="191" spans="1:36" x14ac:dyDescent="0.2">
      <c r="A191">
        <v>206</v>
      </c>
      <c r="B191">
        <v>758</v>
      </c>
      <c r="C191">
        <v>170</v>
      </c>
      <c r="D191">
        <v>0.41540076613490101</v>
      </c>
      <c r="E191">
        <v>4.6698501316500396</v>
      </c>
      <c r="F191">
        <v>2.54054101179777</v>
      </c>
      <c r="G191">
        <v>-76.350863106872183</v>
      </c>
      <c r="H191">
        <v>-66.864304210930314</v>
      </c>
      <c r="I191">
        <v>9.1999795334741297</v>
      </c>
      <c r="J191">
        <v>5.4124885963586502</v>
      </c>
      <c r="K191">
        <v>1.8381321576641201</v>
      </c>
      <c r="L191">
        <v>0</v>
      </c>
      <c r="M191">
        <v>1.2381936739072806E-6</v>
      </c>
      <c r="N191">
        <v>0</v>
      </c>
      <c r="O191" s="1">
        <v>2.6108547518309799E-12</v>
      </c>
      <c r="P191">
        <v>0</v>
      </c>
      <c r="Q191">
        <v>100</v>
      </c>
      <c r="AJ191">
        <v>1</v>
      </c>
    </row>
    <row r="192" spans="1:36" x14ac:dyDescent="0.2">
      <c r="A192">
        <v>207</v>
      </c>
      <c r="B192">
        <v>756</v>
      </c>
      <c r="C192">
        <v>170</v>
      </c>
      <c r="D192">
        <v>0.41412864985667802</v>
      </c>
      <c r="E192">
        <v>23.795751902161701</v>
      </c>
      <c r="F192">
        <v>2.54054101179777</v>
      </c>
      <c r="G192">
        <v>-388.96079186418194</v>
      </c>
      <c r="H192">
        <v>-340.76981169594524</v>
      </c>
      <c r="I192">
        <v>46.826002203990299</v>
      </c>
      <c r="J192">
        <v>27.5729699467676</v>
      </c>
      <c r="K192">
        <v>9.3664112453445902</v>
      </c>
      <c r="L192">
        <v>0</v>
      </c>
      <c r="M192">
        <v>1.2381936739072806E-6</v>
      </c>
      <c r="N192">
        <v>0</v>
      </c>
      <c r="O192" s="1">
        <v>1.33039070153624E-11</v>
      </c>
      <c r="P192">
        <v>0</v>
      </c>
      <c r="Q192">
        <v>100</v>
      </c>
      <c r="AJ192">
        <v>1</v>
      </c>
    </row>
    <row r="193" spans="1:36" x14ac:dyDescent="0.2">
      <c r="A193">
        <v>208</v>
      </c>
      <c r="B193">
        <v>754</v>
      </c>
      <c r="C193">
        <v>170</v>
      </c>
      <c r="D193">
        <v>0.412851579613494</v>
      </c>
      <c r="E193">
        <v>27.7412331513368</v>
      </c>
      <c r="F193">
        <v>2.54054101179777</v>
      </c>
      <c r="G193">
        <v>-453.34375326407257</v>
      </c>
      <c r="H193">
        <v>-397.33581263127877</v>
      </c>
      <c r="I193">
        <v>54.527518505372903</v>
      </c>
      <c r="J193">
        <v>32.136563607216601</v>
      </c>
      <c r="K193">
        <v>10.9194195340724</v>
      </c>
      <c r="L193">
        <v>0</v>
      </c>
      <c r="M193">
        <v>1.2381936739072806E-6</v>
      </c>
      <c r="N193">
        <v>0</v>
      </c>
      <c r="O193" s="1">
        <v>1.5509776192587799E-11</v>
      </c>
      <c r="P193">
        <v>0</v>
      </c>
      <c r="Q193">
        <v>100</v>
      </c>
      <c r="AJ193">
        <v>1</v>
      </c>
    </row>
    <row r="194" spans="1:36" x14ac:dyDescent="0.2">
      <c r="A194">
        <v>209</v>
      </c>
      <c r="B194">
        <v>752</v>
      </c>
      <c r="C194">
        <v>170</v>
      </c>
      <c r="D194">
        <v>0.41156952641076899</v>
      </c>
      <c r="E194">
        <v>29.457777977107501</v>
      </c>
      <c r="F194">
        <v>2.54054101179777</v>
      </c>
      <c r="G194">
        <v>-481.2795769891477</v>
      </c>
      <c r="H194">
        <v>-421.99000991949362</v>
      </c>
      <c r="I194">
        <v>57.835016407017498</v>
      </c>
      <c r="J194">
        <v>34.116361356114098</v>
      </c>
      <c r="K194">
        <v>11.5950806699484</v>
      </c>
      <c r="L194">
        <v>0</v>
      </c>
      <c r="M194">
        <v>1.2381936739072806E-6</v>
      </c>
      <c r="N194">
        <v>0</v>
      </c>
      <c r="O194" s="1">
        <v>1.6469474917118499E-11</v>
      </c>
      <c r="P194">
        <v>0</v>
      </c>
      <c r="Q194">
        <v>100</v>
      </c>
      <c r="AJ194">
        <v>1</v>
      </c>
    </row>
    <row r="195" spans="1:36" x14ac:dyDescent="0.2">
      <c r="A195">
        <v>210</v>
      </c>
      <c r="B195">
        <v>750</v>
      </c>
      <c r="C195">
        <v>170</v>
      </c>
      <c r="D195">
        <v>0.41028246102722199</v>
      </c>
      <c r="E195">
        <v>30.449218122723501</v>
      </c>
      <c r="F195">
        <v>2.54054101179777</v>
      </c>
      <c r="G195">
        <v>-497.35817802990465</v>
      </c>
      <c r="H195">
        <v>-436.26315719743019</v>
      </c>
      <c r="I195">
        <v>59.712672464911698</v>
      </c>
      <c r="J195">
        <v>35.255542472137599</v>
      </c>
      <c r="K195">
        <v>11.9853283144508</v>
      </c>
      <c r="L195">
        <v>0</v>
      </c>
      <c r="M195">
        <v>1.2381936739072804E-6</v>
      </c>
      <c r="N195">
        <v>0</v>
      </c>
      <c r="O195" s="1">
        <v>1.70237766917716E-11</v>
      </c>
      <c r="P195">
        <v>0</v>
      </c>
      <c r="Q195">
        <v>100</v>
      </c>
      <c r="AJ195">
        <v>1</v>
      </c>
    </row>
    <row r="196" spans="1:36" x14ac:dyDescent="0.2">
      <c r="A196">
        <v>211</v>
      </c>
      <c r="B196">
        <v>748</v>
      </c>
      <c r="C196">
        <v>170</v>
      </c>
      <c r="D196">
        <v>0.40899035401263301</v>
      </c>
      <c r="E196">
        <v>31.136267008983101</v>
      </c>
      <c r="F196">
        <v>2.54054101179777</v>
      </c>
      <c r="G196">
        <v>-508.45839966746144</v>
      </c>
      <c r="H196">
        <v>-446.17898768663116</v>
      </c>
      <c r="I196">
        <v>60.989484386065001</v>
      </c>
      <c r="J196">
        <v>36.0417456513619</v>
      </c>
      <c r="K196">
        <v>12.255762400367599</v>
      </c>
      <c r="L196">
        <v>0</v>
      </c>
      <c r="M196">
        <v>1.2381936739072804E-6</v>
      </c>
      <c r="N196">
        <v>0</v>
      </c>
      <c r="O196" s="1">
        <v>1.7407897123661701E-11</v>
      </c>
      <c r="P196">
        <v>0</v>
      </c>
      <c r="Q196">
        <v>100</v>
      </c>
      <c r="AJ196">
        <v>1</v>
      </c>
    </row>
    <row r="197" spans="1:36" x14ac:dyDescent="0.2">
      <c r="A197">
        <v>212</v>
      </c>
      <c r="B197">
        <v>746</v>
      </c>
      <c r="C197">
        <v>170</v>
      </c>
      <c r="D197">
        <v>0.40769317568562202</v>
      </c>
      <c r="E197">
        <v>31.618035863221799</v>
      </c>
      <c r="F197">
        <v>2.54054101179777</v>
      </c>
      <c r="G197">
        <v>-516.20193932672657</v>
      </c>
      <c r="H197">
        <v>-453.15586719140771</v>
      </c>
      <c r="I197">
        <v>61.861425830661602</v>
      </c>
      <c r="J197">
        <v>36.5899368941066</v>
      </c>
      <c r="K197">
        <v>12.445394786541</v>
      </c>
      <c r="L197">
        <v>0</v>
      </c>
      <c r="M197">
        <v>1.2381936739072804E-6</v>
      </c>
      <c r="N197">
        <v>0</v>
      </c>
      <c r="O197" s="1">
        <v>1.76772480593262E-11</v>
      </c>
      <c r="P197">
        <v>0</v>
      </c>
      <c r="Q197">
        <v>100</v>
      </c>
      <c r="AJ197">
        <v>1</v>
      </c>
    </row>
    <row r="198" spans="1:36" x14ac:dyDescent="0.2">
      <c r="A198">
        <v>213</v>
      </c>
      <c r="B198">
        <v>744</v>
      </c>
      <c r="C198">
        <v>170</v>
      </c>
      <c r="D198">
        <v>0.40639089613134799</v>
      </c>
      <c r="E198">
        <v>31.985303509233599</v>
      </c>
      <c r="F198">
        <v>2.54054101179777</v>
      </c>
      <c r="G198">
        <v>-522.07293197687784</v>
      </c>
      <c r="H198">
        <v>-458.49363913599387</v>
      </c>
      <c r="I198">
        <v>62.5072927698805</v>
      </c>
      <c r="J198">
        <v>37.005325032036701</v>
      </c>
      <c r="K198">
        <v>12.589957556559799</v>
      </c>
      <c r="L198">
        <v>0</v>
      </c>
      <c r="M198">
        <v>1.2381936739072808E-6</v>
      </c>
      <c r="N198">
        <v>0</v>
      </c>
      <c r="O198" s="1">
        <v>1.78825828027872E-11</v>
      </c>
      <c r="P198">
        <v>0</v>
      </c>
      <c r="Q198">
        <v>100</v>
      </c>
      <c r="AJ198">
        <v>1</v>
      </c>
    </row>
    <row r="199" spans="1:36" x14ac:dyDescent="0.2">
      <c r="A199">
        <v>214</v>
      </c>
      <c r="B199">
        <v>742</v>
      </c>
      <c r="C199">
        <v>170</v>
      </c>
      <c r="D199">
        <v>0.40508348519923099</v>
      </c>
      <c r="E199">
        <v>32.277216311717503</v>
      </c>
      <c r="F199">
        <v>2.54054101179777</v>
      </c>
      <c r="G199">
        <v>-526.71153106747977</v>
      </c>
      <c r="H199">
        <v>-462.75274234602841</v>
      </c>
      <c r="I199">
        <v>63.004273970793797</v>
      </c>
      <c r="J199">
        <v>37.333290235208302</v>
      </c>
      <c r="K199">
        <v>12.7048593830323</v>
      </c>
      <c r="L199">
        <v>0</v>
      </c>
      <c r="M199">
        <v>1.2381936739072804E-6</v>
      </c>
      <c r="N199">
        <v>0</v>
      </c>
      <c r="O199" s="1">
        <v>1.8045787596517101E-11</v>
      </c>
      <c r="P199">
        <v>0</v>
      </c>
      <c r="Q199">
        <v>100</v>
      </c>
      <c r="AJ199">
        <v>1</v>
      </c>
    </row>
    <row r="200" spans="1:36" x14ac:dyDescent="0.2">
      <c r="A200">
        <v>218</v>
      </c>
      <c r="B200">
        <v>766</v>
      </c>
      <c r="C200">
        <v>160</v>
      </c>
      <c r="D200">
        <v>0.43102583842564002</v>
      </c>
      <c r="E200">
        <v>0.61473123197355195</v>
      </c>
      <c r="F200">
        <v>2.5402264645234101</v>
      </c>
      <c r="G200">
        <v>-10.062829904289412</v>
      </c>
      <c r="H200">
        <v>-8.7986218063068797</v>
      </c>
      <c r="I200">
        <v>1.21657902899728</v>
      </c>
      <c r="J200">
        <v>0.71320451018361797</v>
      </c>
      <c r="K200">
        <v>0.241998593652509</v>
      </c>
      <c r="L200">
        <v>0</v>
      </c>
      <c r="M200">
        <v>1.2381823926209778E-6</v>
      </c>
      <c r="N200">
        <v>0</v>
      </c>
      <c r="O200" s="1">
        <v>3.4368853664474198E-13</v>
      </c>
      <c r="P200">
        <v>0</v>
      </c>
      <c r="Q200">
        <v>100</v>
      </c>
      <c r="AJ200">
        <v>1</v>
      </c>
    </row>
    <row r="201" spans="1:36" x14ac:dyDescent="0.2">
      <c r="A201">
        <v>219</v>
      </c>
      <c r="B201">
        <v>764</v>
      </c>
      <c r="C201">
        <v>160</v>
      </c>
      <c r="D201">
        <v>0.42979366533288699</v>
      </c>
      <c r="E201">
        <v>2.00567878299415</v>
      </c>
      <c r="F201">
        <v>2.5402264645234101</v>
      </c>
      <c r="G201">
        <v>-32.823982266710317</v>
      </c>
      <c r="H201">
        <v>-28.711847912616417</v>
      </c>
      <c r="I201">
        <v>3.96484052846154</v>
      </c>
      <c r="J201">
        <v>2.32638847261151</v>
      </c>
      <c r="K201">
        <v>0.78956691893628095</v>
      </c>
      <c r="L201">
        <v>0</v>
      </c>
      <c r="M201">
        <v>1.2381823926209778E-6</v>
      </c>
      <c r="N201">
        <v>0</v>
      </c>
      <c r="O201" s="1">
        <v>1.1213499006608501E-12</v>
      </c>
      <c r="P201">
        <v>0</v>
      </c>
      <c r="Q201">
        <v>100</v>
      </c>
      <c r="AJ201">
        <v>1</v>
      </c>
    </row>
    <row r="202" spans="1:36" x14ac:dyDescent="0.2">
      <c r="A202">
        <v>220</v>
      </c>
      <c r="B202">
        <v>762</v>
      </c>
      <c r="C202">
        <v>160</v>
      </c>
      <c r="D202">
        <v>0.428556730908567</v>
      </c>
      <c r="E202">
        <v>3.4153844337065902</v>
      </c>
      <c r="F202">
        <v>2.5402264645234101</v>
      </c>
      <c r="G202">
        <v>-55.881057055318159</v>
      </c>
      <c r="H202">
        <v>-48.90009721148428</v>
      </c>
      <c r="I202">
        <v>6.74391135954584</v>
      </c>
      <c r="J202">
        <v>3.9605182002653501</v>
      </c>
      <c r="K202">
        <v>1.3445196644494299</v>
      </c>
      <c r="L202">
        <v>0</v>
      </c>
      <c r="M202">
        <v>1.2381823926209776E-6</v>
      </c>
      <c r="N202">
        <v>0</v>
      </c>
      <c r="O202" s="1">
        <v>1.9094986834024299E-12</v>
      </c>
      <c r="P202">
        <v>0</v>
      </c>
      <c r="Q202">
        <v>100</v>
      </c>
      <c r="AJ202">
        <v>1</v>
      </c>
    </row>
    <row r="203" spans="1:36" x14ac:dyDescent="0.2">
      <c r="A203">
        <v>221</v>
      </c>
      <c r="B203">
        <v>760</v>
      </c>
      <c r="C203">
        <v>160</v>
      </c>
      <c r="D203">
        <v>0.427315007501331</v>
      </c>
      <c r="E203">
        <v>13.1753500155442</v>
      </c>
      <c r="F203">
        <v>2.5402264645234101</v>
      </c>
      <c r="G203">
        <v>-215.51743129353258</v>
      </c>
      <c r="H203">
        <v>-188.66990185512739</v>
      </c>
      <c r="I203">
        <v>25.986090537100299</v>
      </c>
      <c r="J203">
        <v>15.2744522827936</v>
      </c>
      <c r="K203">
        <v>5.1866832345659297</v>
      </c>
      <c r="L203">
        <v>0</v>
      </c>
      <c r="M203">
        <v>1.238182392620978E-6</v>
      </c>
      <c r="N203">
        <v>0</v>
      </c>
      <c r="O203" s="1">
        <v>7.3661732658143497E-12</v>
      </c>
      <c r="P203">
        <v>0</v>
      </c>
      <c r="Q203">
        <v>100</v>
      </c>
      <c r="AJ203">
        <v>1</v>
      </c>
    </row>
    <row r="204" spans="1:36" x14ac:dyDescent="0.2">
      <c r="A204">
        <v>222</v>
      </c>
      <c r="B204">
        <v>758</v>
      </c>
      <c r="C204">
        <v>160</v>
      </c>
      <c r="D204">
        <v>0.426068467245311</v>
      </c>
      <c r="E204">
        <v>24.939503629252599</v>
      </c>
      <c r="F204">
        <v>2.5402264645234101</v>
      </c>
      <c r="G204">
        <v>-407.85271973929383</v>
      </c>
      <c r="H204">
        <v>-357.18940863837327</v>
      </c>
      <c r="I204">
        <v>49.132823644397497</v>
      </c>
      <c r="J204">
        <v>28.905591226003601</v>
      </c>
      <c r="K204">
        <v>9.8178268660513694</v>
      </c>
      <c r="L204">
        <v>0</v>
      </c>
      <c r="M204">
        <v>1.2381823926209776E-6</v>
      </c>
      <c r="N204">
        <v>0</v>
      </c>
      <c r="O204" s="1">
        <v>1.39433642885951E-11</v>
      </c>
      <c r="P204">
        <v>0</v>
      </c>
      <c r="Q204">
        <v>100</v>
      </c>
      <c r="AJ204">
        <v>1</v>
      </c>
    </row>
    <row r="205" spans="1:36" x14ac:dyDescent="0.2">
      <c r="A205">
        <v>223</v>
      </c>
      <c r="B205">
        <v>756</v>
      </c>
      <c r="C205">
        <v>160</v>
      </c>
      <c r="D205">
        <v>0.424817082058009</v>
      </c>
      <c r="E205">
        <v>28.101483860778501</v>
      </c>
      <c r="F205">
        <v>2.5402264645234101</v>
      </c>
      <c r="G205">
        <v>-459.4520788207123</v>
      </c>
      <c r="H205">
        <v>-402.54116224195212</v>
      </c>
      <c r="I205">
        <v>55.298952124335699</v>
      </c>
      <c r="J205">
        <v>32.562172153191298</v>
      </c>
      <c r="K205">
        <v>11.0625899907907</v>
      </c>
      <c r="L205">
        <v>0</v>
      </c>
      <c r="M205">
        <v>1.2381823926209776E-6</v>
      </c>
      <c r="N205">
        <v>0</v>
      </c>
      <c r="O205" s="1">
        <v>1.5711187854649901E-11</v>
      </c>
      <c r="P205">
        <v>0</v>
      </c>
      <c r="Q205">
        <v>100</v>
      </c>
      <c r="AJ205">
        <v>1</v>
      </c>
    </row>
    <row r="206" spans="1:36" x14ac:dyDescent="0.2">
      <c r="A206">
        <v>224</v>
      </c>
      <c r="B206">
        <v>754</v>
      </c>
      <c r="C206">
        <v>160</v>
      </c>
      <c r="D206">
        <v>0.42356082363822201</v>
      </c>
      <c r="E206">
        <v>29.6144035119333</v>
      </c>
      <c r="F206">
        <v>2.5402264645234101</v>
      </c>
      <c r="G206">
        <v>-484.07144291989556</v>
      </c>
      <c r="H206">
        <v>-424.28167998024651</v>
      </c>
      <c r="I206">
        <v>58.209378318306896</v>
      </c>
      <c r="J206">
        <v>34.3065197195519</v>
      </c>
      <c r="K206">
        <v>11.6581745468467</v>
      </c>
      <c r="L206">
        <v>0</v>
      </c>
      <c r="M206">
        <v>1.238182392620978E-6</v>
      </c>
      <c r="N206">
        <v>0</v>
      </c>
      <c r="O206" s="1">
        <v>1.65570422930149E-11</v>
      </c>
      <c r="P206">
        <v>0</v>
      </c>
      <c r="Q206">
        <v>100</v>
      </c>
      <c r="AJ206">
        <v>1</v>
      </c>
    </row>
    <row r="207" spans="1:36" x14ac:dyDescent="0.2">
      <c r="A207">
        <v>225</v>
      </c>
      <c r="B207">
        <v>752</v>
      </c>
      <c r="C207">
        <v>160</v>
      </c>
      <c r="D207">
        <v>0.42229966346388498</v>
      </c>
      <c r="E207">
        <v>30.5259720556543</v>
      </c>
      <c r="F207">
        <v>2.5402264645234101</v>
      </c>
      <c r="G207">
        <v>-498.85183667863009</v>
      </c>
      <c r="H207">
        <v>-437.41231910990496</v>
      </c>
      <c r="I207">
        <v>59.932222180876103</v>
      </c>
      <c r="J207">
        <v>35.353484373691501</v>
      </c>
      <c r="K207">
        <v>12.0170278051888</v>
      </c>
      <c r="L207">
        <v>0</v>
      </c>
      <c r="M207">
        <v>1.2381823926209778E-6</v>
      </c>
      <c r="N207">
        <v>0</v>
      </c>
      <c r="O207" s="1">
        <v>1.7066688854874199E-11</v>
      </c>
      <c r="P207">
        <v>0</v>
      </c>
      <c r="Q207">
        <v>100</v>
      </c>
      <c r="AJ207">
        <v>1</v>
      </c>
    </row>
    <row r="208" spans="1:36" x14ac:dyDescent="0.2">
      <c r="A208">
        <v>226</v>
      </c>
      <c r="B208">
        <v>750</v>
      </c>
      <c r="C208">
        <v>160</v>
      </c>
      <c r="D208">
        <v>0.42103357278991599</v>
      </c>
      <c r="E208">
        <v>31.169133488399599</v>
      </c>
      <c r="F208">
        <v>2.5402264645234101</v>
      </c>
      <c r="G208">
        <v>-509.23998555014481</v>
      </c>
      <c r="H208">
        <v>-446.70048610786415</v>
      </c>
      <c r="I208">
        <v>61.124468007897804</v>
      </c>
      <c r="J208">
        <v>36.089094474972001</v>
      </c>
      <c r="K208">
        <v>12.2702183934011</v>
      </c>
      <c r="L208">
        <v>0</v>
      </c>
      <c r="M208">
        <v>1.2381823926209778E-6</v>
      </c>
      <c r="N208">
        <v>0</v>
      </c>
      <c r="O208" s="1">
        <v>1.74262723608837E-11</v>
      </c>
      <c r="P208">
        <v>0</v>
      </c>
      <c r="Q208">
        <v>100</v>
      </c>
      <c r="AJ208">
        <v>1</v>
      </c>
    </row>
    <row r="209" spans="1:36" x14ac:dyDescent="0.2">
      <c r="A209">
        <v>227</v>
      </c>
      <c r="B209">
        <v>748</v>
      </c>
      <c r="C209">
        <v>160</v>
      </c>
      <c r="D209">
        <v>0.41976252264603803</v>
      </c>
      <c r="E209">
        <v>31.630837122070201</v>
      </c>
      <c r="F209">
        <v>2.5402264645234101</v>
      </c>
      <c r="G209">
        <v>-516.6592918425298</v>
      </c>
      <c r="H209">
        <v>-453.3906303855992</v>
      </c>
      <c r="I209">
        <v>61.9582445839794</v>
      </c>
      <c r="J209">
        <v>36.614234646831598</v>
      </c>
      <c r="K209">
        <v>12.451975272214399</v>
      </c>
      <c r="L209">
        <v>0</v>
      </c>
      <c r="M209">
        <v>1.2381823926209778E-6</v>
      </c>
      <c r="N209">
        <v>0</v>
      </c>
      <c r="O209" s="1">
        <v>1.7684405082903299E-11</v>
      </c>
      <c r="P209">
        <v>0</v>
      </c>
      <c r="Q209">
        <v>100</v>
      </c>
      <c r="AJ209">
        <v>1</v>
      </c>
    </row>
    <row r="210" spans="1:36" x14ac:dyDescent="0.2">
      <c r="A210">
        <v>228</v>
      </c>
      <c r="B210">
        <v>746</v>
      </c>
      <c r="C210">
        <v>160</v>
      </c>
      <c r="D210">
        <v>0.41848648383456999</v>
      </c>
      <c r="E210">
        <v>31.986288703828301</v>
      </c>
      <c r="F210">
        <v>2.5402264645234101</v>
      </c>
      <c r="G210">
        <v>-522.34001500260683</v>
      </c>
      <c r="H210">
        <v>-458.55965009675191</v>
      </c>
      <c r="I210">
        <v>62.581921116474398</v>
      </c>
      <c r="J210">
        <v>37.016097084991301</v>
      </c>
      <c r="K210">
        <v>12.5919043638613</v>
      </c>
      <c r="L210">
        <v>0</v>
      </c>
      <c r="M210">
        <v>1.238182392620978E-6</v>
      </c>
      <c r="N210">
        <v>0</v>
      </c>
      <c r="O210" s="1">
        <v>1.7883133612752501E-11</v>
      </c>
      <c r="P210">
        <v>0</v>
      </c>
      <c r="Q210">
        <v>100</v>
      </c>
      <c r="AJ210">
        <v>1</v>
      </c>
    </row>
    <row r="211" spans="1:36" x14ac:dyDescent="0.2">
      <c r="A211">
        <v>229</v>
      </c>
      <c r="B211">
        <v>744</v>
      </c>
      <c r="C211">
        <v>160</v>
      </c>
      <c r="D211">
        <v>0.41720542692818402</v>
      </c>
      <c r="E211">
        <v>32.270810629735202</v>
      </c>
      <c r="F211">
        <v>2.5402264645234101</v>
      </c>
      <c r="G211">
        <v>-526.86008906479196</v>
      </c>
      <c r="H211">
        <v>-462.71327493034619</v>
      </c>
      <c r="I211">
        <v>63.065245179615403</v>
      </c>
      <c r="J211">
        <v>37.335641853638002</v>
      </c>
      <c r="K211">
        <v>12.7039108837053</v>
      </c>
      <c r="L211">
        <v>0</v>
      </c>
      <c r="M211">
        <v>1.2381823926209778E-6</v>
      </c>
      <c r="N211">
        <v>0</v>
      </c>
      <c r="O211" s="1">
        <v>1.8042206259906601E-11</v>
      </c>
      <c r="P211">
        <v>0</v>
      </c>
      <c r="Q211">
        <v>100</v>
      </c>
      <c r="AJ211">
        <v>1</v>
      </c>
    </row>
    <row r="212" spans="1:36" x14ac:dyDescent="0.2">
      <c r="A212">
        <v>234</v>
      </c>
      <c r="B212">
        <v>768</v>
      </c>
      <c r="C212">
        <v>150</v>
      </c>
      <c r="D212">
        <v>0.442818517984921</v>
      </c>
      <c r="E212">
        <v>1.2339912952643699</v>
      </c>
      <c r="F212">
        <v>2.53991195906073</v>
      </c>
      <c r="G212">
        <v>-20.209539513678045</v>
      </c>
      <c r="H212">
        <v>-17.664059001285391</v>
      </c>
      <c r="I212">
        <v>2.44487394937584</v>
      </c>
      <c r="J212">
        <v>1.4320175981571499</v>
      </c>
      <c r="K212">
        <v>0.485840184681327</v>
      </c>
      <c r="L212">
        <v>0</v>
      </c>
      <c r="M212">
        <v>1.2381710965453891E-6</v>
      </c>
      <c r="N212">
        <v>0</v>
      </c>
      <c r="O212" s="1">
        <v>6.8990908618745997E-13</v>
      </c>
      <c r="P212">
        <v>0</v>
      </c>
      <c r="Q212">
        <v>100</v>
      </c>
      <c r="AJ212">
        <v>1</v>
      </c>
    </row>
    <row r="213" spans="1:36" x14ac:dyDescent="0.2">
      <c r="A213">
        <v>235</v>
      </c>
      <c r="B213">
        <v>766</v>
      </c>
      <c r="C213">
        <v>150</v>
      </c>
      <c r="D213">
        <v>0.44161141317423203</v>
      </c>
      <c r="E213">
        <v>2.62568302686836</v>
      </c>
      <c r="F213">
        <v>2.53991195906073</v>
      </c>
      <c r="G213">
        <v>-42.991399845590912</v>
      </c>
      <c r="H213">
        <v>-37.591625809959858</v>
      </c>
      <c r="I213">
        <v>5.1963374254256296</v>
      </c>
      <c r="J213">
        <v>3.04628897910893</v>
      </c>
      <c r="K213">
        <v>1.0337693074366801</v>
      </c>
      <c r="L213">
        <v>0</v>
      </c>
      <c r="M213">
        <v>1.2381710965453893E-6</v>
      </c>
      <c r="N213">
        <v>0</v>
      </c>
      <c r="O213" s="1">
        <v>1.46798651225215E-12</v>
      </c>
      <c r="P213">
        <v>0</v>
      </c>
      <c r="Q213">
        <v>100</v>
      </c>
      <c r="AJ213">
        <v>1</v>
      </c>
    </row>
    <row r="214" spans="1:36" x14ac:dyDescent="0.2">
      <c r="A214">
        <v>236</v>
      </c>
      <c r="B214">
        <v>764</v>
      </c>
      <c r="C214">
        <v>150</v>
      </c>
      <c r="D214">
        <v>0.44039965289495597</v>
      </c>
      <c r="E214">
        <v>4.0565615857982502</v>
      </c>
      <c r="F214">
        <v>2.53991195906073</v>
      </c>
      <c r="G214">
        <v>-66.403722239382972</v>
      </c>
      <c r="H214">
        <v>-58.086774182747305</v>
      </c>
      <c r="I214">
        <v>8.01904069482298</v>
      </c>
      <c r="J214">
        <v>4.7052091250382704</v>
      </c>
      <c r="K214">
        <v>1.5971268497426101</v>
      </c>
      <c r="L214">
        <v>0</v>
      </c>
      <c r="M214">
        <v>1.2381710965453891E-6</v>
      </c>
      <c r="N214">
        <v>0</v>
      </c>
      <c r="O214" s="1">
        <v>2.2679728029374901E-12</v>
      </c>
      <c r="P214">
        <v>0</v>
      </c>
      <c r="Q214">
        <v>100</v>
      </c>
      <c r="AJ214">
        <v>1</v>
      </c>
    </row>
    <row r="215" spans="1:36" x14ac:dyDescent="0.2">
      <c r="A215">
        <v>237</v>
      </c>
      <c r="B215">
        <v>762</v>
      </c>
      <c r="C215">
        <v>150</v>
      </c>
      <c r="D215">
        <v>0.439183210162781</v>
      </c>
      <c r="E215">
        <v>19.678761611755199</v>
      </c>
      <c r="F215">
        <v>2.53991195906073</v>
      </c>
      <c r="G215">
        <v>-322.0529410246246</v>
      </c>
      <c r="H215">
        <v>-281.83004745157132</v>
      </c>
      <c r="I215">
        <v>38.8570676453202</v>
      </c>
      <c r="J215">
        <v>22.819713281136099</v>
      </c>
      <c r="K215">
        <v>7.7478124946632203</v>
      </c>
      <c r="L215">
        <v>0</v>
      </c>
      <c r="M215">
        <v>1.2381710965453891E-6</v>
      </c>
      <c r="N215">
        <v>0</v>
      </c>
      <c r="O215" s="1">
        <v>1.10021492801197E-11</v>
      </c>
      <c r="P215">
        <v>0</v>
      </c>
      <c r="Q215">
        <v>100</v>
      </c>
      <c r="AJ215">
        <v>1</v>
      </c>
    </row>
    <row r="216" spans="1:36" x14ac:dyDescent="0.2">
      <c r="A216">
        <v>238</v>
      </c>
      <c r="B216">
        <v>760</v>
      </c>
      <c r="C216">
        <v>150</v>
      </c>
      <c r="D216">
        <v>0.43796205778444602</v>
      </c>
      <c r="E216">
        <v>26.2095639437816</v>
      </c>
      <c r="F216">
        <v>2.53991195906073</v>
      </c>
      <c r="G216">
        <v>-428.8293958827212</v>
      </c>
      <c r="H216">
        <v>-375.42193128267178</v>
      </c>
      <c r="I216">
        <v>51.693814644581501</v>
      </c>
      <c r="J216">
        <v>30.385282617904199</v>
      </c>
      <c r="K216">
        <v>10.3190836399991</v>
      </c>
      <c r="L216">
        <v>0</v>
      </c>
      <c r="M216">
        <v>1.2381710965453891E-6</v>
      </c>
      <c r="N216">
        <v>0</v>
      </c>
      <c r="O216" s="1">
        <v>1.4653439111944598E-11</v>
      </c>
      <c r="P216">
        <v>0</v>
      </c>
      <c r="Q216">
        <v>100</v>
      </c>
      <c r="AJ216">
        <v>1</v>
      </c>
    </row>
    <row r="217" spans="1:36" x14ac:dyDescent="0.2">
      <c r="A217">
        <v>239</v>
      </c>
      <c r="B217">
        <v>758</v>
      </c>
      <c r="C217">
        <v>150</v>
      </c>
      <c r="D217">
        <v>0.43673616835572199</v>
      </c>
      <c r="E217">
        <v>28.596190420558699</v>
      </c>
      <c r="F217">
        <v>2.53991195906073</v>
      </c>
      <c r="G217">
        <v>-467.76559425216584</v>
      </c>
      <c r="H217">
        <v>-409.67391315396634</v>
      </c>
      <c r="I217">
        <v>56.336790086989602</v>
      </c>
      <c r="J217">
        <v>33.143794808653901</v>
      </c>
      <c r="K217">
        <v>11.258732933063399</v>
      </c>
      <c r="L217">
        <v>0</v>
      </c>
      <c r="M217">
        <v>1.2381710965453893E-6</v>
      </c>
      <c r="N217">
        <v>0</v>
      </c>
      <c r="O217" s="1">
        <v>1.59877720995296E-11</v>
      </c>
      <c r="P217">
        <v>0</v>
      </c>
      <c r="Q217">
        <v>100</v>
      </c>
      <c r="AJ217">
        <v>1</v>
      </c>
    </row>
    <row r="218" spans="1:36" x14ac:dyDescent="0.2">
      <c r="A218">
        <v>240</v>
      </c>
      <c r="B218">
        <v>756</v>
      </c>
      <c r="C218">
        <v>150</v>
      </c>
      <c r="D218">
        <v>0.43550551425934297</v>
      </c>
      <c r="E218">
        <v>29.8648429022291</v>
      </c>
      <c r="F218">
        <v>2.53991195906073</v>
      </c>
      <c r="G218">
        <v>-488.40012337943926</v>
      </c>
      <c r="H218">
        <v>-427.91806515550559</v>
      </c>
      <c r="I218">
        <v>58.768943520316398</v>
      </c>
      <c r="J218">
        <v>34.605437945135499</v>
      </c>
      <c r="K218">
        <v>11.758219727140901</v>
      </c>
      <c r="L218">
        <v>0</v>
      </c>
      <c r="M218">
        <v>1.2381710965453891E-6</v>
      </c>
      <c r="N218">
        <v>0</v>
      </c>
      <c r="O218" s="1">
        <v>1.6697059821150999E-11</v>
      </c>
      <c r="P218">
        <v>0</v>
      </c>
      <c r="Q218">
        <v>100</v>
      </c>
      <c r="AJ218">
        <v>1</v>
      </c>
    </row>
    <row r="219" spans="1:36" x14ac:dyDescent="0.2">
      <c r="A219">
        <v>241</v>
      </c>
      <c r="B219">
        <v>754</v>
      </c>
      <c r="C219">
        <v>150</v>
      </c>
      <c r="D219">
        <v>0.43427006766295001</v>
      </c>
      <c r="E219">
        <v>30.6699981803981</v>
      </c>
      <c r="F219">
        <v>2.53991195906073</v>
      </c>
      <c r="G219">
        <v>-501.44673860615546</v>
      </c>
      <c r="H219">
        <v>-439.52579125948512</v>
      </c>
      <c r="I219">
        <v>60.284230488896704</v>
      </c>
      <c r="J219">
        <v>35.529363167840501</v>
      </c>
      <c r="K219">
        <v>12.0752209819666</v>
      </c>
      <c r="L219">
        <v>0</v>
      </c>
      <c r="M219">
        <v>1.2381710965453891E-6</v>
      </c>
      <c r="N219">
        <v>0</v>
      </c>
      <c r="O219" s="1">
        <v>1.71472120583121E-11</v>
      </c>
      <c r="P219">
        <v>0</v>
      </c>
      <c r="Q219">
        <v>100</v>
      </c>
      <c r="AJ219">
        <v>1</v>
      </c>
    </row>
    <row r="220" spans="1:36" x14ac:dyDescent="0.2">
      <c r="A220">
        <v>242</v>
      </c>
      <c r="B220">
        <v>752</v>
      </c>
      <c r="C220">
        <v>150</v>
      </c>
      <c r="D220">
        <v>0.43302980051699702</v>
      </c>
      <c r="E220">
        <v>31.2531509938825</v>
      </c>
      <c r="F220">
        <v>2.53991195906073</v>
      </c>
      <c r="G220">
        <v>-510.85834971044414</v>
      </c>
      <c r="H220">
        <v>-447.95524162707727</v>
      </c>
      <c r="I220">
        <v>61.359906436489098</v>
      </c>
      <c r="J220">
        <v>36.195662607447801</v>
      </c>
      <c r="K220">
        <v>12.304816662007401</v>
      </c>
      <c r="L220">
        <v>0</v>
      </c>
      <c r="M220">
        <v>1.2381710965453893E-6</v>
      </c>
      <c r="N220">
        <v>0</v>
      </c>
      <c r="O220" s="1">
        <v>1.7473245496475401E-11</v>
      </c>
      <c r="P220">
        <v>0</v>
      </c>
      <c r="Q220">
        <v>100</v>
      </c>
      <c r="AJ220">
        <v>1</v>
      </c>
    </row>
    <row r="221" spans="1:36" x14ac:dyDescent="0.2">
      <c r="A221">
        <v>243</v>
      </c>
      <c r="B221">
        <v>750</v>
      </c>
      <c r="C221">
        <v>150</v>
      </c>
      <c r="D221">
        <v>0.43178468455260599</v>
      </c>
      <c r="E221">
        <v>31.683199022533799</v>
      </c>
      <c r="F221">
        <v>2.53991195906073</v>
      </c>
      <c r="G221">
        <v>-517.76350012504406</v>
      </c>
      <c r="H221">
        <v>-454.19255073253458</v>
      </c>
      <c r="I221">
        <v>62.132580161764501</v>
      </c>
      <c r="J221">
        <v>36.684303823175398</v>
      </c>
      <c r="K221">
        <v>12.4741327783071</v>
      </c>
      <c r="L221">
        <v>0</v>
      </c>
      <c r="M221">
        <v>1.2381710965453891E-6</v>
      </c>
      <c r="N221">
        <v>0</v>
      </c>
      <c r="O221" s="1">
        <v>1.77136799659908E-11</v>
      </c>
      <c r="P221">
        <v>0</v>
      </c>
      <c r="Q221">
        <v>100</v>
      </c>
      <c r="AJ221">
        <v>1</v>
      </c>
    </row>
    <row r="222" spans="1:36" x14ac:dyDescent="0.2">
      <c r="A222">
        <v>244</v>
      </c>
      <c r="B222">
        <v>748</v>
      </c>
      <c r="C222">
        <v>150</v>
      </c>
      <c r="D222">
        <v>0.43053469127944</v>
      </c>
      <c r="E222">
        <v>32.018919144235902</v>
      </c>
      <c r="F222">
        <v>2.53991195906073</v>
      </c>
      <c r="G222">
        <v>-523.12429359681084</v>
      </c>
      <c r="H222">
        <v>-459.07938236871018</v>
      </c>
      <c r="I222">
        <v>62.7184167145871</v>
      </c>
      <c r="J222">
        <v>37.063458490227099</v>
      </c>
      <c r="K222">
        <v>12.6063106360885</v>
      </c>
      <c r="L222">
        <v>0</v>
      </c>
      <c r="M222">
        <v>1.2381710965453889E-6</v>
      </c>
      <c r="N222">
        <v>0</v>
      </c>
      <c r="O222" s="1">
        <v>1.79013768835194E-11</v>
      </c>
      <c r="P222">
        <v>0</v>
      </c>
      <c r="Q222">
        <v>100</v>
      </c>
      <c r="AJ222">
        <v>1</v>
      </c>
    </row>
    <row r="223" spans="1:36" x14ac:dyDescent="0.2">
      <c r="A223">
        <v>250</v>
      </c>
      <c r="B223">
        <v>772</v>
      </c>
      <c r="C223">
        <v>140</v>
      </c>
      <c r="D223">
        <v>0.45574367315696301</v>
      </c>
      <c r="E223">
        <v>0.70131417871983304</v>
      </c>
      <c r="F223">
        <v>2.5395974954075999</v>
      </c>
      <c r="G223">
        <v>-11.494011623171701</v>
      </c>
      <c r="H223">
        <v>-10.038518415863274</v>
      </c>
      <c r="I223">
        <v>1.3926165692086501</v>
      </c>
      <c r="J223">
        <v>0.81425856703119404</v>
      </c>
      <c r="K223">
        <v>0.27615170513753801</v>
      </c>
      <c r="L223">
        <v>0</v>
      </c>
      <c r="M223">
        <v>1.238159785686488E-6</v>
      </c>
      <c r="N223">
        <v>0</v>
      </c>
      <c r="O223" s="1">
        <v>3.9209597833285101E-13</v>
      </c>
      <c r="P223">
        <v>0</v>
      </c>
      <c r="Q223">
        <v>100</v>
      </c>
      <c r="AJ223">
        <v>1</v>
      </c>
    </row>
    <row r="224" spans="1:36" x14ac:dyDescent="0.2">
      <c r="A224">
        <v>251</v>
      </c>
      <c r="B224">
        <v>770</v>
      </c>
      <c r="C224">
        <v>140</v>
      </c>
      <c r="D224">
        <v>0.45456597804726301</v>
      </c>
      <c r="E224">
        <v>2.0820613794780098</v>
      </c>
      <c r="F224">
        <v>2.5395974954075999</v>
      </c>
      <c r="G224">
        <v>-34.115155006852014</v>
      </c>
      <c r="H224">
        <v>-29.807185413378395</v>
      </c>
      <c r="I224">
        <v>4.1297700172301299</v>
      </c>
      <c r="J224">
        <v>2.41677799438787</v>
      </c>
      <c r="K224">
        <v>0.81983912145252802</v>
      </c>
      <c r="L224">
        <v>0</v>
      </c>
      <c r="M224">
        <v>1.238159785686488E-6</v>
      </c>
      <c r="N224">
        <v>0</v>
      </c>
      <c r="O224" s="1">
        <v>1.1640544542043301E-12</v>
      </c>
      <c r="P224">
        <v>0</v>
      </c>
      <c r="Q224">
        <v>100</v>
      </c>
      <c r="AJ224">
        <v>1</v>
      </c>
    </row>
    <row r="225" spans="1:36" x14ac:dyDescent="0.2">
      <c r="A225">
        <v>252</v>
      </c>
      <c r="B225">
        <v>768</v>
      </c>
      <c r="C225">
        <v>140</v>
      </c>
      <c r="D225">
        <v>0.45338375834414102</v>
      </c>
      <c r="E225">
        <v>3.4886856474289898</v>
      </c>
      <c r="F225">
        <v>2.5395974954075999</v>
      </c>
      <c r="G225">
        <v>-57.149253158675151</v>
      </c>
      <c r="H225">
        <v>-49.952783164539674</v>
      </c>
      <c r="I225">
        <v>6.91203956599478</v>
      </c>
      <c r="J225">
        <v>4.0485368581844403</v>
      </c>
      <c r="K225">
        <v>1.37371597418001</v>
      </c>
      <c r="L225">
        <v>0</v>
      </c>
      <c r="M225">
        <v>1.238159785686488E-6</v>
      </c>
      <c r="N225">
        <v>0</v>
      </c>
      <c r="O225" s="1">
        <v>1.9504804744164502E-12</v>
      </c>
      <c r="P225">
        <v>0</v>
      </c>
      <c r="Q225">
        <v>100</v>
      </c>
      <c r="AJ225">
        <v>1</v>
      </c>
    </row>
    <row r="226" spans="1:36" x14ac:dyDescent="0.2">
      <c r="A226">
        <v>253</v>
      </c>
      <c r="B226">
        <v>766</v>
      </c>
      <c r="C226">
        <v>140</v>
      </c>
      <c r="D226">
        <v>0.45219698792282498</v>
      </c>
      <c r="E226">
        <v>11.3842732503087</v>
      </c>
      <c r="F226">
        <v>2.5395974954075999</v>
      </c>
      <c r="G226">
        <v>-186.44426332306327</v>
      </c>
      <c r="H226">
        <v>-163.03225871987848</v>
      </c>
      <c r="I226">
        <v>22.5299567946733</v>
      </c>
      <c r="J226">
        <v>13.2079103923456</v>
      </c>
      <c r="K226">
        <v>4.4827077010806198</v>
      </c>
      <c r="L226">
        <v>0</v>
      </c>
      <c r="M226">
        <v>1.238159785686488E-6</v>
      </c>
      <c r="N226">
        <v>0</v>
      </c>
      <c r="O226" s="1">
        <v>6.3648046669131002E-12</v>
      </c>
      <c r="P226">
        <v>0</v>
      </c>
      <c r="Q226">
        <v>100</v>
      </c>
      <c r="AJ226">
        <v>1</v>
      </c>
    </row>
    <row r="227" spans="1:36" x14ac:dyDescent="0.2">
      <c r="A227">
        <v>254</v>
      </c>
      <c r="B227">
        <v>764</v>
      </c>
      <c r="C227">
        <v>140</v>
      </c>
      <c r="D227">
        <v>0.45100564045702202</v>
      </c>
      <c r="E227">
        <v>23.709808581154299</v>
      </c>
      <c r="F227">
        <v>2.5395974954075999</v>
      </c>
      <c r="G227">
        <v>-388.21011569211936</v>
      </c>
      <c r="H227">
        <v>-339.59918196622812</v>
      </c>
      <c r="I227">
        <v>46.869723497942601</v>
      </c>
      <c r="J227">
        <v>27.501026504693201</v>
      </c>
      <c r="K227">
        <v>9.3360497575025807</v>
      </c>
      <c r="L227">
        <v>0</v>
      </c>
      <c r="M227">
        <v>1.2381597856864882E-6</v>
      </c>
      <c r="N227">
        <v>0</v>
      </c>
      <c r="O227" s="1">
        <v>1.3255857180418099E-11</v>
      </c>
      <c r="P227">
        <v>0</v>
      </c>
      <c r="Q227">
        <v>100</v>
      </c>
      <c r="AJ227">
        <v>1</v>
      </c>
    </row>
    <row r="228" spans="1:36" x14ac:dyDescent="0.2">
      <c r="A228">
        <v>255</v>
      </c>
      <c r="B228">
        <v>762</v>
      </c>
      <c r="C228">
        <v>140</v>
      </c>
      <c r="D228">
        <v>0.44980968941699401</v>
      </c>
      <c r="E228">
        <v>27.442403825178499</v>
      </c>
      <c r="F228">
        <v>2.5395974954075999</v>
      </c>
      <c r="G228">
        <v>-449.21694528938343</v>
      </c>
      <c r="H228">
        <v>-393.12536238258429</v>
      </c>
      <c r="I228">
        <v>54.1869129177405</v>
      </c>
      <c r="J228">
        <v>31.822520105210501</v>
      </c>
      <c r="K228">
        <v>10.8058083514427</v>
      </c>
      <c r="L228">
        <v>0</v>
      </c>
      <c r="M228">
        <v>1.2381597856864878E-6</v>
      </c>
      <c r="N228">
        <v>0</v>
      </c>
      <c r="O228" s="1">
        <v>1.5342704457052E-11</v>
      </c>
      <c r="P228">
        <v>0</v>
      </c>
      <c r="Q228">
        <v>100</v>
      </c>
      <c r="AJ228">
        <v>1</v>
      </c>
    </row>
    <row r="229" spans="1:36" x14ac:dyDescent="0.2">
      <c r="A229">
        <v>256</v>
      </c>
      <c r="B229">
        <v>760</v>
      </c>
      <c r="C229">
        <v>140</v>
      </c>
      <c r="D229">
        <v>0.44860910806756099</v>
      </c>
      <c r="E229">
        <v>29.170473564872601</v>
      </c>
      <c r="F229">
        <v>2.5395974954075999</v>
      </c>
      <c r="G229">
        <v>-477.38935661807437</v>
      </c>
      <c r="H229">
        <v>-417.94841980492163</v>
      </c>
      <c r="I229">
        <v>57.533694829552999</v>
      </c>
      <c r="J229">
        <v>33.817925596470999</v>
      </c>
      <c r="K229">
        <v>11.4862585971289</v>
      </c>
      <c r="L229">
        <v>0</v>
      </c>
      <c r="M229">
        <v>1.2381597856864878E-6</v>
      </c>
      <c r="N229">
        <v>0</v>
      </c>
      <c r="O229" s="1">
        <v>1.6308846616689499E-11</v>
      </c>
      <c r="P229">
        <v>0</v>
      </c>
      <c r="Q229">
        <v>100</v>
      </c>
      <c r="AJ229">
        <v>1</v>
      </c>
    </row>
    <row r="230" spans="1:36" x14ac:dyDescent="0.2">
      <c r="A230">
        <v>257</v>
      </c>
      <c r="B230">
        <v>758</v>
      </c>
      <c r="C230">
        <v>140</v>
      </c>
      <c r="D230">
        <v>0.44740386946613198</v>
      </c>
      <c r="E230">
        <v>30.189811593363</v>
      </c>
      <c r="F230">
        <v>2.5395974954075999</v>
      </c>
      <c r="G230">
        <v>-493.9523115942842</v>
      </c>
      <c r="H230">
        <v>-432.62327154720418</v>
      </c>
      <c r="I230">
        <v>59.476351691877902</v>
      </c>
      <c r="J230">
        <v>34.990846894171597</v>
      </c>
      <c r="K230">
        <v>11.887636386457199</v>
      </c>
      <c r="L230">
        <v>0</v>
      </c>
      <c r="M230">
        <v>1.238159785686488E-6</v>
      </c>
      <c r="N230">
        <v>0</v>
      </c>
      <c r="O230" s="1">
        <v>1.6878745748434401E-11</v>
      </c>
      <c r="P230">
        <v>0</v>
      </c>
      <c r="Q230">
        <v>100</v>
      </c>
      <c r="AJ230">
        <v>1</v>
      </c>
    </row>
    <row r="231" spans="1:36" x14ac:dyDescent="0.2">
      <c r="A231">
        <v>258</v>
      </c>
      <c r="B231">
        <v>756</v>
      </c>
      <c r="C231">
        <v>140</v>
      </c>
      <c r="D231">
        <v>0.44619394646067401</v>
      </c>
      <c r="E231">
        <v>30.8745868203236</v>
      </c>
      <c r="F231">
        <v>2.5395974954075999</v>
      </c>
      <c r="G231">
        <v>-505.03471885743488</v>
      </c>
      <c r="H231">
        <v>-442.50773474370544</v>
      </c>
      <c r="I231">
        <v>60.755948223028099</v>
      </c>
      <c r="J231">
        <v>35.775463537183299</v>
      </c>
      <c r="K231">
        <v>12.157275661263</v>
      </c>
      <c r="L231">
        <v>0</v>
      </c>
      <c r="M231">
        <v>1.2381597856864878E-6</v>
      </c>
      <c r="N231">
        <v>0</v>
      </c>
      <c r="O231" s="1">
        <v>1.72615950058717E-11</v>
      </c>
      <c r="P231">
        <v>0</v>
      </c>
      <c r="Q231">
        <v>100</v>
      </c>
      <c r="AJ231">
        <v>1</v>
      </c>
    </row>
    <row r="232" spans="1:36" x14ac:dyDescent="0.2">
      <c r="A232">
        <v>259</v>
      </c>
      <c r="B232">
        <v>754</v>
      </c>
      <c r="C232">
        <v>140</v>
      </c>
      <c r="D232">
        <v>0.44497931168767801</v>
      </c>
      <c r="E232">
        <v>31.386954346989999</v>
      </c>
      <c r="F232">
        <v>2.5395974954075999</v>
      </c>
      <c r="G232">
        <v>-513.29237381180985</v>
      </c>
      <c r="H232">
        <v>-449.92393355104542</v>
      </c>
      <c r="I232">
        <v>61.693462747178401</v>
      </c>
      <c r="J232">
        <v>36.359914114352897</v>
      </c>
      <c r="K232">
        <v>12.359027130774599</v>
      </c>
      <c r="L232">
        <v>0</v>
      </c>
      <c r="M232">
        <v>1.238159785686488E-6</v>
      </c>
      <c r="N232">
        <v>0</v>
      </c>
      <c r="O232" s="1">
        <v>1.75480532762591E-11</v>
      </c>
      <c r="P232">
        <v>0</v>
      </c>
      <c r="Q232">
        <v>100</v>
      </c>
      <c r="AJ232">
        <v>1</v>
      </c>
    </row>
    <row r="233" spans="1:36" x14ac:dyDescent="0.2">
      <c r="A233">
        <v>260</v>
      </c>
      <c r="B233">
        <v>752</v>
      </c>
      <c r="C233">
        <v>140</v>
      </c>
      <c r="D233">
        <v>0.443759937570114</v>
      </c>
      <c r="E233">
        <v>31.7759046064022</v>
      </c>
      <c r="F233">
        <v>2.5395974954075999</v>
      </c>
      <c r="G233">
        <v>-519.52829971721951</v>
      </c>
      <c r="H233">
        <v>-455.57304725981061</v>
      </c>
      <c r="I233">
        <v>62.3862385576831</v>
      </c>
      <c r="J233">
        <v>36.801086789773997</v>
      </c>
      <c r="K233">
        <v>12.512181423970899</v>
      </c>
      <c r="L233">
        <v>0</v>
      </c>
      <c r="M233">
        <v>1.2381597856864878E-6</v>
      </c>
      <c r="N233">
        <v>0</v>
      </c>
      <c r="O233" s="1">
        <v>1.7765510497451298E-11</v>
      </c>
      <c r="P233">
        <v>0</v>
      </c>
      <c r="Q233">
        <v>100</v>
      </c>
      <c r="AJ233">
        <v>1</v>
      </c>
    </row>
    <row r="234" spans="1:36" x14ac:dyDescent="0.2">
      <c r="A234">
        <v>261</v>
      </c>
      <c r="B234">
        <v>750</v>
      </c>
      <c r="C234">
        <v>140</v>
      </c>
      <c r="D234">
        <v>0.44253579631530099</v>
      </c>
      <c r="E234">
        <v>32.084897396706602</v>
      </c>
      <c r="F234">
        <v>2.5395974954075999</v>
      </c>
      <c r="G234">
        <v>-524.45434332384525</v>
      </c>
      <c r="H234">
        <v>-460.07740375978057</v>
      </c>
      <c r="I234">
        <v>62.920333835766698</v>
      </c>
      <c r="J234">
        <v>37.149409167902498</v>
      </c>
      <c r="K234">
        <v>12.6338514094167</v>
      </c>
      <c r="L234">
        <v>0</v>
      </c>
      <c r="M234">
        <v>1.2381597856864882E-6</v>
      </c>
      <c r="N234">
        <v>0</v>
      </c>
      <c r="O234" s="1">
        <v>1.7938264498565799E-11</v>
      </c>
      <c r="P234">
        <v>0</v>
      </c>
      <c r="Q234">
        <v>100</v>
      </c>
      <c r="AJ234">
        <v>1</v>
      </c>
    </row>
    <row r="235" spans="1:36" x14ac:dyDescent="0.2">
      <c r="A235">
        <v>267</v>
      </c>
      <c r="B235">
        <v>776</v>
      </c>
      <c r="C235">
        <v>130</v>
      </c>
      <c r="D235">
        <v>0.46857027117190198</v>
      </c>
      <c r="E235">
        <v>0.451081945714777</v>
      </c>
      <c r="F235">
        <v>2.5392830735618901</v>
      </c>
      <c r="G235">
        <v>-7.3982568400510536</v>
      </c>
      <c r="H235">
        <v>-6.4564082066996589</v>
      </c>
      <c r="I235">
        <v>0.89772542853871695</v>
      </c>
      <c r="J235">
        <v>0.52398240404422103</v>
      </c>
      <c r="K235">
        <v>0.17764145731182199</v>
      </c>
      <c r="L235">
        <v>0</v>
      </c>
      <c r="M235">
        <v>1.2381484600502459E-6</v>
      </c>
      <c r="N235">
        <v>0</v>
      </c>
      <c r="O235" s="1">
        <v>2.5219426924487999E-13</v>
      </c>
      <c r="P235">
        <v>0</v>
      </c>
      <c r="Q235">
        <v>100</v>
      </c>
      <c r="AJ235">
        <v>1</v>
      </c>
    </row>
    <row r="236" spans="1:36" x14ac:dyDescent="0.2">
      <c r="A236">
        <v>268</v>
      </c>
      <c r="B236">
        <v>774</v>
      </c>
      <c r="C236">
        <v>130</v>
      </c>
      <c r="D236">
        <v>0.46742157284057101</v>
      </c>
      <c r="E236">
        <v>1.82301350637486</v>
      </c>
      <c r="F236">
        <v>2.5392830735618901</v>
      </c>
      <c r="G236">
        <v>-29.892242334104846</v>
      </c>
      <c r="H236">
        <v>-26.097319339402997</v>
      </c>
      <c r="I236">
        <v>3.6240490805537302</v>
      </c>
      <c r="J236">
        <v>2.1171206687413999</v>
      </c>
      <c r="K236">
        <v>0.71792449032383399</v>
      </c>
      <c r="L236">
        <v>0</v>
      </c>
      <c r="M236">
        <v>1.2381484600502463E-6</v>
      </c>
      <c r="N236">
        <v>0</v>
      </c>
      <c r="O236" s="1">
        <v>1.01922403109093E-12</v>
      </c>
      <c r="P236">
        <v>0</v>
      </c>
      <c r="Q236">
        <v>100</v>
      </c>
      <c r="AJ236">
        <v>1</v>
      </c>
    </row>
    <row r="237" spans="1:36" x14ac:dyDescent="0.2">
      <c r="A237">
        <v>269</v>
      </c>
      <c r="B237">
        <v>772</v>
      </c>
      <c r="C237">
        <v>130</v>
      </c>
      <c r="D237">
        <v>0.46626847820886702</v>
      </c>
      <c r="E237">
        <v>3.2166866968091301</v>
      </c>
      <c r="F237">
        <v>2.5392830735618901</v>
      </c>
      <c r="G237">
        <v>-52.731741191714221</v>
      </c>
      <c r="H237">
        <v>-46.055894931495622</v>
      </c>
      <c r="I237">
        <v>6.3874527677544801</v>
      </c>
      <c r="J237">
        <v>3.7347237227018302</v>
      </c>
      <c r="K237">
        <v>1.2667696367924099</v>
      </c>
      <c r="L237">
        <v>0</v>
      </c>
      <c r="M237">
        <v>1.2381484600502463E-6</v>
      </c>
      <c r="N237">
        <v>0</v>
      </c>
      <c r="O237" s="1">
        <v>1.79840926598391E-12</v>
      </c>
      <c r="P237">
        <v>0</v>
      </c>
      <c r="Q237">
        <v>100</v>
      </c>
      <c r="AJ237">
        <v>1</v>
      </c>
    </row>
    <row r="238" spans="1:36" x14ac:dyDescent="0.2">
      <c r="A238">
        <v>270</v>
      </c>
      <c r="B238">
        <v>770</v>
      </c>
      <c r="C238">
        <v>130</v>
      </c>
      <c r="D238">
        <v>0.46511096199012703</v>
      </c>
      <c r="E238">
        <v>4.68179514516018</v>
      </c>
      <c r="F238">
        <v>2.5392830735618901</v>
      </c>
      <c r="G238">
        <v>-76.730952423709297</v>
      </c>
      <c r="H238">
        <v>-67.043903171934133</v>
      </c>
      <c r="I238">
        <v>9.2863435285195504</v>
      </c>
      <c r="J238">
        <v>5.4344504886267204</v>
      </c>
      <c r="K238">
        <v>1.84374684095103</v>
      </c>
      <c r="L238">
        <v>0</v>
      </c>
      <c r="M238">
        <v>1.2381484600502461E-6</v>
      </c>
      <c r="N238">
        <v>0</v>
      </c>
      <c r="O238" s="1">
        <v>2.6175330593578601E-12</v>
      </c>
      <c r="P238">
        <v>0</v>
      </c>
      <c r="Q238">
        <v>100</v>
      </c>
      <c r="AJ238">
        <v>1</v>
      </c>
    </row>
    <row r="239" spans="1:36" x14ac:dyDescent="0.2">
      <c r="A239">
        <v>271</v>
      </c>
      <c r="B239">
        <v>768</v>
      </c>
      <c r="C239">
        <v>130</v>
      </c>
      <c r="D239">
        <v>0.46394899870335798</v>
      </c>
      <c r="E239">
        <v>21.087488121206199</v>
      </c>
      <c r="F239">
        <v>2.5392830735618901</v>
      </c>
      <c r="G239">
        <v>-345.52379293185032</v>
      </c>
      <c r="H239">
        <v>-302.0244665801664</v>
      </c>
      <c r="I239">
        <v>41.7800762154193</v>
      </c>
      <c r="J239">
        <v>24.471529261499001</v>
      </c>
      <c r="K239">
        <v>8.3045046614777291</v>
      </c>
      <c r="L239">
        <v>0</v>
      </c>
      <c r="M239">
        <v>1.2381484600502461E-6</v>
      </c>
      <c r="N239">
        <v>0</v>
      </c>
      <c r="O239" s="1">
        <v>1.1789750637238801E-11</v>
      </c>
      <c r="P239">
        <v>0</v>
      </c>
      <c r="Q239">
        <v>100</v>
      </c>
      <c r="AJ239">
        <v>1</v>
      </c>
    </row>
    <row r="240" spans="1:36" x14ac:dyDescent="0.2">
      <c r="A240">
        <v>272</v>
      </c>
      <c r="B240">
        <v>766</v>
      </c>
      <c r="C240">
        <v>130</v>
      </c>
      <c r="D240">
        <v>0.46278256267141699</v>
      </c>
      <c r="E240">
        <v>26.3607825239642</v>
      </c>
      <c r="F240">
        <v>2.5392830735618901</v>
      </c>
      <c r="G240">
        <v>-431.82365006505529</v>
      </c>
      <c r="H240">
        <v>-377.61212964341871</v>
      </c>
      <c r="I240">
        <v>52.169100150735296</v>
      </c>
      <c r="J240">
        <v>30.5834940705756</v>
      </c>
      <c r="K240">
        <v>10.3811909741073</v>
      </c>
      <c r="L240">
        <v>0</v>
      </c>
      <c r="M240">
        <v>1.2381484600502459E-6</v>
      </c>
      <c r="N240">
        <v>0</v>
      </c>
      <c r="O240" s="1">
        <v>1.4737983527183699E-11</v>
      </c>
      <c r="P240">
        <v>0</v>
      </c>
      <c r="Q240">
        <v>100</v>
      </c>
      <c r="AJ240">
        <v>1</v>
      </c>
    </row>
    <row r="241" spans="1:36" x14ac:dyDescent="0.2">
      <c r="A241">
        <v>273</v>
      </c>
      <c r="B241">
        <v>764</v>
      </c>
      <c r="C241">
        <v>130</v>
      </c>
      <c r="D241">
        <v>0.461611628019092</v>
      </c>
      <c r="E241">
        <v>28.552711065336698</v>
      </c>
      <c r="F241">
        <v>2.5392830735618901</v>
      </c>
      <c r="G241">
        <v>-467.61731915275419</v>
      </c>
      <c r="H241">
        <v>-409.0772453035359</v>
      </c>
      <c r="I241">
        <v>56.443208647947102</v>
      </c>
      <c r="J241">
        <v>33.118313085530801</v>
      </c>
      <c r="K241">
        <v>11.244398611016299</v>
      </c>
      <c r="L241">
        <v>0</v>
      </c>
      <c r="M241">
        <v>1.2381484600502461E-6</v>
      </c>
      <c r="N241">
        <v>0</v>
      </c>
      <c r="O241" s="1">
        <v>1.5963463336295801E-11</v>
      </c>
      <c r="P241">
        <v>0</v>
      </c>
      <c r="Q241">
        <v>100</v>
      </c>
      <c r="AJ241">
        <v>1</v>
      </c>
    </row>
    <row r="242" spans="1:36" x14ac:dyDescent="0.2">
      <c r="A242">
        <v>274</v>
      </c>
      <c r="B242">
        <v>762</v>
      </c>
      <c r="C242">
        <v>130</v>
      </c>
      <c r="D242">
        <v>0.46043616867121101</v>
      </c>
      <c r="E242">
        <v>29.7729373201316</v>
      </c>
      <c r="F242">
        <v>2.5392830735618901</v>
      </c>
      <c r="G242">
        <v>-487.48372942072518</v>
      </c>
      <c r="H242">
        <v>-426.62859469164397</v>
      </c>
      <c r="I242">
        <v>58.788711519182002</v>
      </c>
      <c r="J242">
        <v>34.525032956178897</v>
      </c>
      <c r="K242">
        <v>11.7249382828235</v>
      </c>
      <c r="L242">
        <v>0</v>
      </c>
      <c r="M242">
        <v>1.2381484600502463E-6</v>
      </c>
      <c r="N242">
        <v>0</v>
      </c>
      <c r="O242" s="1">
        <v>1.6645676560666299E-11</v>
      </c>
      <c r="P242">
        <v>0</v>
      </c>
      <c r="Q242">
        <v>100</v>
      </c>
      <c r="AJ242">
        <v>1</v>
      </c>
    </row>
    <row r="243" spans="1:36" x14ac:dyDescent="0.2">
      <c r="A243">
        <v>275</v>
      </c>
      <c r="B243">
        <v>760</v>
      </c>
      <c r="C243">
        <v>130</v>
      </c>
      <c r="D243">
        <v>0.45925615835067601</v>
      </c>
      <c r="E243">
        <v>30.564725996823999</v>
      </c>
      <c r="F243">
        <v>2.5392830735618901</v>
      </c>
      <c r="G243">
        <v>-500.32735352043125</v>
      </c>
      <c r="H243">
        <v>-438.04533596428342</v>
      </c>
      <c r="I243">
        <v>60.283615695831003</v>
      </c>
      <c r="J243">
        <v>35.434310908199699</v>
      </c>
      <c r="K243">
        <v>12.0367541197171</v>
      </c>
      <c r="L243">
        <v>0</v>
      </c>
      <c r="M243">
        <v>1.2381484600502461E-6</v>
      </c>
      <c r="N243">
        <v>0</v>
      </c>
      <c r="O243" s="1">
        <v>1.70883556982638E-11</v>
      </c>
      <c r="P243">
        <v>0</v>
      </c>
      <c r="Q243">
        <v>100</v>
      </c>
      <c r="AJ243">
        <v>1</v>
      </c>
    </row>
    <row r="244" spans="1:36" x14ac:dyDescent="0.2">
      <c r="A244">
        <v>276</v>
      </c>
      <c r="B244">
        <v>758</v>
      </c>
      <c r="C244">
        <v>130</v>
      </c>
      <c r="D244">
        <v>0.45807157057654202</v>
      </c>
      <c r="E244">
        <v>31.127965674340601</v>
      </c>
      <c r="F244">
        <v>2.5392830735618901</v>
      </c>
      <c r="G244">
        <v>-509.42455076184643</v>
      </c>
      <c r="H244">
        <v>-446.18969924507002</v>
      </c>
      <c r="I244">
        <v>61.324590522015598</v>
      </c>
      <c r="J244">
        <v>36.078194051311399</v>
      </c>
      <c r="K244">
        <v>12.2585646312669</v>
      </c>
      <c r="L244">
        <v>0</v>
      </c>
      <c r="M244">
        <v>1.2381484600502461E-6</v>
      </c>
      <c r="N244">
        <v>0</v>
      </c>
      <c r="O244" s="1">
        <v>1.74032559513784E-11</v>
      </c>
      <c r="P244">
        <v>0</v>
      </c>
      <c r="Q244">
        <v>100</v>
      </c>
      <c r="AJ244">
        <v>1</v>
      </c>
    </row>
    <row r="245" spans="1:36" x14ac:dyDescent="0.2">
      <c r="A245">
        <v>277</v>
      </c>
      <c r="B245">
        <v>756</v>
      </c>
      <c r="C245">
        <v>130</v>
      </c>
      <c r="D245">
        <v>0.45688237866200498</v>
      </c>
      <c r="E245">
        <v>31.553711613357699</v>
      </c>
      <c r="F245">
        <v>2.5392830735618901</v>
      </c>
      <c r="G245">
        <v>-516.26783786667625</v>
      </c>
      <c r="H245">
        <v>-452.36549526175787</v>
      </c>
      <c r="I245">
        <v>62.092350585355199</v>
      </c>
      <c r="J245">
        <v>36.562389186157397</v>
      </c>
      <c r="K245">
        <v>12.426228466563501</v>
      </c>
      <c r="L245">
        <v>0</v>
      </c>
      <c r="M245">
        <v>1.2381484600502463E-6</v>
      </c>
      <c r="N245">
        <v>0</v>
      </c>
      <c r="O245" s="1">
        <v>1.7641285176432499E-11</v>
      </c>
      <c r="P245">
        <v>0</v>
      </c>
      <c r="Q245">
        <v>100</v>
      </c>
      <c r="AJ245">
        <v>1</v>
      </c>
    </row>
    <row r="246" spans="1:36" x14ac:dyDescent="0.2">
      <c r="A246">
        <v>278</v>
      </c>
      <c r="B246">
        <v>754</v>
      </c>
      <c r="C246">
        <v>130</v>
      </c>
      <c r="D246">
        <v>0.45568855571240902</v>
      </c>
      <c r="E246">
        <v>31.906894339446598</v>
      </c>
      <c r="F246">
        <v>2.5392830735618901</v>
      </c>
      <c r="G246">
        <v>-521.92095420345606</v>
      </c>
      <c r="H246">
        <v>-457.50278525646979</v>
      </c>
      <c r="I246">
        <v>62.715444625406398</v>
      </c>
      <c r="J246">
        <v>36.962233576806703</v>
      </c>
      <c r="K246">
        <v>12.5653160420158</v>
      </c>
      <c r="L246">
        <v>0</v>
      </c>
      <c r="M246">
        <v>1.2381484600502461E-6</v>
      </c>
      <c r="N246">
        <v>0</v>
      </c>
      <c r="O246" s="1">
        <v>1.78387452174784E-11</v>
      </c>
      <c r="P246">
        <v>0</v>
      </c>
      <c r="Q246">
        <v>100</v>
      </c>
      <c r="AJ246">
        <v>1</v>
      </c>
    </row>
    <row r="247" spans="1:36" x14ac:dyDescent="0.2">
      <c r="A247">
        <v>279</v>
      </c>
      <c r="B247">
        <v>752</v>
      </c>
      <c r="C247">
        <v>130</v>
      </c>
      <c r="D247">
        <v>0.45449007462322599</v>
      </c>
      <c r="E247">
        <v>32.1839170401987</v>
      </c>
      <c r="F247">
        <v>2.5392830735618901</v>
      </c>
      <c r="G247">
        <v>-526.32593988092822</v>
      </c>
      <c r="H247">
        <v>-461.54948222000286</v>
      </c>
      <c r="I247">
        <v>63.187297137906903</v>
      </c>
      <c r="J247">
        <v>37.273624115569802</v>
      </c>
      <c r="K247">
        <v>12.6744108899422</v>
      </c>
      <c r="L247">
        <v>0</v>
      </c>
      <c r="M247">
        <v>1.2381484600502463E-6</v>
      </c>
      <c r="N247">
        <v>0</v>
      </c>
      <c r="O247" s="1">
        <v>1.7993625141722999E-11</v>
      </c>
      <c r="P247">
        <v>0</v>
      </c>
      <c r="Q247">
        <v>100</v>
      </c>
      <c r="AJ247">
        <v>1</v>
      </c>
    </row>
    <row r="248" spans="1:36" x14ac:dyDescent="0.2">
      <c r="A248">
        <v>286</v>
      </c>
      <c r="B248">
        <v>780</v>
      </c>
      <c r="C248">
        <v>120</v>
      </c>
      <c r="D248">
        <v>0.48129943502824801</v>
      </c>
      <c r="E248">
        <v>0.53495515500885404</v>
      </c>
      <c r="F248">
        <v>2.5389686935214599</v>
      </c>
      <c r="G248">
        <v>-8.7802430127736066</v>
      </c>
      <c r="H248">
        <v>-7.6565195024175328</v>
      </c>
      <c r="I248">
        <v>1.06701183151125</v>
      </c>
      <c r="J248">
        <v>0.62171061649684001</v>
      </c>
      <c r="K248">
        <v>0.210697814578757</v>
      </c>
      <c r="L248">
        <v>0</v>
      </c>
      <c r="M248">
        <v>1.2381371196426334E-6</v>
      </c>
      <c r="N248">
        <v>0</v>
      </c>
      <c r="O248" s="1">
        <v>2.9908673064371702E-13</v>
      </c>
      <c r="P248">
        <v>0</v>
      </c>
      <c r="Q248">
        <v>100</v>
      </c>
      <c r="AJ248">
        <v>1</v>
      </c>
    </row>
    <row r="249" spans="1:36" x14ac:dyDescent="0.2">
      <c r="A249">
        <v>287</v>
      </c>
      <c r="B249">
        <v>778</v>
      </c>
      <c r="C249">
        <v>120</v>
      </c>
      <c r="D249">
        <v>0.48017932740332298</v>
      </c>
      <c r="E249">
        <v>1.89905076233183</v>
      </c>
      <c r="F249">
        <v>2.5389686935214599</v>
      </c>
      <c r="G249">
        <v>-31.16163411999835</v>
      </c>
      <c r="H249">
        <v>-27.18448471363115</v>
      </c>
      <c r="I249">
        <v>3.7836173775076798</v>
      </c>
      <c r="J249">
        <v>2.20649471228228</v>
      </c>
      <c r="K249">
        <v>0.74796147237952704</v>
      </c>
      <c r="L249">
        <v>0</v>
      </c>
      <c r="M249">
        <v>1.2381371196426337E-6</v>
      </c>
      <c r="N249">
        <v>0</v>
      </c>
      <c r="O249" s="1">
        <v>1.0617355090687699E-12</v>
      </c>
      <c r="P249">
        <v>0</v>
      </c>
      <c r="Q249">
        <v>100</v>
      </c>
      <c r="AJ249">
        <v>1</v>
      </c>
    </row>
    <row r="250" spans="1:36" x14ac:dyDescent="0.2">
      <c r="A250">
        <v>288</v>
      </c>
      <c r="B250">
        <v>776</v>
      </c>
      <c r="C250">
        <v>120</v>
      </c>
      <c r="D250">
        <v>0.47905494924462999</v>
      </c>
      <c r="E250">
        <v>3.2886125392409</v>
      </c>
      <c r="F250">
        <v>2.5389686935214599</v>
      </c>
      <c r="G250">
        <v>-53.949936912389163</v>
      </c>
      <c r="H250">
        <v>-47.083390256884563</v>
      </c>
      <c r="I250">
        <v>6.5448664685741704</v>
      </c>
      <c r="J250">
        <v>3.8200932683104898</v>
      </c>
      <c r="K250">
        <v>1.2952552536911</v>
      </c>
      <c r="L250">
        <v>0</v>
      </c>
      <c r="M250">
        <v>1.2381371196426339E-6</v>
      </c>
      <c r="N250">
        <v>0</v>
      </c>
      <c r="O250" s="1">
        <v>1.83862210412612E-12</v>
      </c>
      <c r="P250">
        <v>0</v>
      </c>
      <c r="Q250">
        <v>100</v>
      </c>
      <c r="AJ250">
        <v>1</v>
      </c>
    </row>
    <row r="251" spans="1:36" x14ac:dyDescent="0.2">
      <c r="A251">
        <v>289</v>
      </c>
      <c r="B251">
        <v>774</v>
      </c>
      <c r="C251">
        <v>120</v>
      </c>
      <c r="D251">
        <v>0.47792627608270499</v>
      </c>
      <c r="E251">
        <v>4.7564529859678801</v>
      </c>
      <c r="F251">
        <v>2.5389686935214599</v>
      </c>
      <c r="G251">
        <v>-78.011048555019016</v>
      </c>
      <c r="H251">
        <v>-68.109655753184185</v>
      </c>
      <c r="I251">
        <v>9.4555630060973499</v>
      </c>
      <c r="J251">
        <v>5.5238125725760101</v>
      </c>
      <c r="K251">
        <v>1.87337992709585</v>
      </c>
      <c r="L251">
        <v>0</v>
      </c>
      <c r="M251">
        <v>1.2381371196426337E-6</v>
      </c>
      <c r="N251">
        <v>0</v>
      </c>
      <c r="O251" s="1">
        <v>2.65927332359314E-12</v>
      </c>
      <c r="P251">
        <v>0</v>
      </c>
      <c r="Q251">
        <v>100</v>
      </c>
      <c r="AJ251">
        <v>1</v>
      </c>
    </row>
    <row r="252" spans="1:36" x14ac:dyDescent="0.2">
      <c r="A252">
        <v>290</v>
      </c>
      <c r="B252">
        <v>772</v>
      </c>
      <c r="C252">
        <v>120</v>
      </c>
      <c r="D252">
        <v>0.47679328326077502</v>
      </c>
      <c r="E252">
        <v>19.7717927327792</v>
      </c>
      <c r="F252">
        <v>2.5389686935214599</v>
      </c>
      <c r="G252">
        <v>-324.20053121390856</v>
      </c>
      <c r="H252">
        <v>-283.16655401498667</v>
      </c>
      <c r="I252">
        <v>39.261328229366001</v>
      </c>
      <c r="J252">
        <v>22.9559762325325</v>
      </c>
      <c r="K252">
        <v>7.7873322279356003</v>
      </c>
      <c r="L252">
        <v>0</v>
      </c>
      <c r="M252">
        <v>1.2381371196426334E-6</v>
      </c>
      <c r="N252">
        <v>0</v>
      </c>
      <c r="O252" s="1">
        <v>1.10541618153287E-11</v>
      </c>
      <c r="P252">
        <v>0</v>
      </c>
      <c r="Q252">
        <v>100</v>
      </c>
      <c r="AJ252">
        <v>1</v>
      </c>
    </row>
    <row r="253" spans="1:36" x14ac:dyDescent="0.2">
      <c r="A253">
        <v>291</v>
      </c>
      <c r="B253">
        <v>770</v>
      </c>
      <c r="C253">
        <v>120</v>
      </c>
      <c r="D253">
        <v>0.47565594593299199</v>
      </c>
      <c r="E253">
        <v>25.751984941266802</v>
      </c>
      <c r="F253">
        <v>2.5389686935214599</v>
      </c>
      <c r="G253">
        <v>-422.15626717270618</v>
      </c>
      <c r="H253">
        <v>-368.87312711158972</v>
      </c>
      <c r="I253">
        <v>51.079077851810801</v>
      </c>
      <c r="J253">
        <v>29.891928802533599</v>
      </c>
      <c r="K253">
        <v>10.142694948140401</v>
      </c>
      <c r="L253">
        <v>0</v>
      </c>
      <c r="M253">
        <v>1.2381371196426337E-6</v>
      </c>
      <c r="N253">
        <v>0</v>
      </c>
      <c r="O253" s="1">
        <v>1.43976124195724E-11</v>
      </c>
      <c r="P253">
        <v>0</v>
      </c>
      <c r="Q253">
        <v>100</v>
      </c>
      <c r="AJ253">
        <v>1</v>
      </c>
    </row>
    <row r="254" spans="1:36" x14ac:dyDescent="0.2">
      <c r="A254">
        <v>292</v>
      </c>
      <c r="B254">
        <v>768</v>
      </c>
      <c r="C254">
        <v>120</v>
      </c>
      <c r="D254">
        <v>0.474514239062578</v>
      </c>
      <c r="E254">
        <v>28.185125414050699</v>
      </c>
      <c r="F254">
        <v>2.5389686935214599</v>
      </c>
      <c r="G254">
        <v>-461.93136713561114</v>
      </c>
      <c r="H254">
        <v>-403.79101577645656</v>
      </c>
      <c r="I254">
        <v>55.842435152623999</v>
      </c>
      <c r="J254">
        <v>32.708168812924796</v>
      </c>
      <c r="K254">
        <v>11.1010133704953</v>
      </c>
      <c r="L254">
        <v>0</v>
      </c>
      <c r="M254">
        <v>1.2381371196426339E-6</v>
      </c>
      <c r="N254">
        <v>0</v>
      </c>
      <c r="O254" s="1">
        <v>1.57579508000667E-11</v>
      </c>
      <c r="P254">
        <v>0</v>
      </c>
      <c r="Q254">
        <v>100</v>
      </c>
      <c r="AJ254">
        <v>1</v>
      </c>
    </row>
    <row r="255" spans="1:36" x14ac:dyDescent="0.2">
      <c r="A255">
        <v>293</v>
      </c>
      <c r="B255">
        <v>766</v>
      </c>
      <c r="C255">
        <v>120</v>
      </c>
      <c r="D255">
        <v>0.47336813742000999</v>
      </c>
      <c r="E255">
        <v>29.513983040724298</v>
      </c>
      <c r="F255">
        <v>2.5389686935214599</v>
      </c>
      <c r="G255">
        <v>-483.5933821632147</v>
      </c>
      <c r="H255">
        <v>-422.89723655822263</v>
      </c>
      <c r="I255">
        <v>58.409416932100299</v>
      </c>
      <c r="J255">
        <v>34.241803121909797</v>
      </c>
      <c r="K255">
        <v>11.624398172389199</v>
      </c>
      <c r="L255">
        <v>0</v>
      </c>
      <c r="M255">
        <v>1.2381371196426337E-6</v>
      </c>
      <c r="N255">
        <v>0</v>
      </c>
      <c r="O255" s="1">
        <v>1.6500898464616599E-11</v>
      </c>
      <c r="P255">
        <v>0</v>
      </c>
      <c r="Q255">
        <v>100</v>
      </c>
      <c r="AJ255">
        <v>1</v>
      </c>
    </row>
    <row r="256" spans="1:36" x14ac:dyDescent="0.2">
      <c r="A256">
        <v>294</v>
      </c>
      <c r="B256">
        <v>764</v>
      </c>
      <c r="C256">
        <v>120</v>
      </c>
      <c r="D256">
        <v>0.47221761558116099</v>
      </c>
      <c r="E256">
        <v>30.365154531782899</v>
      </c>
      <c r="F256">
        <v>2.5389686935214599</v>
      </c>
      <c r="G256">
        <v>-497.41990228912118</v>
      </c>
      <c r="H256">
        <v>-435.16387396782125</v>
      </c>
      <c r="I256">
        <v>60.026060185411801</v>
      </c>
      <c r="J256">
        <v>35.220567755296898</v>
      </c>
      <c r="K256">
        <v>11.9596411760664</v>
      </c>
      <c r="L256">
        <v>0</v>
      </c>
      <c r="M256">
        <v>1.2381371196426337E-6</v>
      </c>
      <c r="N256">
        <v>0</v>
      </c>
      <c r="O256" s="1">
        <v>1.6976777790377398E-11</v>
      </c>
      <c r="P256">
        <v>0</v>
      </c>
      <c r="Q256">
        <v>100</v>
      </c>
      <c r="AJ256">
        <v>1</v>
      </c>
    </row>
    <row r="257" spans="1:36" x14ac:dyDescent="0.2">
      <c r="A257">
        <v>295</v>
      </c>
      <c r="B257">
        <v>762</v>
      </c>
      <c r="C257">
        <v>120</v>
      </c>
      <c r="D257">
        <v>0.47106264792542502</v>
      </c>
      <c r="E257">
        <v>30.9651796876445</v>
      </c>
      <c r="F257">
        <v>2.5389686935214599</v>
      </c>
      <c r="G257">
        <v>-507.12672340484187</v>
      </c>
      <c r="H257">
        <v>-443.83467527603159</v>
      </c>
      <c r="I257">
        <v>61.142876036139903</v>
      </c>
      <c r="J257">
        <v>35.907570614037297</v>
      </c>
      <c r="K257">
        <v>12.1959675070656</v>
      </c>
      <c r="L257">
        <v>0</v>
      </c>
      <c r="M257">
        <v>1.2381371196426334E-6</v>
      </c>
      <c r="N257">
        <v>0</v>
      </c>
      <c r="O257" s="1">
        <v>1.7312244343957301E-11</v>
      </c>
      <c r="P257">
        <v>0</v>
      </c>
      <c r="Q257">
        <v>100</v>
      </c>
      <c r="AJ257">
        <v>1</v>
      </c>
    </row>
    <row r="258" spans="1:36" x14ac:dyDescent="0.2">
      <c r="A258">
        <v>296</v>
      </c>
      <c r="B258">
        <v>760</v>
      </c>
      <c r="C258">
        <v>120</v>
      </c>
      <c r="D258">
        <v>0.46990320863379098</v>
      </c>
      <c r="E258">
        <v>31.415736151042299</v>
      </c>
      <c r="F258">
        <v>2.5389686935214599</v>
      </c>
      <c r="G258">
        <v>-514.38163711999357</v>
      </c>
      <c r="H258">
        <v>-450.36550850487578</v>
      </c>
      <c r="I258">
        <v>61.962085481409098</v>
      </c>
      <c r="J258">
        <v>36.420904355618099</v>
      </c>
      <c r="K258">
        <v>12.3734239934521</v>
      </c>
      <c r="L258">
        <v>0</v>
      </c>
      <c r="M258">
        <v>1.2381371196426339E-6</v>
      </c>
      <c r="N258">
        <v>0</v>
      </c>
      <c r="O258" s="1">
        <v>1.7564144822616701E-11</v>
      </c>
      <c r="P258">
        <v>0</v>
      </c>
      <c r="Q258">
        <v>100</v>
      </c>
      <c r="AJ258">
        <v>1</v>
      </c>
    </row>
    <row r="259" spans="1:36" x14ac:dyDescent="0.2">
      <c r="A259">
        <v>297</v>
      </c>
      <c r="B259">
        <v>758</v>
      </c>
      <c r="C259">
        <v>120</v>
      </c>
      <c r="D259">
        <v>0.46873927168695301</v>
      </c>
      <c r="E259">
        <v>31.769454226735199</v>
      </c>
      <c r="F259">
        <v>2.5389686935214599</v>
      </c>
      <c r="G259">
        <v>-520.04794778264306</v>
      </c>
      <c r="H259">
        <v>-455.50994546620416</v>
      </c>
      <c r="I259">
        <v>62.588374452251202</v>
      </c>
      <c r="J259">
        <v>36.8216974564846</v>
      </c>
      <c r="K259">
        <v>12.512739644171001</v>
      </c>
      <c r="L259">
        <v>0</v>
      </c>
      <c r="M259">
        <v>1.2381371196426339E-6</v>
      </c>
      <c r="N259">
        <v>0</v>
      </c>
      <c r="O259" s="1">
        <v>1.7761904170924801E-11</v>
      </c>
      <c r="P259">
        <v>0</v>
      </c>
      <c r="Q259">
        <v>100</v>
      </c>
      <c r="AJ259">
        <v>1</v>
      </c>
    </row>
    <row r="260" spans="1:36" x14ac:dyDescent="0.2">
      <c r="A260">
        <v>298</v>
      </c>
      <c r="B260">
        <v>756</v>
      </c>
      <c r="C260">
        <v>120</v>
      </c>
      <c r="D260">
        <v>0.46757081086333502</v>
      </c>
      <c r="E260">
        <v>32.071526937271003</v>
      </c>
      <c r="F260">
        <v>2.5389686935214599</v>
      </c>
      <c r="G260">
        <v>-524.86641190935597</v>
      </c>
      <c r="H260">
        <v>-459.91539355306338</v>
      </c>
      <c r="I260">
        <v>63.111323282604701</v>
      </c>
      <c r="J260">
        <v>37.162399911724798</v>
      </c>
      <c r="K260">
        <v>12.631714214951099</v>
      </c>
      <c r="L260">
        <v>0</v>
      </c>
      <c r="M260">
        <v>1.2381371196426337E-6</v>
      </c>
      <c r="N260">
        <v>0</v>
      </c>
      <c r="O260" s="1">
        <v>1.7930789242065601E-11</v>
      </c>
      <c r="P260">
        <v>0</v>
      </c>
      <c r="Q260">
        <v>100</v>
      </c>
      <c r="AJ260">
        <v>1</v>
      </c>
    </row>
    <row r="261" spans="1:36" x14ac:dyDescent="0.2">
      <c r="A261">
        <v>306</v>
      </c>
      <c r="B261">
        <v>784</v>
      </c>
      <c r="C261">
        <v>110</v>
      </c>
      <c r="D261">
        <v>0.49393227072789903</v>
      </c>
      <c r="E261">
        <v>1.0133953167169401</v>
      </c>
      <c r="F261">
        <v>2.5386543552841601</v>
      </c>
      <c r="G261">
        <v>-16.644988648501258</v>
      </c>
      <c r="H261">
        <v>-14.503450446385095</v>
      </c>
      <c r="I261">
        <v>2.0257656927741201</v>
      </c>
      <c r="J261">
        <v>1.17830462218363</v>
      </c>
      <c r="K261">
        <v>0.39918601546034699</v>
      </c>
      <c r="L261">
        <v>0</v>
      </c>
      <c r="M261">
        <v>1.23812576446962E-6</v>
      </c>
      <c r="N261">
        <v>0</v>
      </c>
      <c r="O261" s="1">
        <v>5.6657663598271001E-13</v>
      </c>
      <c r="P261">
        <v>0</v>
      </c>
      <c r="Q261">
        <v>100</v>
      </c>
      <c r="AJ261">
        <v>1</v>
      </c>
    </row>
    <row r="262" spans="1:36" x14ac:dyDescent="0.2">
      <c r="A262">
        <v>307</v>
      </c>
      <c r="B262">
        <v>782</v>
      </c>
      <c r="C262">
        <v>110</v>
      </c>
      <c r="D262">
        <v>0.49284035445197399</v>
      </c>
      <c r="E262">
        <v>2.3739810964278401</v>
      </c>
      <c r="F262">
        <v>2.5386543552841601</v>
      </c>
      <c r="G262">
        <v>-38.983084672112383</v>
      </c>
      <c r="H262">
        <v>-33.981320520546646</v>
      </c>
      <c r="I262">
        <v>4.7403346932338799</v>
      </c>
      <c r="J262">
        <v>2.7596390754897202</v>
      </c>
      <c r="K262">
        <v>0.93513364333605897</v>
      </c>
      <c r="L262">
        <v>0</v>
      </c>
      <c r="M262">
        <v>1.2381257644696195E-6</v>
      </c>
      <c r="N262">
        <v>0</v>
      </c>
      <c r="O262" s="1">
        <v>1.32726311372555E-12</v>
      </c>
      <c r="P262">
        <v>0</v>
      </c>
      <c r="Q262">
        <v>100</v>
      </c>
      <c r="AJ262">
        <v>1</v>
      </c>
    </row>
    <row r="263" spans="1:36" x14ac:dyDescent="0.2">
      <c r="A263">
        <v>308</v>
      </c>
      <c r="B263">
        <v>780</v>
      </c>
      <c r="C263">
        <v>110</v>
      </c>
      <c r="D263">
        <v>0.49174429093671501</v>
      </c>
      <c r="E263">
        <v>3.77516619868508</v>
      </c>
      <c r="F263">
        <v>2.5386543552841601</v>
      </c>
      <c r="G263">
        <v>-61.976842381545588</v>
      </c>
      <c r="H263">
        <v>-54.046751469731149</v>
      </c>
      <c r="I263">
        <v>7.5298779013572901</v>
      </c>
      <c r="J263">
        <v>4.3873974907741404</v>
      </c>
      <c r="K263">
        <v>1.4870737289726399</v>
      </c>
      <c r="L263">
        <v>0</v>
      </c>
      <c r="M263">
        <v>1.23812576446962E-6</v>
      </c>
      <c r="N263">
        <v>0</v>
      </c>
      <c r="O263" s="1">
        <v>2.1106481644853101E-12</v>
      </c>
      <c r="P263">
        <v>0</v>
      </c>
      <c r="Q263">
        <v>100</v>
      </c>
      <c r="AJ263">
        <v>1</v>
      </c>
    </row>
    <row r="264" spans="1:36" x14ac:dyDescent="0.2">
      <c r="A264">
        <v>309</v>
      </c>
      <c r="B264">
        <v>778</v>
      </c>
      <c r="C264">
        <v>110</v>
      </c>
      <c r="D264">
        <v>0.49064405650953802</v>
      </c>
      <c r="E264">
        <v>5.4479468611662201</v>
      </c>
      <c r="F264">
        <v>2.5386543552841601</v>
      </c>
      <c r="G264">
        <v>-89.417134721884409</v>
      </c>
      <c r="H264">
        <v>-78.007593147439025</v>
      </c>
      <c r="I264">
        <v>10.854341982062801</v>
      </c>
      <c r="J264">
        <v>6.32993397564465</v>
      </c>
      <c r="K264">
        <v>2.1459978786897098</v>
      </c>
      <c r="L264">
        <v>0</v>
      </c>
      <c r="M264">
        <v>1.2381257644696198E-6</v>
      </c>
      <c r="N264">
        <v>0</v>
      </c>
      <c r="O264" s="1">
        <v>3.0458788931568298E-12</v>
      </c>
      <c r="P264">
        <v>0</v>
      </c>
      <c r="Q264">
        <v>100</v>
      </c>
      <c r="AJ264">
        <v>1</v>
      </c>
    </row>
    <row r="265" spans="1:36" x14ac:dyDescent="0.2">
      <c r="A265">
        <v>310</v>
      </c>
      <c r="B265">
        <v>776</v>
      </c>
      <c r="C265">
        <v>110</v>
      </c>
      <c r="D265">
        <v>0.48953962731735601</v>
      </c>
      <c r="E265">
        <v>20.822863098744602</v>
      </c>
      <c r="F265">
        <v>2.5386543552841601</v>
      </c>
      <c r="G265">
        <v>-341.68265888133487</v>
      </c>
      <c r="H265">
        <v>-298.20500401545689</v>
      </c>
      <c r="I265">
        <v>41.440837693254501</v>
      </c>
      <c r="J265">
        <v>24.188097016994899</v>
      </c>
      <c r="K265">
        <v>8.2023230359824808</v>
      </c>
      <c r="L265">
        <v>0</v>
      </c>
      <c r="M265">
        <v>1.23812576446962E-6</v>
      </c>
      <c r="N265">
        <v>0</v>
      </c>
      <c r="O265" s="1">
        <v>1.16418020997333E-11</v>
      </c>
      <c r="P265">
        <v>0</v>
      </c>
      <c r="Q265">
        <v>100</v>
      </c>
      <c r="AJ265">
        <v>1</v>
      </c>
    </row>
    <row r="266" spans="1:36" x14ac:dyDescent="0.2">
      <c r="A266">
        <v>311</v>
      </c>
      <c r="B266">
        <v>774</v>
      </c>
      <c r="C266">
        <v>110</v>
      </c>
      <c r="D266">
        <v>0.48843097932483898</v>
      </c>
      <c r="E266">
        <v>25.9622152546115</v>
      </c>
      <c r="F266">
        <v>2.5386543552841601</v>
      </c>
      <c r="G266">
        <v>-425.91108160636583</v>
      </c>
      <c r="H266">
        <v>-371.86616788598172</v>
      </c>
      <c r="I266">
        <v>51.611434579939797</v>
      </c>
      <c r="J266">
        <v>30.150705043953099</v>
      </c>
      <c r="K266">
        <v>10.2267625368422</v>
      </c>
      <c r="L266">
        <v>0</v>
      </c>
      <c r="M266">
        <v>1.2381257644696198E-6</v>
      </c>
      <c r="N266">
        <v>0</v>
      </c>
      <c r="O266" s="1">
        <v>1.45151495561187E-11</v>
      </c>
      <c r="P266">
        <v>0</v>
      </c>
      <c r="Q266">
        <v>100</v>
      </c>
      <c r="AJ266">
        <v>1</v>
      </c>
    </row>
    <row r="267" spans="1:36" x14ac:dyDescent="0.2">
      <c r="A267">
        <v>312</v>
      </c>
      <c r="B267">
        <v>772</v>
      </c>
      <c r="C267">
        <v>110</v>
      </c>
      <c r="D267">
        <v>0.48731808831268297</v>
      </c>
      <c r="E267">
        <v>28.2236454098203</v>
      </c>
      <c r="F267">
        <v>2.5386543552841601</v>
      </c>
      <c r="G267">
        <v>-462.89777378591288</v>
      </c>
      <c r="H267">
        <v>-404.32299314414598</v>
      </c>
      <c r="I267">
        <v>56.0443770193435</v>
      </c>
      <c r="J267">
        <v>32.7689725448679</v>
      </c>
      <c r="K267">
        <v>11.1175612982024</v>
      </c>
      <c r="L267">
        <v>0</v>
      </c>
      <c r="M267">
        <v>1.23812576446962E-6</v>
      </c>
      <c r="N267">
        <v>0</v>
      </c>
      <c r="O267" s="1">
        <v>1.57794868475115E-11</v>
      </c>
      <c r="P267">
        <v>0</v>
      </c>
      <c r="Q267">
        <v>100</v>
      </c>
      <c r="AJ267">
        <v>1</v>
      </c>
    </row>
    <row r="268" spans="1:36" x14ac:dyDescent="0.2">
      <c r="A268">
        <v>313</v>
      </c>
      <c r="B268">
        <v>770</v>
      </c>
      <c r="C268">
        <v>110</v>
      </c>
      <c r="D268">
        <v>0.486200929875856</v>
      </c>
      <c r="E268">
        <v>29.500185841917901</v>
      </c>
      <c r="F268">
        <v>2.5386543552841601</v>
      </c>
      <c r="G268">
        <v>-483.71730037253155</v>
      </c>
      <c r="H268">
        <v>-422.67880032568632</v>
      </c>
      <c r="I268">
        <v>58.513636626415398</v>
      </c>
      <c r="J268">
        <v>34.242698450597103</v>
      </c>
      <c r="K268">
        <v>11.6204026674658</v>
      </c>
      <c r="L268">
        <v>0</v>
      </c>
      <c r="M268">
        <v>1.2381257644696198E-6</v>
      </c>
      <c r="N268">
        <v>0</v>
      </c>
      <c r="O268" s="1">
        <v>1.6493184623476099E-11</v>
      </c>
      <c r="P268">
        <v>0</v>
      </c>
      <c r="Q268">
        <v>100</v>
      </c>
      <c r="AJ268">
        <v>1</v>
      </c>
    </row>
    <row r="269" spans="1:36" x14ac:dyDescent="0.2">
      <c r="A269">
        <v>314</v>
      </c>
      <c r="B269">
        <v>768</v>
      </c>
      <c r="C269">
        <v>110</v>
      </c>
      <c r="D269">
        <v>0.48507947942179502</v>
      </c>
      <c r="E269">
        <v>30.331669694585901</v>
      </c>
      <c r="F269">
        <v>2.5386543552841601</v>
      </c>
      <c r="G269">
        <v>-497.23096047334479</v>
      </c>
      <c r="H269">
        <v>-434.66271188666582</v>
      </c>
      <c r="I269">
        <v>60.095325924870501</v>
      </c>
      <c r="J269">
        <v>35.199182482750999</v>
      </c>
      <c r="K269">
        <v>11.947932033934</v>
      </c>
      <c r="L269">
        <v>0</v>
      </c>
      <c r="M269">
        <v>1.23812576446962E-6</v>
      </c>
      <c r="N269">
        <v>0</v>
      </c>
      <c r="O269" s="1">
        <v>1.6958056837060801E-11</v>
      </c>
      <c r="P269">
        <v>0</v>
      </c>
      <c r="Q269">
        <v>100</v>
      </c>
      <c r="AJ269">
        <v>1</v>
      </c>
    </row>
    <row r="270" spans="1:36" x14ac:dyDescent="0.2">
      <c r="A270">
        <v>315</v>
      </c>
      <c r="B270">
        <v>766</v>
      </c>
      <c r="C270">
        <v>110</v>
      </c>
      <c r="D270">
        <v>0.483953712168602</v>
      </c>
      <c r="E270">
        <v>30.923574798222699</v>
      </c>
      <c r="F270">
        <v>2.5386543552841601</v>
      </c>
      <c r="G270">
        <v>-506.81166979792522</v>
      </c>
      <c r="H270">
        <v>-443.21666820190467</v>
      </c>
      <c r="I270">
        <v>61.199058457412796</v>
      </c>
      <c r="J270">
        <v>35.877196195624201</v>
      </c>
      <c r="K270">
        <v>12.1810890615556</v>
      </c>
      <c r="L270">
        <v>0</v>
      </c>
      <c r="M270">
        <v>1.23812576446962E-6</v>
      </c>
      <c r="N270">
        <v>0</v>
      </c>
      <c r="O270" s="1">
        <v>1.7288983571087899E-11</v>
      </c>
      <c r="P270">
        <v>0</v>
      </c>
      <c r="Q270">
        <v>100</v>
      </c>
      <c r="AJ270">
        <v>1</v>
      </c>
    </row>
    <row r="271" spans="1:36" x14ac:dyDescent="0.2">
      <c r="A271">
        <v>316</v>
      </c>
      <c r="B271">
        <v>764</v>
      </c>
      <c r="C271">
        <v>110</v>
      </c>
      <c r="D271">
        <v>0.48282360314323097</v>
      </c>
      <c r="E271">
        <v>31.3708245139075</v>
      </c>
      <c r="F271">
        <v>2.5386543552841601</v>
      </c>
      <c r="G271">
        <v>-514.01762235128024</v>
      </c>
      <c r="H271">
        <v>-449.6997234465951</v>
      </c>
      <c r="I271">
        <v>62.0140759819555</v>
      </c>
      <c r="J271">
        <v>36.387045196003299</v>
      </c>
      <c r="K271">
        <v>12.357264961498</v>
      </c>
      <c r="L271">
        <v>0</v>
      </c>
      <c r="M271">
        <v>1.2381257644696198E-6</v>
      </c>
      <c r="N271">
        <v>0</v>
      </c>
      <c r="O271" s="1">
        <v>1.75390352884946E-11</v>
      </c>
      <c r="P271">
        <v>0</v>
      </c>
      <c r="Q271">
        <v>100</v>
      </c>
      <c r="AJ271">
        <v>1</v>
      </c>
    </row>
    <row r="272" spans="1:36" x14ac:dyDescent="0.2">
      <c r="A272">
        <v>317</v>
      </c>
      <c r="B272">
        <v>762</v>
      </c>
      <c r="C272">
        <v>110</v>
      </c>
      <c r="D272">
        <v>0.48168912717963802</v>
      </c>
      <c r="E272">
        <v>31.723451331141401</v>
      </c>
      <c r="F272">
        <v>2.5386543552841601</v>
      </c>
      <c r="G272">
        <v>-519.67013633760928</v>
      </c>
      <c r="H272">
        <v>-454.82820004929113</v>
      </c>
      <c r="I272">
        <v>62.640135524627397</v>
      </c>
      <c r="J272">
        <v>36.786870939697799</v>
      </c>
      <c r="K272">
        <v>12.4961680053487</v>
      </c>
      <c r="L272">
        <v>0</v>
      </c>
      <c r="M272">
        <v>1.2381257644696198E-6</v>
      </c>
      <c r="N272">
        <v>0</v>
      </c>
      <c r="O272" s="1">
        <v>1.7736184527858399E-11</v>
      </c>
      <c r="P272">
        <v>0</v>
      </c>
      <c r="Q272">
        <v>100</v>
      </c>
      <c r="AJ272">
        <v>1</v>
      </c>
    </row>
    <row r="273" spans="1:36" x14ac:dyDescent="0.2">
      <c r="A273">
        <v>318</v>
      </c>
      <c r="B273">
        <v>760</v>
      </c>
      <c r="C273">
        <v>110</v>
      </c>
      <c r="D273">
        <v>0.480550258916906</v>
      </c>
      <c r="E273">
        <v>32.010438495054402</v>
      </c>
      <c r="F273">
        <v>2.5386543552841601</v>
      </c>
      <c r="G273">
        <v>-524.24500611152985</v>
      </c>
      <c r="H273">
        <v>-459.01704717166785</v>
      </c>
      <c r="I273">
        <v>63.135032608877701</v>
      </c>
      <c r="J273">
        <v>37.110354925459703</v>
      </c>
      <c r="K273">
        <v>12.6092149679318</v>
      </c>
      <c r="L273">
        <v>0</v>
      </c>
      <c r="M273">
        <v>1.23812576446962E-6</v>
      </c>
      <c r="N273">
        <v>0</v>
      </c>
      <c r="O273" s="1">
        <v>1.7896635458722102E-11</v>
      </c>
      <c r="P273">
        <v>0</v>
      </c>
      <c r="Q273">
        <v>100</v>
      </c>
      <c r="AJ273">
        <v>1</v>
      </c>
    </row>
    <row r="274" spans="1:36" x14ac:dyDescent="0.2">
      <c r="A274">
        <v>327</v>
      </c>
      <c r="B274">
        <v>790</v>
      </c>
      <c r="C274">
        <v>100</v>
      </c>
      <c r="D274">
        <v>0.507529981658283</v>
      </c>
      <c r="E274">
        <v>0.61644311423924103</v>
      </c>
      <c r="F274">
        <v>2.53834005884787</v>
      </c>
      <c r="G274">
        <v>-10.134894388874482</v>
      </c>
      <c r="H274">
        <v>-8.8204999796537091</v>
      </c>
      <c r="I274">
        <v>1.2363207536290901</v>
      </c>
      <c r="J274">
        <v>0.71726546390988499</v>
      </c>
      <c r="K274">
        <v>0.242852848691612</v>
      </c>
      <c r="L274">
        <v>0</v>
      </c>
      <c r="M274">
        <v>1.2381143945371707E-6</v>
      </c>
      <c r="N274">
        <v>0</v>
      </c>
      <c r="O274" s="1">
        <v>3.4464562859029702E-13</v>
      </c>
      <c r="P274">
        <v>0</v>
      </c>
      <c r="Q274">
        <v>100</v>
      </c>
      <c r="AJ274">
        <v>1</v>
      </c>
    </row>
    <row r="275" spans="1:36" x14ac:dyDescent="0.2">
      <c r="A275">
        <v>328</v>
      </c>
      <c r="B275">
        <v>788</v>
      </c>
      <c r="C275">
        <v>100</v>
      </c>
      <c r="D275">
        <v>0.50646986759647905</v>
      </c>
      <c r="E275">
        <v>1.9619833869450301</v>
      </c>
      <c r="F275">
        <v>2.53834005884787</v>
      </c>
      <c r="G275">
        <v>-32.248954246473417</v>
      </c>
      <c r="H275">
        <v>-28.077998146943198</v>
      </c>
      <c r="I275">
        <v>3.9305999147436399</v>
      </c>
      <c r="J275">
        <v>2.2823379601306901</v>
      </c>
      <c r="K275">
        <v>0.77293953586169895</v>
      </c>
      <c r="L275">
        <v>0</v>
      </c>
      <c r="M275">
        <v>1.2381143945371711E-6</v>
      </c>
      <c r="N275">
        <v>0</v>
      </c>
      <c r="O275" s="1">
        <v>1.09692035170493E-12</v>
      </c>
      <c r="P275">
        <v>0</v>
      </c>
      <c r="Q275">
        <v>100</v>
      </c>
      <c r="AJ275">
        <v>1</v>
      </c>
    </row>
    <row r="276" spans="1:36" x14ac:dyDescent="0.2">
      <c r="A276">
        <v>329</v>
      </c>
      <c r="B276">
        <v>786</v>
      </c>
      <c r="C276">
        <v>100</v>
      </c>
      <c r="D276">
        <v>0.50540574989378495</v>
      </c>
      <c r="E276">
        <v>3.33738203349805</v>
      </c>
      <c r="F276">
        <v>2.53834005884787</v>
      </c>
      <c r="G276">
        <v>-54.842900176557627</v>
      </c>
      <c r="H276">
        <v>-47.769129668856159</v>
      </c>
      <c r="I276">
        <v>6.67872398404519</v>
      </c>
      <c r="J276">
        <v>3.8813947179897998</v>
      </c>
      <c r="K276">
        <v>1.31478917565239</v>
      </c>
      <c r="L276">
        <v>0</v>
      </c>
      <c r="M276">
        <v>1.2381143945371709E-6</v>
      </c>
      <c r="N276">
        <v>0</v>
      </c>
      <c r="O276" s="1">
        <v>1.8658885178730399E-12</v>
      </c>
      <c r="P276">
        <v>0</v>
      </c>
      <c r="Q276">
        <v>100</v>
      </c>
      <c r="AJ276">
        <v>1</v>
      </c>
    </row>
    <row r="277" spans="1:36" x14ac:dyDescent="0.2">
      <c r="A277">
        <v>330</v>
      </c>
      <c r="B277">
        <v>784</v>
      </c>
      <c r="C277">
        <v>100</v>
      </c>
      <c r="D277">
        <v>0.50433760582698905</v>
      </c>
      <c r="E277">
        <v>4.7966006373883303</v>
      </c>
      <c r="F277">
        <v>2.53834005884787</v>
      </c>
      <c r="G277">
        <v>-78.802921611860512</v>
      </c>
      <c r="H277">
        <v>-68.666597380029657</v>
      </c>
      <c r="I277">
        <v>9.5883500277452107</v>
      </c>
      <c r="J277">
        <v>5.5771490242462702</v>
      </c>
      <c r="K277">
        <v>1.8896603789034701</v>
      </c>
      <c r="L277">
        <v>0</v>
      </c>
      <c r="M277">
        <v>1.2381143945371711E-6</v>
      </c>
      <c r="N277">
        <v>0</v>
      </c>
      <c r="O277" s="1">
        <v>2.6817193729375399E-12</v>
      </c>
      <c r="P277">
        <v>0</v>
      </c>
      <c r="Q277">
        <v>100</v>
      </c>
      <c r="AJ277">
        <v>1</v>
      </c>
    </row>
    <row r="278" spans="1:36" x14ac:dyDescent="0.2">
      <c r="A278">
        <v>331</v>
      </c>
      <c r="B278">
        <v>782</v>
      </c>
      <c r="C278">
        <v>100</v>
      </c>
      <c r="D278">
        <v>0.50326541250059598</v>
      </c>
      <c r="E278">
        <v>14.8450920589353</v>
      </c>
      <c r="F278">
        <v>2.53834005884787</v>
      </c>
      <c r="G278">
        <v>-243.82936815051019</v>
      </c>
      <c r="H278">
        <v>-212.55209749372051</v>
      </c>
      <c r="I278">
        <v>29.6424874726718</v>
      </c>
      <c r="J278">
        <v>17.256706966506101</v>
      </c>
      <c r="K278">
        <v>5.8483464448310896</v>
      </c>
      <c r="L278">
        <v>0</v>
      </c>
      <c r="M278">
        <v>1.2381143945371709E-6</v>
      </c>
      <c r="N278">
        <v>0</v>
      </c>
      <c r="O278" s="1">
        <v>8.2997051405897696E-12</v>
      </c>
      <c r="P278">
        <v>0</v>
      </c>
      <c r="Q278">
        <v>100</v>
      </c>
      <c r="AJ278">
        <v>1</v>
      </c>
    </row>
    <row r="279" spans="1:36" x14ac:dyDescent="0.2">
      <c r="A279">
        <v>332</v>
      </c>
      <c r="B279">
        <v>780</v>
      </c>
      <c r="C279">
        <v>100</v>
      </c>
      <c r="D279">
        <v>0.50218914684517901</v>
      </c>
      <c r="E279">
        <v>23.4483140049296</v>
      </c>
      <c r="F279">
        <v>2.53834005884787</v>
      </c>
      <c r="G279">
        <v>-385.04296234889659</v>
      </c>
      <c r="H279">
        <v>-335.78757808193882</v>
      </c>
      <c r="I279">
        <v>46.7695810349501</v>
      </c>
      <c r="J279">
        <v>27.251005283938301</v>
      </c>
      <c r="K279">
        <v>9.2376566816554195</v>
      </c>
      <c r="L279">
        <v>0</v>
      </c>
      <c r="M279">
        <v>1.2381143945371709E-6</v>
      </c>
      <c r="N279">
        <v>0</v>
      </c>
      <c r="O279" s="1">
        <v>1.31096588362171E-11</v>
      </c>
      <c r="P279">
        <v>0</v>
      </c>
      <c r="Q279">
        <v>100</v>
      </c>
      <c r="AJ279">
        <v>1</v>
      </c>
    </row>
    <row r="280" spans="1:36" x14ac:dyDescent="0.2">
      <c r="A280">
        <v>333</v>
      </c>
      <c r="B280">
        <v>778</v>
      </c>
      <c r="C280">
        <v>100</v>
      </c>
      <c r="D280">
        <v>0.501108785615755</v>
      </c>
      <c r="E280">
        <v>26.919863768285602</v>
      </c>
      <c r="F280">
        <v>2.53834005884787</v>
      </c>
      <c r="G280">
        <v>-441.94168593968152</v>
      </c>
      <c r="H280">
        <v>-385.56387744231455</v>
      </c>
      <c r="I280">
        <v>53.634408502465902</v>
      </c>
      <c r="J280">
        <v>31.278014383958102</v>
      </c>
      <c r="K280">
        <v>10.6053023409732</v>
      </c>
      <c r="L280">
        <v>0</v>
      </c>
      <c r="M280">
        <v>1.2381143945371709E-6</v>
      </c>
      <c r="N280">
        <v>0</v>
      </c>
      <c r="O280" s="1">
        <v>1.5050558852353801E-11</v>
      </c>
      <c r="P280">
        <v>0</v>
      </c>
      <c r="Q280">
        <v>100</v>
      </c>
      <c r="AJ280">
        <v>1</v>
      </c>
    </row>
    <row r="281" spans="1:36" x14ac:dyDescent="0.2">
      <c r="A281">
        <v>334</v>
      </c>
      <c r="B281">
        <v>776</v>
      </c>
      <c r="C281">
        <v>100</v>
      </c>
      <c r="D281">
        <v>0.50002430539008103</v>
      </c>
      <c r="E281">
        <v>28.6831003802947</v>
      </c>
      <c r="F281">
        <v>2.53834005884787</v>
      </c>
      <c r="G281">
        <v>-470.7743974790651</v>
      </c>
      <c r="H281">
        <v>-410.88474960000019</v>
      </c>
      <c r="I281">
        <v>57.0839707182623</v>
      </c>
      <c r="J281">
        <v>33.318646502007802</v>
      </c>
      <c r="K281">
        <v>11.2999439457744</v>
      </c>
      <c r="L281">
        <v>0</v>
      </c>
      <c r="M281">
        <v>1.2381143945371707E-6</v>
      </c>
      <c r="N281">
        <v>0</v>
      </c>
      <c r="O281" s="1">
        <v>1.6036362370086701E-11</v>
      </c>
      <c r="P281">
        <v>0</v>
      </c>
      <c r="Q281">
        <v>100</v>
      </c>
      <c r="AJ281">
        <v>1</v>
      </c>
    </row>
    <row r="282" spans="1:36" x14ac:dyDescent="0.2">
      <c r="A282">
        <v>335</v>
      </c>
      <c r="B282">
        <v>774</v>
      </c>
      <c r="C282">
        <v>100</v>
      </c>
      <c r="D282">
        <v>0.49893568256697302</v>
      </c>
      <c r="E282">
        <v>29.757103682617402</v>
      </c>
      <c r="F282">
        <v>2.53834005884787</v>
      </c>
      <c r="G282">
        <v>-488.28358702618038</v>
      </c>
      <c r="H282">
        <v>-426.33894611924075</v>
      </c>
      <c r="I282">
        <v>59.155460924356298</v>
      </c>
      <c r="J282">
        <v>34.557823640937798</v>
      </c>
      <c r="K282">
        <v>11.723056404083099</v>
      </c>
      <c r="L282">
        <v>0</v>
      </c>
      <c r="M282">
        <v>1.2381143945371711E-6</v>
      </c>
      <c r="N282">
        <v>0</v>
      </c>
      <c r="O282" s="1">
        <v>1.66368241721362E-11</v>
      </c>
      <c r="P282">
        <v>0</v>
      </c>
      <c r="Q282">
        <v>100</v>
      </c>
      <c r="AJ282">
        <v>1</v>
      </c>
    </row>
    <row r="283" spans="1:36" x14ac:dyDescent="0.2">
      <c r="A283">
        <v>336</v>
      </c>
      <c r="B283">
        <v>772</v>
      </c>
      <c r="C283">
        <v>100</v>
      </c>
      <c r="D283">
        <v>0.49784289336458698</v>
      </c>
      <c r="E283">
        <v>30.488447764417501</v>
      </c>
      <c r="F283">
        <v>2.53834005884787</v>
      </c>
      <c r="G283">
        <v>-500.16304318853594</v>
      </c>
      <c r="H283">
        <v>-436.88793772369252</v>
      </c>
      <c r="I283">
        <v>60.5416499687542</v>
      </c>
      <c r="J283">
        <v>35.3985140197451</v>
      </c>
      <c r="K283">
        <v>12.0111754365393</v>
      </c>
      <c r="L283">
        <v>0</v>
      </c>
      <c r="M283">
        <v>1.2381143945371709E-6</v>
      </c>
      <c r="N283">
        <v>0</v>
      </c>
      <c r="O283" s="1">
        <v>1.7045709493369501E-11</v>
      </c>
      <c r="P283">
        <v>0</v>
      </c>
      <c r="Q283">
        <v>100</v>
      </c>
      <c r="AJ283">
        <v>1</v>
      </c>
    </row>
    <row r="284" spans="1:36" x14ac:dyDescent="0.2">
      <c r="A284">
        <v>337</v>
      </c>
      <c r="B284">
        <v>770</v>
      </c>
      <c r="C284">
        <v>100</v>
      </c>
      <c r="D284">
        <v>0.49674591381872402</v>
      </c>
      <c r="E284">
        <v>31.024119604978601</v>
      </c>
      <c r="F284">
        <v>2.53834005884787</v>
      </c>
      <c r="G284">
        <v>-508.8275990192754</v>
      </c>
      <c r="H284">
        <v>-444.63594490192946</v>
      </c>
      <c r="I284">
        <v>61.5363601757617</v>
      </c>
      <c r="J284">
        <v>36.011623046082903</v>
      </c>
      <c r="K284">
        <v>12.222207775840699</v>
      </c>
      <c r="L284">
        <v>0</v>
      </c>
      <c r="M284">
        <v>1.2381143945371711E-6</v>
      </c>
      <c r="N284">
        <v>0</v>
      </c>
      <c r="O284" s="1">
        <v>1.73451969139341E-11</v>
      </c>
      <c r="P284">
        <v>0</v>
      </c>
      <c r="Q284">
        <v>100</v>
      </c>
      <c r="AJ284">
        <v>1</v>
      </c>
    </row>
    <row r="285" spans="1:36" x14ac:dyDescent="0.2">
      <c r="A285">
        <v>338</v>
      </c>
      <c r="B285">
        <v>768</v>
      </c>
      <c r="C285">
        <v>100</v>
      </c>
      <c r="D285">
        <v>0.49564471978101199</v>
      </c>
      <c r="E285">
        <v>31.4368957912525</v>
      </c>
      <c r="F285">
        <v>2.53834005884787</v>
      </c>
      <c r="G285">
        <v>-515.4729145310132</v>
      </c>
      <c r="H285">
        <v>-450.62480262467449</v>
      </c>
      <c r="I285">
        <v>62.285080830176803</v>
      </c>
      <c r="J285">
        <v>36.4817711253475</v>
      </c>
      <c r="K285">
        <v>12.3848243586091</v>
      </c>
      <c r="L285">
        <v>0</v>
      </c>
      <c r="M285">
        <v>1.2381143945371711E-6</v>
      </c>
      <c r="N285">
        <v>0</v>
      </c>
      <c r="O285" s="1">
        <v>1.75759749125837E-11</v>
      </c>
      <c r="P285">
        <v>0</v>
      </c>
      <c r="Q285">
        <v>100</v>
      </c>
      <c r="AJ285">
        <v>1</v>
      </c>
    </row>
    <row r="286" spans="1:36" x14ac:dyDescent="0.2">
      <c r="A286">
        <v>339</v>
      </c>
      <c r="B286">
        <v>766</v>
      </c>
      <c r="C286">
        <v>100</v>
      </c>
      <c r="D286">
        <v>0.49453928691719501</v>
      </c>
      <c r="E286">
        <v>31.767002364703501</v>
      </c>
      <c r="F286">
        <v>2.53834005884787</v>
      </c>
      <c r="G286">
        <v>-520.75988705760744</v>
      </c>
      <c r="H286">
        <v>-455.43035839650912</v>
      </c>
      <c r="I286">
        <v>62.8682371756707</v>
      </c>
      <c r="J286">
        <v>36.855731713489597</v>
      </c>
      <c r="K286">
        <v>12.514872565625501</v>
      </c>
      <c r="L286">
        <v>0</v>
      </c>
      <c r="M286">
        <v>1.2381143945371709E-6</v>
      </c>
      <c r="N286">
        <v>0</v>
      </c>
      <c r="O286" s="1">
        <v>1.7760533365555E-11</v>
      </c>
      <c r="P286">
        <v>0</v>
      </c>
      <c r="Q286">
        <v>100</v>
      </c>
      <c r="AJ286">
        <v>1</v>
      </c>
    </row>
    <row r="287" spans="1:36" x14ac:dyDescent="0.2">
      <c r="A287">
        <v>340</v>
      </c>
      <c r="B287">
        <v>764</v>
      </c>
      <c r="C287">
        <v>100</v>
      </c>
      <c r="D287">
        <v>0.49342959070530001</v>
      </c>
      <c r="E287">
        <v>32.038557153377397</v>
      </c>
      <c r="F287">
        <v>2.53834005884787</v>
      </c>
      <c r="G287">
        <v>-525.08477419014639</v>
      </c>
      <c r="H287">
        <v>-459.39785929476761</v>
      </c>
      <c r="I287">
        <v>63.334054761007302</v>
      </c>
      <c r="J287">
        <v>37.161548834582099</v>
      </c>
      <c r="K287">
        <v>12.6218538141494</v>
      </c>
      <c r="L287">
        <v>0</v>
      </c>
      <c r="M287">
        <v>1.2381143945371709E-6</v>
      </c>
      <c r="N287">
        <v>0</v>
      </c>
      <c r="O287" s="1">
        <v>1.79123562486035E-11</v>
      </c>
      <c r="P287">
        <v>0</v>
      </c>
      <c r="Q287">
        <v>100</v>
      </c>
      <c r="AJ28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53653-D368-4881-9EC2-D578B50F29D5}">
  <sheetPr codeName="Sheet13"/>
  <dimension ref="A1:AJ34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760</v>
      </c>
      <c r="C2">
        <v>300</v>
      </c>
      <c r="D2">
        <v>0.27825630353772701</v>
      </c>
      <c r="E2">
        <v>3.8793979666885701</v>
      </c>
      <c r="F2">
        <v>0.57755233730724798</v>
      </c>
      <c r="G2">
        <v>-83.993731078877104</v>
      </c>
      <c r="H2">
        <v>-49.373003339834888</v>
      </c>
      <c r="I2">
        <v>33.512024167624297</v>
      </c>
      <c r="J2">
        <v>14.8267643861148</v>
      </c>
      <c r="K2">
        <v>6.7169634959416502</v>
      </c>
      <c r="L2">
        <v>1.1159856656337461E-3</v>
      </c>
      <c r="M2">
        <v>1.6872488244912802E-4</v>
      </c>
      <c r="N2" s="1">
        <v>4.8478330994436999E-6</v>
      </c>
      <c r="O2" s="1">
        <v>8.1820426276494895E-7</v>
      </c>
      <c r="P2" s="1">
        <v>-3.2902730389357401E-6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300</v>
      </c>
      <c r="D3">
        <v>0.27672065169955901</v>
      </c>
      <c r="E3">
        <v>3.8909220884729998</v>
      </c>
      <c r="F3">
        <v>0.57884346008014098</v>
      </c>
      <c r="G3">
        <v>-84.176048134164546</v>
      </c>
      <c r="H3">
        <v>-49.549423355576941</v>
      </c>
      <c r="I3">
        <v>33.582748778680703</v>
      </c>
      <c r="J3">
        <v>14.8819842720102</v>
      </c>
      <c r="K3">
        <v>6.7218900390345704</v>
      </c>
      <c r="L3">
        <v>1.1170241678359534E-3</v>
      </c>
      <c r="M3">
        <v>1.6812079328550446E-4</v>
      </c>
      <c r="N3" s="1">
        <v>4.9268221639676903E-6</v>
      </c>
      <c r="O3" s="1">
        <v>8.1498910138786103E-7</v>
      </c>
      <c r="P3" s="1">
        <v>-3.2959537806167399E-6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300</v>
      </c>
      <c r="D4">
        <v>0.27517903123937498</v>
      </c>
      <c r="E4">
        <v>3.9171235565978599</v>
      </c>
      <c r="F4">
        <v>0.58013866374805401</v>
      </c>
      <c r="G4">
        <v>-84.675300911207671</v>
      </c>
      <c r="H4">
        <v>-49.913064777358159</v>
      </c>
      <c r="I4">
        <v>33.779796679286299</v>
      </c>
      <c r="J4">
        <v>14.9934148593857</v>
      </c>
      <c r="K4">
        <v>6.7520470559414703</v>
      </c>
      <c r="L4">
        <v>1.1180447622227638E-3</v>
      </c>
      <c r="M4">
        <v>1.6751474484224938E-4</v>
      </c>
      <c r="N4" s="1">
        <v>5.0251277613355603E-6</v>
      </c>
      <c r="O4" s="1">
        <v>8.1479344721714099E-7</v>
      </c>
      <c r="P4" s="1">
        <v>-3.31389779727382E-6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3.9429954222813799</v>
      </c>
      <c r="F5">
        <v>0.58143794183976405</v>
      </c>
      <c r="G5">
        <v>-85.166588921084426</v>
      </c>
      <c r="H5">
        <v>-50.272927345235871</v>
      </c>
      <c r="I5">
        <v>33.973536484405201</v>
      </c>
      <c r="J5">
        <v>15.103695982801</v>
      </c>
      <c r="K5">
        <v>6.7814553171489003</v>
      </c>
      <c r="L5">
        <v>1.1190472461558233E-3</v>
      </c>
      <c r="M5">
        <v>1.6690676151603708E-4</v>
      </c>
      <c r="N5" s="1">
        <v>5.1239728494846202E-6</v>
      </c>
      <c r="O5" s="1">
        <v>8.1445399626600496E-7</v>
      </c>
      <c r="P5" s="1">
        <v>-3.3313750722964401E-6</v>
      </c>
      <c r="AE5">
        <v>100</v>
      </c>
      <c r="AJ5">
        <v>1</v>
      </c>
    </row>
    <row r="6" spans="1:36" x14ac:dyDescent="0.2">
      <c r="A6">
        <v>5</v>
      </c>
      <c r="B6">
        <v>752</v>
      </c>
      <c r="C6">
        <v>300</v>
      </c>
      <c r="D6">
        <v>0.27207774472028401</v>
      </c>
      <c r="E6">
        <v>3.9685425792665199</v>
      </c>
      <c r="F6">
        <v>0.58274128751843002</v>
      </c>
      <c r="G6">
        <v>-85.650036142316424</v>
      </c>
      <c r="H6">
        <v>-50.629066287280729</v>
      </c>
      <c r="I6">
        <v>34.164015898937599</v>
      </c>
      <c r="J6">
        <v>15.2128416374869</v>
      </c>
      <c r="K6">
        <v>6.8101276917692299</v>
      </c>
      <c r="L6">
        <v>1.120031418101445E-3</v>
      </c>
      <c r="M6">
        <v>1.6629686818048775E-4</v>
      </c>
      <c r="N6" s="1">
        <v>5.2233396554208398E-6</v>
      </c>
      <c r="O6" s="1">
        <v>8.1397357926589099E-7</v>
      </c>
      <c r="P6" s="1">
        <v>-3.3483877997689601E-6</v>
      </c>
      <c r="AE6">
        <v>100</v>
      </c>
      <c r="AJ6">
        <v>1</v>
      </c>
    </row>
    <row r="7" spans="1:36" x14ac:dyDescent="0.2">
      <c r="A7">
        <v>6</v>
      </c>
      <c r="B7">
        <v>750</v>
      </c>
      <c r="C7">
        <v>300</v>
      </c>
      <c r="D7">
        <v>0.270518008112205</v>
      </c>
      <c r="E7">
        <v>3.9937697997294701</v>
      </c>
      <c r="F7">
        <v>0.58404869357908595</v>
      </c>
      <c r="G7">
        <v>-86.125763570046132</v>
      </c>
      <c r="H7">
        <v>-50.981535414186553</v>
      </c>
      <c r="I7">
        <v>34.351281470150496</v>
      </c>
      <c r="J7">
        <v>15.3208653916638</v>
      </c>
      <c r="K7">
        <v>6.8380767624962999</v>
      </c>
      <c r="L7">
        <v>1.1209970776875702E-3</v>
      </c>
      <c r="M7">
        <v>1.6568509018277563E-4</v>
      </c>
      <c r="N7" s="1">
        <v>5.32321019282553E-6</v>
      </c>
      <c r="O7" s="1">
        <v>8.1335498719042603E-7</v>
      </c>
      <c r="P7" s="1">
        <v>-3.3649381364857001E-6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300</v>
      </c>
      <c r="D8">
        <v>0.26895216177838999</v>
      </c>
      <c r="E8">
        <v>4.0186817372680501</v>
      </c>
      <c r="F8">
        <v>0.58536015244613604</v>
      </c>
      <c r="G8">
        <v>-86.593889291494989</v>
      </c>
      <c r="H8">
        <v>-51.330387153030763</v>
      </c>
      <c r="I8">
        <v>34.535378617176299</v>
      </c>
      <c r="J8">
        <v>15.4277803969205</v>
      </c>
      <c r="K8">
        <v>6.8653148330554403</v>
      </c>
      <c r="L8">
        <v>1.1219440257605904E-3</v>
      </c>
      <c r="M8">
        <v>1.6507145334001018E-4</v>
      </c>
      <c r="N8" s="1">
        <v>5.4235662657471E-6</v>
      </c>
      <c r="O8" s="1">
        <v>8.1260097241939004E-7</v>
      </c>
      <c r="P8" s="1">
        <v>-3.3810282054434002E-6</v>
      </c>
      <c r="AE8">
        <v>100</v>
      </c>
      <c r="AJ8">
        <v>1</v>
      </c>
    </row>
    <row r="9" spans="1:36" x14ac:dyDescent="0.2">
      <c r="A9">
        <v>8</v>
      </c>
      <c r="B9">
        <v>746</v>
      </c>
      <c r="C9">
        <v>300</v>
      </c>
      <c r="D9">
        <v>0.26738016974930101</v>
      </c>
      <c r="E9">
        <v>4.0432829294211796</v>
      </c>
      <c r="F9">
        <v>0.58667565617094397</v>
      </c>
      <c r="G9">
        <v>-87.054528550996338</v>
      </c>
      <c r="H9">
        <v>-51.675672575171795</v>
      </c>
      <c r="I9">
        <v>34.716351656382997</v>
      </c>
      <c r="J9">
        <v>15.5335993968525</v>
      </c>
      <c r="K9">
        <v>6.8918539347797001</v>
      </c>
      <c r="L9">
        <v>1.1228720644420381E-3</v>
      </c>
      <c r="M9">
        <v>1.644559839353467E-4</v>
      </c>
      <c r="N9" s="1">
        <v>5.5243894719618301E-6</v>
      </c>
      <c r="O9" s="1">
        <v>8.1171424977776398E-7</v>
      </c>
      <c r="P9" s="1">
        <v>-3.3966600989225001E-6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4.0675778003738996</v>
      </c>
      <c r="F10">
        <v>0.58799519642945897</v>
      </c>
      <c r="G10">
        <v>-87.507793818734399</v>
      </c>
      <c r="H10">
        <v>-52.017441426626135</v>
      </c>
      <c r="I10">
        <v>34.894243828249003</v>
      </c>
      <c r="J10">
        <v>15.638334736457301</v>
      </c>
      <c r="K10">
        <v>6.9177058334385304</v>
      </c>
      <c r="L10">
        <v>1.1237809971851975E-3</v>
      </c>
      <c r="M10">
        <v>1.6383870871392441E-4</v>
      </c>
      <c r="N10" s="1">
        <v>5.6256612068712702E-6</v>
      </c>
      <c r="O10" s="1">
        <v>8.10697497585955E-7</v>
      </c>
      <c r="P10" s="1">
        <v>-3.41183588171087E-6</v>
      </c>
      <c r="AE10">
        <v>100</v>
      </c>
      <c r="AJ10">
        <v>1</v>
      </c>
    </row>
    <row r="11" spans="1:36" x14ac:dyDescent="0.2">
      <c r="A11">
        <v>10</v>
      </c>
      <c r="B11">
        <v>742</v>
      </c>
      <c r="C11">
        <v>300</v>
      </c>
      <c r="D11">
        <v>0.264217603309855</v>
      </c>
      <c r="E11">
        <v>4.0915706635655402</v>
      </c>
      <c r="F11">
        <v>0.58931876451991005</v>
      </c>
      <c r="G11">
        <v>-87.953794857101087</v>
      </c>
      <c r="H11">
        <v>-52.355742157321835</v>
      </c>
      <c r="I11">
        <v>35.069097323315901</v>
      </c>
      <c r="J11">
        <v>15.7419983712117</v>
      </c>
      <c r="K11">
        <v>6.9428820358346304</v>
      </c>
      <c r="L11">
        <v>1.12467062883161E-3</v>
      </c>
      <c r="M11">
        <v>1.6321965487853322E-4</v>
      </c>
      <c r="N11" s="1">
        <v>5.7273626675365003E-6</v>
      </c>
      <c r="O11" s="1">
        <v>8.0955335866227002E-7</v>
      </c>
      <c r="P11" s="1">
        <v>-3.4265575942255001E-6</v>
      </c>
      <c r="AE11">
        <v>100</v>
      </c>
      <c r="AJ11">
        <v>1</v>
      </c>
    </row>
    <row r="12" spans="1:36" x14ac:dyDescent="0.2">
      <c r="A12">
        <v>11</v>
      </c>
      <c r="B12">
        <v>740</v>
      </c>
      <c r="C12">
        <v>300</v>
      </c>
      <c r="D12">
        <v>0.26262695553471999</v>
      </c>
      <c r="E12">
        <v>4.1152657238914498</v>
      </c>
      <c r="F12">
        <v>0.59064635136056898</v>
      </c>
      <c r="G12">
        <v>-88.392638778031497</v>
      </c>
      <c r="H12">
        <v>-52.690621945261519</v>
      </c>
      <c r="I12">
        <v>35.240953304568301</v>
      </c>
      <c r="J12">
        <v>15.8446018746306</v>
      </c>
      <c r="K12">
        <v>6.9673937956474896</v>
      </c>
      <c r="L12">
        <v>1.1255407656673808E-3</v>
      </c>
      <c r="M12">
        <v>1.625988500850754E-4</v>
      </c>
      <c r="N12" s="1">
        <v>5.8294748564361899E-6</v>
      </c>
      <c r="O12" s="1">
        <v>8.0828444121860898E-7</v>
      </c>
      <c r="P12" s="1">
        <v>-3.4408272552761298E-6</v>
      </c>
      <c r="AE12">
        <v>100</v>
      </c>
      <c r="AJ12">
        <v>1</v>
      </c>
    </row>
    <row r="13" spans="1:36" x14ac:dyDescent="0.2">
      <c r="A13">
        <v>12</v>
      </c>
      <c r="B13">
        <v>738</v>
      </c>
      <c r="C13">
        <v>300</v>
      </c>
      <c r="D13">
        <v>0.26103001532908299</v>
      </c>
      <c r="E13">
        <v>4.1386670800830601</v>
      </c>
      <c r="F13">
        <v>0.59197794748758203</v>
      </c>
      <c r="G13">
        <v>-88.824430103917848</v>
      </c>
      <c r="H13">
        <v>-53.02212672306225</v>
      </c>
      <c r="I13">
        <v>35.409851931268399</v>
      </c>
      <c r="J13">
        <v>15.946156446559501</v>
      </c>
      <c r="K13">
        <v>6.99125211952237</v>
      </c>
      <c r="L13">
        <v>1.1263912154793017E-3</v>
      </c>
      <c r="M13">
        <v>1.6197632243779078E-4</v>
      </c>
      <c r="N13" s="1">
        <v>5.9319785857055402E-6</v>
      </c>
      <c r="O13" s="1">
        <v>8.0689331976697898E-7</v>
      </c>
      <c r="P13" s="1">
        <v>-3.4546468649575501E-6</v>
      </c>
      <c r="AE13">
        <v>100</v>
      </c>
      <c r="AJ13">
        <v>1</v>
      </c>
    </row>
    <row r="14" spans="1:36" x14ac:dyDescent="0.2">
      <c r="A14">
        <v>13</v>
      </c>
      <c r="B14">
        <v>736</v>
      </c>
      <c r="C14">
        <v>300</v>
      </c>
      <c r="D14">
        <v>0.25942674528068399</v>
      </c>
      <c r="E14">
        <v>4.1895801387233096</v>
      </c>
      <c r="F14">
        <v>0.59331354305285799</v>
      </c>
      <c r="G14">
        <v>-89.845471606619469</v>
      </c>
      <c r="H14">
        <v>-53.706690571243193</v>
      </c>
      <c r="I14">
        <v>35.813485180995201</v>
      </c>
      <c r="J14">
        <v>16.1538675102979</v>
      </c>
      <c r="K14">
        <v>7.0613256477613602</v>
      </c>
      <c r="L14">
        <v>1.1272217876108104E-3</v>
      </c>
      <c r="M14">
        <v>1.6135210048428208E-4</v>
      </c>
      <c r="N14" s="1">
        <v>6.0751683677409497E-6</v>
      </c>
      <c r="O14" s="1">
        <v>8.1076263255956596E-7</v>
      </c>
      <c r="P14" s="1">
        <v>-3.4911853785750302E-6</v>
      </c>
      <c r="AE14">
        <v>100</v>
      </c>
      <c r="AJ14">
        <v>1</v>
      </c>
    </row>
    <row r="15" spans="1:36" x14ac:dyDescent="0.2">
      <c r="A15">
        <v>14</v>
      </c>
      <c r="B15">
        <v>734</v>
      </c>
      <c r="C15">
        <v>300</v>
      </c>
      <c r="D15">
        <v>0.25781710768008598</v>
      </c>
      <c r="E15">
        <v>8.3979037793236593</v>
      </c>
      <c r="F15">
        <v>0.59465312782199797</v>
      </c>
      <c r="G15">
        <v>-179.94938712017836</v>
      </c>
      <c r="H15">
        <v>-107.71843922687702</v>
      </c>
      <c r="I15">
        <v>71.722934706383597</v>
      </c>
      <c r="J15">
        <v>32.403040983947399</v>
      </c>
      <c r="K15">
        <v>14.1223570286802</v>
      </c>
      <c r="L15">
        <v>1.1280322930175459E-3</v>
      </c>
      <c r="M15">
        <v>1.6072621321029814E-4</v>
      </c>
      <c r="N15" s="1">
        <v>1.2318256029838601E-5</v>
      </c>
      <c r="O15" s="1">
        <v>1.61302070381619E-6</v>
      </c>
      <c r="P15" s="1">
        <v>-6.9857572300124304E-6</v>
      </c>
      <c r="AE15">
        <v>100</v>
      </c>
      <c r="AJ15">
        <v>1</v>
      </c>
    </row>
    <row r="16" spans="1:36" x14ac:dyDescent="0.2">
      <c r="A16">
        <v>15</v>
      </c>
      <c r="B16">
        <v>732</v>
      </c>
      <c r="C16">
        <v>300</v>
      </c>
      <c r="D16">
        <v>0.256201064517732</v>
      </c>
      <c r="E16">
        <v>9.49160949523033</v>
      </c>
      <c r="F16">
        <v>0.59599669117238396</v>
      </c>
      <c r="G16">
        <v>-203.22314180030648</v>
      </c>
      <c r="H16">
        <v>-121.82048274028517</v>
      </c>
      <c r="I16">
        <v>80.990987157962493</v>
      </c>
      <c r="J16">
        <v>36.648984220940399</v>
      </c>
      <c r="K16">
        <v>15.925607701880701</v>
      </c>
      <c r="L16">
        <v>1.1288225443230099E-3</v>
      </c>
      <c r="M16">
        <v>1.6009869003430545E-4</v>
      </c>
      <c r="N16" s="1">
        <v>1.4081569237344599E-5</v>
      </c>
      <c r="O16" s="1">
        <v>1.8093929536109701E-6</v>
      </c>
      <c r="P16" s="1">
        <v>-7.8814019786804697E-6</v>
      </c>
      <c r="AE16">
        <v>100</v>
      </c>
      <c r="AJ16">
        <v>1</v>
      </c>
    </row>
    <row r="17" spans="1:36" x14ac:dyDescent="0.2">
      <c r="A17">
        <v>16</v>
      </c>
      <c r="B17">
        <v>730</v>
      </c>
      <c r="C17">
        <v>300</v>
      </c>
      <c r="D17">
        <v>0.25457857748093798</v>
      </c>
      <c r="E17">
        <v>9.8598155672578809</v>
      </c>
      <c r="F17">
        <v>0.59734422209120597</v>
      </c>
      <c r="G17">
        <v>-210.93854581900214</v>
      </c>
      <c r="H17">
        <v>-126.62240810539416</v>
      </c>
      <c r="I17">
        <v>84.057000553793102</v>
      </c>
      <c r="J17">
        <v>38.097491990108999</v>
      </c>
      <c r="K17">
        <v>16.506086779813899</v>
      </c>
      <c r="L17">
        <v>1.1295923558735385E-3</v>
      </c>
      <c r="M17">
        <v>1.594695608018658E-4</v>
      </c>
      <c r="N17" s="1">
        <v>1.4792982349311E-5</v>
      </c>
      <c r="O17" s="1">
        <v>1.86536532609697E-6</v>
      </c>
      <c r="P17" s="1">
        <v>-8.1721090970223205E-6</v>
      </c>
      <c r="AE17">
        <v>100</v>
      </c>
      <c r="AJ17">
        <v>1</v>
      </c>
    </row>
    <row r="18" spans="1:36" x14ac:dyDescent="0.2">
      <c r="A18">
        <v>17</v>
      </c>
      <c r="B18">
        <v>728</v>
      </c>
      <c r="C18">
        <v>300</v>
      </c>
      <c r="D18">
        <v>0.25294960795086002</v>
      </c>
      <c r="E18">
        <v>10.0556563996668</v>
      </c>
      <c r="F18">
        <v>0.59869570917367299</v>
      </c>
      <c r="G18">
        <v>-214.95694230626634</v>
      </c>
      <c r="H18">
        <v>-129.21518446177993</v>
      </c>
      <c r="I18">
        <v>85.649015940235003</v>
      </c>
      <c r="J18">
        <v>38.8813928819743</v>
      </c>
      <c r="K18">
        <v>16.795938647273399</v>
      </c>
      <c r="L18">
        <v>1.1303415437932047E-3</v>
      </c>
      <c r="M18">
        <v>1.5883885577976822E-4</v>
      </c>
      <c r="N18" s="1">
        <v>1.5255152664917001E-5</v>
      </c>
      <c r="O18" s="1">
        <v>1.8879288930340499E-6</v>
      </c>
      <c r="P18" s="1">
        <v>-8.3187516049499094E-6</v>
      </c>
      <c r="AE18">
        <v>100</v>
      </c>
      <c r="AJ18">
        <v>1</v>
      </c>
    </row>
    <row r="19" spans="1:36" x14ac:dyDescent="0.2">
      <c r="A19">
        <v>18</v>
      </c>
      <c r="B19">
        <v>726</v>
      </c>
      <c r="C19">
        <v>300</v>
      </c>
      <c r="D19">
        <v>0.251314116999449</v>
      </c>
      <c r="E19">
        <v>10.180445754028099</v>
      </c>
      <c r="F19">
        <v>0.60005114062123599</v>
      </c>
      <c r="G19">
        <v>-217.451184172637</v>
      </c>
      <c r="H19">
        <v>-130.89748288324967</v>
      </c>
      <c r="I19">
        <v>86.633165356151494</v>
      </c>
      <c r="J19">
        <v>39.3912919979363</v>
      </c>
      <c r="K19">
        <v>16.965963506857602</v>
      </c>
      <c r="L19">
        <v>1.1310699260382569E-3</v>
      </c>
      <c r="M19">
        <v>1.5820660564996687E-4</v>
      </c>
      <c r="N19" s="1">
        <v>1.5614787044271501E-5</v>
      </c>
      <c r="O19" s="1">
        <v>1.89670618275581E-6</v>
      </c>
      <c r="P19" s="1">
        <v>-8.4057681373649992E-6</v>
      </c>
      <c r="AE19">
        <v>100</v>
      </c>
      <c r="AJ19">
        <v>1</v>
      </c>
    </row>
    <row r="20" spans="1:36" x14ac:dyDescent="0.2">
      <c r="A20">
        <v>19</v>
      </c>
      <c r="B20">
        <v>724</v>
      </c>
      <c r="C20">
        <v>300</v>
      </c>
      <c r="D20">
        <v>0.249672065386352</v>
      </c>
      <c r="E20">
        <v>10.2683370299697</v>
      </c>
      <c r="F20">
        <v>0.60141050423989995</v>
      </c>
      <c r="G20">
        <v>-219.15383214633385</v>
      </c>
      <c r="H20">
        <v>-132.10705594136172</v>
      </c>
      <c r="I20">
        <v>87.301461543367395</v>
      </c>
      <c r="J20">
        <v>39.758849044527899</v>
      </c>
      <c r="K20">
        <v>17.073757371344001</v>
      </c>
      <c r="L20">
        <v>1.1317773224516826E-3</v>
      </c>
      <c r="M20">
        <v>1.5757284150336493E-4</v>
      </c>
      <c r="N20" s="1">
        <v>1.5921243642108301E-5</v>
      </c>
      <c r="O20" s="1">
        <v>1.8983196079615901E-6</v>
      </c>
      <c r="P20" s="1">
        <v>-8.46162975152603E-6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290</v>
      </c>
      <c r="D21">
        <v>0.28890335382083798</v>
      </c>
      <c r="E21">
        <v>4.0474470312628901</v>
      </c>
      <c r="F21">
        <v>0.56761529585283999</v>
      </c>
      <c r="G21">
        <v>-87.702884924735102</v>
      </c>
      <c r="H21">
        <v>-51.499819363040167</v>
      </c>
      <c r="I21">
        <v>35.043683646544899</v>
      </c>
      <c r="J21">
        <v>15.5223685025425</v>
      </c>
      <c r="K21">
        <v>7.1306165651889604</v>
      </c>
      <c r="L21">
        <v>1.147070597194894E-3</v>
      </c>
      <c r="M21">
        <v>1.7854376448937055E-4</v>
      </c>
      <c r="N21" s="1">
        <v>5.2659535012349202E-6</v>
      </c>
      <c r="O21" s="1">
        <v>9.6361006125725994E-7</v>
      </c>
      <c r="P21" s="1">
        <v>-3.7448998000385701E-6</v>
      </c>
      <c r="AE21">
        <v>100</v>
      </c>
      <c r="AJ21">
        <v>1</v>
      </c>
    </row>
    <row r="22" spans="1:36" x14ac:dyDescent="0.2">
      <c r="A22">
        <v>21</v>
      </c>
      <c r="B22">
        <v>758</v>
      </c>
      <c r="C22">
        <v>290</v>
      </c>
      <c r="D22">
        <v>0.28738835280996899</v>
      </c>
      <c r="E22">
        <v>4.0583056212935604</v>
      </c>
      <c r="F22">
        <v>0.56891963357189901</v>
      </c>
      <c r="G22">
        <v>-87.867931129783358</v>
      </c>
      <c r="H22">
        <v>-51.669124654543559</v>
      </c>
      <c r="I22">
        <v>35.107529347742599</v>
      </c>
      <c r="J22">
        <v>15.576296144819599</v>
      </c>
      <c r="K22">
        <v>7.1333548392660102</v>
      </c>
      <c r="L22">
        <v>1.1482156335387598E-3</v>
      </c>
      <c r="M22">
        <v>1.7790184477914001E-4</v>
      </c>
      <c r="N22" s="1">
        <v>5.35468070280675E-6</v>
      </c>
      <c r="O22" s="1">
        <v>9.595466406120591E-7</v>
      </c>
      <c r="P22" s="1">
        <v>-3.75074333537648E-6</v>
      </c>
      <c r="AE22">
        <v>100</v>
      </c>
      <c r="AJ22">
        <v>1</v>
      </c>
    </row>
    <row r="23" spans="1:36" x14ac:dyDescent="0.2">
      <c r="A23">
        <v>22</v>
      </c>
      <c r="B23">
        <v>756</v>
      </c>
      <c r="C23">
        <v>290</v>
      </c>
      <c r="D23">
        <v>0.28586746344070502</v>
      </c>
      <c r="E23">
        <v>4.0840539928128701</v>
      </c>
      <c r="F23">
        <v>0.57022826351617995</v>
      </c>
      <c r="G23">
        <v>-88.354788879438431</v>
      </c>
      <c r="H23">
        <v>-52.028307737453751</v>
      </c>
      <c r="I23">
        <v>35.299828293707399</v>
      </c>
      <c r="J23">
        <v>15.687444878509799</v>
      </c>
      <c r="K23">
        <v>7.1621388382776603</v>
      </c>
      <c r="L23">
        <v>1.1493415015167948E-3</v>
      </c>
      <c r="M23">
        <v>1.7725763773944161E-4</v>
      </c>
      <c r="N23" s="1">
        <v>5.4638685190730601E-6</v>
      </c>
      <c r="O23" s="1">
        <v>9.5894147685002609E-7</v>
      </c>
      <c r="P23" s="1">
        <v>-3.7701535405872801E-6</v>
      </c>
      <c r="AE23">
        <v>100</v>
      </c>
      <c r="AJ23">
        <v>1</v>
      </c>
    </row>
    <row r="24" spans="1:36" x14ac:dyDescent="0.2">
      <c r="A24">
        <v>23</v>
      </c>
      <c r="B24">
        <v>754</v>
      </c>
      <c r="C24">
        <v>290</v>
      </c>
      <c r="D24">
        <v>0.28434065131675001</v>
      </c>
      <c r="E24">
        <v>4.1094893983623297</v>
      </c>
      <c r="F24">
        <v>0.57154117946704697</v>
      </c>
      <c r="G24">
        <v>-88.834052069232982</v>
      </c>
      <c r="H24">
        <v>-52.383921642748398</v>
      </c>
      <c r="I24">
        <v>35.488956947543997</v>
      </c>
      <c r="J24">
        <v>15.797505694622201</v>
      </c>
      <c r="K24">
        <v>7.1901895191425496</v>
      </c>
      <c r="L24">
        <v>1.1504479719379468E-3</v>
      </c>
      <c r="M24">
        <v>1.766111699246835E-4</v>
      </c>
      <c r="N24" s="1">
        <v>5.5737109287648897E-6</v>
      </c>
      <c r="O24" s="1">
        <v>9.5817708081508399E-7</v>
      </c>
      <c r="P24" s="1">
        <v>-3.7890613695128799E-6</v>
      </c>
      <c r="AE24">
        <v>100</v>
      </c>
      <c r="AJ24">
        <v>1</v>
      </c>
    </row>
    <row r="25" spans="1:36" x14ac:dyDescent="0.2">
      <c r="A25">
        <v>24</v>
      </c>
      <c r="B25">
        <v>752</v>
      </c>
      <c r="C25">
        <v>290</v>
      </c>
      <c r="D25">
        <v>0.28280788177339999</v>
      </c>
      <c r="E25">
        <v>4.13461661941004</v>
      </c>
      <c r="F25">
        <v>0.57285837480656099</v>
      </c>
      <c r="G25">
        <v>-89.30584150792447</v>
      </c>
      <c r="H25">
        <v>-52.736020518617437</v>
      </c>
      <c r="I25">
        <v>35.674961782013497</v>
      </c>
      <c r="J25">
        <v>15.9064920322762</v>
      </c>
      <c r="K25">
        <v>7.2175197243231199</v>
      </c>
      <c r="L25">
        <v>1.151534816882172E-3</v>
      </c>
      <c r="M25">
        <v>1.7596246847549591E-4</v>
      </c>
      <c r="N25" s="1">
        <v>5.6841876287857096E-6</v>
      </c>
      <c r="O25" s="1">
        <v>9.5725653562792407E-7</v>
      </c>
      <c r="P25" s="1">
        <v>-3.8074686148412302E-6</v>
      </c>
      <c r="AE25">
        <v>100</v>
      </c>
      <c r="AJ25">
        <v>1</v>
      </c>
    </row>
    <row r="26" spans="1:36" x14ac:dyDescent="0.2">
      <c r="A26">
        <v>25</v>
      </c>
      <c r="B26">
        <v>750</v>
      </c>
      <c r="C26">
        <v>290</v>
      </c>
      <c r="D26">
        <v>0.281269119874895</v>
      </c>
      <c r="E26">
        <v>4.15944032483086</v>
      </c>
      <c r="F26">
        <v>0.57417984251464105</v>
      </c>
      <c r="G26">
        <v>-89.770275220854927</v>
      </c>
      <c r="H26">
        <v>-53.084657207422431</v>
      </c>
      <c r="I26">
        <v>35.857888189029197</v>
      </c>
      <c r="J26">
        <v>16.0144169352399</v>
      </c>
      <c r="K26">
        <v>7.2441420211034302</v>
      </c>
      <c r="L26">
        <v>1.1526018097706889E-3</v>
      </c>
      <c r="M26">
        <v>1.7531156111525269E-4</v>
      </c>
      <c r="N26" s="1">
        <v>5.7952780486562797E-6</v>
      </c>
      <c r="O26" s="1">
        <v>9.5618288498440201E-7</v>
      </c>
      <c r="P26" s="1">
        <v>-3.8253770412447899E-6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290</v>
      </c>
      <c r="D27">
        <v>0.27972433041179201</v>
      </c>
      <c r="E27">
        <v>4.1839650738230096</v>
      </c>
      <c r="F27">
        <v>0.57550557516623801</v>
      </c>
      <c r="G27">
        <v>-90.227468523152424</v>
      </c>
      <c r="H27">
        <v>-53.429883278861709</v>
      </c>
      <c r="I27">
        <v>36.037780508280697</v>
      </c>
      <c r="J27">
        <v>16.121293062202898</v>
      </c>
      <c r="K27">
        <v>7.27006870891642</v>
      </c>
      <c r="L27">
        <v>1.1536487254358819E-3</v>
      </c>
      <c r="M27">
        <v>1.7465847614624993E-4</v>
      </c>
      <c r="N27" s="1">
        <v>5.9069613558472998E-6</v>
      </c>
      <c r="O27" s="1">
        <v>9.5495913438097695E-7</v>
      </c>
      <c r="P27" s="1">
        <v>-3.8427883893893904E-6</v>
      </c>
      <c r="AE27">
        <v>100</v>
      </c>
      <c r="AJ27">
        <v>1</v>
      </c>
    </row>
    <row r="28" spans="1:36" x14ac:dyDescent="0.2">
      <c r="A28">
        <v>27</v>
      </c>
      <c r="B28">
        <v>746</v>
      </c>
      <c r="C28">
        <v>290</v>
      </c>
      <c r="D28">
        <v>0.27817347789824898</v>
      </c>
      <c r="E28">
        <v>4.2081953185086398</v>
      </c>
      <c r="F28">
        <v>0.57683556492858201</v>
      </c>
      <c r="G28">
        <v>-90.677534085801256</v>
      </c>
      <c r="H28">
        <v>-53.771749059224177</v>
      </c>
      <c r="I28">
        <v>36.214682053035403</v>
      </c>
      <c r="J28">
        <v>16.227132695894799</v>
      </c>
      <c r="K28">
        <v>7.29531182604814</v>
      </c>
      <c r="L28">
        <v>1.1546753401917712E-3</v>
      </c>
      <c r="M28">
        <v>1.7400324244568565E-4</v>
      </c>
      <c r="N28" s="1">
        <v>6.0192164610626502E-6</v>
      </c>
      <c r="O28" s="1">
        <v>9.5358825223434597E-7</v>
      </c>
      <c r="P28" s="1">
        <v>-3.8597043796370403E-6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290</v>
      </c>
      <c r="D29">
        <v>0.27661652656933799</v>
      </c>
      <c r="E29">
        <v>4.2321354065278598</v>
      </c>
      <c r="F29">
        <v>0.57816980355853598</v>
      </c>
      <c r="G29">
        <v>-91.120582001280809</v>
      </c>
      <c r="H29">
        <v>-54.11030366067255</v>
      </c>
      <c r="I29">
        <v>36.388635135791901</v>
      </c>
      <c r="J29">
        <v>16.331947752223499</v>
      </c>
      <c r="K29">
        <v>7.31988315626272</v>
      </c>
      <c r="L29">
        <v>1.1556814319036604E-3</v>
      </c>
      <c r="M29">
        <v>1.7334588946121775E-4</v>
      </c>
      <c r="N29" s="1">
        <v>6.1320220238735297E-6</v>
      </c>
      <c r="O29" s="1">
        <v>9.5207317096597304E-7</v>
      </c>
      <c r="P29" s="1">
        <v>-3.8761267157164396E-6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290</v>
      </c>
      <c r="D30">
        <v>0.27505344037826801</v>
      </c>
      <c r="E30">
        <v>4.2557895834589701</v>
      </c>
      <c r="F30">
        <v>0.57950828239996299</v>
      </c>
      <c r="G30">
        <v>-91.556719845177298</v>
      </c>
      <c r="H30">
        <v>-54.445595008414017</v>
      </c>
      <c r="I30">
        <v>36.559681092349201</v>
      </c>
      <c r="J30">
        <v>16.435749788795601</v>
      </c>
      <c r="K30">
        <v>7.3437942350610301</v>
      </c>
      <c r="L30">
        <v>1.1566667800578039E-3</v>
      </c>
      <c r="M30">
        <v>1.7268644720628274E-4</v>
      </c>
      <c r="N30" s="1">
        <v>6.2453564584686597E-6</v>
      </c>
      <c r="O30" s="1">
        <v>9.5041678801638305E-7</v>
      </c>
      <c r="P30" s="1">
        <v>-3.8920570882140399E-6</v>
      </c>
      <c r="AE30">
        <v>100</v>
      </c>
      <c r="AJ30">
        <v>1</v>
      </c>
    </row>
    <row r="31" spans="1:36" x14ac:dyDescent="0.2">
      <c r="A31">
        <v>30</v>
      </c>
      <c r="B31">
        <v>740</v>
      </c>
      <c r="C31">
        <v>290</v>
      </c>
      <c r="D31">
        <v>0.27348418299363703</v>
      </c>
      <c r="E31">
        <v>4.2791619952053503</v>
      </c>
      <c r="F31">
        <v>0.58085099238124505</v>
      </c>
      <c r="G31">
        <v>-91.98605273680603</v>
      </c>
      <c r="H31">
        <v>-54.777669867548894</v>
      </c>
      <c r="I31">
        <v>36.727860305504002</v>
      </c>
      <c r="J31">
        <v>16.538550013352801</v>
      </c>
      <c r="K31">
        <v>7.3670563558178399</v>
      </c>
      <c r="L31">
        <v>1.1576311658307388E-3</v>
      </c>
      <c r="M31">
        <v>1.7202494625507547E-4</v>
      </c>
      <c r="N31" s="1">
        <v>6.3591979396882603E-6</v>
      </c>
      <c r="O31" s="1">
        <v>9.4862196682063598E-7</v>
      </c>
      <c r="P31" s="1">
        <v>-3.9074971780058699E-6</v>
      </c>
      <c r="AE31">
        <v>100</v>
      </c>
      <c r="AJ31">
        <v>1</v>
      </c>
    </row>
    <row r="32" spans="1:36" x14ac:dyDescent="0.2">
      <c r="A32">
        <v>31</v>
      </c>
      <c r="B32">
        <v>738</v>
      </c>
      <c r="C32">
        <v>290</v>
      </c>
      <c r="D32">
        <v>0.27190871779657</v>
      </c>
      <c r="E32">
        <v>4.30225669035294</v>
      </c>
      <c r="F32">
        <v>0.582197924012815</v>
      </c>
      <c r="G32">
        <v>-92.408683398939104</v>
      </c>
      <c r="H32">
        <v>-55.1065738696457</v>
      </c>
      <c r="I32">
        <v>36.893212228413603</v>
      </c>
      <c r="J32">
        <v>16.640359292148499</v>
      </c>
      <c r="K32">
        <v>7.3896805758074899</v>
      </c>
      <c r="L32">
        <v>1.1585743721587249E-3</v>
      </c>
      <c r="M32">
        <v>1.713614177372718E-4</v>
      </c>
      <c r="N32" s="1">
        <v>6.4735244093547898E-6</v>
      </c>
      <c r="O32" s="1">
        <v>9.4669153774766601E-7</v>
      </c>
      <c r="P32" s="1">
        <v>-3.9224486596377196E-6</v>
      </c>
      <c r="AE32">
        <v>100</v>
      </c>
      <c r="AJ32">
        <v>1</v>
      </c>
    </row>
    <row r="33" spans="1:36" x14ac:dyDescent="0.2">
      <c r="A33">
        <v>32</v>
      </c>
      <c r="B33">
        <v>736</v>
      </c>
      <c r="C33">
        <v>290</v>
      </c>
      <c r="D33">
        <v>0.27032700787792002</v>
      </c>
      <c r="E33">
        <v>7.7834545087318396</v>
      </c>
      <c r="F33">
        <v>0.58354906738482204</v>
      </c>
      <c r="G33">
        <v>-167.04831401545673</v>
      </c>
      <c r="H33">
        <v>-99.756634255950161</v>
      </c>
      <c r="I33">
        <v>66.685957419744597</v>
      </c>
      <c r="J33">
        <v>30.127615692730998</v>
      </c>
      <c r="K33">
        <v>13.3381320333754</v>
      </c>
      <c r="L33">
        <v>1.1594961838062325E-3</v>
      </c>
      <c r="M33">
        <v>1.7069589333240358E-4</v>
      </c>
      <c r="N33" s="1">
        <v>1.1856397396183001E-5</v>
      </c>
      <c r="O33" s="1">
        <v>1.6999628757411499E-6</v>
      </c>
      <c r="P33" s="1">
        <v>-7.0849097999483197E-6</v>
      </c>
      <c r="AE33">
        <v>100</v>
      </c>
      <c r="AJ33">
        <v>1</v>
      </c>
    </row>
    <row r="34" spans="1:36" x14ac:dyDescent="0.2">
      <c r="A34">
        <v>33</v>
      </c>
      <c r="B34">
        <v>734</v>
      </c>
      <c r="C34">
        <v>290</v>
      </c>
      <c r="D34">
        <v>0.268739016035347</v>
      </c>
      <c r="E34">
        <v>9.3749166458926005</v>
      </c>
      <c r="F34">
        <v>0.58490441216479805</v>
      </c>
      <c r="G34">
        <v>-201.04366610835049</v>
      </c>
      <c r="H34">
        <v>-120.22620918209832</v>
      </c>
      <c r="I34">
        <v>80.249041184771599</v>
      </c>
      <c r="J34">
        <v>36.314833391413302</v>
      </c>
      <c r="K34">
        <v>16.028117502473499</v>
      </c>
      <c r="L34">
        <v>1.1603963874345395E-3</v>
      </c>
      <c r="M34">
        <v>1.7002840526396439E-4</v>
      </c>
      <c r="N34" s="1">
        <v>1.44550423849358E-5</v>
      </c>
      <c r="O34" s="1">
        <v>2.0321997206413099E-6</v>
      </c>
      <c r="P34" s="1">
        <v>-8.5194230423258498E-6</v>
      </c>
      <c r="AE34">
        <v>100</v>
      </c>
      <c r="AJ34">
        <v>1</v>
      </c>
    </row>
    <row r="35" spans="1:36" x14ac:dyDescent="0.2">
      <c r="A35">
        <v>34</v>
      </c>
      <c r="B35">
        <v>732</v>
      </c>
      <c r="C35">
        <v>290</v>
      </c>
      <c r="D35">
        <v>0.267144704770434</v>
      </c>
      <c r="E35">
        <v>9.8173545047434807</v>
      </c>
      <c r="F35">
        <v>0.58626394759555001</v>
      </c>
      <c r="G35">
        <v>-210.36368190271324</v>
      </c>
      <c r="H35">
        <v>-125.97622540655949</v>
      </c>
      <c r="I35">
        <v>83.960677102179702</v>
      </c>
      <c r="J35">
        <v>38.056919219471503</v>
      </c>
      <c r="K35">
        <v>16.745622078600402</v>
      </c>
      <c r="L35">
        <v>1.1612747716696651E-3</v>
      </c>
      <c r="M35">
        <v>1.6935898629317703E-4</v>
      </c>
      <c r="N35" s="1">
        <v>1.5319846273091301E-5</v>
      </c>
      <c r="O35" s="1">
        <v>2.1120410102575401E-6</v>
      </c>
      <c r="P35" s="1">
        <v>-8.9063098521132995E-6</v>
      </c>
      <c r="AE35">
        <v>100</v>
      </c>
      <c r="AJ35">
        <v>1</v>
      </c>
    </row>
    <row r="36" spans="1:36" x14ac:dyDescent="0.2">
      <c r="A36">
        <v>35</v>
      </c>
      <c r="B36">
        <v>730</v>
      </c>
      <c r="C36">
        <v>290</v>
      </c>
      <c r="D36">
        <v>0.265544036285703</v>
      </c>
      <c r="E36">
        <v>10.0364341957855</v>
      </c>
      <c r="F36">
        <v>0.58762766249293996</v>
      </c>
      <c r="G36">
        <v>-214.88647258776112</v>
      </c>
      <c r="H36">
        <v>-128.86529562033567</v>
      </c>
      <c r="I36">
        <v>85.756786553735594</v>
      </c>
      <c r="J36">
        <v>38.934922953149197</v>
      </c>
      <c r="K36">
        <v>17.0795808917626</v>
      </c>
      <c r="L36">
        <v>1.1621311271702065E-3</v>
      </c>
      <c r="M36">
        <v>1.6868766971257215E-4</v>
      </c>
      <c r="N36" s="1">
        <v>1.5848362062916901E-5</v>
      </c>
      <c r="O36" s="1">
        <v>2.1427579197720599E-6</v>
      </c>
      <c r="P36" s="1">
        <v>-9.0891426974308206E-6</v>
      </c>
      <c r="AE36">
        <v>100</v>
      </c>
      <c r="AJ36">
        <v>1</v>
      </c>
    </row>
    <row r="37" spans="1:36" x14ac:dyDescent="0.2">
      <c r="A37">
        <v>36</v>
      </c>
      <c r="B37">
        <v>728</v>
      </c>
      <c r="C37">
        <v>290</v>
      </c>
      <c r="D37">
        <v>0.26393697248164799</v>
      </c>
      <c r="E37">
        <v>10.1713080772784</v>
      </c>
      <c r="F37">
        <v>0.58899554524393105</v>
      </c>
      <c r="G37">
        <v>-217.60046891209825</v>
      </c>
      <c r="H37">
        <v>-130.67598770406778</v>
      </c>
      <c r="I37">
        <v>86.830446841234703</v>
      </c>
      <c r="J37">
        <v>39.487131451287802</v>
      </c>
      <c r="K37">
        <v>17.268904933849601</v>
      </c>
      <c r="L37">
        <v>1.1629652466941785E-3</v>
      </c>
      <c r="M37">
        <v>1.6801448933913556E-4</v>
      </c>
      <c r="N37" s="1">
        <v>1.6250413731350702E-5</v>
      </c>
      <c r="O37" s="1">
        <v>2.1549295942511701E-6</v>
      </c>
      <c r="P37" s="1">
        <v>-9.1947497884073805E-6</v>
      </c>
      <c r="AE37">
        <v>100</v>
      </c>
      <c r="AJ37">
        <v>1</v>
      </c>
    </row>
    <row r="38" spans="1:36" x14ac:dyDescent="0.2">
      <c r="A38">
        <v>37</v>
      </c>
      <c r="B38">
        <v>726</v>
      </c>
      <c r="C38">
        <v>290</v>
      </c>
      <c r="D38">
        <v>0.26232347495371</v>
      </c>
      <c r="E38">
        <v>10.264397452178599</v>
      </c>
      <c r="F38">
        <v>0.59036758380460497</v>
      </c>
      <c r="G38">
        <v>-219.41681126288998</v>
      </c>
      <c r="H38">
        <v>-131.95168060213885</v>
      </c>
      <c r="I38">
        <v>87.545418184736405</v>
      </c>
      <c r="J38">
        <v>39.877624188849602</v>
      </c>
      <c r="K38">
        <v>17.3864516510714</v>
      </c>
      <c r="L38">
        <v>1.1637769251660072E-3</v>
      </c>
      <c r="M38">
        <v>1.6733947950730134E-4</v>
      </c>
      <c r="N38" s="1">
        <v>1.65898333077208E-5</v>
      </c>
      <c r="O38" s="1">
        <v>2.15788891724731E-6</v>
      </c>
      <c r="P38" s="1">
        <v>-9.2618031152739995E-6</v>
      </c>
      <c r="AE38">
        <v>100</v>
      </c>
      <c r="AJ38">
        <v>1</v>
      </c>
    </row>
    <row r="39" spans="1:36" x14ac:dyDescent="0.2">
      <c r="A39">
        <v>38</v>
      </c>
      <c r="B39">
        <v>724</v>
      </c>
      <c r="C39">
        <v>290</v>
      </c>
      <c r="D39">
        <v>0.26070350498922301</v>
      </c>
      <c r="E39">
        <v>10.333358606932901</v>
      </c>
      <c r="F39">
        <v>0.59174376569833698</v>
      </c>
      <c r="G39">
        <v>-220.71477209594798</v>
      </c>
      <c r="H39">
        <v>-132.91851565384215</v>
      </c>
      <c r="I39">
        <v>88.053121219918395</v>
      </c>
      <c r="J39">
        <v>40.174683413019402</v>
      </c>
      <c r="K39">
        <v>17.462555933712601</v>
      </c>
      <c r="L39">
        <v>1.1645659597423132E-3</v>
      </c>
      <c r="M39">
        <v>1.6666267506154793E-4</v>
      </c>
      <c r="N39" s="1">
        <v>1.68931208773884E-5</v>
      </c>
      <c r="O39" s="1">
        <v>2.1555253637730499E-6</v>
      </c>
      <c r="P39" s="1">
        <v>-9.3064017295755193E-6</v>
      </c>
      <c r="AE39">
        <v>100</v>
      </c>
      <c r="AJ39">
        <v>1</v>
      </c>
    </row>
    <row r="40" spans="1:36" x14ac:dyDescent="0.2">
      <c r="A40">
        <v>39</v>
      </c>
      <c r="B40">
        <v>760</v>
      </c>
      <c r="C40">
        <v>280</v>
      </c>
      <c r="D40">
        <v>0.29955040410395301</v>
      </c>
      <c r="E40">
        <v>4.2129195305317904</v>
      </c>
      <c r="F40">
        <v>0.55727281173612397</v>
      </c>
      <c r="G40">
        <v>-91.363358847943658</v>
      </c>
      <c r="H40">
        <v>-53.59016252823335</v>
      </c>
      <c r="I40">
        <v>36.563526313670401</v>
      </c>
      <c r="J40">
        <v>16.214692362856599</v>
      </c>
      <c r="K40">
        <v>7.5598870818888297</v>
      </c>
      <c r="L40">
        <v>1.1801103374306891E-3</v>
      </c>
      <c r="M40">
        <v>1.8942560748166481E-4</v>
      </c>
      <c r="N40" s="1">
        <v>5.69052221468314E-6</v>
      </c>
      <c r="O40" s="1">
        <v>1.1379542548869299E-6</v>
      </c>
      <c r="P40" s="1">
        <v>-4.2652633802727499E-6</v>
      </c>
      <c r="AE40">
        <v>100</v>
      </c>
      <c r="AJ40">
        <v>1</v>
      </c>
    </row>
    <row r="41" spans="1:36" x14ac:dyDescent="0.2">
      <c r="A41">
        <v>40</v>
      </c>
      <c r="B41">
        <v>758</v>
      </c>
      <c r="C41">
        <v>280</v>
      </c>
      <c r="D41">
        <v>0.29805605392037998</v>
      </c>
      <c r="E41">
        <v>4.2232686027663604</v>
      </c>
      <c r="F41">
        <v>0.55859036308921095</v>
      </c>
      <c r="G41">
        <v>-91.514518511989081</v>
      </c>
      <c r="H41">
        <v>-53.754329782889414</v>
      </c>
      <c r="I41">
        <v>36.621835370928103</v>
      </c>
      <c r="J41">
        <v>16.2680393328225</v>
      </c>
      <c r="K41">
        <v>7.5605826412939203</v>
      </c>
      <c r="L41">
        <v>1.1813800281653918E-3</v>
      </c>
      <c r="M41">
        <v>1.8874294876228292E-4</v>
      </c>
      <c r="N41" s="1">
        <v>5.7908359426400196E-6</v>
      </c>
      <c r="O41" s="1">
        <v>1.13291531929847E-6</v>
      </c>
      <c r="P41" s="1">
        <v>-4.2715776599921698E-6</v>
      </c>
      <c r="AE41">
        <v>100</v>
      </c>
      <c r="AJ41">
        <v>1</v>
      </c>
    </row>
    <row r="42" spans="1:36" x14ac:dyDescent="0.2">
      <c r="A42">
        <v>41</v>
      </c>
      <c r="B42">
        <v>756</v>
      </c>
      <c r="C42">
        <v>280</v>
      </c>
      <c r="D42">
        <v>0.29655589564203599</v>
      </c>
      <c r="E42">
        <v>4.2485166037075803</v>
      </c>
      <c r="F42">
        <v>0.55991243986604</v>
      </c>
      <c r="G42">
        <v>-91.987970727427609</v>
      </c>
      <c r="H42">
        <v>-54.108433879602948</v>
      </c>
      <c r="I42">
        <v>36.808986163255199</v>
      </c>
      <c r="J42">
        <v>16.378849227561702</v>
      </c>
      <c r="K42">
        <v>7.5878232045068499</v>
      </c>
      <c r="L42">
        <v>1.1826291867375702E-3</v>
      </c>
      <c r="M42">
        <v>1.8805760567189728E-4</v>
      </c>
      <c r="N42" s="1">
        <v>5.9125020821644297E-6</v>
      </c>
      <c r="O42" s="1">
        <v>1.1318013101939301E-6</v>
      </c>
      <c r="P42" s="1">
        <v>-4.2927374585566901E-6</v>
      </c>
      <c r="AE42">
        <v>100</v>
      </c>
      <c r="AJ42">
        <v>1</v>
      </c>
    </row>
    <row r="43" spans="1:36" x14ac:dyDescent="0.2">
      <c r="A43">
        <v>42</v>
      </c>
      <c r="B43">
        <v>754</v>
      </c>
      <c r="C43">
        <v>280</v>
      </c>
      <c r="D43">
        <v>0.29504989534147702</v>
      </c>
      <c r="E43">
        <v>4.2734675547946503</v>
      </c>
      <c r="F43">
        <v>0.56123903625165195</v>
      </c>
      <c r="G43">
        <v>-92.454185097365126</v>
      </c>
      <c r="H43">
        <v>-54.459168914681172</v>
      </c>
      <c r="I43">
        <v>36.993099083132698</v>
      </c>
      <c r="J43">
        <v>16.4886305752167</v>
      </c>
      <c r="K43">
        <v>7.6143448312787703</v>
      </c>
      <c r="L43">
        <v>1.1838575512406082E-3</v>
      </c>
      <c r="M43">
        <v>1.8736960683395949E-4</v>
      </c>
      <c r="N43" s="1">
        <v>6.0349655625539299E-6</v>
      </c>
      <c r="O43" s="1">
        <v>1.13050974412273E-6</v>
      </c>
      <c r="P43" s="1">
        <v>-4.3133544038538202E-6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280</v>
      </c>
      <c r="D44">
        <v>0.29353801882651298</v>
      </c>
      <c r="E44">
        <v>4.2981261055800601</v>
      </c>
      <c r="F44">
        <v>0.56257014599264399</v>
      </c>
      <c r="G44">
        <v>-92.913278867237409</v>
      </c>
      <c r="H44">
        <v>-54.806587689643095</v>
      </c>
      <c r="I44">
        <v>37.174219216004602</v>
      </c>
      <c r="J44">
        <v>16.597396144491601</v>
      </c>
      <c r="K44">
        <v>7.64016031813438</v>
      </c>
      <c r="L44">
        <v>1.1850648611981399E-3</v>
      </c>
      <c r="M44">
        <v>1.866789815966692E-4</v>
      </c>
      <c r="N44" s="1">
        <v>6.1582030663910299E-6</v>
      </c>
      <c r="O44" s="1">
        <v>1.12904397790472E-6</v>
      </c>
      <c r="P44" s="1">
        <v>-4.3334296992055598E-6</v>
      </c>
      <c r="AE44">
        <v>100</v>
      </c>
      <c r="AJ44">
        <v>1</v>
      </c>
    </row>
    <row r="45" spans="1:36" x14ac:dyDescent="0.2">
      <c r="A45">
        <v>44</v>
      </c>
      <c r="B45">
        <v>750</v>
      </c>
      <c r="C45">
        <v>280</v>
      </c>
      <c r="D45">
        <v>0.292020231637589</v>
      </c>
      <c r="E45">
        <v>4.3224968012769098</v>
      </c>
      <c r="F45">
        <v>0.56390576239388301</v>
      </c>
      <c r="G45">
        <v>-93.365366685059001</v>
      </c>
      <c r="H45">
        <v>-55.150741801859134</v>
      </c>
      <c r="I45">
        <v>37.352390638030798</v>
      </c>
      <c r="J45">
        <v>16.7051583370876</v>
      </c>
      <c r="K45">
        <v>7.6652821970237097</v>
      </c>
      <c r="L45">
        <v>1.1862508576521247E-3</v>
      </c>
      <c r="M45">
        <v>1.8598576002979914E-4</v>
      </c>
      <c r="N45" s="1">
        <v>6.2821909274543701E-6</v>
      </c>
      <c r="O45" s="1">
        <v>1.1274073301324E-6</v>
      </c>
      <c r="P45" s="1">
        <v>-4.3529645297301103E-6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280</v>
      </c>
      <c r="D46">
        <v>0.29049649904519698</v>
      </c>
      <c r="E46">
        <v>4.3465840855061399</v>
      </c>
      <c r="F46">
        <v>0.56524587831520301</v>
      </c>
      <c r="G46">
        <v>-93.810560670319475</v>
      </c>
      <c r="H46">
        <v>-55.491681675847317</v>
      </c>
      <c r="I46">
        <v>37.5276564430267</v>
      </c>
      <c r="J46">
        <v>16.811929197517799</v>
      </c>
      <c r="K46">
        <v>7.6897227423608303</v>
      </c>
      <c r="L46">
        <v>1.1874152832506907E-3</v>
      </c>
      <c r="M46">
        <v>1.8528997292108906E-4</v>
      </c>
      <c r="N46" s="1">
        <v>6.4069051377393504E-6</v>
      </c>
      <c r="O46" s="1">
        <v>1.12560308245601E-6</v>
      </c>
      <c r="P46" s="1">
        <v>-4.3719600669739299E-6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280</v>
      </c>
      <c r="D47">
        <v>0.288966786047197</v>
      </c>
      <c r="E47">
        <v>4.3703923028652003</v>
      </c>
      <c r="F47">
        <v>0.56659048616824004</v>
      </c>
      <c r="G47">
        <v>-94.248970478723479</v>
      </c>
      <c r="H47">
        <v>-55.829456592407666</v>
      </c>
      <c r="I47">
        <v>37.700058767761703</v>
      </c>
      <c r="J47">
        <v>16.917720422291701</v>
      </c>
      <c r="K47">
        <v>7.7134939776724103</v>
      </c>
      <c r="L47">
        <v>1.1885578823363158E-3</v>
      </c>
      <c r="M47">
        <v>1.8459165177229226E-4</v>
      </c>
      <c r="N47" s="1">
        <v>6.5323213547260702E-6</v>
      </c>
      <c r="O47" s="1">
        <v>1.1236344807824601E-6</v>
      </c>
      <c r="P47" s="1">
        <v>-4.3904174733440602E-6</v>
      </c>
      <c r="AE47">
        <v>100</v>
      </c>
      <c r="AJ47">
        <v>1</v>
      </c>
    </row>
    <row r="48" spans="1:36" x14ac:dyDescent="0.2">
      <c r="A48">
        <v>47</v>
      </c>
      <c r="B48">
        <v>744</v>
      </c>
      <c r="C48">
        <v>280</v>
      </c>
      <c r="D48">
        <v>0.28743105736617303</v>
      </c>
      <c r="E48">
        <v>4.3939257013575403</v>
      </c>
      <c r="F48">
        <v>0.56793957791337202</v>
      </c>
      <c r="G48">
        <v>-94.680703363643417</v>
      </c>
      <c r="H48">
        <v>-56.164114716088207</v>
      </c>
      <c r="I48">
        <v>37.869638815965601</v>
      </c>
      <c r="J48">
        <v>17.022543368607799</v>
      </c>
      <c r="K48">
        <v>7.7366076819315204</v>
      </c>
      <c r="L48">
        <v>1.189678401033136E-3</v>
      </c>
      <c r="M48">
        <v>1.8389082879471358E-4</v>
      </c>
      <c r="N48" s="1">
        <v>6.6584149089288698E-6</v>
      </c>
      <c r="O48" s="1">
        <v>1.12150473639886E-6</v>
      </c>
      <c r="P48" s="1">
        <v>-4.4083379063717897E-6</v>
      </c>
      <c r="AE48">
        <v>100</v>
      </c>
      <c r="AJ48">
        <v>1</v>
      </c>
    </row>
    <row r="49" spans="1:36" x14ac:dyDescent="0.2">
      <c r="A49">
        <v>48</v>
      </c>
      <c r="B49">
        <v>742</v>
      </c>
      <c r="C49">
        <v>280</v>
      </c>
      <c r="D49">
        <v>0.28588927744668102</v>
      </c>
      <c r="E49">
        <v>4.4171884347864596</v>
      </c>
      <c r="F49">
        <v>0.56929314505667195</v>
      </c>
      <c r="G49">
        <v>-95.105864236538267</v>
      </c>
      <c r="H49">
        <v>-56.495703122301819</v>
      </c>
      <c r="I49">
        <v>38.0364368819438</v>
      </c>
      <c r="J49">
        <v>17.126409062964299</v>
      </c>
      <c r="K49">
        <v>7.7590753957642198</v>
      </c>
      <c r="L49">
        <v>1.1907765873347598E-3</v>
      </c>
      <c r="M49">
        <v>1.8318753690447324E-4</v>
      </c>
      <c r="N49" s="1">
        <v>6.78516081185035E-6</v>
      </c>
      <c r="O49" s="1">
        <v>1.1192170270509999E-6</v>
      </c>
      <c r="P49" s="1">
        <v>-4.4257225229169199E-6</v>
      </c>
      <c r="AE49">
        <v>100</v>
      </c>
      <c r="AJ49">
        <v>1</v>
      </c>
    </row>
    <row r="50" spans="1:36" x14ac:dyDescent="0.2">
      <c r="A50">
        <v>49</v>
      </c>
      <c r="B50">
        <v>740</v>
      </c>
      <c r="C50">
        <v>280</v>
      </c>
      <c r="D50">
        <v>0.28434141045255101</v>
      </c>
      <c r="E50">
        <v>4.4401845651962404</v>
      </c>
      <c r="F50">
        <v>0.57065117864704396</v>
      </c>
      <c r="G50">
        <v>-95.524555728119211</v>
      </c>
      <c r="H50">
        <v>-56.824267825151331</v>
      </c>
      <c r="I50">
        <v>38.2004923745098</v>
      </c>
      <c r="J50">
        <v>17.229328209995899</v>
      </c>
      <c r="K50">
        <v>7.7809084276728697</v>
      </c>
      <c r="L50">
        <v>1.191852191190932E-3</v>
      </c>
      <c r="M50">
        <v>1.824818097171892E-4</v>
      </c>
      <c r="N50" s="1">
        <v>6.9125337644759499E-6</v>
      </c>
      <c r="O50" s="1">
        <v>1.1167744979945001E-6</v>
      </c>
      <c r="P50" s="1">
        <v>-4.4425724833814103E-6</v>
      </c>
      <c r="AE50">
        <v>100</v>
      </c>
      <c r="AJ50">
        <v>1</v>
      </c>
    </row>
    <row r="51" spans="1:36" x14ac:dyDescent="0.2">
      <c r="A51">
        <v>50</v>
      </c>
      <c r="B51">
        <v>738</v>
      </c>
      <c r="C51">
        <v>280</v>
      </c>
      <c r="D51">
        <v>0.28278742026405701</v>
      </c>
      <c r="E51">
        <v>4.4629180650151996</v>
      </c>
      <c r="F51">
        <v>0.57201366927340502</v>
      </c>
      <c r="G51">
        <v>-95.936878242839327</v>
      </c>
      <c r="H51">
        <v>-57.149853801544197</v>
      </c>
      <c r="I51">
        <v>38.361843838269699</v>
      </c>
      <c r="J51">
        <v>17.331311200212198</v>
      </c>
      <c r="K51">
        <v>7.8021178596731398</v>
      </c>
      <c r="L51">
        <v>1.1929049645947555E-3</v>
      </c>
      <c r="M51">
        <v>1.8177368154242025E-4</v>
      </c>
      <c r="N51" s="1">
        <v>7.0405081657643198E-6</v>
      </c>
      <c r="O51" s="1">
        <v>1.1141802629356301E-6</v>
      </c>
      <c r="P51" s="1">
        <v>-4.4588889555955604E-6</v>
      </c>
      <c r="AE51">
        <v>100</v>
      </c>
      <c r="AJ51">
        <v>1</v>
      </c>
    </row>
    <row r="52" spans="1:36" x14ac:dyDescent="0.2">
      <c r="A52">
        <v>51</v>
      </c>
      <c r="B52">
        <v>736</v>
      </c>
      <c r="C52">
        <v>280</v>
      </c>
      <c r="D52">
        <v>0.281227270475152</v>
      </c>
      <c r="E52">
        <v>9.2146863429205794</v>
      </c>
      <c r="F52">
        <v>0.57338060706197302</v>
      </c>
      <c r="G52">
        <v>-197.9246672953966</v>
      </c>
      <c r="H52">
        <v>-118.07017320579942</v>
      </c>
      <c r="I52">
        <v>79.135675864806103</v>
      </c>
      <c r="J52">
        <v>35.8126502838373</v>
      </c>
      <c r="K52">
        <v>16.070802237517199</v>
      </c>
      <c r="L52">
        <v>1.1939346616685667E-3</v>
      </c>
      <c r="M52">
        <v>1.810631873775854E-4</v>
      </c>
      <c r="N52" s="1">
        <v>1.4727945717815699E-5</v>
      </c>
      <c r="O52" s="1">
        <v>2.2833110697553201E-6</v>
      </c>
      <c r="P52" s="1">
        <v>-9.1926640402755602E-6</v>
      </c>
      <c r="AE52">
        <v>100</v>
      </c>
      <c r="AJ52">
        <v>1</v>
      </c>
    </row>
    <row r="53" spans="1:36" x14ac:dyDescent="0.2">
      <c r="A53">
        <v>52</v>
      </c>
      <c r="B53">
        <v>734</v>
      </c>
      <c r="C53">
        <v>280</v>
      </c>
      <c r="D53">
        <v>0.27966092439060802</v>
      </c>
      <c r="E53">
        <v>9.7645798370029997</v>
      </c>
      <c r="F53">
        <v>0.57475198167363295</v>
      </c>
      <c r="G53">
        <v>-209.56833299506937</v>
      </c>
      <c r="H53">
        <v>-125.19203107157861</v>
      </c>
      <c r="I53">
        <v>83.782842491870497</v>
      </c>
      <c r="J53">
        <v>37.979656986543198</v>
      </c>
      <c r="K53">
        <v>16.9892060373055</v>
      </c>
      <c r="L53">
        <v>1.1949410387499439E-3</v>
      </c>
      <c r="M53">
        <v>1.803503629015181E-4</v>
      </c>
      <c r="N53" s="1">
        <v>1.5809575270180098E-5</v>
      </c>
      <c r="O53" s="1">
        <v>2.4013853644375398E-6</v>
      </c>
      <c r="P53" s="1">
        <v>-9.7262666830108402E-6</v>
      </c>
      <c r="AE53">
        <v>100</v>
      </c>
      <c r="AJ53">
        <v>1</v>
      </c>
    </row>
    <row r="54" spans="1:36" x14ac:dyDescent="0.2">
      <c r="A54">
        <v>53</v>
      </c>
      <c r="B54">
        <v>732</v>
      </c>
      <c r="C54">
        <v>280</v>
      </c>
      <c r="D54">
        <v>0.27808834502313201</v>
      </c>
      <c r="E54">
        <v>10.013092479590799</v>
      </c>
      <c r="F54">
        <v>0.576127782301464</v>
      </c>
      <c r="G54">
        <v>-214.73018186746137</v>
      </c>
      <c r="H54">
        <v>-128.45614365623575</v>
      </c>
      <c r="I54">
        <v>85.837704141289095</v>
      </c>
      <c r="J54">
        <v>38.976731196483399</v>
      </c>
      <c r="K54">
        <v>17.379985460155002</v>
      </c>
      <c r="L54">
        <v>1.1959238544771412E-3</v>
      </c>
      <c r="M54">
        <v>1.7963524446763628E-4</v>
      </c>
      <c r="N54" s="1">
        <v>1.64198502640306E-5</v>
      </c>
      <c r="O54" s="1">
        <v>2.4438581652167398E-6</v>
      </c>
      <c r="P54" s="1">
        <v>-9.9579780352798608E-6</v>
      </c>
      <c r="AE54">
        <v>100</v>
      </c>
      <c r="AJ54">
        <v>1</v>
      </c>
    </row>
    <row r="55" spans="1:36" x14ac:dyDescent="0.2">
      <c r="A55">
        <v>54</v>
      </c>
      <c r="B55">
        <v>730</v>
      </c>
      <c r="C55">
        <v>280</v>
      </c>
      <c r="D55">
        <v>0.27650949509046802</v>
      </c>
      <c r="E55">
        <v>10.160011893950999</v>
      </c>
      <c r="F55">
        <v>0.57750799766829697</v>
      </c>
      <c r="G55">
        <v>-217.70674451424196</v>
      </c>
      <c r="H55">
        <v>-130.4200741740554</v>
      </c>
      <c r="I55">
        <v>87.018376636483495</v>
      </c>
      <c r="J55">
        <v>39.579400447299498</v>
      </c>
      <c r="K55">
        <v>17.592850549208599</v>
      </c>
      <c r="L55">
        <v>1.1968828698734378E-3</v>
      </c>
      <c r="M55">
        <v>1.7891786909665164E-4</v>
      </c>
      <c r="N55" s="1">
        <v>1.6871728606156001E-5</v>
      </c>
      <c r="O55" s="1">
        <v>2.46080419687381E-6</v>
      </c>
      <c r="P55" s="1">
        <v>-1.00875540140705E-5</v>
      </c>
      <c r="AE55">
        <v>100</v>
      </c>
      <c r="AJ55">
        <v>1</v>
      </c>
    </row>
    <row r="56" spans="1:36" x14ac:dyDescent="0.2">
      <c r="A56">
        <v>55</v>
      </c>
      <c r="B56">
        <v>728</v>
      </c>
      <c r="C56">
        <v>280</v>
      </c>
      <c r="D56">
        <v>0.27492433701243602</v>
      </c>
      <c r="E56">
        <v>10.2591146336029</v>
      </c>
      <c r="F56">
        <v>0.578892616024408</v>
      </c>
      <c r="G56">
        <v>-219.65464401704281</v>
      </c>
      <c r="H56">
        <v>-131.77217891802542</v>
      </c>
      <c r="I56">
        <v>87.787380506809697</v>
      </c>
      <c r="J56">
        <v>39.996385593793001</v>
      </c>
      <c r="K56">
        <v>17.721964919950398</v>
      </c>
      <c r="L56">
        <v>1.1978178484315137E-3</v>
      </c>
      <c r="M56">
        <v>1.7819827446896854E-4</v>
      </c>
      <c r="N56" s="1">
        <v>1.7249260381881699E-5</v>
      </c>
      <c r="O56" s="1">
        <v>2.46571743515363E-6</v>
      </c>
      <c r="P56" s="1">
        <v>-1.0168772025833101E-5</v>
      </c>
      <c r="AE56">
        <v>100</v>
      </c>
      <c r="AJ56">
        <v>1</v>
      </c>
    </row>
    <row r="57" spans="1:36" x14ac:dyDescent="0.2">
      <c r="A57">
        <v>56</v>
      </c>
      <c r="B57">
        <v>726</v>
      </c>
      <c r="C57">
        <v>280</v>
      </c>
      <c r="D57">
        <v>0.273332832907971</v>
      </c>
      <c r="E57">
        <v>10.3314543040785</v>
      </c>
      <c r="F57">
        <v>0.58028162514532799</v>
      </c>
      <c r="G57">
        <v>-221.02675347324089</v>
      </c>
      <c r="H57">
        <v>-132.78192645666508</v>
      </c>
      <c r="I57">
        <v>88.325816252967599</v>
      </c>
      <c r="J57">
        <v>40.309389063893903</v>
      </c>
      <c r="K57">
        <v>17.8042072269496</v>
      </c>
      <c r="L57">
        <v>1.1987285561967252E-3</v>
      </c>
      <c r="M57">
        <v>1.7747649891661942E-4</v>
      </c>
      <c r="N57" s="1">
        <v>1.7585262341539201E-5</v>
      </c>
      <c r="O57" s="1">
        <v>2.4638875400745499E-6</v>
      </c>
      <c r="P57" s="1">
        <v>-1.0222689474229599E-5</v>
      </c>
      <c r="AE57">
        <v>100</v>
      </c>
      <c r="AJ57">
        <v>1</v>
      </c>
    </row>
    <row r="58" spans="1:36" x14ac:dyDescent="0.2">
      <c r="A58">
        <v>57</v>
      </c>
      <c r="B58">
        <v>760</v>
      </c>
      <c r="C58">
        <v>270</v>
      </c>
      <c r="D58">
        <v>0.31019745438706797</v>
      </c>
      <c r="E58">
        <v>4.3761788338493002</v>
      </c>
      <c r="F58">
        <v>0.54649111306141895</v>
      </c>
      <c r="G58">
        <v>-94.983169663688827</v>
      </c>
      <c r="H58">
        <v>-55.648079042935663</v>
      </c>
      <c r="I58">
        <v>38.075395575676303</v>
      </c>
      <c r="J58">
        <v>16.9051714954795</v>
      </c>
      <c r="K58">
        <v>8.0077767584071609</v>
      </c>
      <c r="L58">
        <v>1.215249924353863E-3</v>
      </c>
      <c r="M58">
        <v>2.0153019672638676E-4</v>
      </c>
      <c r="N58" s="1">
        <v>6.1118923789090103E-6</v>
      </c>
      <c r="O58" s="1">
        <v>1.3483263688551901E-6</v>
      </c>
      <c r="P58" s="1">
        <v>-4.8630390172455102E-6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270</v>
      </c>
      <c r="D59">
        <v>0.30872375503079302</v>
      </c>
      <c r="E59">
        <v>4.3862195305657998</v>
      </c>
      <c r="F59">
        <v>0.54782175295253999</v>
      </c>
      <c r="G59">
        <v>-95.124806194534713</v>
      </c>
      <c r="H59">
        <v>-55.809660711965137</v>
      </c>
      <c r="I59">
        <v>38.1299088849631</v>
      </c>
      <c r="J59">
        <v>16.958852258636799</v>
      </c>
      <c r="K59">
        <v>8.0066545494512305</v>
      </c>
      <c r="L59">
        <v>1.2166662064434909E-3</v>
      </c>
      <c r="M59">
        <v>2.0080384397672482E-4</v>
      </c>
      <c r="N59" s="1">
        <v>6.2260359733706601E-6</v>
      </c>
      <c r="O59" s="1">
        <v>1.3421815912229599E-6</v>
      </c>
      <c r="P59" s="1">
        <v>-4.8703003572223302E-6</v>
      </c>
      <c r="AE59">
        <v>100</v>
      </c>
      <c r="AJ59">
        <v>1</v>
      </c>
    </row>
    <row r="60" spans="1:36" x14ac:dyDescent="0.2">
      <c r="A60">
        <v>59</v>
      </c>
      <c r="B60">
        <v>756</v>
      </c>
      <c r="C60">
        <v>270</v>
      </c>
      <c r="D60">
        <v>0.30724432784336703</v>
      </c>
      <c r="E60">
        <v>4.41092155556266</v>
      </c>
      <c r="F60">
        <v>0.54915717626411698</v>
      </c>
      <c r="G60">
        <v>-95.583867688724681</v>
      </c>
      <c r="H60">
        <v>-56.158089578571811</v>
      </c>
      <c r="I60">
        <v>38.311521459776003</v>
      </c>
      <c r="J60">
        <v>17.069292800747998</v>
      </c>
      <c r="K60">
        <v>8.0321659193637291</v>
      </c>
      <c r="L60">
        <v>1.2180604992606512E-3</v>
      </c>
      <c r="M60">
        <v>2.0007432545528038E-4</v>
      </c>
      <c r="N60" s="1">
        <v>6.3620597844113703E-6</v>
      </c>
      <c r="O60" s="1">
        <v>1.34043911958441E-6</v>
      </c>
      <c r="P60" s="1">
        <v>-4.8935834898685702E-6</v>
      </c>
      <c r="AE60">
        <v>100</v>
      </c>
      <c r="AJ60">
        <v>1</v>
      </c>
    </row>
    <row r="61" spans="1:36" x14ac:dyDescent="0.2">
      <c r="A61">
        <v>60</v>
      </c>
      <c r="B61">
        <v>754</v>
      </c>
      <c r="C61">
        <v>270</v>
      </c>
      <c r="D61">
        <v>0.30575913936620902</v>
      </c>
      <c r="E61">
        <v>4.43534183687329</v>
      </c>
      <c r="F61">
        <v>0.55049737779592001</v>
      </c>
      <c r="G61">
        <v>-96.036036876146909</v>
      </c>
      <c r="H61">
        <v>-56.503341400459</v>
      </c>
      <c r="I61">
        <v>38.490224067222996</v>
      </c>
      <c r="J61">
        <v>17.178762628398299</v>
      </c>
      <c r="K61">
        <v>8.0569717781971892</v>
      </c>
      <c r="L61">
        <v>1.2194325003927456E-3</v>
      </c>
      <c r="M61">
        <v>1.9934167156227371E-4</v>
      </c>
      <c r="N61" s="1">
        <v>6.4990611201211E-6</v>
      </c>
      <c r="O61" s="1">
        <v>1.33849717444815E-6</v>
      </c>
      <c r="P61" s="1">
        <v>-4.9162781559703697E-6</v>
      </c>
      <c r="AE61">
        <v>100</v>
      </c>
      <c r="AJ61">
        <v>1</v>
      </c>
    </row>
    <row r="62" spans="1:36" x14ac:dyDescent="0.2">
      <c r="A62">
        <v>61</v>
      </c>
      <c r="B62">
        <v>752</v>
      </c>
      <c r="C62">
        <v>270</v>
      </c>
      <c r="D62">
        <v>0.30426815587962902</v>
      </c>
      <c r="E62">
        <v>4.4594848761278003</v>
      </c>
      <c r="F62">
        <v>0.551842351863845</v>
      </c>
      <c r="G62">
        <v>-96.481427117473146</v>
      </c>
      <c r="H62">
        <v>-56.845467415224377</v>
      </c>
      <c r="I62">
        <v>38.666060277362902</v>
      </c>
      <c r="J62">
        <v>17.2872737322494</v>
      </c>
      <c r="K62">
        <v>8.08108486249</v>
      </c>
      <c r="L62">
        <v>1.220781908984002E-3</v>
      </c>
      <c r="M62">
        <v>1.9860591359772381E-4</v>
      </c>
      <c r="N62" s="1">
        <v>6.6370131456237499E-6</v>
      </c>
      <c r="O62" s="1">
        <v>1.3363594047654299E-6</v>
      </c>
      <c r="P62" s="1">
        <v>-4.9383847187718197E-6</v>
      </c>
      <c r="AE62">
        <v>100</v>
      </c>
      <c r="AJ62">
        <v>1</v>
      </c>
    </row>
    <row r="63" spans="1:36" x14ac:dyDescent="0.2">
      <c r="A63">
        <v>62</v>
      </c>
      <c r="B63">
        <v>750</v>
      </c>
      <c r="C63">
        <v>270</v>
      </c>
      <c r="D63">
        <v>0.302771343400284</v>
      </c>
      <c r="E63">
        <v>4.4833550783390201</v>
      </c>
      <c r="F63">
        <v>0.55319209229598998</v>
      </c>
      <c r="G63">
        <v>-96.920149351782769</v>
      </c>
      <c r="H63">
        <v>-57.184517750617765</v>
      </c>
      <c r="I63">
        <v>38.839072718809902</v>
      </c>
      <c r="J63">
        <v>17.394837761442599</v>
      </c>
      <c r="K63">
        <v>8.1045176544934403</v>
      </c>
      <c r="L63">
        <v>1.2221084258471327E-3</v>
      </c>
      <c r="M63">
        <v>1.9786708375920005E-4</v>
      </c>
      <c r="N63" s="1">
        <v>6.77588855799351E-6</v>
      </c>
      <c r="O63" s="1">
        <v>1.33402942368239E-6</v>
      </c>
      <c r="P63" s="1">
        <v>-4.9599035329691898E-6</v>
      </c>
      <c r="AE63">
        <v>100</v>
      </c>
      <c r="AJ63">
        <v>1</v>
      </c>
    </row>
    <row r="64" spans="1:36" x14ac:dyDescent="0.2">
      <c r="A64">
        <v>63</v>
      </c>
      <c r="B64">
        <v>748</v>
      </c>
      <c r="C64">
        <v>270</v>
      </c>
      <c r="D64">
        <v>0.301268667678598</v>
      </c>
      <c r="E64">
        <v>4.5069567542995896</v>
      </c>
      <c r="F64">
        <v>0.55454659242874105</v>
      </c>
      <c r="G64">
        <v>-97.35231215728183</v>
      </c>
      <c r="H64">
        <v>-57.520541451638564</v>
      </c>
      <c r="I64">
        <v>39.009303102440299</v>
      </c>
      <c r="J64">
        <v>17.501466032276099</v>
      </c>
      <c r="K64">
        <v>8.1272823885916008</v>
      </c>
      <c r="L64">
        <v>1.2234117535749678E-3</v>
      </c>
      <c r="M64">
        <v>1.9712521513907515E-4</v>
      </c>
      <c r="N64" s="1">
        <v>6.9156595947614702E-6</v>
      </c>
      <c r="O64" s="1">
        <v>1.3315108098608701E-6</v>
      </c>
      <c r="P64" s="1">
        <v>-4.9808349500220404E-6</v>
      </c>
      <c r="AE64">
        <v>100</v>
      </c>
      <c r="AJ64">
        <v>1</v>
      </c>
    </row>
    <row r="65" spans="1:36" x14ac:dyDescent="0.2">
      <c r="A65">
        <v>64</v>
      </c>
      <c r="B65">
        <v>746</v>
      </c>
      <c r="C65">
        <v>270</v>
      </c>
      <c r="D65">
        <v>0.29976009419614502</v>
      </c>
      <c r="E65">
        <v>4.5302941231165796</v>
      </c>
      <c r="F65">
        <v>0.555905845103005</v>
      </c>
      <c r="G65">
        <v>-97.778021814720717</v>
      </c>
      <c r="H65">
        <v>-57.853586509491869</v>
      </c>
      <c r="I65">
        <v>39.176792246203199</v>
      </c>
      <c r="J65">
        <v>17.607169537477599</v>
      </c>
      <c r="K65">
        <v>8.1493910578996704</v>
      </c>
      <c r="L65">
        <v>1.224691596652274E-3</v>
      </c>
      <c r="M65">
        <v>1.9638034172122007E-4</v>
      </c>
      <c r="N65" s="1">
        <v>7.0562980432715997E-6</v>
      </c>
      <c r="O65" s="1">
        <v>1.3288071087934101E-6</v>
      </c>
      <c r="P65" s="1">
        <v>-5.0011793235951797E-6</v>
      </c>
      <c r="AE65">
        <v>100</v>
      </c>
      <c r="AJ65">
        <v>1</v>
      </c>
    </row>
    <row r="66" spans="1:36" x14ac:dyDescent="0.2">
      <c r="A66">
        <v>65</v>
      </c>
      <c r="B66">
        <v>744</v>
      </c>
      <c r="C66">
        <v>270</v>
      </c>
      <c r="D66">
        <v>0.298245588163005</v>
      </c>
      <c r="E66">
        <v>4.5533713145275696</v>
      </c>
      <c r="F66">
        <v>0.55726984266055302</v>
      </c>
      <c r="G66">
        <v>-98.19738236581928</v>
      </c>
      <c r="H66">
        <v>-58.183699887865032</v>
      </c>
      <c r="I66">
        <v>39.341580097949603</v>
      </c>
      <c r="J66">
        <v>17.711958954677499</v>
      </c>
      <c r="K66">
        <v>8.1708554203984392</v>
      </c>
      <c r="L66">
        <v>1.2259476615671078E-3</v>
      </c>
      <c r="M66">
        <v>1.9563249837714175E-4</v>
      </c>
      <c r="N66" s="1">
        <v>7.1977752503925597E-6</v>
      </c>
      <c r="O66" s="1">
        <v>1.3259218340072501E-6</v>
      </c>
      <c r="P66" s="1">
        <v>-5.0209370147356696E-6</v>
      </c>
      <c r="AE66">
        <v>100</v>
      </c>
      <c r="AJ66">
        <v>1</v>
      </c>
    </row>
    <row r="67" spans="1:36" x14ac:dyDescent="0.2">
      <c r="A67">
        <v>66</v>
      </c>
      <c r="B67">
        <v>742</v>
      </c>
      <c r="C67">
        <v>270</v>
      </c>
      <c r="D67">
        <v>0.29672511451509398</v>
      </c>
      <c r="E67">
        <v>4.5761923712605999</v>
      </c>
      <c r="F67">
        <v>0.55863857694044605</v>
      </c>
      <c r="G67">
        <v>-98.610495672379017</v>
      </c>
      <c r="H67">
        <v>-58.510927549864668</v>
      </c>
      <c r="I67">
        <v>39.503705758557402</v>
      </c>
      <c r="J67">
        <v>17.815844655108801</v>
      </c>
      <c r="K67">
        <v>8.1916870050820805</v>
      </c>
      <c r="L67">
        <v>1.22717965692209E-3</v>
      </c>
      <c r="M67">
        <v>1.9488172086156509E-4</v>
      </c>
      <c r="N67" s="1">
        <v>7.3400621329081003E-6</v>
      </c>
      <c r="O67" s="1">
        <v>1.3228584682358E-6</v>
      </c>
      <c r="P67" s="1">
        <v>-5.0401083970662101E-6</v>
      </c>
      <c r="AE67">
        <v>100</v>
      </c>
      <c r="AJ67">
        <v>1</v>
      </c>
    </row>
    <row r="68" spans="1:36" x14ac:dyDescent="0.2">
      <c r="A68">
        <v>67</v>
      </c>
      <c r="B68">
        <v>740</v>
      </c>
      <c r="C68">
        <v>270</v>
      </c>
      <c r="D68">
        <v>0.295198637911468</v>
      </c>
      <c r="E68">
        <v>4.5987612513057403</v>
      </c>
      <c r="F68">
        <v>0.56001203927560295</v>
      </c>
      <c r="G68">
        <v>-99.017461473228764</v>
      </c>
      <c r="H68">
        <v>-58.835314483927291</v>
      </c>
      <c r="I68">
        <v>39.663207504205403</v>
      </c>
      <c r="J68">
        <v>17.9188367120123</v>
      </c>
      <c r="K68">
        <v>8.2118971178805698</v>
      </c>
      <c r="L68">
        <v>1.2283872935455922E-3</v>
      </c>
      <c r="M68">
        <v>1.9412804580752179E-4</v>
      </c>
      <c r="N68" s="1">
        <v>7.4831291884207399E-6</v>
      </c>
      <c r="O68" s="1">
        <v>1.3196204645195299E-6</v>
      </c>
      <c r="P68" s="1">
        <v>-5.0586938618496401E-6</v>
      </c>
      <c r="AE68">
        <v>100</v>
      </c>
      <c r="AJ68">
        <v>1</v>
      </c>
    </row>
    <row r="69" spans="1:36" x14ac:dyDescent="0.2">
      <c r="A69">
        <v>68</v>
      </c>
      <c r="B69">
        <v>738</v>
      </c>
      <c r="C69">
        <v>270</v>
      </c>
      <c r="D69">
        <v>0.29366612273154402</v>
      </c>
      <c r="E69">
        <v>8.9792049951972999</v>
      </c>
      <c r="F69">
        <v>0.56139022048947096</v>
      </c>
      <c r="G69">
        <v>-193.17943809185059</v>
      </c>
      <c r="H69">
        <v>-114.94753695565532</v>
      </c>
      <c r="I69">
        <v>77.374315965662703</v>
      </c>
      <c r="J69">
        <v>35.016423532881497</v>
      </c>
      <c r="K69">
        <v>15.9945874856323</v>
      </c>
      <c r="L69">
        <v>1.2295702846020198E-3</v>
      </c>
      <c r="M69">
        <v>1.9337151072077474E-4</v>
      </c>
      <c r="N69" s="1">
        <v>1.48198882186276E-5</v>
      </c>
      <c r="O69" s="1">
        <v>2.5575246317718801E-6</v>
      </c>
      <c r="P69" s="1">
        <v>-9.8645027744063101E-6</v>
      </c>
      <c r="AE69">
        <v>100</v>
      </c>
      <c r="AJ69">
        <v>1</v>
      </c>
    </row>
    <row r="70" spans="1:36" x14ac:dyDescent="0.2">
      <c r="A70">
        <v>69</v>
      </c>
      <c r="B70">
        <v>736</v>
      </c>
      <c r="C70">
        <v>270</v>
      </c>
      <c r="D70">
        <v>0.29212753307238798</v>
      </c>
      <c r="E70">
        <v>9.6997594392729596</v>
      </c>
      <c r="F70">
        <v>0.562773110892823</v>
      </c>
      <c r="G70">
        <v>-208.51442049102815</v>
      </c>
      <c r="H70">
        <v>-124.24741870124998</v>
      </c>
      <c r="I70">
        <v>83.508450267812293</v>
      </c>
      <c r="J70">
        <v>37.858022071316299</v>
      </c>
      <c r="K70">
        <v>17.2356483483806</v>
      </c>
      <c r="L70">
        <v>1.2307283457023118E-3</v>
      </c>
      <c r="M70">
        <v>1.9261215397383576E-4</v>
      </c>
      <c r="N70" s="1">
        <v>1.6234968689135301E-5</v>
      </c>
      <c r="O70" s="1">
        <v>2.7421501412349098E-6</v>
      </c>
      <c r="P70" s="1">
        <v>-1.0641815374721401E-5</v>
      </c>
      <c r="AE70">
        <v>100</v>
      </c>
      <c r="AJ70">
        <v>1</v>
      </c>
    </row>
    <row r="71" spans="1:36" x14ac:dyDescent="0.2">
      <c r="A71">
        <v>70</v>
      </c>
      <c r="B71">
        <v>734</v>
      </c>
      <c r="C71">
        <v>270</v>
      </c>
      <c r="D71">
        <v>0.29058283274586499</v>
      </c>
      <c r="E71">
        <v>9.9856505709621501</v>
      </c>
      <c r="F71">
        <v>0.56416070028064202</v>
      </c>
      <c r="G71">
        <v>-214.4883213413037</v>
      </c>
      <c r="H71">
        <v>-127.98747267278142</v>
      </c>
      <c r="I71">
        <v>85.892432180874906</v>
      </c>
      <c r="J71">
        <v>39.006271636757901</v>
      </c>
      <c r="K71">
        <v>17.700010947226101</v>
      </c>
      <c r="L71">
        <v>1.2318611950129692E-3</v>
      </c>
      <c r="M71">
        <v>1.9185001479927257E-4</v>
      </c>
      <c r="N71" s="1">
        <v>1.6946113277508501E-5</v>
      </c>
      <c r="O71" s="1">
        <v>2.8017501710762001E-6</v>
      </c>
      <c r="P71" s="1">
        <v>-1.0940219893241901E-5</v>
      </c>
      <c r="AE71">
        <v>100</v>
      </c>
      <c r="AJ71">
        <v>1</v>
      </c>
    </row>
    <row r="72" spans="1:36" x14ac:dyDescent="0.2">
      <c r="A72">
        <v>71</v>
      </c>
      <c r="B72">
        <v>732</v>
      </c>
      <c r="C72">
        <v>270</v>
      </c>
      <c r="D72">
        <v>0.28903198527583002</v>
      </c>
      <c r="E72">
        <v>10.1468167630709</v>
      </c>
      <c r="F72">
        <v>0.565552977929207</v>
      </c>
      <c r="G72">
        <v>-217.77563676708607</v>
      </c>
      <c r="H72">
        <v>-130.13246664498664</v>
      </c>
      <c r="I72">
        <v>87.199897282731101</v>
      </c>
      <c r="J72">
        <v>39.668614727725497</v>
      </c>
      <c r="K72">
        <v>17.941408071484101</v>
      </c>
      <c r="L72">
        <v>1.232968553365552E-3</v>
      </c>
      <c r="M72">
        <v>1.9108513328260565E-4</v>
      </c>
      <c r="N72" s="1">
        <v>1.7456114530917601E-5</v>
      </c>
      <c r="O72" s="1">
        <v>2.8254001693201498E-6</v>
      </c>
      <c r="P72" s="1">
        <v>-1.11007352270287E-5</v>
      </c>
      <c r="AE72">
        <v>100</v>
      </c>
      <c r="AJ72">
        <v>1</v>
      </c>
    </row>
    <row r="73" spans="1:36" x14ac:dyDescent="0.2">
      <c r="A73">
        <v>72</v>
      </c>
      <c r="B73">
        <v>730</v>
      </c>
      <c r="C73">
        <v>270</v>
      </c>
      <c r="D73">
        <v>0.28747495389523398</v>
      </c>
      <c r="E73">
        <v>10.252764398995399</v>
      </c>
      <c r="F73">
        <v>0.56694993259319904</v>
      </c>
      <c r="G73">
        <v>-219.87339258425055</v>
      </c>
      <c r="H73">
        <v>-131.57143891688253</v>
      </c>
      <c r="I73">
        <v>88.030524775705501</v>
      </c>
      <c r="J73">
        <v>40.115786826479201</v>
      </c>
      <c r="K73">
        <v>18.084073759564301</v>
      </c>
      <c r="L73">
        <v>1.234050144364382E-3</v>
      </c>
      <c r="M73">
        <v>1.9031755035455898E-4</v>
      </c>
      <c r="N73" s="1">
        <v>1.78774054637989E-5</v>
      </c>
      <c r="O73" s="1">
        <v>2.8331035587030501E-6</v>
      </c>
      <c r="P73" s="1">
        <v>-1.11998519025952E-5</v>
      </c>
      <c r="AE73">
        <v>100</v>
      </c>
      <c r="AJ73">
        <v>1</v>
      </c>
    </row>
    <row r="74" spans="1:36" x14ac:dyDescent="0.2">
      <c r="A74">
        <v>73</v>
      </c>
      <c r="B74">
        <v>728</v>
      </c>
      <c r="C74">
        <v>270</v>
      </c>
      <c r="D74">
        <v>0.28591170154322698</v>
      </c>
      <c r="E74">
        <v>10.3288598764033</v>
      </c>
      <c r="F74">
        <v>0.56835155250302305</v>
      </c>
      <c r="G74">
        <v>-221.32799420785685</v>
      </c>
      <c r="H74">
        <v>-132.62881533691478</v>
      </c>
      <c r="I74">
        <v>88.603196003424003</v>
      </c>
      <c r="J74">
        <v>40.446577693320002</v>
      </c>
      <c r="K74">
        <v>18.173364409607</v>
      </c>
      <c r="L74">
        <v>1.2351056944940831E-3</v>
      </c>
      <c r="M74">
        <v>1.8954730778279649E-4</v>
      </c>
      <c r="N74" s="1">
        <v>1.82509000540421E-5</v>
      </c>
      <c r="O74" s="1">
        <v>2.8321697807345599E-6</v>
      </c>
      <c r="P74" s="1">
        <v>-1.1265488517595E-5</v>
      </c>
      <c r="AE74">
        <v>100</v>
      </c>
      <c r="AJ74">
        <v>1</v>
      </c>
    </row>
    <row r="75" spans="1:36" x14ac:dyDescent="0.2">
      <c r="A75">
        <v>74</v>
      </c>
      <c r="B75">
        <v>760</v>
      </c>
      <c r="C75">
        <v>260</v>
      </c>
      <c r="D75">
        <v>0.320844504670183</v>
      </c>
      <c r="E75">
        <v>4.5375886599995798</v>
      </c>
      <c r="F75">
        <v>0.53523282891560098</v>
      </c>
      <c r="G75">
        <v>-98.570395960972377</v>
      </c>
      <c r="H75">
        <v>-57.677541718416066</v>
      </c>
      <c r="I75">
        <v>39.583265672387697</v>
      </c>
      <c r="J75">
        <v>17.595124595326901</v>
      </c>
      <c r="K75">
        <v>8.4777846478379804</v>
      </c>
      <c r="L75">
        <v>1.2526337723695739E-3</v>
      </c>
      <c r="M75">
        <v>2.150466120372842E-4</v>
      </c>
      <c r="N75" s="1">
        <v>6.5155136318411102E-6</v>
      </c>
      <c r="O75" s="1">
        <v>1.60385533807041E-6</v>
      </c>
      <c r="P75" s="1">
        <v>-5.5521130325021597E-6</v>
      </c>
      <c r="AE75">
        <v>100</v>
      </c>
      <c r="AJ75">
        <v>1</v>
      </c>
    </row>
    <row r="76" spans="1:36" x14ac:dyDescent="0.2">
      <c r="A76">
        <v>75</v>
      </c>
      <c r="B76">
        <v>758</v>
      </c>
      <c r="C76">
        <v>260</v>
      </c>
      <c r="D76">
        <v>0.31939145614120401</v>
      </c>
      <c r="E76">
        <v>4.5475691063642003</v>
      </c>
      <c r="F76">
        <v>0.53657626636747402</v>
      </c>
      <c r="G76">
        <v>-98.707895493911039</v>
      </c>
      <c r="H76">
        <v>-57.839687830913675</v>
      </c>
      <c r="I76">
        <v>39.636144170385201</v>
      </c>
      <c r="J76">
        <v>17.650271100129601</v>
      </c>
      <c r="K76">
        <v>8.4751588756439595</v>
      </c>
      <c r="L76">
        <v>1.2542232354384919E-3</v>
      </c>
      <c r="M76">
        <v>2.1427367334011417E-4</v>
      </c>
      <c r="N76" s="1">
        <v>6.6461695065524096E-6</v>
      </c>
      <c r="O76" s="1">
        <v>1.5964804770764101E-6</v>
      </c>
      <c r="P76" s="1">
        <v>-5.5610299845583998E-6</v>
      </c>
      <c r="AE76">
        <v>100</v>
      </c>
      <c r="AJ76">
        <v>1</v>
      </c>
    </row>
    <row r="77" spans="1:36" x14ac:dyDescent="0.2">
      <c r="A77">
        <v>76</v>
      </c>
      <c r="B77">
        <v>756</v>
      </c>
      <c r="C77">
        <v>260</v>
      </c>
      <c r="D77">
        <v>0.317932760044698</v>
      </c>
      <c r="E77">
        <v>4.5716807690285801</v>
      </c>
      <c r="F77">
        <v>0.53792477325695998</v>
      </c>
      <c r="G77">
        <v>-99.151596401489954</v>
      </c>
      <c r="H77">
        <v>-58.181863798452909</v>
      </c>
      <c r="I77">
        <v>39.811833842983397</v>
      </c>
      <c r="J77">
        <v>17.760340499563601</v>
      </c>
      <c r="K77">
        <v>8.4987362477257502</v>
      </c>
      <c r="L77">
        <v>1.2557891818809424E-3</v>
      </c>
      <c r="M77">
        <v>2.1349698473430826E-4</v>
      </c>
      <c r="N77" s="1">
        <v>6.7987446966740503E-6</v>
      </c>
      <c r="O77" s="1">
        <v>1.5939664937082801E-6</v>
      </c>
      <c r="P77" s="1">
        <v>-5.5869312751519398E-6</v>
      </c>
      <c r="AE77">
        <v>100</v>
      </c>
      <c r="AJ77">
        <v>1</v>
      </c>
    </row>
    <row r="78" spans="1:36" x14ac:dyDescent="0.2">
      <c r="A78">
        <v>77</v>
      </c>
      <c r="B78">
        <v>754</v>
      </c>
      <c r="C78">
        <v>260</v>
      </c>
      <c r="D78">
        <v>0.31646838339093702</v>
      </c>
      <c r="E78">
        <v>4.59552547704331</v>
      </c>
      <c r="F78">
        <v>0.53927834529111296</v>
      </c>
      <c r="G78">
        <v>-99.588741324206069</v>
      </c>
      <c r="H78">
        <v>-58.521047875410794</v>
      </c>
      <c r="I78">
        <v>39.984737663117102</v>
      </c>
      <c r="J78">
        <v>17.869496152866098</v>
      </c>
      <c r="K78">
        <v>8.5216206383413198</v>
      </c>
      <c r="L78">
        <v>1.2573312589863942E-3</v>
      </c>
      <c r="M78">
        <v>2.1271657778253823E-4</v>
      </c>
      <c r="N78" s="1">
        <v>6.9525283601226397E-6</v>
      </c>
      <c r="O78" s="1">
        <v>1.59122663188084E-6</v>
      </c>
      <c r="P78" s="1">
        <v>-5.6121933308002602E-6</v>
      </c>
      <c r="AE78">
        <v>100</v>
      </c>
      <c r="AJ78">
        <v>1</v>
      </c>
    </row>
    <row r="79" spans="1:36" x14ac:dyDescent="0.2">
      <c r="A79">
        <v>78</v>
      </c>
      <c r="B79">
        <v>752</v>
      </c>
      <c r="C79">
        <v>260</v>
      </c>
      <c r="D79">
        <v>0.31499829293274201</v>
      </c>
      <c r="E79">
        <v>4.6191075714045704</v>
      </c>
      <c r="F79">
        <v>0.54063697764063301</v>
      </c>
      <c r="G79">
        <v>-100.01943948239754</v>
      </c>
      <c r="H79">
        <v>-58.857289563283317</v>
      </c>
      <c r="I79">
        <v>40.154897581926797</v>
      </c>
      <c r="J79">
        <v>17.9777491696113</v>
      </c>
      <c r="K79">
        <v>8.54382471499191</v>
      </c>
      <c r="L79">
        <v>1.2588491156507505E-3</v>
      </c>
      <c r="M79">
        <v>2.1193248516678911E-4</v>
      </c>
      <c r="N79" s="1">
        <v>7.1074896728942897E-6</v>
      </c>
      <c r="O79" s="1">
        <v>1.5882648441200001E-6</v>
      </c>
      <c r="P79" s="1">
        <v>-5.63681534118989E-6</v>
      </c>
      <c r="AE79">
        <v>100</v>
      </c>
      <c r="AJ79">
        <v>1</v>
      </c>
    </row>
    <row r="80" spans="1:36" x14ac:dyDescent="0.2">
      <c r="A80">
        <v>79</v>
      </c>
      <c r="B80">
        <v>750</v>
      </c>
      <c r="C80">
        <v>260</v>
      </c>
      <c r="D80">
        <v>0.313522455162978</v>
      </c>
      <c r="E80">
        <v>4.6424313034521703</v>
      </c>
      <c r="F80">
        <v>0.54200066493503596</v>
      </c>
      <c r="G80">
        <v>-100.44379783527272</v>
      </c>
      <c r="H80">
        <v>-59.190637337791692</v>
      </c>
      <c r="I80">
        <v>40.322354671114503</v>
      </c>
      <c r="J80">
        <v>18.085110339164402</v>
      </c>
      <c r="K80">
        <v>8.5653609004494609</v>
      </c>
      <c r="L80">
        <v>1.26034240251949E-3</v>
      </c>
      <c r="M80">
        <v>2.1114474068828663E-4</v>
      </c>
      <c r="N80" s="1">
        <v>7.2635971708421404E-6</v>
      </c>
      <c r="O80" s="1">
        <v>1.5850850511033901E-6</v>
      </c>
      <c r="P80" s="1">
        <v>-5.6607964950091401E-6</v>
      </c>
      <c r="AE80">
        <v>100</v>
      </c>
      <c r="AJ80">
        <v>1</v>
      </c>
    </row>
    <row r="81" spans="1:36" x14ac:dyDescent="0.2">
      <c r="A81">
        <v>80</v>
      </c>
      <c r="B81">
        <v>748</v>
      </c>
      <c r="C81">
        <v>260</v>
      </c>
      <c r="D81">
        <v>0.31204083631200402</v>
      </c>
      <c r="E81">
        <v>4.6655008372384703</v>
      </c>
      <c r="F81">
        <v>0.54336940125788002</v>
      </c>
      <c r="G81">
        <v>-100.86192114046183</v>
      </c>
      <c r="H81">
        <v>-59.521138675857863</v>
      </c>
      <c r="I81">
        <v>40.4871491462347</v>
      </c>
      <c r="J81">
        <v>18.191590139496402</v>
      </c>
      <c r="K81">
        <v>8.5862413791391301</v>
      </c>
      <c r="L81">
        <v>1.2618107721300391E-3</v>
      </c>
      <c r="M81">
        <v>2.1035337926653702E-4</v>
      </c>
      <c r="N81" s="1">
        <v>7.42081875988961E-6</v>
      </c>
      <c r="O81" s="1">
        <v>1.58169114316266E-6</v>
      </c>
      <c r="P81" s="1">
        <v>-5.6841359866277897E-6</v>
      </c>
      <c r="AE81">
        <v>100</v>
      </c>
      <c r="AJ81">
        <v>1</v>
      </c>
    </row>
    <row r="82" spans="1:36" x14ac:dyDescent="0.2">
      <c r="A82">
        <v>81</v>
      </c>
      <c r="B82">
        <v>746</v>
      </c>
      <c r="C82">
        <v>260</v>
      </c>
      <c r="D82">
        <v>0.31055340234509199</v>
      </c>
      <c r="E82">
        <v>4.6883202518670704</v>
      </c>
      <c r="F82">
        <v>0.54474318014216805</v>
      </c>
      <c r="G82">
        <v>-101.27391201265115</v>
      </c>
      <c r="H82">
        <v>-59.848840082298153</v>
      </c>
      <c r="I82">
        <v>40.649320389635399</v>
      </c>
      <c r="J82">
        <v>18.297198745951501</v>
      </c>
      <c r="K82">
        <v>8.6064781033945206</v>
      </c>
      <c r="L82">
        <v>1.263253879055466E-3</v>
      </c>
      <c r="M82">
        <v>2.0955843693781814E-4</v>
      </c>
      <c r="N82" s="1">
        <v>7.5791217271271597E-6</v>
      </c>
      <c r="O82" s="1">
        <v>1.57808698172182E-6</v>
      </c>
      <c r="P82" s="1">
        <v>-5.7068330227395503E-6</v>
      </c>
      <c r="AE82">
        <v>100</v>
      </c>
      <c r="AJ82">
        <v>1</v>
      </c>
    </row>
    <row r="83" spans="1:36" x14ac:dyDescent="0.2">
      <c r="A83">
        <v>82</v>
      </c>
      <c r="B83">
        <v>744</v>
      </c>
      <c r="C83">
        <v>260</v>
      </c>
      <c r="D83">
        <v>0.30906011895984098</v>
      </c>
      <c r="E83">
        <v>4.7108935438553203</v>
      </c>
      <c r="F83">
        <v>0.54612199456586497</v>
      </c>
      <c r="G83">
        <v>-101.67987098247083</v>
      </c>
      <c r="H83">
        <v>-60.173787116923961</v>
      </c>
      <c r="I83">
        <v>40.808906973518802</v>
      </c>
      <c r="J83">
        <v>18.401946040157299</v>
      </c>
      <c r="K83">
        <v>8.6260827996869107</v>
      </c>
      <c r="L83">
        <v>1.2646713800474486E-3</v>
      </c>
      <c r="M83">
        <v>2.0875995085283891E-4</v>
      </c>
      <c r="N83" s="1">
        <v>7.7384727528506497E-6</v>
      </c>
      <c r="O83" s="1">
        <v>1.57427640068545E-6</v>
      </c>
      <c r="P83" s="1">
        <v>-5.7288868290102998E-6</v>
      </c>
      <c r="AE83">
        <v>100</v>
      </c>
      <c r="AJ83">
        <v>1</v>
      </c>
    </row>
    <row r="84" spans="1:36" x14ac:dyDescent="0.2">
      <c r="A84">
        <v>83</v>
      </c>
      <c r="B84">
        <v>742</v>
      </c>
      <c r="C84">
        <v>260</v>
      </c>
      <c r="D84">
        <v>0.30756095158350699</v>
      </c>
      <c r="E84">
        <v>4.8812701025759901</v>
      </c>
      <c r="F84">
        <v>0.54750583694753097</v>
      </c>
      <c r="G84">
        <v>-105.27274450981081</v>
      </c>
      <c r="H84">
        <v>-62.388214895680555</v>
      </c>
      <c r="I84">
        <v>42.247276734105498</v>
      </c>
      <c r="J84">
        <v>19.084666055122401</v>
      </c>
      <c r="K84">
        <v>8.9154667825829392</v>
      </c>
      <c r="L84">
        <v>1.2660629341795032E-3</v>
      </c>
      <c r="M84">
        <v>2.0795795927368933E-4</v>
      </c>
      <c r="N84" s="1">
        <v>8.1458972305761998E-6</v>
      </c>
      <c r="O84" s="1">
        <v>1.6193777919381899E-6</v>
      </c>
      <c r="P84" s="1">
        <v>-5.9301540384085502E-6</v>
      </c>
      <c r="AE84">
        <v>100</v>
      </c>
      <c r="AJ84">
        <v>1</v>
      </c>
    </row>
    <row r="85" spans="1:36" x14ac:dyDescent="0.2">
      <c r="A85">
        <v>84</v>
      </c>
      <c r="B85">
        <v>740</v>
      </c>
      <c r="C85">
        <v>260</v>
      </c>
      <c r="D85">
        <v>0.30605586537038199</v>
      </c>
      <c r="E85">
        <v>8.6760492841669095</v>
      </c>
      <c r="F85">
        <v>0.54889469914212896</v>
      </c>
      <c r="G85">
        <v>-186.96338208858214</v>
      </c>
      <c r="H85">
        <v>-110.95770638023144</v>
      </c>
      <c r="I85">
        <v>75.024074102079197</v>
      </c>
      <c r="J85">
        <v>33.951822066008603</v>
      </c>
      <c r="K85">
        <v>15.8064002034028</v>
      </c>
      <c r="L85">
        <v>1.26742820299016E-3</v>
      </c>
      <c r="M85">
        <v>2.0715250157008237E-4</v>
      </c>
      <c r="N85" s="1">
        <v>1.47057572889072E-5</v>
      </c>
      <c r="O85" s="1">
        <v>2.8572514255564799E-6</v>
      </c>
      <c r="P85" s="1">
        <v>-1.05292692053294E-5</v>
      </c>
      <c r="AE85">
        <v>100</v>
      </c>
      <c r="AJ85">
        <v>1</v>
      </c>
    </row>
    <row r="86" spans="1:36" x14ac:dyDescent="0.2">
      <c r="A86">
        <v>85</v>
      </c>
      <c r="B86">
        <v>738</v>
      </c>
      <c r="C86">
        <v>260</v>
      </c>
      <c r="D86">
        <v>0.30454482519902998</v>
      </c>
      <c r="E86">
        <v>9.6208626053223494</v>
      </c>
      <c r="F86">
        <v>0.55028857243694096</v>
      </c>
      <c r="G86">
        <v>-207.15719854102042</v>
      </c>
      <c r="H86">
        <v>-123.11622449744243</v>
      </c>
      <c r="I86">
        <v>83.119695091677201</v>
      </c>
      <c r="J86">
        <v>37.6827405096695</v>
      </c>
      <c r="K86">
        <v>17.483304373769801</v>
      </c>
      <c r="L86">
        <v>1.2687668506256554E-3</v>
      </c>
      <c r="M86">
        <v>2.0634361821482222E-4</v>
      </c>
      <c r="N86" s="1">
        <v>1.6559424202283901E-5</v>
      </c>
      <c r="O86" s="1">
        <v>3.1450306547976598E-6</v>
      </c>
      <c r="P86" s="1">
        <v>-1.16629925928972E-5</v>
      </c>
      <c r="AE86">
        <v>100</v>
      </c>
      <c r="AJ86">
        <v>1</v>
      </c>
    </row>
    <row r="87" spans="1:36" x14ac:dyDescent="0.2">
      <c r="A87">
        <v>86</v>
      </c>
      <c r="B87">
        <v>736</v>
      </c>
      <c r="C87">
        <v>260</v>
      </c>
      <c r="D87">
        <v>0.30302779566962401</v>
      </c>
      <c r="E87">
        <v>9.9542993272188198</v>
      </c>
      <c r="F87">
        <v>0.55168744754765597</v>
      </c>
      <c r="G87">
        <v>-214.16486157107317</v>
      </c>
      <c r="H87">
        <v>-127.46115860915653</v>
      </c>
      <c r="I87">
        <v>85.923202123822705</v>
      </c>
      <c r="J87">
        <v>39.0233498882654</v>
      </c>
      <c r="K87">
        <v>18.0433674383337</v>
      </c>
      <c r="L87">
        <v>1.2700785439824051E-3</v>
      </c>
      <c r="M87">
        <v>2.0553135077854793E-4</v>
      </c>
      <c r="N87" s="1">
        <v>1.7394646282596101E-5</v>
      </c>
      <c r="O87" s="1">
        <v>3.22982622036818E-6</v>
      </c>
      <c r="P87" s="1">
        <v>-1.2053215416855199E-5</v>
      </c>
      <c r="AE87">
        <v>100</v>
      </c>
      <c r="AJ87">
        <v>1</v>
      </c>
    </row>
    <row r="88" spans="1:36" x14ac:dyDescent="0.2">
      <c r="A88">
        <v>87</v>
      </c>
      <c r="B88">
        <v>734</v>
      </c>
      <c r="C88">
        <v>260</v>
      </c>
      <c r="D88">
        <v>0.30150474110112602</v>
      </c>
      <c r="E88">
        <v>10.1321071695612</v>
      </c>
      <c r="F88">
        <v>0.55309131461457395</v>
      </c>
      <c r="G88">
        <v>-217.8155263661788</v>
      </c>
      <c r="H88">
        <v>-129.81739883854581</v>
      </c>
      <c r="I88">
        <v>87.379164713834101</v>
      </c>
      <c r="J88">
        <v>39.755476029223203</v>
      </c>
      <c r="K88">
        <v>18.3190494984031</v>
      </c>
      <c r="L88">
        <v>1.2713629528488131E-3</v>
      </c>
      <c r="M88">
        <v>2.0471574192372239E-4</v>
      </c>
      <c r="N88" s="1">
        <v>1.7971630682816099E-5</v>
      </c>
      <c r="O88" s="1">
        <v>3.2628630603381601E-6</v>
      </c>
      <c r="P88" s="1">
        <v>-1.22536222111868E-5</v>
      </c>
      <c r="AE88">
        <v>100</v>
      </c>
      <c r="AJ88">
        <v>1</v>
      </c>
    </row>
    <row r="89" spans="1:36" x14ac:dyDescent="0.2">
      <c r="A89">
        <v>88</v>
      </c>
      <c r="B89">
        <v>732</v>
      </c>
      <c r="C89">
        <v>260</v>
      </c>
      <c r="D89">
        <v>0.29997562552852802</v>
      </c>
      <c r="E89">
        <v>10.245701287306799</v>
      </c>
      <c r="F89">
        <v>0.55450016319901196</v>
      </c>
      <c r="G89">
        <v>-220.08088441651182</v>
      </c>
      <c r="H89">
        <v>-131.35325866354177</v>
      </c>
      <c r="I89">
        <v>88.278852880072407</v>
      </c>
      <c r="J89">
        <v>40.236491445036997</v>
      </c>
      <c r="K89">
        <v>18.4773638806479</v>
      </c>
      <c r="L89">
        <v>1.2726197500464869E-3</v>
      </c>
      <c r="M89">
        <v>2.0389683539786114E-4</v>
      </c>
      <c r="N89" s="1">
        <v>1.8442616885232899E-5</v>
      </c>
      <c r="O89" s="1">
        <v>3.2744944300596901E-6</v>
      </c>
      <c r="P89" s="1">
        <v>-1.2375277175743299E-5</v>
      </c>
      <c r="AE89">
        <v>100</v>
      </c>
      <c r="AJ89">
        <v>1</v>
      </c>
    </row>
    <row r="90" spans="1:36" x14ac:dyDescent="0.2">
      <c r="A90">
        <v>89</v>
      </c>
      <c r="B90">
        <v>730</v>
      </c>
      <c r="C90">
        <v>260</v>
      </c>
      <c r="D90">
        <v>0.29844041269999899</v>
      </c>
      <c r="E90">
        <v>10.3258774284953</v>
      </c>
      <c r="F90">
        <v>0.55591398227980604</v>
      </c>
      <c r="G90">
        <v>-221.62523456650487</v>
      </c>
      <c r="H90">
        <v>-132.4622813025245</v>
      </c>
      <c r="I90">
        <v>88.888862448413903</v>
      </c>
      <c r="J90">
        <v>40.586767439319502</v>
      </c>
      <c r="K90">
        <v>18.574595634649899</v>
      </c>
      <c r="L90">
        <v>1.2738486115706888E-3</v>
      </c>
      <c r="M90">
        <v>2.0307467602601853E-4</v>
      </c>
      <c r="N90" s="1">
        <v>1.8858731810900701E-5</v>
      </c>
      <c r="O90" s="1">
        <v>3.2749582521402299E-6</v>
      </c>
      <c r="P90" s="1">
        <v>-1.24555979263474E-5</v>
      </c>
      <c r="AE90">
        <v>100</v>
      </c>
      <c r="AJ90">
        <v>1</v>
      </c>
    </row>
    <row r="91" spans="1:36" x14ac:dyDescent="0.2">
      <c r="A91">
        <v>90</v>
      </c>
      <c r="B91">
        <v>728</v>
      </c>
      <c r="C91">
        <v>260</v>
      </c>
      <c r="D91">
        <v>0.29689906607401501</v>
      </c>
      <c r="E91">
        <v>10.3861732052105</v>
      </c>
      <c r="F91">
        <v>0.55733276024999701</v>
      </c>
      <c r="G91">
        <v>-222.74063388561456</v>
      </c>
      <c r="H91">
        <v>-133.31744977389769</v>
      </c>
      <c r="I91">
        <v>89.326402355100598</v>
      </c>
      <c r="J91">
        <v>40.859208337708402</v>
      </c>
      <c r="K91">
        <v>18.6354974011427</v>
      </c>
      <c r="L91">
        <v>1.2750492167298787E-3</v>
      </c>
      <c r="M91">
        <v>2.0224930970251989E-4</v>
      </c>
      <c r="N91" s="1">
        <v>1.9242363069975898E-5</v>
      </c>
      <c r="O91" s="1">
        <v>3.2687612978112598E-6</v>
      </c>
      <c r="P91" s="1">
        <v>-1.25110332725208E-5</v>
      </c>
      <c r="AE91">
        <v>100</v>
      </c>
      <c r="AJ91">
        <v>1</v>
      </c>
    </row>
    <row r="92" spans="1:36" x14ac:dyDescent="0.2">
      <c r="A92">
        <v>91</v>
      </c>
      <c r="B92">
        <v>760</v>
      </c>
      <c r="C92">
        <v>250</v>
      </c>
      <c r="D92">
        <v>0.33149155495329902</v>
      </c>
      <c r="E92">
        <v>4.6975171451941504</v>
      </c>
      <c r="F92">
        <v>0.523456657347251</v>
      </c>
      <c r="G92">
        <v>-102.1332732768589</v>
      </c>
      <c r="H92">
        <v>-59.68248757039364</v>
      </c>
      <c r="I92">
        <v>41.091297405252199</v>
      </c>
      <c r="J92">
        <v>18.285705932975699</v>
      </c>
      <c r="K92">
        <v>8.9740326715873806</v>
      </c>
      <c r="L92">
        <v>1.2923987114362438E-3</v>
      </c>
      <c r="M92">
        <v>2.3019915088390771E-4</v>
      </c>
      <c r="N92" s="1">
        <v>6.8800255249594402E-6</v>
      </c>
      <c r="O92" s="1">
        <v>1.9163785769904701E-6</v>
      </c>
      <c r="P92" s="1">
        <v>-6.3489625164718199E-6</v>
      </c>
      <c r="AE92">
        <v>100</v>
      </c>
      <c r="AJ92">
        <v>1</v>
      </c>
    </row>
    <row r="93" spans="1:36" x14ac:dyDescent="0.2">
      <c r="A93">
        <v>92</v>
      </c>
      <c r="B93">
        <v>758</v>
      </c>
      <c r="C93">
        <v>250</v>
      </c>
      <c r="D93">
        <v>0.330059157251614</v>
      </c>
      <c r="E93">
        <v>4.7077345712556502</v>
      </c>
      <c r="F93">
        <v>0.52481238107299999</v>
      </c>
      <c r="G93">
        <v>-102.27309440198334</v>
      </c>
      <c r="H93">
        <v>-59.848970296755191</v>
      </c>
      <c r="I93">
        <v>41.145146836093502</v>
      </c>
      <c r="J93">
        <v>18.3436840473282</v>
      </c>
      <c r="K93">
        <v>8.9703191865071705</v>
      </c>
      <c r="L93">
        <v>1.2941935850456407E-3</v>
      </c>
      <c r="M93">
        <v>2.2937696661968072E-4</v>
      </c>
      <c r="N93" s="1">
        <v>7.0303376424271496E-6</v>
      </c>
      <c r="O93" s="1">
        <v>1.90767145777811E-6</v>
      </c>
      <c r="P93" s="1">
        <v>-6.3605616469918304E-6</v>
      </c>
      <c r="AE93">
        <v>100</v>
      </c>
      <c r="AJ93">
        <v>1</v>
      </c>
    </row>
    <row r="94" spans="1:36" x14ac:dyDescent="0.2">
      <c r="A94">
        <v>93</v>
      </c>
      <c r="B94">
        <v>756</v>
      </c>
      <c r="C94">
        <v>250</v>
      </c>
      <c r="D94">
        <v>0.32862119224602798</v>
      </c>
      <c r="E94">
        <v>4.7312123075989403</v>
      </c>
      <c r="F94">
        <v>0.52617349171939898</v>
      </c>
      <c r="G94">
        <v>-102.70047117131038</v>
      </c>
      <c r="H94">
        <v>-60.184329053915945</v>
      </c>
      <c r="I94">
        <v>41.3145310281364</v>
      </c>
      <c r="J94">
        <v>18.453412214872301</v>
      </c>
      <c r="K94">
        <v>8.9917344413124205</v>
      </c>
      <c r="L94">
        <v>1.2959633878440583E-3</v>
      </c>
      <c r="M94">
        <v>2.2855032405439389E-4</v>
      </c>
      <c r="N94" s="1">
        <v>7.2019896283361703E-6</v>
      </c>
      <c r="O94" s="1">
        <v>1.90421655684574E-6</v>
      </c>
      <c r="P94" s="1">
        <v>-6.3897377877943E-6</v>
      </c>
      <c r="AE94">
        <v>100</v>
      </c>
      <c r="AJ94">
        <v>1</v>
      </c>
    </row>
    <row r="95" spans="1:36" x14ac:dyDescent="0.2">
      <c r="A95">
        <v>94</v>
      </c>
      <c r="B95">
        <v>754</v>
      </c>
      <c r="C95">
        <v>250</v>
      </c>
      <c r="D95">
        <v>0.32717762741566497</v>
      </c>
      <c r="E95">
        <v>4.7544374385032997</v>
      </c>
      <c r="F95">
        <v>0.52753998630330401</v>
      </c>
      <c r="G95">
        <v>-103.12162070317899</v>
      </c>
      <c r="H95">
        <v>-60.516875251003654</v>
      </c>
      <c r="I95">
        <v>41.481250287916602</v>
      </c>
      <c r="J95">
        <v>18.562283498718301</v>
      </c>
      <c r="K95">
        <v>9.0124683662742893</v>
      </c>
      <c r="L95">
        <v>1.2977077046387243E-3</v>
      </c>
      <c r="M95">
        <v>2.2771925480444128E-4</v>
      </c>
      <c r="N95" s="1">
        <v>7.3751498526486798E-6</v>
      </c>
      <c r="O95" s="1">
        <v>1.9005037492979701E-6</v>
      </c>
      <c r="P95" s="1">
        <v>-6.4182192925091904E-6</v>
      </c>
      <c r="AE95">
        <v>100</v>
      </c>
      <c r="AJ95">
        <v>1</v>
      </c>
    </row>
    <row r="96" spans="1:36" x14ac:dyDescent="0.2">
      <c r="A96">
        <v>95</v>
      </c>
      <c r="B96">
        <v>752</v>
      </c>
      <c r="C96">
        <v>250</v>
      </c>
      <c r="D96">
        <v>0.32572842998585799</v>
      </c>
      <c r="E96">
        <v>4.7774141339942204</v>
      </c>
      <c r="F96">
        <v>0.52891186124509804</v>
      </c>
      <c r="G96">
        <v>-103.53664786892006</v>
      </c>
      <c r="H96">
        <v>-60.846656514543966</v>
      </c>
      <c r="I96">
        <v>41.645344860859701</v>
      </c>
      <c r="J96">
        <v>18.670308024943399</v>
      </c>
      <c r="K96">
        <v>9.0325335543578706</v>
      </c>
      <c r="L96">
        <v>1.2994261217443423E-3</v>
      </c>
      <c r="M96">
        <v>2.2688379187760325E-4</v>
      </c>
      <c r="N96" s="1">
        <v>7.5497831608132203E-6</v>
      </c>
      <c r="O96" s="1">
        <v>1.8965372886707299E-6</v>
      </c>
      <c r="P96" s="1">
        <v>-6.4460037363371104E-6</v>
      </c>
      <c r="AE96">
        <v>100</v>
      </c>
      <c r="AJ96">
        <v>1</v>
      </c>
    </row>
    <row r="97" spans="1:36" x14ac:dyDescent="0.2">
      <c r="A97">
        <v>96</v>
      </c>
      <c r="B97">
        <v>750</v>
      </c>
      <c r="C97">
        <v>250</v>
      </c>
      <c r="D97">
        <v>0.324273566925672</v>
      </c>
      <c r="E97">
        <v>4.8001464809789196</v>
      </c>
      <c r="F97">
        <v>0.53028911236263798</v>
      </c>
      <c r="G97">
        <v>-103.94565543097366</v>
      </c>
      <c r="H97">
        <v>-61.173719523499202</v>
      </c>
      <c r="I97">
        <v>41.806854171972397</v>
      </c>
      <c r="J97">
        <v>18.777495617266698</v>
      </c>
      <c r="K97">
        <v>9.0519423632750993</v>
      </c>
      <c r="L97">
        <v>1.3011182271658577E-3</v>
      </c>
      <c r="M97">
        <v>2.260439696767572E-4</v>
      </c>
      <c r="N97" s="1">
        <v>7.7258535140787103E-6</v>
      </c>
      <c r="O97" s="1">
        <v>1.8923214026631201E-6</v>
      </c>
      <c r="P97" s="1">
        <v>-6.4730886962314301E-6</v>
      </c>
      <c r="AE97">
        <v>100</v>
      </c>
      <c r="AJ97">
        <v>1</v>
      </c>
    </row>
    <row r="98" spans="1:36" x14ac:dyDescent="0.2">
      <c r="A98">
        <v>97</v>
      </c>
      <c r="B98">
        <v>748</v>
      </c>
      <c r="C98">
        <v>250</v>
      </c>
      <c r="D98">
        <v>0.32281300494540499</v>
      </c>
      <c r="E98">
        <v>4.8226384856392501</v>
      </c>
      <c r="F98">
        <v>0.53167173486526598</v>
      </c>
      <c r="G98">
        <v>-104.34874410243486</v>
      </c>
      <c r="H98">
        <v>-61.498110036767493</v>
      </c>
      <c r="I98">
        <v>41.965816849192301</v>
      </c>
      <c r="J98">
        <v>18.8838558062454</v>
      </c>
      <c r="K98">
        <v>9.0707069219344305</v>
      </c>
      <c r="L98">
        <v>1.3027836107818852E-3</v>
      </c>
      <c r="M98">
        <v>2.2519982400264784E-4</v>
      </c>
      <c r="N98" s="1">
        <v>7.9033240007341794E-6</v>
      </c>
      <c r="O98" s="1">
        <v>1.8878602949462399E-6</v>
      </c>
      <c r="P98" s="1">
        <v>-6.4994717595066002E-6</v>
      </c>
      <c r="AE98">
        <v>100</v>
      </c>
      <c r="AJ98">
        <v>1</v>
      </c>
    </row>
    <row r="99" spans="1:36" x14ac:dyDescent="0.2">
      <c r="A99">
        <v>98</v>
      </c>
      <c r="B99">
        <v>746</v>
      </c>
      <c r="C99">
        <v>250</v>
      </c>
      <c r="D99">
        <v>0.32134671049404001</v>
      </c>
      <c r="E99">
        <v>4.8448940755893801</v>
      </c>
      <c r="F99">
        <v>0.53305972334802598</v>
      </c>
      <c r="G99">
        <v>-104.74601260124716</v>
      </c>
      <c r="H99">
        <v>-61.819872917785496</v>
      </c>
      <c r="I99">
        <v>42.1222707446031</v>
      </c>
      <c r="J99">
        <v>18.989397837628399</v>
      </c>
      <c r="K99">
        <v>9.0888391363723997</v>
      </c>
      <c r="L99">
        <v>1.3044218645294641E-3</v>
      </c>
      <c r="M99">
        <v>2.2435139205577133E-4</v>
      </c>
      <c r="N99" s="1">
        <v>8.0821568482514905E-6</v>
      </c>
      <c r="O99" s="1">
        <v>1.8831581468102999E-6</v>
      </c>
      <c r="P99" s="1">
        <v>-6.5251505321474197E-6</v>
      </c>
      <c r="AE99">
        <v>100</v>
      </c>
      <c r="AJ99">
        <v>1</v>
      </c>
    </row>
    <row r="100" spans="1:36" x14ac:dyDescent="0.2">
      <c r="A100">
        <v>99</v>
      </c>
      <c r="B100">
        <v>744</v>
      </c>
      <c r="C100">
        <v>250</v>
      </c>
      <c r="D100">
        <v>0.31987464975667701</v>
      </c>
      <c r="E100">
        <v>5.0239279615635404</v>
      </c>
      <c r="F100">
        <v>0.53445307178602697</v>
      </c>
      <c r="G100">
        <v>-108.52938418443976</v>
      </c>
      <c r="H100">
        <v>-64.143710505643625</v>
      </c>
      <c r="I100">
        <v>43.640120610411699</v>
      </c>
      <c r="J100">
        <v>19.710123476063899</v>
      </c>
      <c r="K100">
        <v>9.4001292663070508</v>
      </c>
      <c r="L100">
        <v>1.3060325825887276E-3</v>
      </c>
      <c r="M100">
        <v>2.2349871243725614E-4</v>
      </c>
      <c r="N100" s="1">
        <v>8.5288626519904008E-6</v>
      </c>
      <c r="O100" s="1">
        <v>1.9388120551005701E-6</v>
      </c>
      <c r="P100" s="1">
        <v>-6.7614351402878601E-6</v>
      </c>
      <c r="AE100">
        <v>100</v>
      </c>
      <c r="AJ100">
        <v>1</v>
      </c>
    </row>
    <row r="101" spans="1:36" x14ac:dyDescent="0.2">
      <c r="A101">
        <v>100</v>
      </c>
      <c r="B101">
        <v>742</v>
      </c>
      <c r="C101">
        <v>250</v>
      </c>
      <c r="D101">
        <v>0.318396788651924</v>
      </c>
      <c r="E101">
        <v>8.2263727533129707</v>
      </c>
      <c r="F101">
        <v>0.53585177352894597</v>
      </c>
      <c r="G101">
        <v>-177.56733280112297</v>
      </c>
      <c r="H101">
        <v>-105.09595638574632</v>
      </c>
      <c r="I101">
        <v>71.394458012139296</v>
      </c>
      <c r="J101">
        <v>32.305123301173403</v>
      </c>
      <c r="K101">
        <v>15.351955820052099</v>
      </c>
      <c r="L101">
        <v>1.3076153615686318E-3</v>
      </c>
      <c r="M101">
        <v>2.2264182514884905E-4</v>
      </c>
      <c r="N101" s="1">
        <v>1.42085440439476E-5</v>
      </c>
      <c r="O101" s="1">
        <v>3.15182972034844E-6</v>
      </c>
      <c r="P101" s="1">
        <v>-1.1062904763178699E-5</v>
      </c>
      <c r="AE101">
        <v>100</v>
      </c>
      <c r="AJ101">
        <v>1</v>
      </c>
    </row>
    <row r="102" spans="1:36" x14ac:dyDescent="0.2">
      <c r="A102">
        <v>101</v>
      </c>
      <c r="B102">
        <v>740</v>
      </c>
      <c r="C102">
        <v>250</v>
      </c>
      <c r="D102">
        <v>0.31691309282929903</v>
      </c>
      <c r="E102">
        <v>9.5159850276334002</v>
      </c>
      <c r="F102">
        <v>0.53725582129572502</v>
      </c>
      <c r="G102">
        <v>-205.23868295554249</v>
      </c>
      <c r="H102">
        <v>-121.64616188903594</v>
      </c>
      <c r="I102">
        <v>82.512921776131606</v>
      </c>
      <c r="J102">
        <v>37.405187356737102</v>
      </c>
      <c r="K102">
        <v>17.712204596840301</v>
      </c>
      <c r="L102">
        <v>1.3091698006928352E-3</v>
      </c>
      <c r="M102">
        <v>2.2178077159190821E-4</v>
      </c>
      <c r="N102" s="1">
        <v>1.67177957254081E-5</v>
      </c>
      <c r="O102" s="1">
        <v>3.6194471172548902E-6</v>
      </c>
      <c r="P102" s="1">
        <v>-1.27866168971475E-5</v>
      </c>
      <c r="AE102">
        <v>100</v>
      </c>
      <c r="AJ102">
        <v>1</v>
      </c>
    </row>
    <row r="103" spans="1:36" x14ac:dyDescent="0.2">
      <c r="A103">
        <v>102</v>
      </c>
      <c r="B103">
        <v>738</v>
      </c>
      <c r="C103">
        <v>250</v>
      </c>
      <c r="D103">
        <v>0.31542352766652099</v>
      </c>
      <c r="E103">
        <v>9.9195721975784998</v>
      </c>
      <c r="F103">
        <v>0.538665207169432</v>
      </c>
      <c r="G103">
        <v>-213.77121494064463</v>
      </c>
      <c r="H103">
        <v>-126.88337803017077</v>
      </c>
      <c r="I103">
        <v>85.935334518930702</v>
      </c>
      <c r="J103">
        <v>39.0286948116796</v>
      </c>
      <c r="K103">
        <v>18.4150972915137</v>
      </c>
      <c r="L103">
        <v>1.3106955019852845E-3</v>
      </c>
      <c r="M103">
        <v>2.2091559456536219E-4</v>
      </c>
      <c r="N103" s="1">
        <v>1.7721261934977701E-5</v>
      </c>
      <c r="O103" s="1">
        <v>3.7453071590620399E-6</v>
      </c>
      <c r="P103" s="1">
        <v>-1.33171565806021E-5</v>
      </c>
      <c r="AE103">
        <v>100</v>
      </c>
      <c r="AJ103">
        <v>1</v>
      </c>
    </row>
    <row r="104" spans="1:36" x14ac:dyDescent="0.2">
      <c r="A104">
        <v>103</v>
      </c>
      <c r="B104">
        <v>736</v>
      </c>
      <c r="C104">
        <v>250</v>
      </c>
      <c r="D104">
        <v>0.31392805826685999</v>
      </c>
      <c r="E104">
        <v>10.1164678970159</v>
      </c>
      <c r="F104">
        <v>0.54007992259229898</v>
      </c>
      <c r="G104">
        <v>-217.83920191584298</v>
      </c>
      <c r="H104">
        <v>-129.48155767120352</v>
      </c>
      <c r="I104">
        <v>87.562239021743395</v>
      </c>
      <c r="J104">
        <v>39.841059174954701</v>
      </c>
      <c r="K104">
        <v>18.731427468102201</v>
      </c>
      <c r="L104">
        <v>1.3121920704563816E-3</v>
      </c>
      <c r="M104">
        <v>2.2004633826276613E-4</v>
      </c>
      <c r="N104" s="1">
        <v>1.8373890210190301E-5</v>
      </c>
      <c r="O104" s="1">
        <v>3.7914133005541999E-6</v>
      </c>
      <c r="P104" s="1">
        <v>-1.3568736820381401E-5</v>
      </c>
      <c r="AE104">
        <v>100</v>
      </c>
      <c r="AJ104">
        <v>1</v>
      </c>
    </row>
    <row r="105" spans="1:36" x14ac:dyDescent="0.2">
      <c r="A105">
        <v>104</v>
      </c>
      <c r="B105">
        <v>734</v>
      </c>
      <c r="C105">
        <v>250</v>
      </c>
      <c r="D105">
        <v>0.31242664945638698</v>
      </c>
      <c r="E105">
        <v>10.238396981451499</v>
      </c>
      <c r="F105">
        <v>0.54149995836091602</v>
      </c>
      <c r="G105">
        <v>-220.28756136080989</v>
      </c>
      <c r="H105">
        <v>-131.12281917190074</v>
      </c>
      <c r="I105">
        <v>88.537557690881698</v>
      </c>
      <c r="J105">
        <v>40.3592088072498</v>
      </c>
      <c r="K105">
        <v>18.907475103862399</v>
      </c>
      <c r="L105">
        <v>1.3136591142882262E-3</v>
      </c>
      <c r="M105">
        <v>2.1917304826826726E-4</v>
      </c>
      <c r="N105" s="1">
        <v>1.8900373463323301E-5</v>
      </c>
      <c r="O105" s="1">
        <v>3.80849549545625E-6</v>
      </c>
      <c r="P105" s="1">
        <v>-1.3718589354230801E-5</v>
      </c>
      <c r="AE105">
        <v>100</v>
      </c>
      <c r="AJ105">
        <v>1</v>
      </c>
    </row>
    <row r="106" spans="1:36" x14ac:dyDescent="0.2">
      <c r="A106">
        <v>105</v>
      </c>
      <c r="B106">
        <v>732</v>
      </c>
      <c r="C106">
        <v>250</v>
      </c>
      <c r="D106">
        <v>0.31091926578122597</v>
      </c>
      <c r="E106">
        <v>10.3228817527561</v>
      </c>
      <c r="F106">
        <v>0.54292530462169297</v>
      </c>
      <c r="G106">
        <v>-221.92686553450247</v>
      </c>
      <c r="H106">
        <v>-132.28623552711758</v>
      </c>
      <c r="I106">
        <v>89.187223194768194</v>
      </c>
      <c r="J106">
        <v>40.730347750924302</v>
      </c>
      <c r="K106">
        <v>19.013447457471301</v>
      </c>
      <c r="L106">
        <v>1.31509624502014E-3</v>
      </c>
      <c r="M106">
        <v>2.1829577155161616E-4</v>
      </c>
      <c r="N106" s="1">
        <v>1.9364347248627401E-5</v>
      </c>
      <c r="O106" s="1">
        <v>3.8110360646913699E-6</v>
      </c>
      <c r="P106" s="1">
        <v>-1.3817205122497901E-5</v>
      </c>
      <c r="AE106">
        <v>100</v>
      </c>
      <c r="AJ106">
        <v>1</v>
      </c>
    </row>
    <row r="107" spans="1:36" x14ac:dyDescent="0.2">
      <c r="A107">
        <v>106</v>
      </c>
      <c r="B107">
        <v>730</v>
      </c>
      <c r="C107">
        <v>250</v>
      </c>
      <c r="D107">
        <v>0.30940587150476501</v>
      </c>
      <c r="E107">
        <v>10.385646063120401</v>
      </c>
      <c r="F107">
        <v>0.544355950866383</v>
      </c>
      <c r="G107">
        <v>-223.09682907732099</v>
      </c>
      <c r="H107">
        <v>-133.17254525316784</v>
      </c>
      <c r="I107">
        <v>89.6478364437842</v>
      </c>
      <c r="J107">
        <v>41.0161499508839</v>
      </c>
      <c r="K107">
        <v>19.0787774921737</v>
      </c>
      <c r="L107">
        <v>1.3165030777328092E-3</v>
      </c>
      <c r="M107">
        <v>2.1741455646211776E-4</v>
      </c>
      <c r="N107" s="1">
        <v>1.9792365634342599E-5</v>
      </c>
      <c r="O107" s="1">
        <v>3.80511200345242E-6</v>
      </c>
      <c r="P107" s="1">
        <v>-1.3885741086338501E-5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240</v>
      </c>
      <c r="D108">
        <v>0.34213860523641398</v>
      </c>
      <c r="E108">
        <v>4.8563412436960398</v>
      </c>
      <c r="F108">
        <v>0.51111706220977304</v>
      </c>
      <c r="G108">
        <v>-105.68029851544419</v>
      </c>
      <c r="H108">
        <v>-61.666857255700435</v>
      </c>
      <c r="I108">
        <v>42.603901037039002</v>
      </c>
      <c r="J108">
        <v>18.977834754858101</v>
      </c>
      <c r="K108">
        <v>9.5014265865045608</v>
      </c>
      <c r="L108">
        <v>1.3346634856921684E-3</v>
      </c>
      <c r="M108">
        <v>2.4725440591611515E-4</v>
      </c>
      <c r="N108" s="1">
        <v>7.1747187401388201E-6</v>
      </c>
      <c r="O108" s="1">
        <v>2.3013552174753102E-6</v>
      </c>
      <c r="P108" s="1">
        <v>-7.2730587985487602E-6</v>
      </c>
      <c r="AE108">
        <v>100</v>
      </c>
      <c r="AJ108">
        <v>1</v>
      </c>
    </row>
    <row r="109" spans="1:36" x14ac:dyDescent="0.2">
      <c r="A109">
        <v>108</v>
      </c>
      <c r="B109">
        <v>758</v>
      </c>
      <c r="C109">
        <v>240</v>
      </c>
      <c r="D109">
        <v>0.34072685836202499</v>
      </c>
      <c r="E109">
        <v>4.8671443660315896</v>
      </c>
      <c r="F109">
        <v>0.51248427067487601</v>
      </c>
      <c r="G109">
        <v>-105.83002800729379</v>
      </c>
      <c r="H109">
        <v>-61.842097929920939</v>
      </c>
      <c r="I109">
        <v>42.6618002776084</v>
      </c>
      <c r="J109">
        <v>19.040262199245301</v>
      </c>
      <c r="K109">
        <v>9.4971585364409101</v>
      </c>
      <c r="L109">
        <v>1.3367027741649138E-3</v>
      </c>
      <c r="M109">
        <v>2.4638080121033753E-4</v>
      </c>
      <c r="N109" s="1">
        <v>7.34826898600039E-6</v>
      </c>
      <c r="O109" s="1">
        <v>2.2912625040587899E-6</v>
      </c>
      <c r="P109" s="1">
        <v>-7.2887985316825199E-6</v>
      </c>
      <c r="AE109">
        <v>100</v>
      </c>
      <c r="AJ109">
        <v>1</v>
      </c>
    </row>
    <row r="110" spans="1:36" x14ac:dyDescent="0.2">
      <c r="A110">
        <v>109</v>
      </c>
      <c r="B110">
        <v>756</v>
      </c>
      <c r="C110">
        <v>240</v>
      </c>
      <c r="D110">
        <v>0.33930962444735902</v>
      </c>
      <c r="E110">
        <v>4.8899450903205404</v>
      </c>
      <c r="F110">
        <v>0.513857218530266</v>
      </c>
      <c r="G110">
        <v>-106.24011535738525</v>
      </c>
      <c r="H110">
        <v>-62.170083871242426</v>
      </c>
      <c r="I110">
        <v>42.824495761551297</v>
      </c>
      <c r="J110">
        <v>19.149714312595801</v>
      </c>
      <c r="K110">
        <v>9.5161552936957001</v>
      </c>
      <c r="L110">
        <v>1.3387154848615221E-3</v>
      </c>
      <c r="M110">
        <v>2.4550188116323528E-4</v>
      </c>
      <c r="N110" s="1">
        <v>7.5418422354530004E-6</v>
      </c>
      <c r="O110" s="1">
        <v>2.2866687882959299E-6</v>
      </c>
      <c r="P110" s="1">
        <v>-7.3221212798934999E-6</v>
      </c>
      <c r="AE110">
        <v>100</v>
      </c>
      <c r="AJ110">
        <v>1</v>
      </c>
    </row>
    <row r="111" spans="1:36" x14ac:dyDescent="0.2">
      <c r="A111">
        <v>110</v>
      </c>
      <c r="B111">
        <v>754</v>
      </c>
      <c r="C111">
        <v>240</v>
      </c>
      <c r="D111">
        <v>0.33788687144039198</v>
      </c>
      <c r="E111">
        <v>4.9125071809935896</v>
      </c>
      <c r="F111">
        <v>0.51523590465179603</v>
      </c>
      <c r="G111">
        <v>-106.64429797977442</v>
      </c>
      <c r="H111">
        <v>-62.495431610603703</v>
      </c>
      <c r="I111">
        <v>42.984644509022203</v>
      </c>
      <c r="J111">
        <v>19.258367200840102</v>
      </c>
      <c r="K111">
        <v>9.5344814610960302</v>
      </c>
      <c r="L111">
        <v>1.3407011251952081E-3</v>
      </c>
      <c r="M111">
        <v>2.4461767559829571E-4</v>
      </c>
      <c r="N111" s="1">
        <v>7.7373164813041598E-6</v>
      </c>
      <c r="O111" s="1">
        <v>2.2817780996821201E-6</v>
      </c>
      <c r="P111" s="1">
        <v>-7.3546908548243097E-6</v>
      </c>
      <c r="AE111">
        <v>100</v>
      </c>
      <c r="AJ111">
        <v>1</v>
      </c>
    </row>
    <row r="112" spans="1:36" x14ac:dyDescent="0.2">
      <c r="A112">
        <v>111</v>
      </c>
      <c r="B112">
        <v>752</v>
      </c>
      <c r="C112">
        <v>240</v>
      </c>
      <c r="D112">
        <v>0.33645856703896998</v>
      </c>
      <c r="E112">
        <v>4.9348346289263096</v>
      </c>
      <c r="F112">
        <v>0.51662032725108598</v>
      </c>
      <c r="G112">
        <v>-107.04267623117853</v>
      </c>
      <c r="H112">
        <v>-62.818186791333012</v>
      </c>
      <c r="I112">
        <v>43.142284987810299</v>
      </c>
      <c r="J112">
        <v>19.3662299045249</v>
      </c>
      <c r="K112">
        <v>9.5521495547500894</v>
      </c>
      <c r="L112">
        <v>1.3426592037241709E-3</v>
      </c>
      <c r="M112">
        <v>2.4372821606076151E-4</v>
      </c>
      <c r="N112" s="1">
        <v>7.9346522101987399E-6</v>
      </c>
      <c r="O112" s="1">
        <v>2.2765949653298801E-6</v>
      </c>
      <c r="P112" s="1">
        <v>-7.3865026431162297E-6</v>
      </c>
      <c r="AE112">
        <v>100</v>
      </c>
      <c r="AJ112">
        <v>1</v>
      </c>
    </row>
    <row r="113" spans="1:36" x14ac:dyDescent="0.2">
      <c r="A113">
        <v>112</v>
      </c>
      <c r="B113">
        <v>750</v>
      </c>
      <c r="C113">
        <v>240</v>
      </c>
      <c r="D113">
        <v>0.335024678688366</v>
      </c>
      <c r="E113">
        <v>4.9569313482362798</v>
      </c>
      <c r="F113">
        <v>0.51801048386774795</v>
      </c>
      <c r="G113">
        <v>-107.43534850859602</v>
      </c>
      <c r="H113">
        <v>-63.138394184712034</v>
      </c>
      <c r="I113">
        <v>43.2974549033786</v>
      </c>
      <c r="J113">
        <v>19.473311176348201</v>
      </c>
      <c r="K113">
        <v>9.5691718654517004</v>
      </c>
      <c r="L113">
        <v>1.3445892303850036E-3</v>
      </c>
      <c r="M113">
        <v>2.4283353582802008E-4</v>
      </c>
      <c r="N113" s="1">
        <v>8.13380868403155E-6</v>
      </c>
      <c r="O113" s="1">
        <v>2.2711238950756198E-6</v>
      </c>
      <c r="P113" s="1">
        <v>-7.4175520262388398E-6</v>
      </c>
      <c r="AE113">
        <v>100</v>
      </c>
      <c r="AJ113">
        <v>1</v>
      </c>
    </row>
    <row r="114" spans="1:36" x14ac:dyDescent="0.2">
      <c r="A114">
        <v>113</v>
      </c>
      <c r="B114">
        <v>748</v>
      </c>
      <c r="C114">
        <v>240</v>
      </c>
      <c r="D114">
        <v>0.33358517357881101</v>
      </c>
      <c r="E114">
        <v>4.9788011783869504</v>
      </c>
      <c r="F114">
        <v>0.51940637136170698</v>
      </c>
      <c r="G114">
        <v>-107.82241130208092</v>
      </c>
      <c r="H114">
        <v>-63.456097713994325</v>
      </c>
      <c r="I114">
        <v>43.450191219560502</v>
      </c>
      <c r="J114">
        <v>19.579619489544299</v>
      </c>
      <c r="K114">
        <v>9.5855604646015795</v>
      </c>
      <c r="L114">
        <v>1.3464907167278107E-3</v>
      </c>
      <c r="M114">
        <v>2.419336699187921E-4</v>
      </c>
      <c r="N114" s="1">
        <v>8.3347439498276605E-6</v>
      </c>
      <c r="O114" s="1">
        <v>2.2653693836170999E-6</v>
      </c>
      <c r="P114" s="1">
        <v>-7.4478343911518196E-6</v>
      </c>
      <c r="AE114">
        <v>100</v>
      </c>
      <c r="AJ114">
        <v>1</v>
      </c>
    </row>
    <row r="115" spans="1:36" x14ac:dyDescent="0.2">
      <c r="A115">
        <v>114</v>
      </c>
      <c r="B115">
        <v>746</v>
      </c>
      <c r="C115">
        <v>240</v>
      </c>
      <c r="D115">
        <v>0.33214001864298798</v>
      </c>
      <c r="E115">
        <v>5.1704934494623096</v>
      </c>
      <c r="F115">
        <v>0.52080798590573996</v>
      </c>
      <c r="G115">
        <v>-111.88355027710932</v>
      </c>
      <c r="H115">
        <v>-65.939952921325883</v>
      </c>
      <c r="I115">
        <v>45.083212706313901</v>
      </c>
      <c r="J115">
        <v>20.354578009264401</v>
      </c>
      <c r="K115">
        <v>9.9278305813039296</v>
      </c>
      <c r="L115">
        <v>1.3483631761540098E-3</v>
      </c>
      <c r="M115">
        <v>2.410286551012612E-4</v>
      </c>
      <c r="N115" s="1">
        <v>8.8277387482550202E-6</v>
      </c>
      <c r="O115" s="1">
        <v>2.3361670397787102E-6</v>
      </c>
      <c r="P115" s="1">
        <v>-7.7316202368878904E-6</v>
      </c>
      <c r="AE115">
        <v>100</v>
      </c>
      <c r="AJ115">
        <v>1</v>
      </c>
    </row>
    <row r="116" spans="1:36" x14ac:dyDescent="0.2">
      <c r="A116">
        <v>115</v>
      </c>
      <c r="B116">
        <v>744</v>
      </c>
      <c r="C116">
        <v>240</v>
      </c>
      <c r="D116">
        <v>0.33068918055350899</v>
      </c>
      <c r="E116">
        <v>7.52220750025334</v>
      </c>
      <c r="F116">
        <v>0.52221532297820195</v>
      </c>
      <c r="G116">
        <v>-162.640827123489</v>
      </c>
      <c r="H116">
        <v>-95.990913508078648</v>
      </c>
      <c r="I116">
        <v>65.530372397835507</v>
      </c>
      <c r="J116">
        <v>29.643132041679401</v>
      </c>
      <c r="K116">
        <v>14.404417429488801</v>
      </c>
      <c r="L116">
        <v>1.3502061241548514E-3</v>
      </c>
      <c r="M116">
        <v>2.4011852989985871E-4</v>
      </c>
      <c r="N116" s="1">
        <v>1.30942045811935E-5</v>
      </c>
      <c r="O116" s="1">
        <v>3.3747839589408498E-6</v>
      </c>
      <c r="P116" s="1">
        <v>-1.12432681358112E-5</v>
      </c>
      <c r="AE116">
        <v>100</v>
      </c>
      <c r="AJ116">
        <v>1</v>
      </c>
    </row>
    <row r="117" spans="1:36" x14ac:dyDescent="0.2">
      <c r="A117">
        <v>116</v>
      </c>
      <c r="B117">
        <v>742</v>
      </c>
      <c r="C117">
        <v>240</v>
      </c>
      <c r="D117">
        <v>0.32923262572033701</v>
      </c>
      <c r="E117">
        <v>9.4137120602767208</v>
      </c>
      <c r="F117">
        <v>0.52362837735591405</v>
      </c>
      <c r="G117">
        <v>-203.37390278885317</v>
      </c>
      <c r="H117">
        <v>-120.20264147913041</v>
      </c>
      <c r="I117">
        <v>81.935328191727095</v>
      </c>
      <c r="J117">
        <v>37.135247115183702</v>
      </c>
      <c r="K117">
        <v>17.9778493056691</v>
      </c>
      <c r="L117">
        <v>1.3520190785521599E-3</v>
      </c>
      <c r="M117">
        <v>2.392033346009271E-4</v>
      </c>
      <c r="N117" s="1">
        <v>1.6702443839804601E-5</v>
      </c>
      <c r="O117" s="1">
        <v>4.1933511318536799E-6</v>
      </c>
      <c r="P117" s="1">
        <v>-1.40634550656433E-5</v>
      </c>
      <c r="AE117">
        <v>100</v>
      </c>
      <c r="AJ117">
        <v>1</v>
      </c>
    </row>
    <row r="118" spans="1:36" x14ac:dyDescent="0.2">
      <c r="A118">
        <v>117</v>
      </c>
      <c r="B118">
        <v>740</v>
      </c>
      <c r="C118">
        <v>240</v>
      </c>
      <c r="D118">
        <v>0.32777032028821201</v>
      </c>
      <c r="E118">
        <v>9.8826074617527002</v>
      </c>
      <c r="F118">
        <v>0.52504714310728295</v>
      </c>
      <c r="G118">
        <v>-213.33196625849533</v>
      </c>
      <c r="H118">
        <v>-126.26792451293585</v>
      </c>
      <c r="I118">
        <v>85.9395915515083</v>
      </c>
      <c r="J118">
        <v>39.024871448363299</v>
      </c>
      <c r="K118">
        <v>18.822324036021602</v>
      </c>
      <c r="L118">
        <v>1.3538015597400596E-3</v>
      </c>
      <c r="M118">
        <v>2.3828311125710034E-4</v>
      </c>
      <c r="N118" s="1">
        <v>1.7866826827101799E-5</v>
      </c>
      <c r="O118" s="1">
        <v>4.3706112765027801E-6</v>
      </c>
      <c r="P118" s="1">
        <v>-1.4755751534349199E-5</v>
      </c>
      <c r="AE118">
        <v>100</v>
      </c>
      <c r="AJ118">
        <v>1</v>
      </c>
    </row>
    <row r="119" spans="1:36" x14ac:dyDescent="0.2">
      <c r="A119">
        <v>118</v>
      </c>
      <c r="B119">
        <v>738</v>
      </c>
      <c r="C119">
        <v>240</v>
      </c>
      <c r="D119">
        <v>0.326302230134007</v>
      </c>
      <c r="E119">
        <v>10.100779393556699</v>
      </c>
      <c r="F119">
        <v>0.52647161358561101</v>
      </c>
      <c r="G119">
        <v>-217.86596323903967</v>
      </c>
      <c r="H119">
        <v>-129.13527327040006</v>
      </c>
      <c r="I119">
        <v>87.757968901614504</v>
      </c>
      <c r="J119">
        <v>39.9270466394129</v>
      </c>
      <c r="K119">
        <v>19.1858005881151</v>
      </c>
      <c r="L119">
        <v>1.3555530909276615E-3</v>
      </c>
      <c r="M119">
        <v>2.3735790369039083E-4</v>
      </c>
      <c r="N119" s="1">
        <v>1.86020760111661E-5</v>
      </c>
      <c r="O119" s="1">
        <v>4.4347208253711797E-6</v>
      </c>
      <c r="P119" s="1">
        <v>-1.5072241270949501E-5</v>
      </c>
      <c r="AE119">
        <v>100</v>
      </c>
      <c r="AJ119">
        <v>1</v>
      </c>
    </row>
    <row r="120" spans="1:36" x14ac:dyDescent="0.2">
      <c r="A120">
        <v>119</v>
      </c>
      <c r="B120">
        <v>736</v>
      </c>
      <c r="C120">
        <v>240</v>
      </c>
      <c r="D120">
        <v>0.32482832086409602</v>
      </c>
      <c r="E120">
        <v>10.2314837043726</v>
      </c>
      <c r="F120">
        <v>0.52790178142262401</v>
      </c>
      <c r="G120">
        <v>-220.50744662380885</v>
      </c>
      <c r="H120">
        <v>-130.88721503313872</v>
      </c>
      <c r="I120">
        <v>88.813443664401504</v>
      </c>
      <c r="J120">
        <v>40.484712556171303</v>
      </c>
      <c r="K120">
        <v>19.381415377686601</v>
      </c>
      <c r="L120">
        <v>1.3572731983825818E-3</v>
      </c>
      <c r="M120">
        <v>2.3642775749401157E-4</v>
      </c>
      <c r="N120" s="1">
        <v>1.91889829152581E-5</v>
      </c>
      <c r="O120" s="1">
        <v>4.4592416670127598E-6</v>
      </c>
      <c r="P120" s="1">
        <v>-1.5256991922404201E-5</v>
      </c>
      <c r="AE120">
        <v>100</v>
      </c>
      <c r="AJ120">
        <v>1</v>
      </c>
    </row>
    <row r="121" spans="1:36" x14ac:dyDescent="0.2">
      <c r="A121">
        <v>120</v>
      </c>
      <c r="B121">
        <v>734</v>
      </c>
      <c r="C121">
        <v>240</v>
      </c>
      <c r="D121">
        <v>0.32334855781164801</v>
      </c>
      <c r="E121">
        <v>10.320343877098701</v>
      </c>
      <c r="F121">
        <v>0.52933763852220495</v>
      </c>
      <c r="G121">
        <v>-222.24345956491547</v>
      </c>
      <c r="H121">
        <v>-132.10568099209323</v>
      </c>
      <c r="I121">
        <v>89.503732817683897</v>
      </c>
      <c r="J121">
        <v>40.877513378948798</v>
      </c>
      <c r="K121">
        <v>19.496712733126</v>
      </c>
      <c r="L121">
        <v>1.3589614116746496E-3</v>
      </c>
      <c r="M121">
        <v>2.3549272003279656E-4</v>
      </c>
      <c r="N121" s="1">
        <v>1.9705736616939099E-5</v>
      </c>
      <c r="O121" s="1">
        <v>4.4647543792626198E-6</v>
      </c>
      <c r="P121" s="1">
        <v>-1.5378206674223001E-5</v>
      </c>
      <c r="AE121">
        <v>100</v>
      </c>
      <c r="AJ121">
        <v>1</v>
      </c>
    </row>
    <row r="122" spans="1:36" x14ac:dyDescent="0.2">
      <c r="A122">
        <v>121</v>
      </c>
      <c r="B122">
        <v>732</v>
      </c>
      <c r="C122">
        <v>240</v>
      </c>
      <c r="D122">
        <v>0.32186290603392398</v>
      </c>
      <c r="E122">
        <v>10.3855486597433</v>
      </c>
      <c r="F122">
        <v>0.53077917605439895</v>
      </c>
      <c r="G122">
        <v>-223.46755536685004</v>
      </c>
      <c r="H122">
        <v>-133.02264842962742</v>
      </c>
      <c r="I122">
        <v>89.987414998668299</v>
      </c>
      <c r="J122">
        <v>41.177052720575297</v>
      </c>
      <c r="K122">
        <v>19.566609106531502</v>
      </c>
      <c r="L122">
        <v>1.3606172639205798E-3</v>
      </c>
      <c r="M122">
        <v>2.3455284044239134E-4</v>
      </c>
      <c r="N122" s="1">
        <v>2.0183364742106499E-5</v>
      </c>
      <c r="O122" s="1">
        <v>4.4594743264944899E-6</v>
      </c>
      <c r="P122" s="1">
        <v>-1.5463071690252798E-5</v>
      </c>
      <c r="AE122">
        <v>100</v>
      </c>
      <c r="AJ122">
        <v>1</v>
      </c>
    </row>
    <row r="123" spans="1:36" x14ac:dyDescent="0.2">
      <c r="A123">
        <v>122</v>
      </c>
      <c r="B123">
        <v>760</v>
      </c>
      <c r="C123">
        <v>230</v>
      </c>
      <c r="D123">
        <v>0.35278565551952901</v>
      </c>
      <c r="E123">
        <v>5.0144515757219104</v>
      </c>
      <c r="F123">
        <v>0.49816403945886101</v>
      </c>
      <c r="G123">
        <v>-109.22034663166227</v>
      </c>
      <c r="H123">
        <v>-63.634637519936227</v>
      </c>
      <c r="I123">
        <v>44.125808148710497</v>
      </c>
      <c r="J123">
        <v>19.672094232126401</v>
      </c>
      <c r="K123">
        <v>10.065864210449501</v>
      </c>
      <c r="L123">
        <v>1.3795133722981584E-3</v>
      </c>
      <c r="M123">
        <v>2.6652964330413083E-4</v>
      </c>
      <c r="N123" s="1">
        <v>7.3562284259429002E-6</v>
      </c>
      <c r="O123" s="1">
        <v>2.7791214093933801E-6</v>
      </c>
      <c r="P123" s="1">
        <v>-8.3472688517285604E-6</v>
      </c>
      <c r="AE123">
        <v>100</v>
      </c>
      <c r="AJ123">
        <v>1</v>
      </c>
    </row>
    <row r="124" spans="1:36" x14ac:dyDescent="0.2">
      <c r="A124">
        <v>123</v>
      </c>
      <c r="B124">
        <v>758</v>
      </c>
      <c r="C124">
        <v>230</v>
      </c>
      <c r="D124">
        <v>0.35139455947243498</v>
      </c>
      <c r="E124">
        <v>5.0262432183743897</v>
      </c>
      <c r="F124">
        <v>0.499541551777274</v>
      </c>
      <c r="G124">
        <v>-109.3887608245243</v>
      </c>
      <c r="H124">
        <v>-63.823735618264628</v>
      </c>
      <c r="I124">
        <v>44.191341251297999</v>
      </c>
      <c r="J124">
        <v>19.740859237517999</v>
      </c>
      <c r="K124">
        <v>10.061711984702701</v>
      </c>
      <c r="L124">
        <v>1.3818441043852276E-3</v>
      </c>
      <c r="M124">
        <v>2.6560329424708156E-4</v>
      </c>
      <c r="N124" s="1">
        <v>7.5569267536146803E-6</v>
      </c>
      <c r="O124" s="1">
        <v>2.7676822412703802E-6</v>
      </c>
      <c r="P124" s="1">
        <v>-8.3691880960976208E-6</v>
      </c>
      <c r="AE124">
        <v>100</v>
      </c>
      <c r="AJ124">
        <v>1</v>
      </c>
    </row>
    <row r="125" spans="1:36" x14ac:dyDescent="0.2">
      <c r="A125">
        <v>124</v>
      </c>
      <c r="B125">
        <v>756</v>
      </c>
      <c r="C125">
        <v>230</v>
      </c>
      <c r="D125">
        <v>0.34999805664869299</v>
      </c>
      <c r="E125">
        <v>5.0483240337834001</v>
      </c>
      <c r="F125">
        <v>0.50092519426606397</v>
      </c>
      <c r="G125">
        <v>-109.78058470244567</v>
      </c>
      <c r="H125">
        <v>-64.14379773621242</v>
      </c>
      <c r="I125">
        <v>44.3469619853743</v>
      </c>
      <c r="J125">
        <v>19.850139572375699</v>
      </c>
      <c r="K125">
        <v>10.0779998522134</v>
      </c>
      <c r="L125">
        <v>1.3841469178698608E-3</v>
      </c>
      <c r="M125">
        <v>2.6467059793086893E-4</v>
      </c>
      <c r="N125" s="1">
        <v>7.77551518206499E-6</v>
      </c>
      <c r="O125" s="1">
        <v>2.7617228701156601E-6</v>
      </c>
      <c r="P125" s="1">
        <v>-8.4078119105996405E-6</v>
      </c>
      <c r="AE125">
        <v>100</v>
      </c>
      <c r="AJ125">
        <v>1</v>
      </c>
    </row>
    <row r="126" spans="1:36" x14ac:dyDescent="0.2">
      <c r="A126">
        <v>125</v>
      </c>
      <c r="B126">
        <v>754</v>
      </c>
      <c r="C126">
        <v>230</v>
      </c>
      <c r="D126">
        <v>0.34859611546511998</v>
      </c>
      <c r="E126">
        <v>5.07017985827214</v>
      </c>
      <c r="F126">
        <v>0.50231496840201995</v>
      </c>
      <c r="G126">
        <v>-110.16682116798999</v>
      </c>
      <c r="H126">
        <v>-64.461391710435024</v>
      </c>
      <c r="I126">
        <v>44.500151804326997</v>
      </c>
      <c r="J126">
        <v>19.9586802596165</v>
      </c>
      <c r="K126">
        <v>10.093626862049399</v>
      </c>
      <c r="L126">
        <v>1.3864212249936263E-3</v>
      </c>
      <c r="M126">
        <v>2.6373157946920777E-4</v>
      </c>
      <c r="N126" s="1">
        <v>7.9965221090936396E-6</v>
      </c>
      <c r="O126" s="1">
        <v>2.7554187023319998E-6</v>
      </c>
      <c r="P126" s="1">
        <v>-8.4456240302405195E-6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230</v>
      </c>
      <c r="D127">
        <v>0.34718870409208602</v>
      </c>
      <c r="E127">
        <v>5.0918144973428898</v>
      </c>
      <c r="F127">
        <v>0.50371087492328404</v>
      </c>
      <c r="G127">
        <v>-110.54756593718676</v>
      </c>
      <c r="H127">
        <v>-64.776561121163198</v>
      </c>
      <c r="I127">
        <v>44.6509473393671</v>
      </c>
      <c r="J127">
        <v>20.066489154378701</v>
      </c>
      <c r="K127">
        <v>10.1086054537106</v>
      </c>
      <c r="L127">
        <v>1.3886664383431593E-3</v>
      </c>
      <c r="M127">
        <v>2.6278626608629318E-4</v>
      </c>
      <c r="N127" s="1">
        <v>8.2199042647417892E-6</v>
      </c>
      <c r="O127" s="1">
        <v>2.7487744698520701E-6</v>
      </c>
      <c r="P127" s="1">
        <v>-8.4826169248804195E-6</v>
      </c>
      <c r="AE127">
        <v>100</v>
      </c>
      <c r="AJ127">
        <v>1</v>
      </c>
    </row>
    <row r="128" spans="1:36" x14ac:dyDescent="0.2">
      <c r="A128">
        <v>127</v>
      </c>
      <c r="B128">
        <v>750</v>
      </c>
      <c r="C128">
        <v>230</v>
      </c>
      <c r="D128">
        <v>0.34577579045105999</v>
      </c>
      <c r="E128">
        <v>5.1132316857611597</v>
      </c>
      <c r="F128">
        <v>0.50511291381918799</v>
      </c>
      <c r="G128">
        <v>-110.922912908828</v>
      </c>
      <c r="H128">
        <v>-65.089348747391369</v>
      </c>
      <c r="I128">
        <v>44.799384515071701</v>
      </c>
      <c r="J128">
        <v>20.1735738333266</v>
      </c>
      <c r="K128">
        <v>10.1229478515995</v>
      </c>
      <c r="L128">
        <v>1.3908819711450676E-3</v>
      </c>
      <c r="M128">
        <v>2.6183468713805426E-4</v>
      </c>
      <c r="N128" s="1">
        <v>8.4456166877494397E-6</v>
      </c>
      <c r="O128" s="1">
        <v>2.7417948985278799E-6</v>
      </c>
      <c r="P128" s="1">
        <v>-8.5187830337661001E-6</v>
      </c>
      <c r="AE128">
        <v>100</v>
      </c>
      <c r="AJ128">
        <v>1</v>
      </c>
    </row>
    <row r="129" spans="1:36" x14ac:dyDescent="0.2">
      <c r="A129">
        <v>128</v>
      </c>
      <c r="B129">
        <v>748</v>
      </c>
      <c r="C129">
        <v>230</v>
      </c>
      <c r="D129">
        <v>0.34435734221221198</v>
      </c>
      <c r="E129">
        <v>5.3225786475203396</v>
      </c>
      <c r="F129">
        <v>0.50652108432021403</v>
      </c>
      <c r="G129">
        <v>-115.37111510602865</v>
      </c>
      <c r="H129">
        <v>-67.796272580969145</v>
      </c>
      <c r="I129">
        <v>46.592457945850597</v>
      </c>
      <c r="J129">
        <v>21.023069191871699</v>
      </c>
      <c r="K129">
        <v>10.508108768391301</v>
      </c>
      <c r="L129">
        <v>1.3930672375647723E-3</v>
      </c>
      <c r="M129">
        <v>2.608768741320622E-4</v>
      </c>
      <c r="N129" s="1">
        <v>8.9914440656604799E-6</v>
      </c>
      <c r="O129" s="1">
        <v>2.8346857405731699E-6</v>
      </c>
      <c r="P129" s="1">
        <v>-8.8675672936903304E-6</v>
      </c>
      <c r="AE129">
        <v>100</v>
      </c>
      <c r="AJ129">
        <v>1</v>
      </c>
    </row>
    <row r="130" spans="1:36" x14ac:dyDescent="0.2">
      <c r="A130">
        <v>129</v>
      </c>
      <c r="B130">
        <v>746</v>
      </c>
      <c r="C130">
        <v>230</v>
      </c>
      <c r="D130">
        <v>0.342933326791936</v>
      </c>
      <c r="E130">
        <v>5.8379539591823502</v>
      </c>
      <c r="F130">
        <v>0.50793538488819701</v>
      </c>
      <c r="G130">
        <v>-126.44012125579398</v>
      </c>
      <c r="H130">
        <v>-74.407001699955785</v>
      </c>
      <c r="I130">
        <v>51.0586865442624</v>
      </c>
      <c r="J130">
        <v>23.084443085606701</v>
      </c>
      <c r="K130">
        <v>11.493497269278301</v>
      </c>
      <c r="L130">
        <v>1.3952216530094743E-3</v>
      </c>
      <c r="M130">
        <v>2.5991286074601613E-4</v>
      </c>
      <c r="N130" s="1">
        <v>1.0082621387705699E-5</v>
      </c>
      <c r="O130" s="1">
        <v>3.0878553241844298E-6</v>
      </c>
      <c r="P130" s="1">
        <v>-9.7256474370421608E-6</v>
      </c>
      <c r="AE130">
        <v>100</v>
      </c>
      <c r="AJ130">
        <v>1</v>
      </c>
    </row>
    <row r="131" spans="1:36" x14ac:dyDescent="0.2">
      <c r="A131">
        <v>130</v>
      </c>
      <c r="B131">
        <v>744</v>
      </c>
      <c r="C131">
        <v>230</v>
      </c>
      <c r="D131">
        <v>0.34150371135034502</v>
      </c>
      <c r="E131">
        <v>9.3021335226162503</v>
      </c>
      <c r="F131">
        <v>0.50935581320672096</v>
      </c>
      <c r="G131">
        <v>-201.30569907647632</v>
      </c>
      <c r="H131">
        <v>-118.63292820247635</v>
      </c>
      <c r="I131">
        <v>81.284072286307804</v>
      </c>
      <c r="J131">
        <v>36.8234080310338</v>
      </c>
      <c r="K131">
        <v>18.2625451235225</v>
      </c>
      <c r="L131">
        <v>1.3973446344347231E-3</v>
      </c>
      <c r="M131">
        <v>2.589426828447816E-4</v>
      </c>
      <c r="N131" s="1">
        <v>1.64186995666357E-5</v>
      </c>
      <c r="O131" s="1">
        <v>4.8860975104310002E-6</v>
      </c>
      <c r="P131" s="1">
        <v>-1.5494965902689999E-5</v>
      </c>
      <c r="AE131">
        <v>100</v>
      </c>
      <c r="AJ131">
        <v>1</v>
      </c>
    </row>
    <row r="132" spans="1:36" x14ac:dyDescent="0.2">
      <c r="A132">
        <v>131</v>
      </c>
      <c r="B132">
        <v>742</v>
      </c>
      <c r="C132">
        <v>230</v>
      </c>
      <c r="D132">
        <v>0.34006846278875003</v>
      </c>
      <c r="E132">
        <v>9.8455167348026507</v>
      </c>
      <c r="F132">
        <v>0.51078236617172701</v>
      </c>
      <c r="G132">
        <v>-212.89296379829381</v>
      </c>
      <c r="H132">
        <v>-125.64085106505254</v>
      </c>
      <c r="I132">
        <v>85.955520802345305</v>
      </c>
      <c r="J132">
        <v>39.017595496261301</v>
      </c>
      <c r="K132">
        <v>19.275365374482298</v>
      </c>
      <c r="L132">
        <v>1.3994356006540812E-3</v>
      </c>
      <c r="M132">
        <v>2.5796637849585064E-4</v>
      </c>
      <c r="N132" s="1">
        <v>1.7753330346364502E-5</v>
      </c>
      <c r="O132" s="1">
        <v>5.1353603490618902E-6</v>
      </c>
      <c r="P132" s="1">
        <v>-1.6397254534374002E-5</v>
      </c>
      <c r="AE132">
        <v>100</v>
      </c>
      <c r="AJ132">
        <v>1</v>
      </c>
    </row>
    <row r="133" spans="1:36" x14ac:dyDescent="0.2">
      <c r="A133">
        <v>132</v>
      </c>
      <c r="B133">
        <v>740</v>
      </c>
      <c r="C133">
        <v>230</v>
      </c>
      <c r="D133">
        <v>0.33862754774713</v>
      </c>
      <c r="E133">
        <v>10.086326563271699</v>
      </c>
      <c r="F133">
        <v>0.51221503988236905</v>
      </c>
      <c r="G133">
        <v>-217.92403983628847</v>
      </c>
      <c r="H133">
        <v>-128.7938673118469</v>
      </c>
      <c r="I133">
        <v>87.979020421331896</v>
      </c>
      <c r="J133">
        <v>40.015976447423697</v>
      </c>
      <c r="K133">
        <v>19.691586107249101</v>
      </c>
      <c r="L133">
        <v>1.4014939726524551E-3</v>
      </c>
      <c r="M133">
        <v>2.56983987983374E-4</v>
      </c>
      <c r="N133" s="1">
        <v>1.8573972631985599E-5</v>
      </c>
      <c r="O133" s="1">
        <v>5.2238125034764899E-6</v>
      </c>
      <c r="P133" s="1">
        <v>-1.6794388937480501E-5</v>
      </c>
      <c r="AE133">
        <v>100</v>
      </c>
      <c r="AJ133">
        <v>1</v>
      </c>
    </row>
    <row r="134" spans="1:36" x14ac:dyDescent="0.2">
      <c r="A134">
        <v>133</v>
      </c>
      <c r="B134">
        <v>738</v>
      </c>
      <c r="C134">
        <v>230</v>
      </c>
      <c r="D134">
        <v>0.33718093260149401</v>
      </c>
      <c r="E134">
        <v>10.2257978397308</v>
      </c>
      <c r="F134">
        <v>0.51365382963210804</v>
      </c>
      <c r="G134">
        <v>-220.75912960560987</v>
      </c>
      <c r="H134">
        <v>-130.65598080735728</v>
      </c>
      <c r="I134">
        <v>89.115364315593396</v>
      </c>
      <c r="J134">
        <v>40.613812759111497</v>
      </c>
      <c r="K134">
        <v>19.907956000356901</v>
      </c>
      <c r="L134">
        <v>1.4035191739017103E-3</v>
      </c>
      <c r="M134">
        <v>2.5599555382046179E-4</v>
      </c>
      <c r="N134" s="1">
        <v>1.9224194946062302E-5</v>
      </c>
      <c r="O134" s="1">
        <v>5.2582706817178002E-6</v>
      </c>
      <c r="P134" s="1">
        <v>-1.7021606913296199E-5</v>
      </c>
      <c r="AE134">
        <v>100</v>
      </c>
      <c r="AJ134">
        <v>1</v>
      </c>
    </row>
    <row r="135" spans="1:36" x14ac:dyDescent="0.2">
      <c r="A135">
        <v>134</v>
      </c>
      <c r="B135">
        <v>736</v>
      </c>
      <c r="C135">
        <v>230</v>
      </c>
      <c r="D135">
        <v>0.335728583461332</v>
      </c>
      <c r="E135">
        <v>10.3188528266442</v>
      </c>
      <c r="F135">
        <v>0.51509872990004302</v>
      </c>
      <c r="G135">
        <v>-222.58827109014663</v>
      </c>
      <c r="H135">
        <v>-131.92696469617468</v>
      </c>
      <c r="I135">
        <v>89.845128548986196</v>
      </c>
      <c r="J135">
        <v>41.028140400576397</v>
      </c>
      <c r="K135">
        <v>20.032766977792001</v>
      </c>
      <c r="L135">
        <v>1.4055106306786181E-3</v>
      </c>
      <c r="M135">
        <v>2.5500112075988037E-4</v>
      </c>
      <c r="N135" s="1">
        <v>1.9797644405288899E-5</v>
      </c>
      <c r="O135" s="1">
        <v>5.2678949662245702E-6</v>
      </c>
      <c r="P135" s="1">
        <v>-1.7170391099816801E-5</v>
      </c>
      <c r="AE135">
        <v>100</v>
      </c>
      <c r="AJ135">
        <v>1</v>
      </c>
    </row>
    <row r="136" spans="1:36" x14ac:dyDescent="0.2">
      <c r="A136">
        <v>135</v>
      </c>
      <c r="B136">
        <v>734</v>
      </c>
      <c r="C136">
        <v>230</v>
      </c>
      <c r="D136">
        <v>0.33427046616690598</v>
      </c>
      <c r="E136">
        <v>10.3863220018335</v>
      </c>
      <c r="F136">
        <v>0.51654973434249996</v>
      </c>
      <c r="G136">
        <v>-223.86286738565926</v>
      </c>
      <c r="H136">
        <v>-132.87219860797262</v>
      </c>
      <c r="I136">
        <v>90.350605638613203</v>
      </c>
      <c r="J136">
        <v>41.3412563838342</v>
      </c>
      <c r="K136">
        <v>20.107109366833701</v>
      </c>
      <c r="L136">
        <v>1.4074677723851245E-3</v>
      </c>
      <c r="M136">
        <v>2.5400073580305737E-4</v>
      </c>
      <c r="N136" s="1">
        <v>2.0329657296295E-5</v>
      </c>
      <c r="O136" s="1">
        <v>5.2637582833564E-6</v>
      </c>
      <c r="P136" s="1">
        <v>-1.7275428912076601E-5</v>
      </c>
      <c r="AE136">
        <v>100</v>
      </c>
      <c r="AJ136">
        <v>1</v>
      </c>
    </row>
    <row r="137" spans="1:36" x14ac:dyDescent="0.2">
      <c r="A137">
        <v>136</v>
      </c>
      <c r="B137">
        <v>732</v>
      </c>
      <c r="C137">
        <v>230</v>
      </c>
      <c r="D137">
        <v>0.33280654628662198</v>
      </c>
      <c r="E137">
        <v>10.438000437746799</v>
      </c>
      <c r="F137">
        <v>0.51800683578493001</v>
      </c>
      <c r="G137">
        <v>-224.79520717944411</v>
      </c>
      <c r="H137">
        <v>-133.61645958012588</v>
      </c>
      <c r="I137">
        <v>90.717525607257897</v>
      </c>
      <c r="J137">
        <v>41.591848326935903</v>
      </c>
      <c r="K137">
        <v>20.150314082110899</v>
      </c>
      <c r="L137">
        <v>1.4093900318703232E-3</v>
      </c>
      <c r="M137">
        <v>2.5299444820733917E-4</v>
      </c>
      <c r="N137" s="1">
        <v>2.08367372854292E-5</v>
      </c>
      <c r="O137" s="1">
        <v>5.2510746233240701E-6</v>
      </c>
      <c r="P137" s="1">
        <v>-1.7353023681438902E-5</v>
      </c>
      <c r="AE137">
        <v>100</v>
      </c>
      <c r="AJ137">
        <v>1</v>
      </c>
    </row>
    <row r="138" spans="1:36" x14ac:dyDescent="0.2">
      <c r="A138">
        <v>137</v>
      </c>
      <c r="B138">
        <v>760</v>
      </c>
      <c r="C138">
        <v>220</v>
      </c>
      <c r="D138">
        <v>0.36343270580264397</v>
      </c>
      <c r="E138">
        <v>5.1722578500909</v>
      </c>
      <c r="F138">
        <v>0.48454301462163601</v>
      </c>
      <c r="G138">
        <v>-112.76280305809526</v>
      </c>
      <c r="H138">
        <v>-65.589908066848849</v>
      </c>
      <c r="I138">
        <v>45.662154454630198</v>
      </c>
      <c r="J138">
        <v>20.368591074366599</v>
      </c>
      <c r="K138">
        <v>10.674507100530001</v>
      </c>
      <c r="L138">
        <v>1.4269782495503751E-3</v>
      </c>
      <c r="M138">
        <v>2.8840259609752355E-4</v>
      </c>
      <c r="N138" s="1">
        <v>7.3643614288027598E-6</v>
      </c>
      <c r="O138" s="1">
        <v>3.3766292019874599E-6</v>
      </c>
      <c r="P138" s="1">
        <v>-9.5982128033763306E-6</v>
      </c>
      <c r="AE138">
        <v>100</v>
      </c>
      <c r="AJ138">
        <v>1</v>
      </c>
    </row>
    <row r="139" spans="1:36" x14ac:dyDescent="0.2">
      <c r="A139">
        <v>138</v>
      </c>
      <c r="B139">
        <v>758</v>
      </c>
      <c r="C139">
        <v>220</v>
      </c>
      <c r="D139">
        <v>0.36206226058284502</v>
      </c>
      <c r="E139">
        <v>5.1854977631264196</v>
      </c>
      <c r="F139">
        <v>0.48592915838059703</v>
      </c>
      <c r="G139">
        <v>-112.95993406292223</v>
      </c>
      <c r="H139">
        <v>-65.798671307462556</v>
      </c>
      <c r="I139">
        <v>45.7394464585227</v>
      </c>
      <c r="J139">
        <v>20.445870307371798</v>
      </c>
      <c r="K139">
        <v>10.6713039826783</v>
      </c>
      <c r="L139">
        <v>1.4296567585604463E-3</v>
      </c>
      <c r="M139">
        <v>2.8742354693515431E-4</v>
      </c>
      <c r="N139" s="1">
        <v>7.5961870316804701E-6</v>
      </c>
      <c r="O139" s="1">
        <v>3.3640448909521001E-6</v>
      </c>
      <c r="P139" s="1">
        <v>-9.6291205825290798E-6</v>
      </c>
      <c r="AE139">
        <v>100</v>
      </c>
      <c r="AJ139">
        <v>1</v>
      </c>
    </row>
    <row r="140" spans="1:36" x14ac:dyDescent="0.2">
      <c r="A140">
        <v>139</v>
      </c>
      <c r="B140">
        <v>756</v>
      </c>
      <c r="C140">
        <v>220</v>
      </c>
      <c r="D140">
        <v>0.36068648885002402</v>
      </c>
      <c r="E140">
        <v>5.2068157339940599</v>
      </c>
      <c r="F140">
        <v>0.48732186406740702</v>
      </c>
      <c r="G140">
        <v>-113.33250573007338</v>
      </c>
      <c r="H140">
        <v>-66.110259646266869</v>
      </c>
      <c r="I140">
        <v>45.887602141091698</v>
      </c>
      <c r="J140">
        <v>20.555125693631599</v>
      </c>
      <c r="K140">
        <v>10.684551869960501</v>
      </c>
      <c r="L140">
        <v>1.4323063568848428E-3</v>
      </c>
      <c r="M140">
        <v>2.8643691801319594E-4</v>
      </c>
      <c r="N140" s="1">
        <v>7.8429650025103196E-6</v>
      </c>
      <c r="O140" s="1">
        <v>3.3564666076994701E-6</v>
      </c>
      <c r="P140" s="1">
        <v>-9.6745653314086403E-6</v>
      </c>
      <c r="AE140">
        <v>100</v>
      </c>
      <c r="AJ140">
        <v>1</v>
      </c>
    </row>
    <row r="141" spans="1:36" x14ac:dyDescent="0.2">
      <c r="A141">
        <v>140</v>
      </c>
      <c r="B141">
        <v>754</v>
      </c>
      <c r="C141">
        <v>220</v>
      </c>
      <c r="D141">
        <v>0.35930535948985198</v>
      </c>
      <c r="E141">
        <v>5.2279220616317597</v>
      </c>
      <c r="F141">
        <v>0.48872113674949802</v>
      </c>
      <c r="G141">
        <v>-113.69980285270573</v>
      </c>
      <c r="H141">
        <v>-66.419546093269361</v>
      </c>
      <c r="I141">
        <v>46.033440585572897</v>
      </c>
      <c r="J141">
        <v>20.663704365252201</v>
      </c>
      <c r="K141">
        <v>10.6971474497764</v>
      </c>
      <c r="L141">
        <v>1.4349263412698735E-3</v>
      </c>
      <c r="M141">
        <v>2.8544272531886309E-4</v>
      </c>
      <c r="N141" s="1">
        <v>8.0928440912984798E-6</v>
      </c>
      <c r="O141" s="1">
        <v>3.34848494365346E-6</v>
      </c>
      <c r="P141" s="1">
        <v>-9.7191457046488395E-6</v>
      </c>
      <c r="AE141">
        <v>100</v>
      </c>
      <c r="AJ141">
        <v>1</v>
      </c>
    </row>
    <row r="142" spans="1:36" x14ac:dyDescent="0.2">
      <c r="A142">
        <v>141</v>
      </c>
      <c r="B142">
        <v>752</v>
      </c>
      <c r="C142">
        <v>220</v>
      </c>
      <c r="D142">
        <v>0.35791884114519901</v>
      </c>
      <c r="E142">
        <v>5.2488203616438396</v>
      </c>
      <c r="F142">
        <v>0.49012698067737198</v>
      </c>
      <c r="G142">
        <v>-114.06191641486728</v>
      </c>
      <c r="H142">
        <v>-66.726572111184609</v>
      </c>
      <c r="I142">
        <v>46.1769965380754</v>
      </c>
      <c r="J142">
        <v>20.771612899407</v>
      </c>
      <c r="K142">
        <v>10.709103086693499</v>
      </c>
      <c r="L142">
        <v>1.4375160073153933E-3</v>
      </c>
      <c r="M142">
        <v>2.8444098738428795E-4</v>
      </c>
      <c r="N142" s="1">
        <v>8.3457790263766007E-6</v>
      </c>
      <c r="O142" s="1">
        <v>3.3401047018678098E-6</v>
      </c>
      <c r="P142" s="1">
        <v>-9.7628503705220801E-6</v>
      </c>
      <c r="AE142">
        <v>100</v>
      </c>
      <c r="AJ142">
        <v>1</v>
      </c>
    </row>
    <row r="143" spans="1:36" x14ac:dyDescent="0.2">
      <c r="A143">
        <v>142</v>
      </c>
      <c r="B143">
        <v>750</v>
      </c>
      <c r="C143">
        <v>220</v>
      </c>
      <c r="D143">
        <v>0.356526902213751</v>
      </c>
      <c r="E143">
        <v>5.4818242226574796</v>
      </c>
      <c r="F143">
        <v>0.49153939927118501</v>
      </c>
      <c r="G143">
        <v>-119.02890311800348</v>
      </c>
      <c r="H143">
        <v>-69.732089348587323</v>
      </c>
      <c r="I143">
        <v>48.184480091735203</v>
      </c>
      <c r="J143">
        <v>21.720071966822299</v>
      </c>
      <c r="K143">
        <v>11.1523597717405</v>
      </c>
      <c r="L143">
        <v>1.4400746498396126E-3</v>
      </c>
      <c r="M143">
        <v>2.8343172532471463E-4</v>
      </c>
      <c r="N143" s="1">
        <v>8.9482877526036507E-6</v>
      </c>
      <c r="O143" s="1">
        <v>3.46555083539125E-6</v>
      </c>
      <c r="P143" s="1">
        <v>-1.0200740709794001E-5</v>
      </c>
      <c r="AE143">
        <v>100</v>
      </c>
      <c r="AJ143">
        <v>1</v>
      </c>
    </row>
    <row r="144" spans="1:36" x14ac:dyDescent="0.2">
      <c r="A144">
        <v>143</v>
      </c>
      <c r="B144">
        <v>748</v>
      </c>
      <c r="C144">
        <v>220</v>
      </c>
      <c r="D144">
        <v>0.355129510845618</v>
      </c>
      <c r="E144">
        <v>5.7218647826776801</v>
      </c>
      <c r="F144">
        <v>0.49295839510744699</v>
      </c>
      <c r="G144">
        <v>-124.14044928527956</v>
      </c>
      <c r="H144">
        <v>-72.83091892186664</v>
      </c>
      <c r="I144">
        <v>50.250016908195903</v>
      </c>
      <c r="J144">
        <v>22.698623156862201</v>
      </c>
      <c r="K144">
        <v>11.607196143663399</v>
      </c>
      <c r="L144">
        <v>1.4426015632516061E-3</v>
      </c>
      <c r="M144">
        <v>2.8241496287524951E-4</v>
      </c>
      <c r="N144" s="1">
        <v>9.5839742698430695E-6</v>
      </c>
      <c r="O144" s="1">
        <v>3.5933779508155898E-6</v>
      </c>
      <c r="P144" s="1">
        <v>-1.0651509550528601E-5</v>
      </c>
      <c r="AE144">
        <v>100</v>
      </c>
      <c r="AJ144">
        <v>1</v>
      </c>
    </row>
    <row r="145" spans="1:36" x14ac:dyDescent="0.2">
      <c r="A145">
        <v>144</v>
      </c>
      <c r="B145">
        <v>746</v>
      </c>
      <c r="C145">
        <v>220</v>
      </c>
      <c r="D145">
        <v>0.35372663494088302</v>
      </c>
      <c r="E145">
        <v>9.1908069676641109</v>
      </c>
      <c r="F145">
        <v>0.49438396990598499</v>
      </c>
      <c r="G145">
        <v>-199.24057666087268</v>
      </c>
      <c r="H145">
        <v>-117.05841220260272</v>
      </c>
      <c r="I145">
        <v>80.643108475098899</v>
      </c>
      <c r="J145">
        <v>36.5039099276241</v>
      </c>
      <c r="K145">
        <v>18.590422681811201</v>
      </c>
      <c r="L145">
        <v>1.4450960419308682E-3</v>
      </c>
      <c r="M145">
        <v>2.8139072642592404E-4</v>
      </c>
      <c r="N145" s="1">
        <v>1.5788650457733701E-5</v>
      </c>
      <c r="O145" s="1">
        <v>5.7333190279032204E-6</v>
      </c>
      <c r="P145" s="1">
        <v>-1.7114689200667601E-5</v>
      </c>
      <c r="AE145">
        <v>100</v>
      </c>
      <c r="AJ145">
        <v>1</v>
      </c>
    </row>
    <row r="146" spans="1:36" x14ac:dyDescent="0.2">
      <c r="A146">
        <v>145</v>
      </c>
      <c r="B146">
        <v>744</v>
      </c>
      <c r="C146">
        <v>220</v>
      </c>
      <c r="D146">
        <v>0.352318242147177</v>
      </c>
      <c r="E146">
        <v>9.8082726394536195</v>
      </c>
      <c r="F146">
        <v>0.49581612451711099</v>
      </c>
      <c r="G146">
        <v>-212.45410416955542</v>
      </c>
      <c r="H146">
        <v>-125.00070308193278</v>
      </c>
      <c r="I146">
        <v>85.984381835052702</v>
      </c>
      <c r="J146">
        <v>39.0031826943287</v>
      </c>
      <c r="K146">
        <v>19.782076770912099</v>
      </c>
      <c r="L146">
        <v>1.4475573806144199E-3</v>
      </c>
      <c r="M146">
        <v>2.8035904505525346E-4</v>
      </c>
      <c r="N146" s="1">
        <v>1.7272828882049301E-5</v>
      </c>
      <c r="O146" s="1">
        <v>6.0771623528989398E-6</v>
      </c>
      <c r="P146" s="1">
        <v>-1.8269391505639201E-5</v>
      </c>
      <c r="AE146">
        <v>100</v>
      </c>
      <c r="AJ146">
        <v>1</v>
      </c>
    </row>
    <row r="147" spans="1:36" x14ac:dyDescent="0.2">
      <c r="A147">
        <v>146</v>
      </c>
      <c r="B147">
        <v>742</v>
      </c>
      <c r="C147">
        <v>220</v>
      </c>
      <c r="D147">
        <v>0.35090429985716198</v>
      </c>
      <c r="E147">
        <v>10.0748970492408</v>
      </c>
      <c r="F147">
        <v>0.497254858909007</v>
      </c>
      <c r="G147">
        <v>-218.05281232448721</v>
      </c>
      <c r="H147">
        <v>-128.47885022799943</v>
      </c>
      <c r="I147">
        <v>88.242848417720396</v>
      </c>
      <c r="J147">
        <v>40.111397671946101</v>
      </c>
      <c r="K147">
        <v>20.261032886326099</v>
      </c>
      <c r="L147">
        <v>1.4499848747899569E-3</v>
      </c>
      <c r="M147">
        <v>2.793199505618992E-4</v>
      </c>
      <c r="N147" s="1">
        <v>1.8179970763395E-5</v>
      </c>
      <c r="O147" s="1">
        <v>6.1997351678074099E-6</v>
      </c>
      <c r="P147" s="1">
        <v>-1.87699138250028E-5</v>
      </c>
      <c r="AE147">
        <v>100</v>
      </c>
      <c r="AJ147">
        <v>1</v>
      </c>
    </row>
    <row r="148" spans="1:36" x14ac:dyDescent="0.2">
      <c r="A148">
        <v>147</v>
      </c>
      <c r="B148">
        <v>740</v>
      </c>
      <c r="C148">
        <v>220</v>
      </c>
      <c r="D148">
        <v>0.34948477520604299</v>
      </c>
      <c r="E148">
        <v>10.222412613191</v>
      </c>
      <c r="F148">
        <v>0.49870017215539097</v>
      </c>
      <c r="G148">
        <v>-221.06652874299655</v>
      </c>
      <c r="H148">
        <v>-130.44146975329804</v>
      </c>
      <c r="I148">
        <v>89.454581139933694</v>
      </c>
      <c r="J148">
        <v>40.747225687918601</v>
      </c>
      <c r="K148">
        <v>20.498113263144699</v>
      </c>
      <c r="L148">
        <v>1.4523778210955665E-3</v>
      </c>
      <c r="M148">
        <v>2.7827347749457551E-4</v>
      </c>
      <c r="N148" s="1">
        <v>1.8892745975940099E-5</v>
      </c>
      <c r="O148" s="1">
        <v>6.2470960627205203E-6</v>
      </c>
      <c r="P148" s="1">
        <v>-1.90475294180158E-5</v>
      </c>
      <c r="AE148">
        <v>100</v>
      </c>
      <c r="AJ148">
        <v>1</v>
      </c>
    </row>
    <row r="149" spans="1:36" x14ac:dyDescent="0.2">
      <c r="A149">
        <v>148</v>
      </c>
      <c r="B149">
        <v>738</v>
      </c>
      <c r="C149">
        <v>220</v>
      </c>
      <c r="D149">
        <v>0.34805963506898102</v>
      </c>
      <c r="E149">
        <v>10.3191299520577</v>
      </c>
      <c r="F149">
        <v>0.50015206242344501</v>
      </c>
      <c r="G149">
        <v>-222.97758546992904</v>
      </c>
      <c r="H149">
        <v>-131.75793031242381</v>
      </c>
      <c r="I149">
        <v>90.2196117265796</v>
      </c>
      <c r="J149">
        <v>41.181569788441998</v>
      </c>
      <c r="K149">
        <v>20.6319852047741</v>
      </c>
      <c r="L149">
        <v>1.4547355177254907E-3</v>
      </c>
      <c r="M149">
        <v>2.7721966318006559E-4</v>
      </c>
      <c r="N149" s="1">
        <v>1.9524795768870701E-5</v>
      </c>
      <c r="O149" s="1">
        <v>6.26221307073426E-6</v>
      </c>
      <c r="P149" s="1">
        <v>-1.9229364839039701E-5</v>
      </c>
      <c r="AE149">
        <v>100</v>
      </c>
      <c r="AJ149">
        <v>1</v>
      </c>
    </row>
    <row r="150" spans="1:36" x14ac:dyDescent="0.2">
      <c r="A150">
        <v>149</v>
      </c>
      <c r="B150">
        <v>736</v>
      </c>
      <c r="C150">
        <v>220</v>
      </c>
      <c r="D150">
        <v>0.34662884605856398</v>
      </c>
      <c r="E150">
        <v>10.3884898386447</v>
      </c>
      <c r="F150">
        <v>0.50161052696200803</v>
      </c>
      <c r="G150">
        <v>-224.29475621488155</v>
      </c>
      <c r="H150">
        <v>-132.72650513837942</v>
      </c>
      <c r="I150">
        <v>90.743889420119999</v>
      </c>
      <c r="J150">
        <v>41.507353906179702</v>
      </c>
      <c r="K150">
        <v>20.710270778331498</v>
      </c>
      <c r="L150">
        <v>1.4570572648409828E-3</v>
      </c>
      <c r="M150">
        <v>2.76158547749186E-4</v>
      </c>
      <c r="N150" s="1">
        <v>2.01147686109871E-5</v>
      </c>
      <c r="O150" s="1">
        <v>6.2598592239876404E-6</v>
      </c>
      <c r="P150" s="1">
        <v>-1.9359024426580301E-5</v>
      </c>
      <c r="AE150">
        <v>100</v>
      </c>
      <c r="AJ150">
        <v>1</v>
      </c>
    </row>
    <row r="151" spans="1:36" x14ac:dyDescent="0.2">
      <c r="A151">
        <v>150</v>
      </c>
      <c r="B151">
        <v>734</v>
      </c>
      <c r="C151">
        <v>220</v>
      </c>
      <c r="D151">
        <v>0.345192374522167</v>
      </c>
      <c r="E151">
        <v>10.4412180611324</v>
      </c>
      <c r="F151">
        <v>0.50307556209006399</v>
      </c>
      <c r="G151">
        <v>-225.2508692119921</v>
      </c>
      <c r="H151">
        <v>-133.48366208760854</v>
      </c>
      <c r="I151">
        <v>91.121662344757297</v>
      </c>
      <c r="J151">
        <v>41.767084498513299</v>
      </c>
      <c r="K151">
        <v>20.754770948828401</v>
      </c>
      <c r="L151">
        <v>1.4593423649863291E-3</v>
      </c>
      <c r="M151">
        <v>2.7509017416070747E-4</v>
      </c>
      <c r="N151" s="1">
        <v>2.0680213809712999E-5</v>
      </c>
      <c r="O151" s="1">
        <v>6.2468027800997004E-6</v>
      </c>
      <c r="P151" s="1">
        <v>-1.9456447192163201E-5</v>
      </c>
      <c r="AE151">
        <v>100</v>
      </c>
      <c r="AJ151">
        <v>1</v>
      </c>
    </row>
    <row r="152" spans="1:36" x14ac:dyDescent="0.2">
      <c r="A152">
        <v>151</v>
      </c>
      <c r="B152">
        <v>760</v>
      </c>
      <c r="C152">
        <v>210</v>
      </c>
      <c r="D152">
        <v>0.374079756085759</v>
      </c>
      <c r="E152">
        <v>5.3301950017148298</v>
      </c>
      <c r="F152">
        <v>0.47019496186147802</v>
      </c>
      <c r="G152">
        <v>-116.31771587081346</v>
      </c>
      <c r="H152">
        <v>-67.536894573072175</v>
      </c>
      <c r="I152">
        <v>47.218575775669301</v>
      </c>
      <c r="J152">
        <v>21.066766149008799</v>
      </c>
      <c r="K152">
        <v>11.3361380577385</v>
      </c>
      <c r="L152">
        <v>1.4770021716131712E-3</v>
      </c>
      <c r="M152">
        <v>3.133227247520129E-4</v>
      </c>
      <c r="N152" s="1">
        <v>7.1170712850377496E-6</v>
      </c>
      <c r="O152" s="1">
        <v>4.1298768950673203E-6</v>
      </c>
      <c r="P152" s="1">
        <v>-1.10565190150332E-5</v>
      </c>
      <c r="AE152">
        <v>100</v>
      </c>
      <c r="AJ152">
        <v>1</v>
      </c>
    </row>
    <row r="153" spans="1:36" x14ac:dyDescent="0.2">
      <c r="A153">
        <v>152</v>
      </c>
      <c r="B153">
        <v>758</v>
      </c>
      <c r="C153">
        <v>210</v>
      </c>
      <c r="D153">
        <v>0.37272996169325601</v>
      </c>
      <c r="E153">
        <v>5.3454028016941297</v>
      </c>
      <c r="F153">
        <v>0.47158743425339</v>
      </c>
      <c r="G153">
        <v>-116.55492110891679</v>
      </c>
      <c r="H153">
        <v>-67.771868799234781</v>
      </c>
      <c r="I153">
        <v>47.312332131513699</v>
      </c>
      <c r="J153">
        <v>21.155039386243299</v>
      </c>
      <c r="K153">
        <v>11.334913556712699</v>
      </c>
      <c r="L153">
        <v>1.4800952363028797E-3</v>
      </c>
      <c r="M153">
        <v>3.1229309759566023E-4</v>
      </c>
      <c r="N153" s="1">
        <v>7.3835720057626997E-6</v>
      </c>
      <c r="O153" s="1">
        <v>4.1166204542309202E-6</v>
      </c>
      <c r="P153" s="1">
        <v>-1.11002287017867E-5</v>
      </c>
      <c r="AE153">
        <v>100</v>
      </c>
      <c r="AJ153">
        <v>1</v>
      </c>
    </row>
    <row r="154" spans="1:36" x14ac:dyDescent="0.2">
      <c r="A154">
        <v>153</v>
      </c>
      <c r="B154">
        <v>756</v>
      </c>
      <c r="C154">
        <v>210</v>
      </c>
      <c r="D154">
        <v>0.371374921051355</v>
      </c>
      <c r="E154">
        <v>5.3659147991950098</v>
      </c>
      <c r="F154">
        <v>0.47298694258706397</v>
      </c>
      <c r="G154">
        <v>-116.907232590036</v>
      </c>
      <c r="H154">
        <v>-68.074431532642791</v>
      </c>
      <c r="I154">
        <v>47.452627666857303</v>
      </c>
      <c r="J154">
        <v>21.264461144054099</v>
      </c>
      <c r="K154">
        <v>11.3447419284884</v>
      </c>
      <c r="L154">
        <v>1.4831590164800178E-3</v>
      </c>
      <c r="M154">
        <v>3.1125443691024167E-4</v>
      </c>
      <c r="N154" s="1">
        <v>7.66146289164207E-6</v>
      </c>
      <c r="O154" s="1">
        <v>4.1071507756877697E-6</v>
      </c>
      <c r="P154" s="1">
        <v>-1.1154474732644501E-5</v>
      </c>
      <c r="AE154">
        <v>100</v>
      </c>
      <c r="AJ154">
        <v>1</v>
      </c>
    </row>
    <row r="155" spans="1:36" x14ac:dyDescent="0.2">
      <c r="A155">
        <v>154</v>
      </c>
      <c r="B155">
        <v>754</v>
      </c>
      <c r="C155">
        <v>210</v>
      </c>
      <c r="D155">
        <v>0.37001460351457899</v>
      </c>
      <c r="E155">
        <v>5.4255358493416104</v>
      </c>
      <c r="F155">
        <v>0.47439349681874099</v>
      </c>
      <c r="G155">
        <v>-118.11027900512815</v>
      </c>
      <c r="H155">
        <v>-68.873841236520164</v>
      </c>
      <c r="I155">
        <v>47.938025208963602</v>
      </c>
      <c r="J155">
        <v>21.529252241095399</v>
      </c>
      <c r="K155">
        <v>11.436783779130501</v>
      </c>
      <c r="L155">
        <v>1.4861926717360551E-3</v>
      </c>
      <c r="M155">
        <v>3.1020674312885721E-4</v>
      </c>
      <c r="N155" s="1">
        <v>8.0013203089359302E-6</v>
      </c>
      <c r="O155" s="1">
        <v>4.1271067976784597E-6</v>
      </c>
      <c r="P155" s="1">
        <v>-1.12896119155355E-5</v>
      </c>
      <c r="AE155">
        <v>100</v>
      </c>
      <c r="AJ155">
        <v>1</v>
      </c>
    </row>
    <row r="156" spans="1:36" x14ac:dyDescent="0.2">
      <c r="A156">
        <v>155</v>
      </c>
      <c r="B156">
        <v>752</v>
      </c>
      <c r="C156">
        <v>210</v>
      </c>
      <c r="D156">
        <v>0.36864897819831499</v>
      </c>
      <c r="E156">
        <v>5.6499228617283102</v>
      </c>
      <c r="F156">
        <v>0.47580710601133402</v>
      </c>
      <c r="G156">
        <v>-122.8952363208941</v>
      </c>
      <c r="H156">
        <v>-71.767165338421989</v>
      </c>
      <c r="I156">
        <v>49.876900175855802</v>
      </c>
      <c r="J156">
        <v>22.449306280775399</v>
      </c>
      <c r="K156">
        <v>11.8743978186692</v>
      </c>
      <c r="L156">
        <v>1.4891953579815112E-3</v>
      </c>
      <c r="M156">
        <v>3.0915001967357094E-4</v>
      </c>
      <c r="N156" s="1">
        <v>8.5999500034865101E-6</v>
      </c>
      <c r="O156" s="1">
        <v>4.2709167821088998E-6</v>
      </c>
      <c r="P156" s="1">
        <v>-1.1767563505386E-5</v>
      </c>
      <c r="AE156">
        <v>100</v>
      </c>
      <c r="AJ156">
        <v>1</v>
      </c>
    </row>
    <row r="157" spans="1:36" x14ac:dyDescent="0.2">
      <c r="A157">
        <v>156</v>
      </c>
      <c r="B157">
        <v>750</v>
      </c>
      <c r="C157">
        <v>210</v>
      </c>
      <c r="D157">
        <v>0.36727801397644499</v>
      </c>
      <c r="E157">
        <v>5.8821320668602803</v>
      </c>
      <c r="F157">
        <v>0.47722777831664998</v>
      </c>
      <c r="G157">
        <v>-127.84236545846223</v>
      </c>
      <c r="H157">
        <v>-74.763537255044142</v>
      </c>
      <c r="I157">
        <v>51.881145795426903</v>
      </c>
      <c r="J157">
        <v>23.402787081181</v>
      </c>
      <c r="K157">
        <v>12.3256280001315</v>
      </c>
      <c r="L157">
        <v>1.4921662278820484E-3</v>
      </c>
      <c r="M157">
        <v>3.0808427301878377E-4</v>
      </c>
      <c r="N157" s="1">
        <v>9.23461651285044E-6</v>
      </c>
      <c r="O157" s="1">
        <v>4.41832664374082E-6</v>
      </c>
      <c r="P157" s="1">
        <v>-1.2262035253524599E-5</v>
      </c>
      <c r="AE157">
        <v>100</v>
      </c>
      <c r="AJ157">
        <v>1</v>
      </c>
    </row>
    <row r="158" spans="1:36" x14ac:dyDescent="0.2">
      <c r="A158">
        <v>157</v>
      </c>
      <c r="B158">
        <v>748</v>
      </c>
      <c r="C158">
        <v>210</v>
      </c>
      <c r="D158">
        <v>0.36590167947901903</v>
      </c>
      <c r="E158">
        <v>9.0982841453621592</v>
      </c>
      <c r="F158">
        <v>0.47865552095770603</v>
      </c>
      <c r="G158">
        <v>-197.5818481126652</v>
      </c>
      <c r="H158">
        <v>-115.71417104688898</v>
      </c>
      <c r="I158">
        <v>80.177137210657406</v>
      </c>
      <c r="J158">
        <v>36.2462366455227</v>
      </c>
      <c r="K158">
        <v>19.008000006263501</v>
      </c>
      <c r="L158">
        <v>1.495104431307026E-3</v>
      </c>
      <c r="M158">
        <v>3.0700951275309569E-4</v>
      </c>
      <c r="N158" s="1">
        <v>1.47225353776785E-5</v>
      </c>
      <c r="O158" s="1">
        <v>6.7904030195733501E-6</v>
      </c>
      <c r="P158" s="1">
        <v>-1.89822028256711E-5</v>
      </c>
      <c r="AE158">
        <v>100</v>
      </c>
      <c r="AJ158">
        <v>1</v>
      </c>
    </row>
    <row r="159" spans="1:36" x14ac:dyDescent="0.2">
      <c r="A159">
        <v>158</v>
      </c>
      <c r="B159">
        <v>746</v>
      </c>
      <c r="C159">
        <v>210</v>
      </c>
      <c r="D159">
        <v>0.36451994308983099</v>
      </c>
      <c r="E159">
        <v>9.7886360851541703</v>
      </c>
      <c r="F159">
        <v>0.480090340211281</v>
      </c>
      <c r="G159">
        <v>-212.40135209653434</v>
      </c>
      <c r="H159">
        <v>-124.57227755287283</v>
      </c>
      <c r="I159">
        <v>86.1842478558804</v>
      </c>
      <c r="J159">
        <v>39.047599587308298</v>
      </c>
      <c r="K159">
        <v>20.389154426323799</v>
      </c>
      <c r="L159">
        <v>1.4980091157911029E-3</v>
      </c>
      <c r="M159">
        <v>3.0592575163970303E-4</v>
      </c>
      <c r="N159" s="1">
        <v>1.63156282303401E-5</v>
      </c>
      <c r="O159" s="1">
        <v>7.2583750534606096E-6</v>
      </c>
      <c r="P159" s="1">
        <v>-2.0438247502018602E-5</v>
      </c>
      <c r="AE159">
        <v>100</v>
      </c>
      <c r="AJ159">
        <v>1</v>
      </c>
    </row>
    <row r="160" spans="1:36" x14ac:dyDescent="0.2">
      <c r="A160">
        <v>159</v>
      </c>
      <c r="B160">
        <v>744</v>
      </c>
      <c r="C160">
        <v>210</v>
      </c>
      <c r="D160">
        <v>0.36313277294401303</v>
      </c>
      <c r="E160">
        <v>10.068816276499801</v>
      </c>
      <c r="F160">
        <v>0.48153224139066297</v>
      </c>
      <c r="G160">
        <v>-218.30369402111697</v>
      </c>
      <c r="H160">
        <v>-128.21829361385565</v>
      </c>
      <c r="I160">
        <v>88.572150029229604</v>
      </c>
      <c r="J160">
        <v>40.217709261676902</v>
      </c>
      <c r="K160">
        <v>20.909952462209301</v>
      </c>
      <c r="L160">
        <v>1.5008794270078196E-3</v>
      </c>
      <c r="M160">
        <v>3.0483300567506064E-4</v>
      </c>
      <c r="N160" s="1">
        <v>1.7276207015498299E-5</v>
      </c>
      <c r="O160" s="1">
        <v>7.4172783975774101E-6</v>
      </c>
      <c r="P160" s="1">
        <v>-2.1038207964292099E-5</v>
      </c>
      <c r="AE160">
        <v>100</v>
      </c>
      <c r="AJ160">
        <v>1</v>
      </c>
    </row>
    <row r="161" spans="1:36" x14ac:dyDescent="0.2">
      <c r="A161">
        <v>160</v>
      </c>
      <c r="B161">
        <v>742</v>
      </c>
      <c r="C161">
        <v>210</v>
      </c>
      <c r="D161">
        <v>0.361740136925575</v>
      </c>
      <c r="E161">
        <v>10.222639718486199</v>
      </c>
      <c r="F161">
        <v>0.482981228828602</v>
      </c>
      <c r="G161">
        <v>-221.45899566356749</v>
      </c>
      <c r="H161">
        <v>-130.25882907712878</v>
      </c>
      <c r="I161">
        <v>89.844866875464405</v>
      </c>
      <c r="J161">
        <v>40.885249457497103</v>
      </c>
      <c r="K161">
        <v>21.165708123439199</v>
      </c>
      <c r="L161">
        <v>1.503714509255503E-3</v>
      </c>
      <c r="M161">
        <v>3.0373129414585075E-4</v>
      </c>
      <c r="N161" s="1">
        <v>1.80451669868813E-5</v>
      </c>
      <c r="O161" s="1">
        <v>7.4807569967918596E-6</v>
      </c>
      <c r="P161" s="1">
        <v>-2.1373527405036598E-5</v>
      </c>
      <c r="AE161">
        <v>100</v>
      </c>
      <c r="AJ161">
        <v>1</v>
      </c>
    </row>
    <row r="162" spans="1:36" x14ac:dyDescent="0.2">
      <c r="A162">
        <v>161</v>
      </c>
      <c r="B162">
        <v>740</v>
      </c>
      <c r="C162">
        <v>210</v>
      </c>
      <c r="D162">
        <v>0.36034200266496003</v>
      </c>
      <c r="E162">
        <v>10.3220265219389</v>
      </c>
      <c r="F162">
        <v>0.484437305860552</v>
      </c>
      <c r="G162">
        <v>-223.43071455220294</v>
      </c>
      <c r="H162">
        <v>-131.60785374120999</v>
      </c>
      <c r="I162">
        <v>90.6368925711038</v>
      </c>
      <c r="J162">
        <v>41.3362507295314</v>
      </c>
      <c r="K162">
        <v>21.307249456362499</v>
      </c>
      <c r="L162">
        <v>1.5065135059545245E-3</v>
      </c>
      <c r="M162">
        <v>3.0262063968391963E-4</v>
      </c>
      <c r="N162" s="1">
        <v>1.8734373593180799E-5</v>
      </c>
      <c r="O162" s="1">
        <v>7.5029282709929403E-6</v>
      </c>
      <c r="P162" s="1">
        <v>-2.1594063135820401E-5</v>
      </c>
      <c r="AE162">
        <v>100</v>
      </c>
      <c r="AJ162">
        <v>1</v>
      </c>
    </row>
    <row r="163" spans="1:36" x14ac:dyDescent="0.2">
      <c r="A163">
        <v>162</v>
      </c>
      <c r="B163">
        <v>738</v>
      </c>
      <c r="C163">
        <v>210</v>
      </c>
      <c r="D163">
        <v>0.35893833753646798</v>
      </c>
      <c r="E163">
        <v>10.3926566282419</v>
      </c>
      <c r="F163">
        <v>0.48590047480814802</v>
      </c>
      <c r="G163">
        <v>-224.77714277976889</v>
      </c>
      <c r="H163">
        <v>-132.59169333953469</v>
      </c>
      <c r="I163">
        <v>91.174797761498397</v>
      </c>
      <c r="J163">
        <v>41.672825005497799</v>
      </c>
      <c r="K163">
        <v>21.388447155449501</v>
      </c>
      <c r="L163">
        <v>1.5092755601557779E-3</v>
      </c>
      <c r="M163">
        <v>3.0150106831923137E-4</v>
      </c>
      <c r="N163" s="1">
        <v>1.93835809470198E-5</v>
      </c>
      <c r="O163" s="1">
        <v>7.5031279531093599E-6</v>
      </c>
      <c r="P163" s="1">
        <v>-2.1753298422214701E-5</v>
      </c>
      <c r="AE163">
        <v>100</v>
      </c>
      <c r="AJ163">
        <v>1</v>
      </c>
    </row>
    <row r="164" spans="1:36" x14ac:dyDescent="0.2">
      <c r="A164">
        <v>163</v>
      </c>
      <c r="B164">
        <v>736</v>
      </c>
      <c r="C164">
        <v>210</v>
      </c>
      <c r="D164">
        <v>0.35752910865580001</v>
      </c>
      <c r="E164">
        <v>10.446019350660899</v>
      </c>
      <c r="F164">
        <v>0.48737073696300098</v>
      </c>
      <c r="G164">
        <v>-225.7480932500342</v>
      </c>
      <c r="H164">
        <v>-133.3563336166979</v>
      </c>
      <c r="I164">
        <v>91.559963818131905</v>
      </c>
      <c r="J164">
        <v>41.940642746636897</v>
      </c>
      <c r="K164">
        <v>21.433415177436</v>
      </c>
      <c r="L164">
        <v>1.5119998150599347E-3</v>
      </c>
      <c r="M164">
        <v>3.0037260953062213E-4</v>
      </c>
      <c r="N164" s="1">
        <v>2.0010419479632301E-5</v>
      </c>
      <c r="O164" s="1">
        <v>7.4900167158165296E-6</v>
      </c>
      <c r="P164" s="1">
        <v>-2.1875141386497399E-5</v>
      </c>
      <c r="AE164">
        <v>100</v>
      </c>
      <c r="AJ164">
        <v>1</v>
      </c>
    </row>
    <row r="165" spans="1:36" x14ac:dyDescent="0.2">
      <c r="A165">
        <v>164</v>
      </c>
      <c r="B165">
        <v>760</v>
      </c>
      <c r="C165">
        <v>200</v>
      </c>
      <c r="D165">
        <v>0.38472680636887402</v>
      </c>
      <c r="E165">
        <v>5.4887301958269799</v>
      </c>
      <c r="F165">
        <v>0.45505687206717499</v>
      </c>
      <c r="G165">
        <v>-119.89597228012656</v>
      </c>
      <c r="H165">
        <v>-69.480029990313227</v>
      </c>
      <c r="I165">
        <v>48.801319535670501</v>
      </c>
      <c r="J165">
        <v>21.765147366477699</v>
      </c>
      <c r="K165">
        <v>12.0616356608207</v>
      </c>
      <c r="L165">
        <v>1.5294024524042343E-3</v>
      </c>
      <c r="M165">
        <v>3.4182390521239175E-4</v>
      </c>
      <c r="N165" s="1">
        <v>6.5048343359600599E-6</v>
      </c>
      <c r="O165" s="1">
        <v>5.0873426834354498E-6</v>
      </c>
      <c r="P165" s="1">
        <v>-1.27569090550704E-5</v>
      </c>
      <c r="AE165">
        <v>100</v>
      </c>
      <c r="AJ165">
        <v>1</v>
      </c>
    </row>
    <row r="166" spans="1:36" x14ac:dyDescent="0.2">
      <c r="A166">
        <v>165</v>
      </c>
      <c r="B166">
        <v>758</v>
      </c>
      <c r="C166">
        <v>200</v>
      </c>
      <c r="D166">
        <v>0.383397662803666</v>
      </c>
      <c r="E166">
        <v>5.5064882986563699</v>
      </c>
      <c r="F166">
        <v>0.45645257202433998</v>
      </c>
      <c r="G166">
        <v>-120.18600466063053</v>
      </c>
      <c r="H166">
        <v>-69.748526744754741</v>
      </c>
      <c r="I166">
        <v>48.9168686094335</v>
      </c>
      <c r="J166">
        <v>21.8672048455599</v>
      </c>
      <c r="K166">
        <v>12.063659263076101</v>
      </c>
      <c r="L166">
        <v>1.5329879985900401E-3</v>
      </c>
      <c r="M166">
        <v>3.4074884165332146E-4</v>
      </c>
      <c r="N166" s="1">
        <v>6.8082567745971097E-6</v>
      </c>
      <c r="O166" s="1">
        <v>5.0743285953434697E-6</v>
      </c>
      <c r="P166" s="1">
        <v>-1.2818514599508999E-5</v>
      </c>
      <c r="AE166">
        <v>100</v>
      </c>
      <c r="AJ166">
        <v>1</v>
      </c>
    </row>
    <row r="167" spans="1:36" x14ac:dyDescent="0.2">
      <c r="A167">
        <v>166</v>
      </c>
      <c r="B167">
        <v>756</v>
      </c>
      <c r="C167">
        <v>200</v>
      </c>
      <c r="D167">
        <v>0.38206335325268598</v>
      </c>
      <c r="E167">
        <v>5.6114968062804396</v>
      </c>
      <c r="F167">
        <v>0.45785582298683303</v>
      </c>
      <c r="G167">
        <v>-122.37829072366291</v>
      </c>
      <c r="H167">
        <v>-71.12322896428158</v>
      </c>
      <c r="I167">
        <v>49.806415976717901</v>
      </c>
      <c r="J167">
        <v>22.316440493998002</v>
      </c>
      <c r="K167">
        <v>12.256034595505801</v>
      </c>
      <c r="L167">
        <v>1.5365448866216137E-3</v>
      </c>
      <c r="M167">
        <v>3.3966306150425685E-4</v>
      </c>
      <c r="N167" s="1">
        <v>7.2293039228524497E-6</v>
      </c>
      <c r="O167" s="1">
        <v>5.1408776618865296E-6</v>
      </c>
      <c r="P167" s="1">
        <v>-1.3083083018679299E-5</v>
      </c>
      <c r="AE167">
        <v>100</v>
      </c>
      <c r="AJ167">
        <v>1</v>
      </c>
    </row>
    <row r="168" spans="1:36" x14ac:dyDescent="0.2">
      <c r="A168">
        <v>167</v>
      </c>
      <c r="B168">
        <v>754</v>
      </c>
      <c r="C168">
        <v>200</v>
      </c>
      <c r="D168">
        <v>0.38072384753930699</v>
      </c>
      <c r="E168">
        <v>5.8286434598661998</v>
      </c>
      <c r="F168">
        <v>0.45926664146385499</v>
      </c>
      <c r="G168">
        <v>-127.01050964569247</v>
      </c>
      <c r="H168">
        <v>-73.921859813581762</v>
      </c>
      <c r="I168">
        <v>51.688638796493301</v>
      </c>
      <c r="J168">
        <v>23.213470360771399</v>
      </c>
      <c r="K168">
        <v>12.691197081695501</v>
      </c>
      <c r="L168">
        <v>1.5400721186903537E-3</v>
      </c>
      <c r="M168">
        <v>3.3856654068413554E-4</v>
      </c>
      <c r="N168" s="1">
        <v>7.8150787930880605E-6</v>
      </c>
      <c r="O168" s="1">
        <v>5.3082357165504603E-6</v>
      </c>
      <c r="P168" s="1">
        <v>-1.3609609042597299E-5</v>
      </c>
      <c r="AE168">
        <v>100</v>
      </c>
      <c r="AJ168">
        <v>1</v>
      </c>
    </row>
    <row r="169" spans="1:36" x14ac:dyDescent="0.2">
      <c r="A169">
        <v>168</v>
      </c>
      <c r="B169">
        <v>752</v>
      </c>
      <c r="C169">
        <v>200</v>
      </c>
      <c r="D169">
        <v>0.37937911525142798</v>
      </c>
      <c r="E169">
        <v>6.0534167632965703</v>
      </c>
      <c r="F169">
        <v>0.46068504300701602</v>
      </c>
      <c r="G169">
        <v>-131.80117151974068</v>
      </c>
      <c r="H169">
        <v>-76.820802725727816</v>
      </c>
      <c r="I169">
        <v>53.634914823008501</v>
      </c>
      <c r="J169">
        <v>24.143384441974199</v>
      </c>
      <c r="K169">
        <v>13.1400332074691</v>
      </c>
      <c r="L169">
        <v>1.5435686892833391E-3</v>
      </c>
      <c r="M169">
        <v>3.374592584795479E-4</v>
      </c>
      <c r="N169" s="1">
        <v>8.4379100451470001E-6</v>
      </c>
      <c r="O169" s="1">
        <v>5.47994846522342E-6</v>
      </c>
      <c r="P169" s="1">
        <v>-1.4154785610698999E-5</v>
      </c>
      <c r="AE169">
        <v>100</v>
      </c>
      <c r="AJ169">
        <v>1</v>
      </c>
    </row>
    <row r="170" spans="1:36" x14ac:dyDescent="0.2">
      <c r="A170">
        <v>169</v>
      </c>
      <c r="B170">
        <v>750</v>
      </c>
      <c r="C170">
        <v>200</v>
      </c>
      <c r="D170">
        <v>0.37802912573913899</v>
      </c>
      <c r="E170">
        <v>9.0519129656315602</v>
      </c>
      <c r="F170">
        <v>0.46211104218689197</v>
      </c>
      <c r="G170">
        <v>-196.92715860530501</v>
      </c>
      <c r="H170">
        <v>-114.94543480109539</v>
      </c>
      <c r="I170">
        <v>80.131851502379604</v>
      </c>
      <c r="J170">
        <v>36.154424123591703</v>
      </c>
      <c r="K170">
        <v>19.588177167968801</v>
      </c>
      <c r="L170">
        <v>1.5470335856745737E-3</v>
      </c>
      <c r="M170">
        <v>3.3634119764314391E-4</v>
      </c>
      <c r="N170" s="1">
        <v>1.31035680915628E-5</v>
      </c>
      <c r="O170" s="1">
        <v>8.1447552111356106E-6</v>
      </c>
      <c r="P170" s="1">
        <v>-2.1195556282000799E-5</v>
      </c>
      <c r="AE170">
        <v>100</v>
      </c>
      <c r="AJ170">
        <v>1</v>
      </c>
    </row>
    <row r="171" spans="1:36" x14ac:dyDescent="0.2">
      <c r="A171">
        <v>170</v>
      </c>
      <c r="B171">
        <v>748</v>
      </c>
      <c r="C171">
        <v>200</v>
      </c>
      <c r="D171">
        <v>0.37667384811242399</v>
      </c>
      <c r="E171">
        <v>9.7849612623781503</v>
      </c>
      <c r="F171">
        <v>0.46354465256962502</v>
      </c>
      <c r="G171">
        <v>-212.70168460079057</v>
      </c>
      <c r="H171">
        <v>-124.33224639145004</v>
      </c>
      <c r="I171">
        <v>86.544619071674404</v>
      </c>
      <c r="J171">
        <v>39.138312459692401</v>
      </c>
      <c r="K171">
        <v>21.1089939407907</v>
      </c>
      <c r="L171">
        <v>1.5504657884356865E-3</v>
      </c>
      <c r="M171">
        <v>3.3521234449100624E-4</v>
      </c>
      <c r="N171" s="1">
        <v>1.46958045827456E-5</v>
      </c>
      <c r="O171" s="1">
        <v>8.7503750992230506E-6</v>
      </c>
      <c r="P171" s="1">
        <v>-2.2942558149052901E-5</v>
      </c>
      <c r="AE171">
        <v>100</v>
      </c>
      <c r="AJ171">
        <v>1</v>
      </c>
    </row>
    <row r="172" spans="1:36" x14ac:dyDescent="0.2">
      <c r="A172">
        <v>171</v>
      </c>
      <c r="B172">
        <v>746</v>
      </c>
      <c r="C172">
        <v>200</v>
      </c>
      <c r="D172">
        <v>0.37531325123877901</v>
      </c>
      <c r="E172">
        <v>10.067057674525801</v>
      </c>
      <c r="F172">
        <v>0.46498588669365498</v>
      </c>
      <c r="G172">
        <v>-218.65578638459533</v>
      </c>
      <c r="H172">
        <v>-127.99728482745611</v>
      </c>
      <c r="I172">
        <v>88.960665795740297</v>
      </c>
      <c r="J172">
        <v>40.324198361338198</v>
      </c>
      <c r="K172">
        <v>21.650243507623301</v>
      </c>
      <c r="L172">
        <v>1.5538642719682028E-3</v>
      </c>
      <c r="M172">
        <v>3.3407268899913393E-4</v>
      </c>
      <c r="N172" s="1">
        <v>1.5671612464102501E-5</v>
      </c>
      <c r="O172" s="1">
        <v>8.9467990033884801E-6</v>
      </c>
      <c r="P172" s="1">
        <v>-2.36341235222482E-5</v>
      </c>
      <c r="AE172">
        <v>100</v>
      </c>
      <c r="AJ172">
        <v>1</v>
      </c>
    </row>
    <row r="173" spans="1:36" x14ac:dyDescent="0.2">
      <c r="A173">
        <v>172</v>
      </c>
      <c r="B173">
        <v>744</v>
      </c>
      <c r="C173">
        <v>200</v>
      </c>
      <c r="D173">
        <v>0.373947303740848</v>
      </c>
      <c r="E173">
        <v>10.227971037686499</v>
      </c>
      <c r="F173">
        <v>0.46643475604659801</v>
      </c>
      <c r="G173">
        <v>-221.97012857859767</v>
      </c>
      <c r="H173">
        <v>-130.12520855347137</v>
      </c>
      <c r="I173">
        <v>90.302092216706896</v>
      </c>
      <c r="J173">
        <v>41.027122648384001</v>
      </c>
      <c r="K173">
        <v>21.9279779328124</v>
      </c>
      <c r="L173">
        <v>1.5572280050555397E-3</v>
      </c>
      <c r="M173">
        <v>3.3292222489867741E-4</v>
      </c>
      <c r="N173" s="1">
        <v>1.6488800944932101E-5</v>
      </c>
      <c r="O173" s="1">
        <v>9.0327376168330298E-6</v>
      </c>
      <c r="P173" s="1">
        <v>-2.40411898956068E-5</v>
      </c>
      <c r="AE173">
        <v>100</v>
      </c>
      <c r="AJ173">
        <v>1</v>
      </c>
    </row>
    <row r="174" spans="1:36" x14ac:dyDescent="0.2">
      <c r="A174">
        <v>173</v>
      </c>
      <c r="B174">
        <v>742</v>
      </c>
      <c r="C174">
        <v>200</v>
      </c>
      <c r="D174">
        <v>0.37257597399398801</v>
      </c>
      <c r="E174">
        <v>10.328491957845401</v>
      </c>
      <c r="F174">
        <v>0.46789127104226602</v>
      </c>
      <c r="G174">
        <v>-223.96936252045407</v>
      </c>
      <c r="H174">
        <v>-131.48700400210248</v>
      </c>
      <c r="I174">
        <v>91.107983170656397</v>
      </c>
      <c r="J174">
        <v>41.4891888333702</v>
      </c>
      <c r="K174">
        <v>22.074555771980599</v>
      </c>
      <c r="L174">
        <v>1.5605559514349362E-3</v>
      </c>
      <c r="M174">
        <v>3.3176094976969698E-4</v>
      </c>
      <c r="N174" s="1">
        <v>1.72287856489742E-5</v>
      </c>
      <c r="O174" s="1">
        <v>9.0635506094852701E-6</v>
      </c>
      <c r="P174" s="1">
        <v>-2.4305669957101699E-5</v>
      </c>
      <c r="AE174">
        <v>100</v>
      </c>
      <c r="AJ174">
        <v>1</v>
      </c>
    </row>
    <row r="175" spans="1:36" x14ac:dyDescent="0.2">
      <c r="A175">
        <v>174</v>
      </c>
      <c r="B175">
        <v>740</v>
      </c>
      <c r="C175">
        <v>200</v>
      </c>
      <c r="D175">
        <v>0.37119923012387401</v>
      </c>
      <c r="E175">
        <v>10.399489098113399</v>
      </c>
      <c r="F175">
        <v>0.46935544099792598</v>
      </c>
      <c r="G175">
        <v>-225.32552200271417</v>
      </c>
      <c r="H175">
        <v>-132.47444196463326</v>
      </c>
      <c r="I175">
        <v>91.651809963326798</v>
      </c>
      <c r="J175">
        <v>41.833524228101503</v>
      </c>
      <c r="K175">
        <v>22.156958649509502</v>
      </c>
      <c r="L175">
        <v>1.5638470703897313E-3</v>
      </c>
      <c r="M175">
        <v>3.3058886513345054E-4</v>
      </c>
      <c r="N175" s="1">
        <v>1.7934706165279299E-5</v>
      </c>
      <c r="O175" s="1">
        <v>9.0671604521097995E-6</v>
      </c>
      <c r="P175" s="1">
        <v>-2.44997106673087E-5</v>
      </c>
      <c r="AE175">
        <v>100</v>
      </c>
      <c r="AJ175">
        <v>1</v>
      </c>
    </row>
    <row r="176" spans="1:36" x14ac:dyDescent="0.2">
      <c r="A176">
        <v>175</v>
      </c>
      <c r="B176">
        <v>738</v>
      </c>
      <c r="C176">
        <v>200</v>
      </c>
      <c r="D176">
        <v>0.36981704000395799</v>
      </c>
      <c r="E176">
        <v>10.452904614348</v>
      </c>
      <c r="F176">
        <v>0.47082727411173603</v>
      </c>
      <c r="G176">
        <v>-226.29871288893315</v>
      </c>
      <c r="H176">
        <v>-133.23903447976298</v>
      </c>
      <c r="I176">
        <v>92.039420662683398</v>
      </c>
      <c r="J176">
        <v>42.107718198152298</v>
      </c>
      <c r="K176">
        <v>22.201145067622701</v>
      </c>
      <c r="L176">
        <v>1.567100317360472E-3</v>
      </c>
      <c r="M176">
        <v>3.2940597654279016E-4</v>
      </c>
      <c r="N176" s="1">
        <v>1.8622818369707401E-5</v>
      </c>
      <c r="O176" s="1">
        <v>9.0544063812308193E-6</v>
      </c>
      <c r="P176" s="1">
        <v>-2.4651175876151999E-5</v>
      </c>
      <c r="AE176">
        <v>100</v>
      </c>
      <c r="AJ176">
        <v>1</v>
      </c>
    </row>
    <row r="177" spans="1:36" x14ac:dyDescent="0.2">
      <c r="A177">
        <v>176</v>
      </c>
      <c r="B177">
        <v>762</v>
      </c>
      <c r="C177">
        <v>190</v>
      </c>
      <c r="D177">
        <v>0.39667729314592298</v>
      </c>
      <c r="E177">
        <v>5.6467760379424501</v>
      </c>
      <c r="F177">
        <v>0.43767598522633899</v>
      </c>
      <c r="G177">
        <v>-123.57548137949085</v>
      </c>
      <c r="H177">
        <v>-71.358986231054956</v>
      </c>
      <c r="I177">
        <v>50.4465310152505</v>
      </c>
      <c r="J177">
        <v>22.4192598409368</v>
      </c>
      <c r="K177">
        <v>12.9017269133975</v>
      </c>
      <c r="L177">
        <v>1.579624449791744E-3</v>
      </c>
      <c r="M177">
        <v>3.7563699623021398E-4</v>
      </c>
      <c r="N177" s="1">
        <v>5.0696387961743603E-6</v>
      </c>
      <c r="O177" s="1">
        <v>6.3473277471420899E-6</v>
      </c>
      <c r="P177" s="1">
        <v>-1.4701978135458201E-5</v>
      </c>
      <c r="AE177">
        <v>100</v>
      </c>
      <c r="AJ177">
        <v>1</v>
      </c>
    </row>
    <row r="178" spans="1:36" x14ac:dyDescent="0.2">
      <c r="A178">
        <v>177</v>
      </c>
      <c r="B178">
        <v>760</v>
      </c>
      <c r="C178">
        <v>190</v>
      </c>
      <c r="D178">
        <v>0.39537385665198899</v>
      </c>
      <c r="E178">
        <v>5.6503811684303402</v>
      </c>
      <c r="F178">
        <v>0.43906274156045499</v>
      </c>
      <c r="G178">
        <v>-123.55346288914122</v>
      </c>
      <c r="H178">
        <v>-71.449447300999466</v>
      </c>
      <c r="I178">
        <v>50.435318282165603</v>
      </c>
      <c r="J178">
        <v>22.4690344463984</v>
      </c>
      <c r="K178">
        <v>12.8691884634723</v>
      </c>
      <c r="L178">
        <v>1.5838166922211463E-3</v>
      </c>
      <c r="M178">
        <v>3.7453840343711086E-4</v>
      </c>
      <c r="N178" s="1">
        <v>5.3870248795119497E-6</v>
      </c>
      <c r="O178" s="1">
        <v>6.3171490318921897E-6</v>
      </c>
      <c r="P178" s="1">
        <v>-1.47433060823797E-5</v>
      </c>
      <c r="AE178">
        <v>100</v>
      </c>
      <c r="AJ178">
        <v>1</v>
      </c>
    </row>
    <row r="179" spans="1:36" x14ac:dyDescent="0.2">
      <c r="A179">
        <v>178</v>
      </c>
      <c r="B179">
        <v>758</v>
      </c>
      <c r="C179">
        <v>190</v>
      </c>
      <c r="D179">
        <v>0.39406536391407598</v>
      </c>
      <c r="E179">
        <v>5.8098275508755997</v>
      </c>
      <c r="F179">
        <v>0.44045757367696903</v>
      </c>
      <c r="G179">
        <v>-126.93630806802527</v>
      </c>
      <c r="H179">
        <v>-73.51190010140229</v>
      </c>
      <c r="I179">
        <v>51.8137348656469</v>
      </c>
      <c r="J179">
        <v>23.139565894860699</v>
      </c>
      <c r="K179">
        <v>13.1904362601255</v>
      </c>
      <c r="L179">
        <v>1.5879835739629853E-3</v>
      </c>
      <c r="M179">
        <v>3.7342726202347455E-4</v>
      </c>
      <c r="N179" s="1">
        <v>5.8668816409424199E-6</v>
      </c>
      <c r="O179" s="1">
        <v>6.4599686097982302E-6</v>
      </c>
      <c r="P179" s="1">
        <v>-1.51916233234376E-5</v>
      </c>
      <c r="AE179">
        <v>100</v>
      </c>
      <c r="AJ179">
        <v>1</v>
      </c>
    </row>
    <row r="180" spans="1:36" x14ac:dyDescent="0.2">
      <c r="A180">
        <v>179</v>
      </c>
      <c r="B180">
        <v>756</v>
      </c>
      <c r="C180">
        <v>190</v>
      </c>
      <c r="D180">
        <v>0.39275178545401701</v>
      </c>
      <c r="E180">
        <v>6.0198605297964898</v>
      </c>
      <c r="F180">
        <v>0.44186050766722501</v>
      </c>
      <c r="G180">
        <v>-131.41789693943636</v>
      </c>
      <c r="H180">
        <v>-76.217442884445575</v>
      </c>
      <c r="I180">
        <v>53.640284690130301</v>
      </c>
      <c r="J180">
        <v>24.0139124906601</v>
      </c>
      <c r="K180">
        <v>13.623893571249299</v>
      </c>
      <c r="L180">
        <v>1.5921239402977463E-3</v>
      </c>
      <c r="M180">
        <v>3.7230350813525462E-4</v>
      </c>
      <c r="N180" s="1">
        <v>6.4236462358794598E-6</v>
      </c>
      <c r="O180" s="1">
        <v>6.6565263549129603E-6</v>
      </c>
      <c r="P180" s="1">
        <v>-1.5773656938256899E-5</v>
      </c>
      <c r="AE180">
        <v>100</v>
      </c>
      <c r="AJ180">
        <v>1</v>
      </c>
    </row>
    <row r="181" spans="1:36" x14ac:dyDescent="0.2">
      <c r="A181">
        <v>180</v>
      </c>
      <c r="B181">
        <v>754</v>
      </c>
      <c r="C181">
        <v>190</v>
      </c>
      <c r="D181">
        <v>0.391433091564035</v>
      </c>
      <c r="E181">
        <v>6.2376755563948203</v>
      </c>
      <c r="F181">
        <v>0.44327156865975298</v>
      </c>
      <c r="G181">
        <v>-136.06184219895977</v>
      </c>
      <c r="H181">
        <v>-79.025003329561258</v>
      </c>
      <c r="I181">
        <v>55.532695760491599</v>
      </c>
      <c r="J181">
        <v>24.922001255769501</v>
      </c>
      <c r="K181">
        <v>14.071905345191899</v>
      </c>
      <c r="L181">
        <v>1.5962366223278785E-3</v>
      </c>
      <c r="M181">
        <v>3.7116708132388723E-4</v>
      </c>
      <c r="N181" s="1">
        <v>7.01833405386154E-6</v>
      </c>
      <c r="O181" s="1">
        <v>6.8587951770629803E-6</v>
      </c>
      <c r="P181" s="1">
        <v>-1.6377752514701799E-5</v>
      </c>
      <c r="AE181">
        <v>100</v>
      </c>
      <c r="AJ181">
        <v>1</v>
      </c>
    </row>
    <row r="182" spans="1:36" x14ac:dyDescent="0.2">
      <c r="A182">
        <v>181</v>
      </c>
      <c r="B182">
        <v>752</v>
      </c>
      <c r="C182">
        <v>190</v>
      </c>
      <c r="D182">
        <v>0.39010925230454402</v>
      </c>
      <c r="E182">
        <v>9.0791739229913802</v>
      </c>
      <c r="F182">
        <v>0.44469078078989499</v>
      </c>
      <c r="G182">
        <v>-197.88159508122936</v>
      </c>
      <c r="H182">
        <v>-115.09650370635474</v>
      </c>
      <c r="I182">
        <v>80.759193323629205</v>
      </c>
      <c r="J182">
        <v>36.331982276373999</v>
      </c>
      <c r="K182">
        <v>20.416825163013801</v>
      </c>
      <c r="L182">
        <v>1.6003204374451809E-3</v>
      </c>
      <c r="M182">
        <v>3.7001792468892563E-4</v>
      </c>
      <c r="N182" s="1">
        <v>1.07501411442057E-5</v>
      </c>
      <c r="O182" s="1">
        <v>9.9266901992388005E-6</v>
      </c>
      <c r="P182" s="1">
        <v>-2.3885991784008299E-5</v>
      </c>
      <c r="AE182">
        <v>100</v>
      </c>
      <c r="AJ182">
        <v>1</v>
      </c>
    </row>
    <row r="183" spans="1:36" x14ac:dyDescent="0.2">
      <c r="A183">
        <v>182</v>
      </c>
      <c r="B183">
        <v>750</v>
      </c>
      <c r="C183">
        <v>190</v>
      </c>
      <c r="D183">
        <v>0.38878023750183299</v>
      </c>
      <c r="E183">
        <v>9.8033578892038307</v>
      </c>
      <c r="F183">
        <v>0.44611816716937402</v>
      </c>
      <c r="G183">
        <v>-213.49093935744131</v>
      </c>
      <c r="H183">
        <v>-124.35549064497452</v>
      </c>
      <c r="I183">
        <v>87.124135068998797</v>
      </c>
      <c r="J183">
        <v>39.2915452500227</v>
      </c>
      <c r="K183">
        <v>21.9748008726169</v>
      </c>
      <c r="L183">
        <v>1.6043741898290943E-3</v>
      </c>
      <c r="M183">
        <v>3.6885598502148963E-4</v>
      </c>
      <c r="N183" s="1">
        <v>1.2192870661201601E-5</v>
      </c>
      <c r="O183" s="1">
        <v>1.0656996216360499E-5</v>
      </c>
      <c r="P183" s="1">
        <v>-2.5841421048266299E-5</v>
      </c>
      <c r="AE183">
        <v>100</v>
      </c>
      <c r="AJ183">
        <v>1</v>
      </c>
    </row>
    <row r="184" spans="1:36" x14ac:dyDescent="0.2">
      <c r="A184">
        <v>183</v>
      </c>
      <c r="B184">
        <v>748</v>
      </c>
      <c r="C184">
        <v>190</v>
      </c>
      <c r="D184">
        <v>0.38744601674582602</v>
      </c>
      <c r="E184">
        <v>10.082293406656801</v>
      </c>
      <c r="F184">
        <v>0.44755374985575203</v>
      </c>
      <c r="G184">
        <v>-219.38628250317157</v>
      </c>
      <c r="H184">
        <v>-127.97466708652954</v>
      </c>
      <c r="I184">
        <v>89.523953507372099</v>
      </c>
      <c r="J184">
        <v>40.472853078322103</v>
      </c>
      <c r="K184">
        <v>22.527558779043499</v>
      </c>
      <c r="L184">
        <v>1.6083966709749082E-3</v>
      </c>
      <c r="M184">
        <v>3.6768121294806307E-4</v>
      </c>
      <c r="N184" s="1">
        <v>1.31497874058281E-5</v>
      </c>
      <c r="O184" s="1">
        <v>1.0896557870839E-5</v>
      </c>
      <c r="P184" s="1">
        <v>-2.6627103925131299E-5</v>
      </c>
      <c r="AE184">
        <v>100</v>
      </c>
      <c r="AJ184">
        <v>1</v>
      </c>
    </row>
    <row r="185" spans="1:36" x14ac:dyDescent="0.2">
      <c r="A185">
        <v>184</v>
      </c>
      <c r="B185">
        <v>746</v>
      </c>
      <c r="C185">
        <v>190</v>
      </c>
      <c r="D185">
        <v>0.38610655938772698</v>
      </c>
      <c r="E185">
        <v>10.239930628091701</v>
      </c>
      <c r="F185">
        <v>0.44899754982187201</v>
      </c>
      <c r="G185">
        <v>-222.63463257510077</v>
      </c>
      <c r="H185">
        <v>-130.05783377193103</v>
      </c>
      <c r="I185">
        <v>90.8430149833477</v>
      </c>
      <c r="J185">
        <v>41.1699519362476</v>
      </c>
      <c r="K185">
        <v>22.806206029752602</v>
      </c>
      <c r="L185">
        <v>1.6123866602536794E-3</v>
      </c>
      <c r="M185">
        <v>3.6649356307471887E-4</v>
      </c>
      <c r="N185" s="1">
        <v>1.3983031460048899E-5</v>
      </c>
      <c r="O185" s="1">
        <v>1.10018256283331E-5</v>
      </c>
      <c r="P185" s="1">
        <v>-2.7093334259191001E-5</v>
      </c>
      <c r="AE185">
        <v>100</v>
      </c>
      <c r="AJ185">
        <v>1</v>
      </c>
    </row>
    <row r="186" spans="1:36" x14ac:dyDescent="0.2">
      <c r="A186">
        <v>185</v>
      </c>
      <c r="B186">
        <v>744</v>
      </c>
      <c r="C186">
        <v>190</v>
      </c>
      <c r="D186">
        <v>0.38476183453767998</v>
      </c>
      <c r="E186">
        <v>10.3394997040121</v>
      </c>
      <c r="F186">
        <v>0.45044958692525799</v>
      </c>
      <c r="G186">
        <v>-224.61607356876468</v>
      </c>
      <c r="H186">
        <v>-131.40567066160332</v>
      </c>
      <c r="I186">
        <v>91.644614662350605</v>
      </c>
      <c r="J186">
        <v>41.635158387067399</v>
      </c>
      <c r="K186">
        <v>22.953733345808999</v>
      </c>
      <c r="L186">
        <v>1.6163429255029219E-3</v>
      </c>
      <c r="M186">
        <v>3.6529299413139084E-4</v>
      </c>
      <c r="N186" s="1">
        <v>1.4760847571421301E-5</v>
      </c>
      <c r="O186" s="1">
        <v>1.10426215694618E-5</v>
      </c>
      <c r="P186" s="1">
        <v>-2.7405824187990401E-5</v>
      </c>
      <c r="AE186">
        <v>100</v>
      </c>
      <c r="AJ186">
        <v>1</v>
      </c>
    </row>
    <row r="187" spans="1:36" x14ac:dyDescent="0.2">
      <c r="A187">
        <v>186</v>
      </c>
      <c r="B187">
        <v>742</v>
      </c>
      <c r="C187">
        <v>190</v>
      </c>
      <c r="D187">
        <v>0.38341181106240502</v>
      </c>
      <c r="E187">
        <v>10.409674542323399</v>
      </c>
      <c r="F187">
        <v>0.451909879877537</v>
      </c>
      <c r="G187">
        <v>-225.95610635764666</v>
      </c>
      <c r="H187">
        <v>-132.3814300163277</v>
      </c>
      <c r="I187">
        <v>92.184045112859394</v>
      </c>
      <c r="J187">
        <v>41.983009242170397</v>
      </c>
      <c r="K187">
        <v>23.034846118310799</v>
      </c>
      <c r="L187">
        <v>1.6202642236483762E-3</v>
      </c>
      <c r="M187">
        <v>3.6407946911587609E-4</v>
      </c>
      <c r="N187" s="1">
        <v>1.55152895829107E-5</v>
      </c>
      <c r="O187" s="1">
        <v>1.10504861567532E-5</v>
      </c>
      <c r="P187" s="1">
        <v>-2.76397901954672E-5</v>
      </c>
      <c r="AE187">
        <v>100</v>
      </c>
      <c r="AJ187">
        <v>1</v>
      </c>
    </row>
    <row r="188" spans="1:36" x14ac:dyDescent="0.2">
      <c r="A188">
        <v>187</v>
      </c>
      <c r="B188">
        <v>740</v>
      </c>
      <c r="C188">
        <v>190</v>
      </c>
      <c r="D188">
        <v>0.382056457582788</v>
      </c>
      <c r="E188">
        <v>10.462392459567999</v>
      </c>
      <c r="F188">
        <v>0.45337844621393097</v>
      </c>
      <c r="G188">
        <v>-226.91520170215068</v>
      </c>
      <c r="H188">
        <v>-133.13630866060191</v>
      </c>
      <c r="I188">
        <v>92.567616113091503</v>
      </c>
      <c r="J188">
        <v>42.2611562671961</v>
      </c>
      <c r="K188">
        <v>23.076510466999999</v>
      </c>
      <c r="L188">
        <v>1.6241493013573779E-3</v>
      </c>
      <c r="M188">
        <v>3.6285295543749408E-4</v>
      </c>
      <c r="N188" s="1">
        <v>1.6259416455073299E-5</v>
      </c>
      <c r="O188" s="1">
        <v>1.10385728233887E-5</v>
      </c>
      <c r="P188" s="1">
        <v>-2.7826492729728801E-5</v>
      </c>
      <c r="AE188">
        <v>100</v>
      </c>
      <c r="AJ188">
        <v>1</v>
      </c>
    </row>
    <row r="189" spans="1:36" x14ac:dyDescent="0.2">
      <c r="A189">
        <v>188</v>
      </c>
      <c r="B189">
        <v>764</v>
      </c>
      <c r="C189">
        <v>180</v>
      </c>
      <c r="D189">
        <v>0.40858169020874802</v>
      </c>
      <c r="E189">
        <v>5.8069585170489502</v>
      </c>
      <c r="F189">
        <v>0.41939386807347301</v>
      </c>
      <c r="G189">
        <v>-127.32047329354991</v>
      </c>
      <c r="H189">
        <v>-73.247271206836146</v>
      </c>
      <c r="I189">
        <v>52.139541228332703</v>
      </c>
      <c r="J189">
        <v>23.059759517964402</v>
      </c>
      <c r="K189">
        <v>13.8460739631787</v>
      </c>
      <c r="L189">
        <v>1.6298838109191599E-3</v>
      </c>
      <c r="M189">
        <v>4.1443282257927369E-4</v>
      </c>
      <c r="N189" s="1">
        <v>2.8871782719657202E-6</v>
      </c>
      <c r="O189" s="1">
        <v>7.97881810191115E-6</v>
      </c>
      <c r="P189" s="1">
        <v>-1.69406863090463E-5</v>
      </c>
      <c r="AE189">
        <v>100</v>
      </c>
      <c r="AJ189">
        <v>1</v>
      </c>
    </row>
    <row r="190" spans="1:36" x14ac:dyDescent="0.2">
      <c r="A190">
        <v>189</v>
      </c>
      <c r="B190">
        <v>762</v>
      </c>
      <c r="C190">
        <v>180</v>
      </c>
      <c r="D190">
        <v>0.40730377240013699</v>
      </c>
      <c r="E190">
        <v>5.8317740435817296</v>
      </c>
      <c r="F190">
        <v>0.42076528275571701</v>
      </c>
      <c r="G190">
        <v>-127.75988614108124</v>
      </c>
      <c r="H190">
        <v>-73.606643497253089</v>
      </c>
      <c r="I190">
        <v>52.317615749454497</v>
      </c>
      <c r="J190">
        <v>23.198228004019299</v>
      </c>
      <c r="K190">
        <v>13.8599221052357</v>
      </c>
      <c r="L190">
        <v>1.6347704445166598E-3</v>
      </c>
      <c r="M190">
        <v>4.1332959918505079E-4</v>
      </c>
      <c r="N190" s="1">
        <v>3.24250491085084E-6</v>
      </c>
      <c r="O190" s="1">
        <v>7.9731353882521007E-6</v>
      </c>
      <c r="P190" s="1">
        <v>-1.7060298836539399E-5</v>
      </c>
      <c r="AE190">
        <v>100</v>
      </c>
      <c r="AJ190">
        <v>1</v>
      </c>
    </row>
    <row r="191" spans="1:36" x14ac:dyDescent="0.2">
      <c r="A191">
        <v>190</v>
      </c>
      <c r="B191">
        <v>760</v>
      </c>
      <c r="C191">
        <v>180</v>
      </c>
      <c r="D191">
        <v>0.40602090693510101</v>
      </c>
      <c r="E191">
        <v>6.0224740884465602</v>
      </c>
      <c r="F191">
        <v>0.42214529949238699</v>
      </c>
      <c r="G191">
        <v>-131.82964658340171</v>
      </c>
      <c r="H191">
        <v>-76.061548708069481</v>
      </c>
      <c r="I191">
        <v>53.982039689133103</v>
      </c>
      <c r="J191">
        <v>23.998120100487</v>
      </c>
      <c r="K191">
        <v>14.266353541513601</v>
      </c>
      <c r="L191">
        <v>1.6396374881098251E-3</v>
      </c>
      <c r="M191">
        <v>4.1221194414539739E-4</v>
      </c>
      <c r="N191" s="1">
        <v>3.7092721496674699E-6</v>
      </c>
      <c r="O191" s="1">
        <v>8.1924606246068798E-6</v>
      </c>
      <c r="P191" s="1">
        <v>-1.7666500572062801E-5</v>
      </c>
      <c r="AE191">
        <v>100</v>
      </c>
      <c r="AJ191">
        <v>1</v>
      </c>
    </row>
    <row r="192" spans="1:36" x14ac:dyDescent="0.2">
      <c r="A192">
        <v>191</v>
      </c>
      <c r="B192">
        <v>758</v>
      </c>
      <c r="C192">
        <v>180</v>
      </c>
      <c r="D192">
        <v>0.40473306502448703</v>
      </c>
      <c r="E192">
        <v>6.2255994529926602</v>
      </c>
      <c r="F192">
        <v>0.42353395632138902</v>
      </c>
      <c r="G192">
        <v>-136.16442546235251</v>
      </c>
      <c r="H192">
        <v>-78.676602332204055</v>
      </c>
      <c r="I192">
        <v>55.754629103865597</v>
      </c>
      <c r="J192">
        <v>24.850296454539802</v>
      </c>
      <c r="K192">
        <v>14.6991743166597</v>
      </c>
      <c r="L192">
        <v>1.6444836482412848E-3</v>
      </c>
      <c r="M192">
        <v>4.1107973994203729E-4</v>
      </c>
      <c r="N192" s="1">
        <v>4.2140431279004198E-6</v>
      </c>
      <c r="O192" s="1">
        <v>8.4256495368857995E-6</v>
      </c>
      <c r="P192" s="1">
        <v>-1.83118275186003E-5</v>
      </c>
      <c r="AE192">
        <v>100</v>
      </c>
      <c r="AJ192">
        <v>1</v>
      </c>
    </row>
    <row r="193" spans="1:36" x14ac:dyDescent="0.2">
      <c r="A193">
        <v>192</v>
      </c>
      <c r="B193">
        <v>756</v>
      </c>
      <c r="C193">
        <v>180</v>
      </c>
      <c r="D193">
        <v>0.40344021765534699</v>
      </c>
      <c r="E193">
        <v>6.43714463615781</v>
      </c>
      <c r="F193">
        <v>0.42493129038043198</v>
      </c>
      <c r="G193">
        <v>-140.67602919755066</v>
      </c>
      <c r="H193">
        <v>-81.401458299901563</v>
      </c>
      <c r="I193">
        <v>57.599236872269103</v>
      </c>
      <c r="J193">
        <v>25.738996564031201</v>
      </c>
      <c r="K193">
        <v>15.1486717544259</v>
      </c>
      <c r="L193">
        <v>1.6493076086517143E-3</v>
      </c>
      <c r="M193">
        <v>4.0993287200160022E-4</v>
      </c>
      <c r="N193" s="1">
        <v>4.7567966616653304E-6</v>
      </c>
      <c r="O193" s="1">
        <v>8.6670149615203499E-6</v>
      </c>
      <c r="P193" s="1">
        <v>-1.89846792835888E-5</v>
      </c>
      <c r="AE193">
        <v>100</v>
      </c>
      <c r="AJ193">
        <v>1</v>
      </c>
    </row>
    <row r="194" spans="1:36" x14ac:dyDescent="0.2">
      <c r="A194">
        <v>193</v>
      </c>
      <c r="B194">
        <v>754</v>
      </c>
      <c r="C194">
        <v>180</v>
      </c>
      <c r="D194">
        <v>0.402142335588766</v>
      </c>
      <c r="E194">
        <v>9.1913552470641005</v>
      </c>
      <c r="F194">
        <v>0.42633733786946298</v>
      </c>
      <c r="G194">
        <v>-200.70156293539463</v>
      </c>
      <c r="H194">
        <v>-116.30362889734984</v>
      </c>
      <c r="I194">
        <v>82.172218172546295</v>
      </c>
      <c r="J194">
        <v>36.815062356169697</v>
      </c>
      <c r="K194">
        <v>21.558879391131999</v>
      </c>
      <c r="L194">
        <v>1.6541080306075972E-3</v>
      </c>
      <c r="M194">
        <v>4.0877122888368126E-4</v>
      </c>
      <c r="N194" s="1">
        <v>7.3725526826645198E-6</v>
      </c>
      <c r="O194" s="1">
        <v>1.23106393207846E-5</v>
      </c>
      <c r="P194" s="1">
        <v>-2.7178962083190099E-5</v>
      </c>
      <c r="AE194">
        <v>100</v>
      </c>
      <c r="AJ194">
        <v>1</v>
      </c>
    </row>
    <row r="195" spans="1:36" x14ac:dyDescent="0.2">
      <c r="A195">
        <v>194</v>
      </c>
      <c r="B195">
        <v>752</v>
      </c>
      <c r="C195">
        <v>180</v>
      </c>
      <c r="D195">
        <v>0.40083938935765601</v>
      </c>
      <c r="E195">
        <v>9.8477477070309192</v>
      </c>
      <c r="F195">
        <v>0.42775213401262102</v>
      </c>
      <c r="G195">
        <v>-214.85848249291814</v>
      </c>
      <c r="H195">
        <v>-124.68830537723805</v>
      </c>
      <c r="I195">
        <v>87.963529826502494</v>
      </c>
      <c r="J195">
        <v>39.512099872007298</v>
      </c>
      <c r="K195">
        <v>23.022089018357399</v>
      </c>
      <c r="L195">
        <v>1.6588835532679212E-3</v>
      </c>
      <c r="M195">
        <v>4.0759470247218329E-4</v>
      </c>
      <c r="N195" s="1">
        <v>8.5317022614552798E-6</v>
      </c>
      <c r="O195" s="1">
        <v>1.31199715917355E-5</v>
      </c>
      <c r="P195" s="1">
        <v>-2.9195548794220399E-5</v>
      </c>
      <c r="AE195">
        <v>100</v>
      </c>
      <c r="AJ195">
        <v>1</v>
      </c>
    </row>
    <row r="196" spans="1:36" x14ac:dyDescent="0.2">
      <c r="A196">
        <v>195</v>
      </c>
      <c r="B196">
        <v>750</v>
      </c>
      <c r="C196">
        <v>180</v>
      </c>
      <c r="D196">
        <v>0.39953134926452799</v>
      </c>
      <c r="E196">
        <v>10.1104483683834</v>
      </c>
      <c r="F196">
        <v>0.42917571301981799</v>
      </c>
      <c r="G196">
        <v>-220.40955324988661</v>
      </c>
      <c r="H196">
        <v>-128.09571980951347</v>
      </c>
      <c r="I196">
        <v>90.2307767773856</v>
      </c>
      <c r="J196">
        <v>40.635934418951699</v>
      </c>
      <c r="K196">
        <v>23.557829722569899</v>
      </c>
      <c r="L196">
        <v>1.6636327940927869E-3</v>
      </c>
      <c r="M196">
        <v>4.0640318817016419E-4</v>
      </c>
      <c r="N196" s="1">
        <v>9.4197681001169396E-6</v>
      </c>
      <c r="O196" s="1">
        <v>1.3397720073308899E-5</v>
      </c>
      <c r="P196" s="1">
        <v>-3.0050998197395999E-5</v>
      </c>
      <c r="AE196">
        <v>100</v>
      </c>
      <c r="AJ196">
        <v>1</v>
      </c>
    </row>
    <row r="197" spans="1:36" x14ac:dyDescent="0.2">
      <c r="A197">
        <v>196</v>
      </c>
      <c r="B197">
        <v>748</v>
      </c>
      <c r="C197">
        <v>180</v>
      </c>
      <c r="D197">
        <v>0.39821818537923098</v>
      </c>
      <c r="E197">
        <v>10.2598258207233</v>
      </c>
      <c r="F197">
        <v>0.43060810804793997</v>
      </c>
      <c r="G197">
        <v>-223.48296090347975</v>
      </c>
      <c r="H197">
        <v>-130.07082154483786</v>
      </c>
      <c r="I197">
        <v>91.483142203400007</v>
      </c>
      <c r="J197">
        <v>41.307199504917797</v>
      </c>
      <c r="K197">
        <v>23.826364689772898</v>
      </c>
      <c r="L197">
        <v>1.6683543492933231E-3</v>
      </c>
      <c r="M197">
        <v>4.05196585097596E-4</v>
      </c>
      <c r="N197" s="1">
        <v>1.0240252579298101E-5</v>
      </c>
      <c r="O197" s="1">
        <v>1.35217833735574E-5</v>
      </c>
      <c r="P197" s="1">
        <v>-3.0571645290081002E-5</v>
      </c>
      <c r="AE197">
        <v>100</v>
      </c>
      <c r="AJ197">
        <v>1</v>
      </c>
    </row>
    <row r="198" spans="1:36" x14ac:dyDescent="0.2">
      <c r="A198">
        <v>197</v>
      </c>
      <c r="B198">
        <v>746</v>
      </c>
      <c r="C198">
        <v>180</v>
      </c>
      <c r="D198">
        <v>0.396899867536674</v>
      </c>
      <c r="E198">
        <v>10.355924284644701</v>
      </c>
      <c r="F198">
        <v>0.43204935116170301</v>
      </c>
      <c r="G198">
        <v>-225.39161154390007</v>
      </c>
      <c r="H198">
        <v>-131.37258721913852</v>
      </c>
      <c r="I198">
        <v>92.258205976121104</v>
      </c>
      <c r="J198">
        <v>41.765694882115703</v>
      </c>
      <c r="K198">
        <v>23.969308730124201</v>
      </c>
      <c r="L198">
        <v>1.6730467943248189E-3</v>
      </c>
      <c r="M198">
        <v>4.039747962920491E-4</v>
      </c>
      <c r="N198" s="1">
        <v>1.10350039710505E-5</v>
      </c>
      <c r="O198" s="1">
        <v>1.3573278790613E-5</v>
      </c>
      <c r="P198" s="1">
        <v>-3.0934195992040901E-5</v>
      </c>
      <c r="AE198">
        <v>100</v>
      </c>
      <c r="AJ198">
        <v>1</v>
      </c>
    </row>
    <row r="199" spans="1:36" x14ac:dyDescent="0.2">
      <c r="A199">
        <v>198</v>
      </c>
      <c r="B199">
        <v>744</v>
      </c>
      <c r="C199">
        <v>180</v>
      </c>
      <c r="D199">
        <v>0.39557636533451601</v>
      </c>
      <c r="E199">
        <v>10.4238516221916</v>
      </c>
      <c r="F199">
        <v>0.43349947329421301</v>
      </c>
      <c r="G199">
        <v>-226.68437261627088</v>
      </c>
      <c r="H199">
        <v>-132.3184473025272</v>
      </c>
      <c r="I199">
        <v>92.780701451840599</v>
      </c>
      <c r="J199">
        <v>42.111737029324203</v>
      </c>
      <c r="K199">
        <v>24.045823038675401</v>
      </c>
      <c r="L199">
        <v>1.6777086844237182E-3</v>
      </c>
      <c r="M199">
        <v>4.0273772891197957E-4</v>
      </c>
      <c r="N199" s="1">
        <v>1.18219696515021E-5</v>
      </c>
      <c r="O199" s="1">
        <v>1.35860705043901E-5</v>
      </c>
      <c r="P199" s="1">
        <v>-3.1212556926926802E-5</v>
      </c>
      <c r="AE199">
        <v>100</v>
      </c>
      <c r="AJ199">
        <v>1</v>
      </c>
    </row>
    <row r="200" spans="1:36" x14ac:dyDescent="0.2">
      <c r="A200">
        <v>199</v>
      </c>
      <c r="B200">
        <v>742</v>
      </c>
      <c r="C200">
        <v>180</v>
      </c>
      <c r="D200">
        <v>0.39424764813081797</v>
      </c>
      <c r="E200">
        <v>10.474977347156299</v>
      </c>
      <c r="F200">
        <v>0.43495850420724302</v>
      </c>
      <c r="G200">
        <v>-227.60980020044337</v>
      </c>
      <c r="H200">
        <v>-133.05213683211721</v>
      </c>
      <c r="I200">
        <v>93.152398949516297</v>
      </c>
      <c r="J200">
        <v>42.390738471019297</v>
      </c>
      <c r="K200">
        <v>24.0827050071088</v>
      </c>
      <c r="L200">
        <v>1.6823385551888912E-3</v>
      </c>
      <c r="M200">
        <v>4.0148529444228705E-4</v>
      </c>
      <c r="N200" s="1">
        <v>1.2609196791566E-5</v>
      </c>
      <c r="O200" s="1">
        <v>1.35754958759226E-5</v>
      </c>
      <c r="P200" s="1">
        <v>-3.1440149319528297E-5</v>
      </c>
      <c r="AE200">
        <v>100</v>
      </c>
      <c r="AJ200">
        <v>1</v>
      </c>
    </row>
    <row r="201" spans="1:36" x14ac:dyDescent="0.2">
      <c r="A201">
        <v>200</v>
      </c>
      <c r="B201">
        <v>740</v>
      </c>
      <c r="C201">
        <v>180</v>
      </c>
      <c r="D201">
        <v>0.39291368504170499</v>
      </c>
      <c r="E201">
        <v>10.515175738167301</v>
      </c>
      <c r="F201">
        <v>0.436426472451306</v>
      </c>
      <c r="G201">
        <v>-228.29633145325855</v>
      </c>
      <c r="H201">
        <v>-133.64791242569902</v>
      </c>
      <c r="I201">
        <v>93.425886055196798</v>
      </c>
      <c r="J201">
        <v>42.6261490557389</v>
      </c>
      <c r="K201">
        <v>24.093808240150999</v>
      </c>
      <c r="L201">
        <v>1.6869349232087705E-3</v>
      </c>
      <c r="M201">
        <v>4.0021740890200245E-4</v>
      </c>
      <c r="N201" s="1">
        <v>1.34007510245298E-5</v>
      </c>
      <c r="O201" s="1">
        <v>1.35494833190184E-5</v>
      </c>
      <c r="P201" s="1">
        <v>-3.1634198537564097E-5</v>
      </c>
      <c r="AE201">
        <v>100</v>
      </c>
      <c r="AJ201">
        <v>1</v>
      </c>
    </row>
    <row r="202" spans="1:36" x14ac:dyDescent="0.2">
      <c r="A202">
        <v>201</v>
      </c>
      <c r="B202">
        <v>768</v>
      </c>
      <c r="C202">
        <v>170</v>
      </c>
      <c r="D202">
        <v>0.42168803726648402</v>
      </c>
      <c r="E202">
        <v>5.9689948384570197</v>
      </c>
      <c r="F202">
        <v>0.39882731986338499</v>
      </c>
      <c r="G202">
        <v>-131.23414251322288</v>
      </c>
      <c r="H202">
        <v>-75.091883232964619</v>
      </c>
      <c r="I202">
        <v>53.926595692881001</v>
      </c>
      <c r="J202">
        <v>23.631317860822399</v>
      </c>
      <c r="K202">
        <v>14.966363990565201</v>
      </c>
      <c r="L202">
        <v>1.6733037801734685E-3</v>
      </c>
      <c r="M202">
        <v>4.6007991625810992E-4</v>
      </c>
      <c r="N202" s="1">
        <v>-5.8431609326865195E-7</v>
      </c>
      <c r="O202" s="1">
        <v>1.01532218156412E-5</v>
      </c>
      <c r="P202" s="1">
        <v>-1.9438138978754499E-5</v>
      </c>
      <c r="AE202">
        <v>100</v>
      </c>
      <c r="AJ202">
        <v>1</v>
      </c>
    </row>
    <row r="203" spans="1:36" x14ac:dyDescent="0.2">
      <c r="A203">
        <v>202</v>
      </c>
      <c r="B203">
        <v>766</v>
      </c>
      <c r="C203">
        <v>170</v>
      </c>
      <c r="D203">
        <v>0.42044026367704701</v>
      </c>
      <c r="E203">
        <v>5.9906992467990801</v>
      </c>
      <c r="F203">
        <v>0.40016654528419399</v>
      </c>
      <c r="G203">
        <v>-131.60313523888544</v>
      </c>
      <c r="H203">
        <v>-75.41241059205224</v>
      </c>
      <c r="I203">
        <v>54.077036898246902</v>
      </c>
      <c r="J203">
        <v>23.761670620681201</v>
      </c>
      <c r="K203">
        <v>14.9705149453324</v>
      </c>
      <c r="L203">
        <v>1.6789775195979457E-3</v>
      </c>
      <c r="M203">
        <v>4.5901410019780474E-4</v>
      </c>
      <c r="N203" s="1">
        <v>-2.3469029346016499E-7</v>
      </c>
      <c r="O203" s="1">
        <v>1.0144760974213899E-5</v>
      </c>
      <c r="P203" s="1">
        <v>-1.9575013689475001E-5</v>
      </c>
      <c r="AE203">
        <v>100</v>
      </c>
      <c r="AJ203">
        <v>1</v>
      </c>
    </row>
    <row r="204" spans="1:36" x14ac:dyDescent="0.2">
      <c r="A204">
        <v>203</v>
      </c>
      <c r="B204">
        <v>764</v>
      </c>
      <c r="C204">
        <v>170</v>
      </c>
      <c r="D204">
        <v>0.419187677770818</v>
      </c>
      <c r="E204">
        <v>6.0595001947057199</v>
      </c>
      <c r="F204">
        <v>0.40151482018940299</v>
      </c>
      <c r="G204">
        <v>-133.0051983277562</v>
      </c>
      <c r="H204">
        <v>-76.326608209825437</v>
      </c>
      <c r="I204">
        <v>54.651745394627604</v>
      </c>
      <c r="J204">
        <v>24.079651144522401</v>
      </c>
      <c r="K204">
        <v>15.0915978440031</v>
      </c>
      <c r="L204">
        <v>1.6846419057216053E-3</v>
      </c>
      <c r="M204">
        <v>4.579322667338939E-4</v>
      </c>
      <c r="N204" s="1">
        <v>1.2657187227296901E-7</v>
      </c>
      <c r="O204" s="1">
        <v>1.0214991902112899E-5</v>
      </c>
      <c r="P204" s="1">
        <v>-1.9866640563430301E-5</v>
      </c>
      <c r="AE204">
        <v>100</v>
      </c>
      <c r="AJ204">
        <v>1</v>
      </c>
    </row>
    <row r="205" spans="1:36" x14ac:dyDescent="0.2">
      <c r="A205">
        <v>204</v>
      </c>
      <c r="B205">
        <v>762</v>
      </c>
      <c r="C205">
        <v>170</v>
      </c>
      <c r="D205">
        <v>0.41793025165435399</v>
      </c>
      <c r="E205">
        <v>6.2515136914724803</v>
      </c>
      <c r="F205">
        <v>0.40287219761815501</v>
      </c>
      <c r="G205">
        <v>-137.10714911647364</v>
      </c>
      <c r="H205">
        <v>-78.794978473790209</v>
      </c>
      <c r="I205">
        <v>56.335553439312697</v>
      </c>
      <c r="J205">
        <v>24.889352322631499</v>
      </c>
      <c r="K205">
        <v>15.517361903929899</v>
      </c>
      <c r="L205">
        <v>1.6902955904972068E-3</v>
      </c>
      <c r="M205">
        <v>4.5683422972736E-4</v>
      </c>
      <c r="N205" s="1">
        <v>5.1457036497305396E-7</v>
      </c>
      <c r="O205" s="1">
        <v>1.04905454859138E-5</v>
      </c>
      <c r="P205" s="1">
        <v>-2.05649286864783E-5</v>
      </c>
      <c r="AE205">
        <v>100</v>
      </c>
      <c r="AJ205">
        <v>1</v>
      </c>
    </row>
    <row r="206" spans="1:36" x14ac:dyDescent="0.2">
      <c r="A206">
        <v>205</v>
      </c>
      <c r="B206">
        <v>760</v>
      </c>
      <c r="C206">
        <v>170</v>
      </c>
      <c r="D206">
        <v>0.41666795721821598</v>
      </c>
      <c r="E206">
        <v>6.4481249581067601</v>
      </c>
      <c r="F206">
        <v>0.404238729913452</v>
      </c>
      <c r="G206">
        <v>-141.30302944961255</v>
      </c>
      <c r="H206">
        <v>-81.324487690680925</v>
      </c>
      <c r="I206">
        <v>58.057621615441001</v>
      </c>
      <c r="J206">
        <v>25.720406845627799</v>
      </c>
      <c r="K206">
        <v>15.951279481526401</v>
      </c>
      <c r="L206">
        <v>1.6959371927755037E-3</v>
      </c>
      <c r="M206">
        <v>4.5571980456618694E-4</v>
      </c>
      <c r="N206" s="1">
        <v>9.3565068581931098E-7</v>
      </c>
      <c r="O206" s="1">
        <v>1.0770408390957299E-5</v>
      </c>
      <c r="P206" s="1">
        <v>-2.1282393954276899E-5</v>
      </c>
      <c r="AE206">
        <v>100</v>
      </c>
      <c r="AJ206">
        <v>1</v>
      </c>
    </row>
    <row r="207" spans="1:36" x14ac:dyDescent="0.2">
      <c r="A207">
        <v>206</v>
      </c>
      <c r="B207">
        <v>758</v>
      </c>
      <c r="C207">
        <v>170</v>
      </c>
      <c r="D207">
        <v>0.41540076613490101</v>
      </c>
      <c r="E207">
        <v>6.6881225334023</v>
      </c>
      <c r="F207">
        <v>0.40561446867920398</v>
      </c>
      <c r="G207">
        <v>-146.4419070485875</v>
      </c>
      <c r="H207">
        <v>-84.40477011946237</v>
      </c>
      <c r="I207">
        <v>60.1667694162212</v>
      </c>
      <c r="J207">
        <v>26.727935507717</v>
      </c>
      <c r="K207">
        <v>16.4888657822802</v>
      </c>
      <c r="L207">
        <v>1.7015652982788143E-3</v>
      </c>
      <c r="M207">
        <v>4.5458880837791823E-4</v>
      </c>
      <c r="N207" s="1">
        <v>1.3996698956760601E-6</v>
      </c>
      <c r="O207" s="1">
        <v>1.11189146836023E-5</v>
      </c>
      <c r="P207" s="1">
        <v>-2.2147574623422399E-5</v>
      </c>
      <c r="AE207">
        <v>100</v>
      </c>
      <c r="AJ207">
        <v>1</v>
      </c>
    </row>
    <row r="208" spans="1:36" x14ac:dyDescent="0.2">
      <c r="A208">
        <v>207</v>
      </c>
      <c r="B208">
        <v>756</v>
      </c>
      <c r="C208">
        <v>170</v>
      </c>
      <c r="D208">
        <v>0.41412864985667802</v>
      </c>
      <c r="E208">
        <v>9.3732738349027294</v>
      </c>
      <c r="F208">
        <v>0.40699946473637499</v>
      </c>
      <c r="G208">
        <v>-205.06691618625678</v>
      </c>
      <c r="H208">
        <v>-118.36663393683267</v>
      </c>
      <c r="I208">
        <v>84.249765546613503</v>
      </c>
      <c r="J208">
        <v>37.529259054541299</v>
      </c>
      <c r="K208">
        <v>23.030187130526201</v>
      </c>
      <c r="L208">
        <v>1.7071784596172409E-3</v>
      </c>
      <c r="M208">
        <v>4.5344106024958046E-4</v>
      </c>
      <c r="N208" s="1">
        <v>2.5761343994149798E-6</v>
      </c>
      <c r="O208" s="1">
        <v>1.5508934419030299E-5</v>
      </c>
      <c r="P208" s="1">
        <v>-3.1141344064403601E-5</v>
      </c>
      <c r="AE208">
        <v>100</v>
      </c>
      <c r="AJ208">
        <v>1</v>
      </c>
    </row>
    <row r="209" spans="1:36" x14ac:dyDescent="0.2">
      <c r="A209">
        <v>208</v>
      </c>
      <c r="B209">
        <v>754</v>
      </c>
      <c r="C209">
        <v>170</v>
      </c>
      <c r="D209">
        <v>0.412851579613494</v>
      </c>
      <c r="E209">
        <v>9.9178845160055893</v>
      </c>
      <c r="F209">
        <v>0.40839376807824102</v>
      </c>
      <c r="G209">
        <v>-216.80360501061</v>
      </c>
      <c r="H209">
        <v>-125.32352620963104</v>
      </c>
      <c r="I209">
        <v>89.067569900722205</v>
      </c>
      <c r="J209">
        <v>39.784670998837903</v>
      </c>
      <c r="K209">
        <v>24.285102494770399</v>
      </c>
      <c r="L209">
        <v>1.7127751963499764E-3</v>
      </c>
      <c r="M209">
        <v>4.5227638145501562E-4</v>
      </c>
      <c r="N209" s="1">
        <v>3.3898972269745201E-6</v>
      </c>
      <c r="O209" s="1">
        <v>1.6331069051911101E-5</v>
      </c>
      <c r="P209" s="1">
        <v>-3.3058079328016603E-5</v>
      </c>
      <c r="AE209">
        <v>100</v>
      </c>
      <c r="AJ209">
        <v>1</v>
      </c>
    </row>
    <row r="210" spans="1:36" x14ac:dyDescent="0.2">
      <c r="A210">
        <v>209</v>
      </c>
      <c r="B210">
        <v>752</v>
      </c>
      <c r="C210">
        <v>170</v>
      </c>
      <c r="D210">
        <v>0.41156952641076899</v>
      </c>
      <c r="E210">
        <v>10.1521888973499</v>
      </c>
      <c r="F210">
        <v>0.40979742782475498</v>
      </c>
      <c r="G210">
        <v>-221.74320279823715</v>
      </c>
      <c r="H210">
        <v>-128.36574915653495</v>
      </c>
      <c r="I210">
        <v>91.092292198805097</v>
      </c>
      <c r="J210">
        <v>40.801380336538799</v>
      </c>
      <c r="K210">
        <v>24.773676475322802</v>
      </c>
      <c r="L210">
        <v>1.7183539950927341E-3</v>
      </c>
      <c r="M210">
        <v>4.5109459568926319E-4</v>
      </c>
      <c r="N210" s="1">
        <v>4.1640069188564699E-6</v>
      </c>
      <c r="O210" s="1">
        <v>1.6635352360180698E-5</v>
      </c>
      <c r="P210" s="1">
        <v>-3.3948332168955401E-5</v>
      </c>
      <c r="AE210">
        <v>100</v>
      </c>
      <c r="AJ210">
        <v>1</v>
      </c>
    </row>
    <row r="211" spans="1:36" x14ac:dyDescent="0.2">
      <c r="A211">
        <v>210</v>
      </c>
      <c r="B211">
        <v>750</v>
      </c>
      <c r="C211">
        <v>170</v>
      </c>
      <c r="D211">
        <v>0.41028246102722199</v>
      </c>
      <c r="E211">
        <v>10.2862735485669</v>
      </c>
      <c r="F211">
        <v>0.41121049217608702</v>
      </c>
      <c r="G211">
        <v>-224.48735774462401</v>
      </c>
      <c r="H211">
        <v>-130.14389344129384</v>
      </c>
      <c r="I211">
        <v>92.2145831409902</v>
      </c>
      <c r="J211">
        <v>41.4182680106248</v>
      </c>
      <c r="K211">
        <v>25.014618411444001</v>
      </c>
      <c r="L211">
        <v>1.7239133096745055E-3</v>
      </c>
      <c r="M211">
        <v>4.4989552931021118E-4</v>
      </c>
      <c r="N211" s="1">
        <v>4.9367005380858499E-6</v>
      </c>
      <c r="O211" s="1">
        <v>1.6771748844698801E-5</v>
      </c>
      <c r="P211" s="1">
        <v>-3.4506735968356799E-5</v>
      </c>
      <c r="AE211">
        <v>100</v>
      </c>
      <c r="AJ211">
        <v>1</v>
      </c>
    </row>
    <row r="212" spans="1:36" x14ac:dyDescent="0.2">
      <c r="A212">
        <v>211</v>
      </c>
      <c r="B212">
        <v>748</v>
      </c>
      <c r="C212">
        <v>170</v>
      </c>
      <c r="D212">
        <v>0.40899035401263301</v>
      </c>
      <c r="E212">
        <v>10.378379814846999</v>
      </c>
      <c r="F212">
        <v>0.41263300836530997</v>
      </c>
      <c r="G212">
        <v>-226.31148362049939</v>
      </c>
      <c r="H212">
        <v>-131.39289659248567</v>
      </c>
      <c r="I212">
        <v>92.958454854085403</v>
      </c>
      <c r="J212">
        <v>41.868001410972703</v>
      </c>
      <c r="K212">
        <v>25.151598646850999</v>
      </c>
      <c r="L212">
        <v>1.7294515613452198E-3</v>
      </c>
      <c r="M212">
        <v>4.4867901158727742E-4</v>
      </c>
      <c r="N212" s="1">
        <v>5.7197192043204303E-6</v>
      </c>
      <c r="O212" s="1">
        <v>1.6837143146060501E-5</v>
      </c>
      <c r="P212" s="1">
        <v>-3.4925972174495998E-5</v>
      </c>
      <c r="AE212">
        <v>100</v>
      </c>
      <c r="AJ212">
        <v>1</v>
      </c>
    </row>
    <row r="213" spans="1:36" x14ac:dyDescent="0.2">
      <c r="A213">
        <v>212</v>
      </c>
      <c r="B213">
        <v>746</v>
      </c>
      <c r="C213">
        <v>170</v>
      </c>
      <c r="D213">
        <v>0.40769317568562202</v>
      </c>
      <c r="E213">
        <v>10.442516633075501</v>
      </c>
      <c r="F213">
        <v>0.41406502261030798</v>
      </c>
      <c r="G213">
        <v>-227.52307114115544</v>
      </c>
      <c r="H213">
        <v>-132.28921777969524</v>
      </c>
      <c r="I213">
        <v>93.450256793133093</v>
      </c>
      <c r="J213">
        <v>42.2062341922976</v>
      </c>
      <c r="K213">
        <v>25.2195091660843</v>
      </c>
      <c r="L213">
        <v>1.7349671390366099E-3</v>
      </c>
      <c r="M213">
        <v>4.4744487495697457E-4</v>
      </c>
      <c r="N213" s="1">
        <v>6.5132697080083397E-6</v>
      </c>
      <c r="O213" s="1">
        <v>1.6855147055370001E-5</v>
      </c>
      <c r="P213" s="1">
        <v>-3.5251898051092602E-5</v>
      </c>
      <c r="AE213">
        <v>100</v>
      </c>
      <c r="AJ213">
        <v>1</v>
      </c>
    </row>
    <row r="214" spans="1:36" x14ac:dyDescent="0.2">
      <c r="A214">
        <v>213</v>
      </c>
      <c r="B214">
        <v>744</v>
      </c>
      <c r="C214">
        <v>170</v>
      </c>
      <c r="D214">
        <v>0.40639089613134799</v>
      </c>
      <c r="E214">
        <v>10.4910705072858</v>
      </c>
      <c r="F214">
        <v>0.41550658006492303</v>
      </c>
      <c r="G214">
        <v>-228.39328379987444</v>
      </c>
      <c r="H214">
        <v>-132.98919907659234</v>
      </c>
      <c r="I214">
        <v>93.8013944433484</v>
      </c>
      <c r="J214">
        <v>42.482473106792497</v>
      </c>
      <c r="K214">
        <v>25.248867311912701</v>
      </c>
      <c r="L214">
        <v>1.7404583996778055E-3</v>
      </c>
      <c r="M214">
        <v>4.4619295528515462E-4</v>
      </c>
      <c r="N214" s="1">
        <v>7.3202069568558701E-6</v>
      </c>
      <c r="O214" s="1">
        <v>1.6846319085391601E-5</v>
      </c>
      <c r="P214" s="1">
        <v>-3.5525478821995999E-5</v>
      </c>
      <c r="AE214">
        <v>100</v>
      </c>
      <c r="AJ214">
        <v>1</v>
      </c>
    </row>
    <row r="215" spans="1:36" x14ac:dyDescent="0.2">
      <c r="A215">
        <v>214</v>
      </c>
      <c r="B215">
        <v>742</v>
      </c>
      <c r="C215">
        <v>170</v>
      </c>
      <c r="D215">
        <v>0.40508348519923099</v>
      </c>
      <c r="E215">
        <v>10.529404815475299</v>
      </c>
      <c r="F215">
        <v>0.41695772476933901</v>
      </c>
      <c r="G215">
        <v>-229.03962713467064</v>
      </c>
      <c r="H215">
        <v>-133.56049659899296</v>
      </c>
      <c r="I215">
        <v>94.060144912271696</v>
      </c>
      <c r="J215">
        <v>42.718107419393398</v>
      </c>
      <c r="K215">
        <v>25.2529313884285</v>
      </c>
      <c r="L215">
        <v>1.7459236685688989E-3</v>
      </c>
      <c r="M215">
        <v>4.449230921360082E-4</v>
      </c>
      <c r="N215" s="1">
        <v>8.1414434766290298E-6</v>
      </c>
      <c r="O215" s="1">
        <v>1.68195957021839E-5</v>
      </c>
      <c r="P215" s="1">
        <v>-3.5764349197652502E-5</v>
      </c>
      <c r="AE215">
        <v>100</v>
      </c>
      <c r="AJ215">
        <v>1</v>
      </c>
    </row>
    <row r="216" spans="1:36" x14ac:dyDescent="0.2">
      <c r="A216">
        <v>215</v>
      </c>
      <c r="B216">
        <v>772</v>
      </c>
      <c r="C216">
        <v>160</v>
      </c>
      <c r="D216">
        <v>0.43469406305315</v>
      </c>
      <c r="E216">
        <v>6.1352215911494001</v>
      </c>
      <c r="F216">
        <v>0.37735824299307802</v>
      </c>
      <c r="G216">
        <v>-135.26932326449241</v>
      </c>
      <c r="H216">
        <v>-76.964950460375107</v>
      </c>
      <c r="I216">
        <v>55.789009955181001</v>
      </c>
      <c r="J216">
        <v>24.165942280141302</v>
      </c>
      <c r="K216">
        <v>16.258347883133201</v>
      </c>
      <c r="L216">
        <v>1.7123299107978331E-3</v>
      </c>
      <c r="M216">
        <v>5.122988668865994E-4</v>
      </c>
      <c r="N216" s="1">
        <v>-5.1739639400642102E-6</v>
      </c>
      <c r="O216" s="1">
        <v>1.30197349329115E-5</v>
      </c>
      <c r="P216" s="1">
        <v>-2.2258352054627901E-5</v>
      </c>
      <c r="AE216">
        <v>100</v>
      </c>
      <c r="AJ216">
        <v>1</v>
      </c>
    </row>
    <row r="217" spans="1:36" x14ac:dyDescent="0.2">
      <c r="A217">
        <v>216</v>
      </c>
      <c r="B217">
        <v>770</v>
      </c>
      <c r="C217">
        <v>160</v>
      </c>
      <c r="D217">
        <v>0.43347601016152998</v>
      </c>
      <c r="E217">
        <v>6.1598853541606999</v>
      </c>
      <c r="F217">
        <v>0.37865524418014701</v>
      </c>
      <c r="G217">
        <v>-135.70112966508989</v>
      </c>
      <c r="H217">
        <v>-77.322926864364618</v>
      </c>
      <c r="I217">
        <v>55.966762081565598</v>
      </c>
      <c r="J217">
        <v>24.312094141641801</v>
      </c>
      <c r="K217">
        <v>16.2677935901769</v>
      </c>
      <c r="L217">
        <v>1.7188331566194309E-3</v>
      </c>
      <c r="M217">
        <v>5.1130676348498639E-4</v>
      </c>
      <c r="N217" s="1">
        <v>-4.8550655115338004E-6</v>
      </c>
      <c r="O217" s="1">
        <v>1.3020532468185299E-5</v>
      </c>
      <c r="P217" s="1">
        <v>-2.2435877356084499E-5</v>
      </c>
      <c r="AE217">
        <v>100</v>
      </c>
      <c r="AJ217">
        <v>1</v>
      </c>
    </row>
    <row r="218" spans="1:36" x14ac:dyDescent="0.2">
      <c r="A218">
        <v>217</v>
      </c>
      <c r="B218">
        <v>768</v>
      </c>
      <c r="C218">
        <v>160</v>
      </c>
      <c r="D218">
        <v>0.43225327762570398</v>
      </c>
      <c r="E218">
        <v>6.2069353210673901</v>
      </c>
      <c r="F218">
        <v>0.37996164692817702</v>
      </c>
      <c r="G218">
        <v>-136.62489023713678</v>
      </c>
      <c r="H218">
        <v>-77.96257412330479</v>
      </c>
      <c r="I218">
        <v>56.347181581301598</v>
      </c>
      <c r="J218">
        <v>24.5474191733352</v>
      </c>
      <c r="K218">
        <v>16.3356890655878</v>
      </c>
      <c r="L218">
        <v>1.7253408236971132E-3</v>
      </c>
      <c r="M218">
        <v>5.1029754770829468E-4</v>
      </c>
      <c r="N218" s="1">
        <v>-4.5400933168136597E-6</v>
      </c>
      <c r="O218" s="1">
        <v>1.30676189473041E-5</v>
      </c>
      <c r="P218" s="1">
        <v>-2.2696257810444801E-5</v>
      </c>
      <c r="AE218">
        <v>100</v>
      </c>
      <c r="AJ218">
        <v>1</v>
      </c>
    </row>
    <row r="219" spans="1:36" x14ac:dyDescent="0.2">
      <c r="A219">
        <v>218</v>
      </c>
      <c r="B219">
        <v>766</v>
      </c>
      <c r="C219">
        <v>160</v>
      </c>
      <c r="D219">
        <v>0.43102583842564002</v>
      </c>
      <c r="E219">
        <v>6.3140589241269396</v>
      </c>
      <c r="F219">
        <v>0.38127752061064002</v>
      </c>
      <c r="G219">
        <v>-138.86826624613104</v>
      </c>
      <c r="H219">
        <v>-79.35809924459258</v>
      </c>
      <c r="I219">
        <v>57.271597261013703</v>
      </c>
      <c r="J219">
        <v>25.021804741756998</v>
      </c>
      <c r="K219">
        <v>16.5602706239134</v>
      </c>
      <c r="L219">
        <v>1.731851622920795E-3</v>
      </c>
      <c r="M219">
        <v>5.0927095986845353E-4</v>
      </c>
      <c r="N219" s="1">
        <v>-4.2502337189419702E-6</v>
      </c>
      <c r="O219" s="1">
        <v>1.3239432779223599E-5</v>
      </c>
      <c r="P219" s="1">
        <v>-2.3178782488039002E-5</v>
      </c>
      <c r="AE219">
        <v>100</v>
      </c>
      <c r="AJ219">
        <v>1</v>
      </c>
    </row>
    <row r="220" spans="1:36" x14ac:dyDescent="0.2">
      <c r="A220">
        <v>219</v>
      </c>
      <c r="B220">
        <v>764</v>
      </c>
      <c r="C220">
        <v>160</v>
      </c>
      <c r="D220">
        <v>0.42979366533288699</v>
      </c>
      <c r="E220">
        <v>6.49923750228408</v>
      </c>
      <c r="F220">
        <v>0.38260293423840902</v>
      </c>
      <c r="G220">
        <v>-142.82313875751504</v>
      </c>
      <c r="H220">
        <v>-81.737075505928672</v>
      </c>
      <c r="I220">
        <v>58.901588501551402</v>
      </c>
      <c r="J220">
        <v>25.808108081455501</v>
      </c>
      <c r="K220">
        <v>16.986899264693701</v>
      </c>
      <c r="L220">
        <v>1.7383642224943904E-3</v>
      </c>
      <c r="M220">
        <v>5.0822673948264869E-4</v>
      </c>
      <c r="N220" s="1">
        <v>-3.9853362876273302E-6</v>
      </c>
      <c r="O220" s="1">
        <v>1.3571958058776001E-5</v>
      </c>
      <c r="P220" s="1">
        <v>-2.3952292442439199E-5</v>
      </c>
      <c r="AE220">
        <v>100</v>
      </c>
      <c r="AJ220">
        <v>1</v>
      </c>
    </row>
    <row r="221" spans="1:36" x14ac:dyDescent="0.2">
      <c r="A221">
        <v>220</v>
      </c>
      <c r="B221">
        <v>762</v>
      </c>
      <c r="C221">
        <v>160</v>
      </c>
      <c r="D221">
        <v>0.428556730908567</v>
      </c>
      <c r="E221">
        <v>6.6901496885963603</v>
      </c>
      <c r="F221">
        <v>0.383937956415563</v>
      </c>
      <c r="G221">
        <v>-146.89729209794103</v>
      </c>
      <c r="H221">
        <v>-84.191252066900304</v>
      </c>
      <c r="I221">
        <v>60.580465193947497</v>
      </c>
      <c r="J221">
        <v>26.620463310945699</v>
      </c>
      <c r="K221">
        <v>17.425080216229301</v>
      </c>
      <c r="L221">
        <v>1.7448772473763737E-3</v>
      </c>
      <c r="M221">
        <v>5.0716462546834633E-4</v>
      </c>
      <c r="N221" s="1">
        <v>-3.6904146497077002E-6</v>
      </c>
      <c r="O221" s="1">
        <v>1.39127374264383E-5</v>
      </c>
      <c r="P221" s="1">
        <v>-2.4752570367590099E-5</v>
      </c>
      <c r="AE221">
        <v>100</v>
      </c>
      <c r="AJ221">
        <v>1</v>
      </c>
    </row>
    <row r="222" spans="1:36" x14ac:dyDescent="0.2">
      <c r="A222">
        <v>221</v>
      </c>
      <c r="B222">
        <v>760</v>
      </c>
      <c r="C222">
        <v>160</v>
      </c>
      <c r="D222">
        <v>0.427315007501331</v>
      </c>
      <c r="E222">
        <v>8.0109350319227595</v>
      </c>
      <c r="F222">
        <v>0.38528265529379602</v>
      </c>
      <c r="G222">
        <v>-175.75308749788664</v>
      </c>
      <c r="H222">
        <v>-100.87630738003395</v>
      </c>
      <c r="I222">
        <v>72.478695704211106</v>
      </c>
      <c r="J222">
        <v>31.941192072465</v>
      </c>
      <c r="K222">
        <v>20.792358342251401</v>
      </c>
      <c r="L222">
        <v>1.7513892787528222E-3</v>
      </c>
      <c r="M222">
        <v>5.0608435634918406E-4</v>
      </c>
      <c r="N222" s="1">
        <v>-3.9123091864077996E-6</v>
      </c>
      <c r="O222" s="1">
        <v>1.65895022742723E-5</v>
      </c>
      <c r="P222" s="1">
        <v>-2.9755271572993801E-5</v>
      </c>
      <c r="AE222">
        <v>100</v>
      </c>
      <c r="AJ222">
        <v>1</v>
      </c>
    </row>
    <row r="223" spans="1:36" x14ac:dyDescent="0.2">
      <c r="A223">
        <v>222</v>
      </c>
      <c r="B223">
        <v>758</v>
      </c>
      <c r="C223">
        <v>160</v>
      </c>
      <c r="D223">
        <v>0.426068467245311</v>
      </c>
      <c r="E223">
        <v>9.5913325637867608</v>
      </c>
      <c r="F223">
        <v>0.38663709852535999</v>
      </c>
      <c r="G223">
        <v>-210.25218203494182</v>
      </c>
      <c r="H223">
        <v>-120.85375219412229</v>
      </c>
      <c r="I223">
        <v>86.703116510971</v>
      </c>
      <c r="J223">
        <v>38.3210132358683</v>
      </c>
      <c r="K223">
        <v>24.807067403433901</v>
      </c>
      <c r="L223">
        <v>1.7578988535455798E-3</v>
      </c>
      <c r="M223">
        <v>5.0498567047195736E-4</v>
      </c>
      <c r="N223" s="1">
        <v>-4.06130009745654E-6</v>
      </c>
      <c r="O223" s="1">
        <v>1.9777830758615001E-5</v>
      </c>
      <c r="P223" s="1">
        <v>-3.57644599048186E-5</v>
      </c>
      <c r="AE223">
        <v>100</v>
      </c>
      <c r="AJ223">
        <v>1</v>
      </c>
    </row>
    <row r="224" spans="1:36" x14ac:dyDescent="0.2">
      <c r="A224">
        <v>223</v>
      </c>
      <c r="B224">
        <v>756</v>
      </c>
      <c r="C224">
        <v>160</v>
      </c>
      <c r="D224">
        <v>0.424817082058009</v>
      </c>
      <c r="E224">
        <v>10.0088115208767</v>
      </c>
      <c r="F224">
        <v>0.38800135321459001</v>
      </c>
      <c r="G224">
        <v>-219.22288717110723</v>
      </c>
      <c r="H224">
        <v>-126.1941761349041</v>
      </c>
      <c r="I224">
        <v>90.399299123321896</v>
      </c>
      <c r="J224">
        <v>40.071215522451098</v>
      </c>
      <c r="K224">
        <v>25.7958160144385</v>
      </c>
      <c r="L224">
        <v>1.7644044639589746E-3</v>
      </c>
      <c r="M224">
        <v>5.0386830623493344E-4</v>
      </c>
      <c r="N224" s="1">
        <v>-3.5710197647142998E-6</v>
      </c>
      <c r="O224" s="1">
        <v>2.0549788566832702E-5</v>
      </c>
      <c r="P224" s="1">
        <v>-3.7466430479598498E-5</v>
      </c>
      <c r="AE224">
        <v>100</v>
      </c>
      <c r="AJ224">
        <v>1</v>
      </c>
    </row>
    <row r="225" spans="1:36" x14ac:dyDescent="0.2">
      <c r="A225">
        <v>224</v>
      </c>
      <c r="B225">
        <v>754</v>
      </c>
      <c r="C225">
        <v>160</v>
      </c>
      <c r="D225">
        <v>0.42356082363822201</v>
      </c>
      <c r="E225">
        <v>10.206457410554</v>
      </c>
      <c r="F225">
        <v>0.38937548586800802</v>
      </c>
      <c r="G225">
        <v>-223.36763354344663</v>
      </c>
      <c r="H225">
        <v>-128.76796547913119</v>
      </c>
      <c r="I225">
        <v>92.104861827380603</v>
      </c>
      <c r="J225">
        <v>40.9466814784709</v>
      </c>
      <c r="K225">
        <v>26.212377977009499</v>
      </c>
      <c r="L225">
        <v>1.7709045570686978E-3</v>
      </c>
      <c r="M225">
        <v>5.0273200232789285E-4</v>
      </c>
      <c r="N225" s="1">
        <v>-2.9436442641968798E-6</v>
      </c>
      <c r="O225" s="1">
        <v>2.0864116306770901E-5</v>
      </c>
      <c r="P225" s="1">
        <v>-3.8354495500095597E-5</v>
      </c>
      <c r="AE225">
        <v>100</v>
      </c>
      <c r="AJ225">
        <v>1</v>
      </c>
    </row>
    <row r="226" spans="1:36" x14ac:dyDescent="0.2">
      <c r="A226">
        <v>225</v>
      </c>
      <c r="B226">
        <v>752</v>
      </c>
      <c r="C226">
        <v>160</v>
      </c>
      <c r="D226">
        <v>0.42229966346388498</v>
      </c>
      <c r="E226">
        <v>10.3244814338151</v>
      </c>
      <c r="F226">
        <v>0.39075956234294801</v>
      </c>
      <c r="G226">
        <v>-225.76432224552275</v>
      </c>
      <c r="H226">
        <v>-130.33992046954285</v>
      </c>
      <c r="I226">
        <v>93.0891187418935</v>
      </c>
      <c r="J226">
        <v>41.505644783069897</v>
      </c>
      <c r="K226">
        <v>26.421570778487801</v>
      </c>
      <c r="L226">
        <v>1.7773975344548155E-3</v>
      </c>
      <c r="M226">
        <v>5.0157649798372749E-4</v>
      </c>
      <c r="N226" s="1">
        <v>-2.2536448877535E-6</v>
      </c>
      <c r="O226" s="1">
        <v>2.101201497334E-5</v>
      </c>
      <c r="P226" s="1">
        <v>-3.8947944463638297E-5</v>
      </c>
      <c r="AE226">
        <v>100</v>
      </c>
      <c r="AJ226">
        <v>1</v>
      </c>
    </row>
    <row r="227" spans="1:36" x14ac:dyDescent="0.2">
      <c r="A227">
        <v>226</v>
      </c>
      <c r="B227">
        <v>750</v>
      </c>
      <c r="C227">
        <v>160</v>
      </c>
      <c r="D227">
        <v>0.42103357278991599</v>
      </c>
      <c r="E227">
        <v>10.4070548102292</v>
      </c>
      <c r="F227">
        <v>0.392153647794793</v>
      </c>
      <c r="G227">
        <v>-227.38235983751568</v>
      </c>
      <c r="H227">
        <v>-131.46611771509617</v>
      </c>
      <c r="I227">
        <v>93.751842523821793</v>
      </c>
      <c r="J227">
        <v>41.924066420566</v>
      </c>
      <c r="K227">
        <v>26.538207329579699</v>
      </c>
      <c r="L227">
        <v>1.78388175188346E-3</v>
      </c>
      <c r="M227">
        <v>5.0040153324205125E-4</v>
      </c>
      <c r="N227" s="1">
        <v>-1.5234211992586199E-6</v>
      </c>
      <c r="O227" s="1">
        <v>2.1085092995179701E-5</v>
      </c>
      <c r="P227" s="1">
        <v>-3.9410507273331099E-5</v>
      </c>
      <c r="AE227">
        <v>100</v>
      </c>
      <c r="AJ227">
        <v>1</v>
      </c>
    </row>
    <row r="228" spans="1:36" x14ac:dyDescent="0.2">
      <c r="A228">
        <v>227</v>
      </c>
      <c r="B228">
        <v>748</v>
      </c>
      <c r="C228">
        <v>160</v>
      </c>
      <c r="D228">
        <v>0.41976252264603803</v>
      </c>
      <c r="E228">
        <v>10.465919746786399</v>
      </c>
      <c r="F228">
        <v>0.39355780662275103</v>
      </c>
      <c r="G228">
        <v>-228.48001029846483</v>
      </c>
      <c r="H228">
        <v>-132.29413296494798</v>
      </c>
      <c r="I228">
        <v>94.199546173898995</v>
      </c>
      <c r="J228">
        <v>42.2484568337821</v>
      </c>
      <c r="K228">
        <v>26.593094002118601</v>
      </c>
      <c r="L228">
        <v>1.7903555190399935E-3</v>
      </c>
      <c r="M228">
        <v>4.9920684922487876E-4</v>
      </c>
      <c r="N228" s="1">
        <v>-7.6084502154121099E-7</v>
      </c>
      <c r="O228" s="1">
        <v>2.1107966719173201E-5</v>
      </c>
      <c r="P228" s="1">
        <v>-3.9785197891765101E-5</v>
      </c>
      <c r="AE228">
        <v>100</v>
      </c>
      <c r="AJ228">
        <v>1</v>
      </c>
    </row>
    <row r="229" spans="1:36" x14ac:dyDescent="0.2">
      <c r="A229">
        <v>228</v>
      </c>
      <c r="B229">
        <v>746</v>
      </c>
      <c r="C229">
        <v>160</v>
      </c>
      <c r="D229">
        <v>0.41848648383456999</v>
      </c>
      <c r="E229">
        <v>10.510930699512899</v>
      </c>
      <c r="F229">
        <v>0.39497210241423403</v>
      </c>
      <c r="G229">
        <v>-229.27351189748401</v>
      </c>
      <c r="H229">
        <v>-132.94804069742534</v>
      </c>
      <c r="I229">
        <v>94.521401363930707</v>
      </c>
      <c r="J229">
        <v>42.518076142981002</v>
      </c>
      <c r="K229">
        <v>26.611830646432399</v>
      </c>
      <c r="L229">
        <v>1.7968170993169954E-3</v>
      </c>
      <c r="M229">
        <v>4.979921884243646E-4</v>
      </c>
      <c r="N229" s="1">
        <v>2.93663474751552E-8</v>
      </c>
      <c r="O229" s="1">
        <v>2.1101043642029101E-5</v>
      </c>
      <c r="P229" s="1">
        <v>-4.0108504693634801E-5</v>
      </c>
      <c r="AE229">
        <v>100</v>
      </c>
      <c r="AJ229">
        <v>1</v>
      </c>
    </row>
    <row r="230" spans="1:36" x14ac:dyDescent="0.2">
      <c r="A230">
        <v>229</v>
      </c>
      <c r="B230">
        <v>744</v>
      </c>
      <c r="C230">
        <v>160</v>
      </c>
      <c r="D230">
        <v>0.41720542692818402</v>
      </c>
      <c r="E230">
        <v>10.546725306878701</v>
      </c>
      <c r="F230">
        <v>0.39639659788782899</v>
      </c>
      <c r="G230">
        <v>-229.86469208784797</v>
      </c>
      <c r="H230">
        <v>-133.48620479596531</v>
      </c>
      <c r="I230">
        <v>94.7593990814987</v>
      </c>
      <c r="J230">
        <v>42.751364032401703</v>
      </c>
      <c r="K230">
        <v>26.606498045331801</v>
      </c>
      <c r="L230">
        <v>1.803264709661345E-3</v>
      </c>
      <c r="M230">
        <v>4.9675729500296315E-4</v>
      </c>
      <c r="N230" s="1">
        <v>8.4486049282874296E-7</v>
      </c>
      <c r="O230" s="1">
        <v>2.10739493273422E-5</v>
      </c>
      <c r="P230" s="1">
        <v>-4.03975017817166E-5</v>
      </c>
      <c r="AE230">
        <v>100</v>
      </c>
      <c r="AJ230">
        <v>1</v>
      </c>
    </row>
    <row r="231" spans="1:36" x14ac:dyDescent="0.2">
      <c r="A231">
        <v>230</v>
      </c>
      <c r="B231">
        <v>776</v>
      </c>
      <c r="C231">
        <v>150</v>
      </c>
      <c r="D231">
        <v>0.447600915026452</v>
      </c>
      <c r="E231">
        <v>6.3064355382094002</v>
      </c>
      <c r="F231">
        <v>0.35500396313718702</v>
      </c>
      <c r="G231">
        <v>-139.44664929908473</v>
      </c>
      <c r="H231">
        <v>-78.874090549373847</v>
      </c>
      <c r="I231">
        <v>57.738328817981497</v>
      </c>
      <c r="J231">
        <v>24.652726918167499</v>
      </c>
      <c r="K231">
        <v>17.764408832169298</v>
      </c>
      <c r="L231">
        <v>1.7449668098908988E-3</v>
      </c>
      <c r="M231">
        <v>5.7201298255247102E-4</v>
      </c>
      <c r="N231" s="1">
        <v>-1.0978603422729001E-5</v>
      </c>
      <c r="O231" s="1">
        <v>1.68382181939686E-5</v>
      </c>
      <c r="P231" s="1">
        <v>-2.5438618448454899E-5</v>
      </c>
      <c r="AE231">
        <v>100</v>
      </c>
      <c r="AJ231">
        <v>1</v>
      </c>
    </row>
    <row r="232" spans="1:36" x14ac:dyDescent="0.2">
      <c r="A232">
        <v>231</v>
      </c>
      <c r="B232">
        <v>774</v>
      </c>
      <c r="C232">
        <v>150</v>
      </c>
      <c r="D232">
        <v>0.44641216635630598</v>
      </c>
      <c r="E232">
        <v>6.3401255289906402</v>
      </c>
      <c r="F232">
        <v>0.35624768027248299</v>
      </c>
      <c r="G232">
        <v>-140.07554943795716</v>
      </c>
      <c r="H232">
        <v>-79.345070795302902</v>
      </c>
      <c r="I232">
        <v>57.9994335594807</v>
      </c>
      <c r="J232">
        <v>24.837829813023799</v>
      </c>
      <c r="K232">
        <v>17.796959475332599</v>
      </c>
      <c r="L232">
        <v>1.7523037160198554E-3</v>
      </c>
      <c r="M232">
        <v>5.7113666056184315E-4</v>
      </c>
      <c r="N232" s="1">
        <v>-1.07374644370499E-5</v>
      </c>
      <c r="O232" s="1">
        <v>1.6869704395456501E-5</v>
      </c>
      <c r="P232" s="1">
        <v>-2.5686321733989102E-5</v>
      </c>
      <c r="AE232">
        <v>100</v>
      </c>
      <c r="AJ232">
        <v>1</v>
      </c>
    </row>
    <row r="233" spans="1:36" x14ac:dyDescent="0.2">
      <c r="A233">
        <v>232</v>
      </c>
      <c r="B233">
        <v>772</v>
      </c>
      <c r="C233">
        <v>150</v>
      </c>
      <c r="D233">
        <v>0.44521886810505501</v>
      </c>
      <c r="E233">
        <v>6.3841521430067898</v>
      </c>
      <c r="F233">
        <v>0.35750100822311298</v>
      </c>
      <c r="G233">
        <v>-140.93149479359678</v>
      </c>
      <c r="H233">
        <v>-79.946127447309891</v>
      </c>
      <c r="I233">
        <v>58.3543230638425</v>
      </c>
      <c r="J233">
        <v>25.064442672217599</v>
      </c>
      <c r="K233">
        <v>17.857717869770301</v>
      </c>
      <c r="L233">
        <v>1.7596620566039771E-3</v>
      </c>
      <c r="M233">
        <v>5.7024290048188772E-4</v>
      </c>
      <c r="N233" s="1">
        <v>-1.04992719288592E-5</v>
      </c>
      <c r="O233" s="1">
        <v>1.6927514251319299E-5</v>
      </c>
      <c r="P233" s="1">
        <v>-2.5978134676472801E-5</v>
      </c>
      <c r="AE233">
        <v>100</v>
      </c>
      <c r="AJ233">
        <v>1</v>
      </c>
    </row>
    <row r="234" spans="1:36" x14ac:dyDescent="0.2">
      <c r="A234">
        <v>233</v>
      </c>
      <c r="B234">
        <v>770</v>
      </c>
      <c r="C234">
        <v>150</v>
      </c>
      <c r="D234">
        <v>0.44402099410439499</v>
      </c>
      <c r="E234">
        <v>6.4282418527957796</v>
      </c>
      <c r="F234">
        <v>0.35876403269776902</v>
      </c>
      <c r="G234">
        <v>-141.78731807594775</v>
      </c>
      <c r="H234">
        <v>-80.5487747503321</v>
      </c>
      <c r="I234">
        <v>58.708931563383103</v>
      </c>
      <c r="J234">
        <v>25.292410132074799</v>
      </c>
      <c r="K234">
        <v>17.9177433268821</v>
      </c>
      <c r="L234">
        <v>1.7670407512394336E-3</v>
      </c>
      <c r="M234">
        <v>5.6933137529686646E-4</v>
      </c>
      <c r="N234" s="1">
        <v>-1.02456645854E-5</v>
      </c>
      <c r="O234" s="1">
        <v>1.6984194599360601E-5</v>
      </c>
      <c r="P234" s="1">
        <v>-2.6272618503230699E-5</v>
      </c>
      <c r="AE234">
        <v>100</v>
      </c>
      <c r="AJ234">
        <v>1</v>
      </c>
    </row>
    <row r="235" spans="1:36" x14ac:dyDescent="0.2">
      <c r="A235">
        <v>234</v>
      </c>
      <c r="B235">
        <v>768</v>
      </c>
      <c r="C235">
        <v>150</v>
      </c>
      <c r="D235">
        <v>0.442818517984921</v>
      </c>
      <c r="E235">
        <v>6.5893434045509496</v>
      </c>
      <c r="F235">
        <v>0.36003683949936299</v>
      </c>
      <c r="G235">
        <v>-145.22041390749257</v>
      </c>
      <c r="H235">
        <v>-82.619359082630083</v>
      </c>
      <c r="I235">
        <v>60.130457332555899</v>
      </c>
      <c r="J235">
        <v>25.9828855942229</v>
      </c>
      <c r="K235">
        <v>18.301858814541099</v>
      </c>
      <c r="L235">
        <v>1.7744386707893422E-3</v>
      </c>
      <c r="M235">
        <v>5.6840175416322629E-4</v>
      </c>
      <c r="N235" s="1">
        <v>-1.0156415373729399E-5</v>
      </c>
      <c r="O235" s="1">
        <v>1.73476102895957E-5</v>
      </c>
      <c r="P235" s="1">
        <v>-2.7049858424249301E-5</v>
      </c>
      <c r="AE235">
        <v>100</v>
      </c>
      <c r="AJ235">
        <v>1</v>
      </c>
    </row>
    <row r="236" spans="1:36" x14ac:dyDescent="0.2">
      <c r="A236">
        <v>235</v>
      </c>
      <c r="B236">
        <v>766</v>
      </c>
      <c r="C236">
        <v>150</v>
      </c>
      <c r="D236">
        <v>0.44161141317423203</v>
      </c>
      <c r="E236">
        <v>6.7683755269667403</v>
      </c>
      <c r="F236">
        <v>0.36131951448594002</v>
      </c>
      <c r="G236">
        <v>-149.04256804755786</v>
      </c>
      <c r="H236">
        <v>-84.917558966575967</v>
      </c>
      <c r="I236">
        <v>61.712825252450799</v>
      </c>
      <c r="J236">
        <v>26.7473561552471</v>
      </c>
      <c r="K236">
        <v>18.732382989599401</v>
      </c>
      <c r="L236">
        <v>1.7818546362032702E-3</v>
      </c>
      <c r="M236">
        <v>5.6745370252813743E-4</v>
      </c>
      <c r="N236" s="1">
        <v>-1.00646351987616E-5</v>
      </c>
      <c r="O236" s="1">
        <v>1.7754490918719799E-5</v>
      </c>
      <c r="P236" s="1">
        <v>-2.7907685192748601E-5</v>
      </c>
      <c r="AE236">
        <v>100</v>
      </c>
      <c r="AJ236">
        <v>1</v>
      </c>
    </row>
    <row r="237" spans="1:36" x14ac:dyDescent="0.2">
      <c r="A237">
        <v>236</v>
      </c>
      <c r="B237">
        <v>764</v>
      </c>
      <c r="C237">
        <v>150</v>
      </c>
      <c r="D237">
        <v>0.44039965289495597</v>
      </c>
      <c r="E237">
        <v>6.9554088158948097</v>
      </c>
      <c r="F237">
        <v>0.36261214352975601</v>
      </c>
      <c r="G237">
        <v>-153.03433893542248</v>
      </c>
      <c r="H237">
        <v>-87.31915400166919</v>
      </c>
      <c r="I237">
        <v>63.365149926036501</v>
      </c>
      <c r="J237">
        <v>27.546985577718601</v>
      </c>
      <c r="K237">
        <v>19.1814006783918</v>
      </c>
      <c r="L237">
        <v>1.7892874173430716E-3</v>
      </c>
      <c r="M237">
        <v>5.6648688226013013E-4</v>
      </c>
      <c r="N237" s="1">
        <v>-9.9519535154729305E-6</v>
      </c>
      <c r="O237" s="1">
        <v>1.81783181314685E-5</v>
      </c>
      <c r="P237" s="1">
        <v>-2.8805993232644401E-5</v>
      </c>
      <c r="AE237">
        <v>100</v>
      </c>
      <c r="AJ237">
        <v>1</v>
      </c>
    </row>
    <row r="238" spans="1:36" x14ac:dyDescent="0.2">
      <c r="A238">
        <v>237</v>
      </c>
      <c r="B238">
        <v>762</v>
      </c>
      <c r="C238">
        <v>150</v>
      </c>
      <c r="D238">
        <v>0.439183210162781</v>
      </c>
      <c r="E238">
        <v>8.9781995048439107</v>
      </c>
      <c r="F238">
        <v>0.363914812474528</v>
      </c>
      <c r="G238">
        <v>-197.37667907978511</v>
      </c>
      <c r="H238">
        <v>-112.78474014658222</v>
      </c>
      <c r="I238">
        <v>81.724461971969404</v>
      </c>
      <c r="J238">
        <v>35.636856955632901</v>
      </c>
      <c r="K238">
        <v>24.671157086996299</v>
      </c>
      <c r="L238">
        <v>1.7967357318186279E-3</v>
      </c>
      <c r="M238">
        <v>5.6550095179265557E-4</v>
      </c>
      <c r="N238" s="1">
        <v>-1.23247455154259E-5</v>
      </c>
      <c r="O238" s="1">
        <v>2.3378036777749901E-5</v>
      </c>
      <c r="P238" s="1">
        <v>-3.7348576512759402E-5</v>
      </c>
      <c r="AE238">
        <v>100</v>
      </c>
      <c r="AJ238">
        <v>1</v>
      </c>
    </row>
    <row r="239" spans="1:36" x14ac:dyDescent="0.2">
      <c r="A239">
        <v>238</v>
      </c>
      <c r="B239">
        <v>760</v>
      </c>
      <c r="C239">
        <v>150</v>
      </c>
      <c r="D239">
        <v>0.43796205778444602</v>
      </c>
      <c r="E239">
        <v>9.8118237936417696</v>
      </c>
      <c r="F239">
        <v>0.365227607090785</v>
      </c>
      <c r="G239">
        <v>-215.52452020401046</v>
      </c>
      <c r="H239">
        <v>-123.33476175718657</v>
      </c>
      <c r="I239">
        <v>89.237161472113002</v>
      </c>
      <c r="J239">
        <v>39.032125365192101</v>
      </c>
      <c r="K239">
        <v>26.864956545310701</v>
      </c>
      <c r="L239">
        <v>1.8041982438361383E-3</v>
      </c>
      <c r="M239">
        <v>5.6449556628087639E-4</v>
      </c>
      <c r="N239" s="1">
        <v>-1.2880260213536E-5</v>
      </c>
      <c r="O239" s="1">
        <v>2.5452839266565E-5</v>
      </c>
      <c r="P239" s="1">
        <v>-4.0997973306534199E-5</v>
      </c>
      <c r="AE239">
        <v>100</v>
      </c>
      <c r="AJ239">
        <v>1</v>
      </c>
    </row>
    <row r="240" spans="1:36" x14ac:dyDescent="0.2">
      <c r="A240">
        <v>239</v>
      </c>
      <c r="B240">
        <v>758</v>
      </c>
      <c r="C240">
        <v>150</v>
      </c>
      <c r="D240">
        <v>0.43673616835572199</v>
      </c>
      <c r="E240">
        <v>10.1123581459848</v>
      </c>
      <c r="F240">
        <v>0.36655061302928899</v>
      </c>
      <c r="G240">
        <v>-221.94213351311274</v>
      </c>
      <c r="H240">
        <v>-127.19302756901801</v>
      </c>
      <c r="I240">
        <v>91.8924432491836</v>
      </c>
      <c r="J240">
        <v>40.317230336170901</v>
      </c>
      <c r="K240">
        <v>27.5878904209521</v>
      </c>
      <c r="L240">
        <v>1.811673563062476E-3</v>
      </c>
      <c r="M240">
        <v>5.6347037777246917E-4</v>
      </c>
      <c r="N240" s="1">
        <v>-1.2647990167072899E-5</v>
      </c>
      <c r="O240" s="1">
        <v>2.61328072553882E-5</v>
      </c>
      <c r="P240" s="1">
        <v>-4.2441976258347298E-5</v>
      </c>
      <c r="AE240">
        <v>100</v>
      </c>
      <c r="AJ240">
        <v>1</v>
      </c>
    </row>
    <row r="241" spans="1:36" x14ac:dyDescent="0.2">
      <c r="A241">
        <v>240</v>
      </c>
      <c r="B241">
        <v>756</v>
      </c>
      <c r="C241">
        <v>150</v>
      </c>
      <c r="D241">
        <v>0.43550551425934297</v>
      </c>
      <c r="E241">
        <v>10.2705457577323</v>
      </c>
      <c r="F241">
        <v>0.36788391577249802</v>
      </c>
      <c r="G241">
        <v>-225.22739385894155</v>
      </c>
      <c r="H241">
        <v>-129.26469523182894</v>
      </c>
      <c r="I241">
        <v>93.250328974473007</v>
      </c>
      <c r="J241">
        <v>41.039389968821297</v>
      </c>
      <c r="K241">
        <v>27.917898329873299</v>
      </c>
      <c r="L241">
        <v>1.8191602435088763E-3</v>
      </c>
      <c r="M241">
        <v>5.6242503539277299E-4</v>
      </c>
      <c r="N241" s="1">
        <v>-1.21886325694716E-5</v>
      </c>
      <c r="O241" s="1">
        <v>2.6439493725539699E-5</v>
      </c>
      <c r="P241" s="1">
        <v>-4.3298140625382003E-5</v>
      </c>
      <c r="AE241">
        <v>100</v>
      </c>
      <c r="AJ241">
        <v>1</v>
      </c>
    </row>
    <row r="242" spans="1:36" x14ac:dyDescent="0.2">
      <c r="A242">
        <v>241</v>
      </c>
      <c r="B242">
        <v>754</v>
      </c>
      <c r="C242">
        <v>150</v>
      </c>
      <c r="D242">
        <v>0.43427006766295001</v>
      </c>
      <c r="E242">
        <v>10.370082085763</v>
      </c>
      <c r="F242">
        <v>0.36922760058402998</v>
      </c>
      <c r="G242">
        <v>-227.2219430598179</v>
      </c>
      <c r="H242">
        <v>-130.60042267421366</v>
      </c>
      <c r="I242">
        <v>94.073362978503297</v>
      </c>
      <c r="J242">
        <v>41.529997073391598</v>
      </c>
      <c r="K242">
        <v>28.0858800083201</v>
      </c>
      <c r="L242">
        <v>1.8266567824380484E-3</v>
      </c>
      <c r="M242">
        <v>5.6135918554508948E-4</v>
      </c>
      <c r="N242" s="1">
        <v>-1.16219772410837E-5</v>
      </c>
      <c r="O242" s="1">
        <v>2.6591698994268899E-5</v>
      </c>
      <c r="P242" s="1">
        <v>-4.3912880223014698E-5</v>
      </c>
      <c r="AE242">
        <v>100</v>
      </c>
      <c r="AJ242">
        <v>1</v>
      </c>
    </row>
    <row r="243" spans="1:36" x14ac:dyDescent="0.2">
      <c r="A243">
        <v>242</v>
      </c>
      <c r="B243">
        <v>752</v>
      </c>
      <c r="C243">
        <v>150</v>
      </c>
      <c r="D243">
        <v>0.43302980051699702</v>
      </c>
      <c r="E243">
        <v>10.441598558394</v>
      </c>
      <c r="F243">
        <v>0.37058175245608199</v>
      </c>
      <c r="G243">
        <v>-228.59959896527437</v>
      </c>
      <c r="H243">
        <v>-131.58482518326687</v>
      </c>
      <c r="I243">
        <v>94.640539536546001</v>
      </c>
      <c r="J243">
        <v>41.910427780505103</v>
      </c>
      <c r="K243">
        <v>28.176235039072601</v>
      </c>
      <c r="L243">
        <v>1.8341616192980006E-3</v>
      </c>
      <c r="M243">
        <v>5.6027247212644591E-4</v>
      </c>
      <c r="N243" s="1">
        <v>-1.0990891206884799E-5</v>
      </c>
      <c r="O243" s="1">
        <v>2.66693764909442E-5</v>
      </c>
      <c r="P243" s="1">
        <v>-4.4413142898712397E-5</v>
      </c>
      <c r="AE243">
        <v>100</v>
      </c>
      <c r="AJ243">
        <v>1</v>
      </c>
    </row>
    <row r="244" spans="1:36" x14ac:dyDescent="0.2">
      <c r="A244">
        <v>243</v>
      </c>
      <c r="B244">
        <v>750</v>
      </c>
      <c r="C244">
        <v>150</v>
      </c>
      <c r="D244">
        <v>0.43178468455260599</v>
      </c>
      <c r="E244">
        <v>10.493977771669901</v>
      </c>
      <c r="F244">
        <v>0.37194645605480398</v>
      </c>
      <c r="G244">
        <v>-229.55619721933581</v>
      </c>
      <c r="H244">
        <v>-132.32924326910469</v>
      </c>
      <c r="I244">
        <v>95.032946536398498</v>
      </c>
      <c r="J244">
        <v>42.215657165759602</v>
      </c>
      <c r="K244">
        <v>28.2136786111056</v>
      </c>
      <c r="L244">
        <v>1.8416731346872898E-3</v>
      </c>
      <c r="M244">
        <v>5.5916453675955837E-4</v>
      </c>
      <c r="N244" s="1">
        <v>-1.0308997013603401E-5</v>
      </c>
      <c r="O244" s="1">
        <v>2.66959316339224E-5</v>
      </c>
      <c r="P244" s="1">
        <v>-4.4835244423733003E-5</v>
      </c>
      <c r="AE244">
        <v>100</v>
      </c>
      <c r="AJ244">
        <v>1</v>
      </c>
    </row>
    <row r="245" spans="1:36" x14ac:dyDescent="0.2">
      <c r="A245">
        <v>244</v>
      </c>
      <c r="B245">
        <v>748</v>
      </c>
      <c r="C245">
        <v>150</v>
      </c>
      <c r="D245">
        <v>0.43053469127944</v>
      </c>
      <c r="E245">
        <v>10.534598528586701</v>
      </c>
      <c r="F245">
        <v>0.37332179566356199</v>
      </c>
      <c r="G245">
        <v>-230.25405929938913</v>
      </c>
      <c r="H245">
        <v>-132.92632562425763</v>
      </c>
      <c r="I245">
        <v>95.317790940907798</v>
      </c>
      <c r="J245">
        <v>42.474911513221301</v>
      </c>
      <c r="K245">
        <v>28.218546709446699</v>
      </c>
      <c r="L245">
        <v>1.8491896493556153E-3</v>
      </c>
      <c r="M245">
        <v>5.5803501904147111E-4</v>
      </c>
      <c r="N245" s="1">
        <v>-9.5863296783758695E-6</v>
      </c>
      <c r="O245" s="1">
        <v>2.66906083354102E-5</v>
      </c>
      <c r="P245" s="1">
        <v>-4.5209704673510902E-5</v>
      </c>
      <c r="AE245">
        <v>100</v>
      </c>
      <c r="AJ245">
        <v>1</v>
      </c>
    </row>
    <row r="246" spans="1:36" x14ac:dyDescent="0.2">
      <c r="A246">
        <v>245</v>
      </c>
      <c r="B246">
        <v>782</v>
      </c>
      <c r="C246">
        <v>140</v>
      </c>
      <c r="D246">
        <v>0.46156518030611998</v>
      </c>
      <c r="E246">
        <v>6.4836177413729503</v>
      </c>
      <c r="F246">
        <v>0.33063959163802797</v>
      </c>
      <c r="G246">
        <v>-143.91121862778991</v>
      </c>
      <c r="H246">
        <v>-80.778991530251275</v>
      </c>
      <c r="I246">
        <v>59.835982961427199</v>
      </c>
      <c r="J246">
        <v>25.024413158671599</v>
      </c>
      <c r="K246">
        <v>19.609320557324398</v>
      </c>
      <c r="L246">
        <v>1.7609878585723542E-3</v>
      </c>
      <c r="M246">
        <v>6.409830932906439E-4</v>
      </c>
      <c r="N246" s="1">
        <v>-1.8240017894015102E-5</v>
      </c>
      <c r="O246" s="1">
        <v>2.2055004320645599E-5</v>
      </c>
      <c r="P246" s="1">
        <v>-2.8901696716716698E-5</v>
      </c>
      <c r="AE246">
        <v>100</v>
      </c>
      <c r="AJ246">
        <v>1</v>
      </c>
    </row>
    <row r="247" spans="1:36" x14ac:dyDescent="0.2">
      <c r="A247">
        <v>246</v>
      </c>
      <c r="B247">
        <v>780</v>
      </c>
      <c r="C247">
        <v>140</v>
      </c>
      <c r="D247">
        <v>0.46040972321132001</v>
      </c>
      <c r="E247">
        <v>6.4912476376961701</v>
      </c>
      <c r="F247">
        <v>0.33180882916433002</v>
      </c>
      <c r="G247">
        <v>-143.96080755315086</v>
      </c>
      <c r="H247">
        <v>-80.924216042514047</v>
      </c>
      <c r="I247">
        <v>59.858810426950903</v>
      </c>
      <c r="J247">
        <v>25.110324862480301</v>
      </c>
      <c r="K247">
        <v>19.563215523964601</v>
      </c>
      <c r="L247">
        <v>1.7690712532639141E-3</v>
      </c>
      <c r="M247">
        <v>6.4028479784950941E-4</v>
      </c>
      <c r="N247" s="1">
        <v>-1.80466950150796E-5</v>
      </c>
      <c r="O247" s="1">
        <v>2.2015286279128301E-5</v>
      </c>
      <c r="P247" s="1">
        <v>-2.90694291456491E-5</v>
      </c>
      <c r="AE247">
        <v>100</v>
      </c>
      <c r="AJ247">
        <v>1</v>
      </c>
    </row>
    <row r="248" spans="1:36" x14ac:dyDescent="0.2">
      <c r="A248">
        <v>247</v>
      </c>
      <c r="B248">
        <v>778</v>
      </c>
      <c r="C248">
        <v>140</v>
      </c>
      <c r="D248">
        <v>0.45924986919088701</v>
      </c>
      <c r="E248">
        <v>6.5322258606280004</v>
      </c>
      <c r="F248">
        <v>0.33298759856284099</v>
      </c>
      <c r="G248">
        <v>-144.74918410897104</v>
      </c>
      <c r="H248">
        <v>-81.485672765140336</v>
      </c>
      <c r="I248">
        <v>60.188602468337301</v>
      </c>
      <c r="J248">
        <v>25.326142932734001</v>
      </c>
      <c r="K248">
        <v>19.617024444215801</v>
      </c>
      <c r="L248">
        <v>1.7771960215623654E-3</v>
      </c>
      <c r="M248">
        <v>6.3957011832434349E-4</v>
      </c>
      <c r="N248" s="1">
        <v>-1.7933750700344501E-5</v>
      </c>
      <c r="O248" s="1">
        <v>2.2087727154309598E-5</v>
      </c>
      <c r="P248" s="1">
        <v>-2.93890130781134E-5</v>
      </c>
      <c r="AE248">
        <v>100</v>
      </c>
      <c r="AJ248">
        <v>1</v>
      </c>
    </row>
    <row r="249" spans="1:36" x14ac:dyDescent="0.2">
      <c r="A249">
        <v>248</v>
      </c>
      <c r="B249">
        <v>776</v>
      </c>
      <c r="C249">
        <v>140</v>
      </c>
      <c r="D249">
        <v>0.45808559309917701</v>
      </c>
      <c r="E249">
        <v>6.57327914540795</v>
      </c>
      <c r="F249">
        <v>0.33417599940890202</v>
      </c>
      <c r="G249">
        <v>-145.53780866169879</v>
      </c>
      <c r="H249">
        <v>-82.048817014333466</v>
      </c>
      <c r="I249">
        <v>60.5182798278014</v>
      </c>
      <c r="J249">
        <v>25.543454930743401</v>
      </c>
      <c r="K249">
        <v>19.670111429411101</v>
      </c>
      <c r="L249">
        <v>1.7853615001566011E-3</v>
      </c>
      <c r="M249">
        <v>6.3883868747357717E-4</v>
      </c>
      <c r="N249" s="1">
        <v>-1.7807053645930601E-5</v>
      </c>
      <c r="O249" s="1">
        <v>2.2159119614251401E-5</v>
      </c>
      <c r="P249" s="1">
        <v>-2.9712162343622401E-5</v>
      </c>
      <c r="AE249">
        <v>100</v>
      </c>
      <c r="AJ249">
        <v>1</v>
      </c>
    </row>
    <row r="250" spans="1:36" x14ac:dyDescent="0.2">
      <c r="A250">
        <v>249</v>
      </c>
      <c r="B250">
        <v>774</v>
      </c>
      <c r="C250">
        <v>140</v>
      </c>
      <c r="D250">
        <v>0.45691686959843703</v>
      </c>
      <c r="E250">
        <v>6.6143623887001901</v>
      </c>
      <c r="F250">
        <v>0.33537413193549198</v>
      </c>
      <c r="G250">
        <v>-146.32568149461665</v>
      </c>
      <c r="H250">
        <v>-82.61309034108956</v>
      </c>
      <c r="I250">
        <v>60.847420424823802</v>
      </c>
      <c r="J250">
        <v>25.762095234399698</v>
      </c>
      <c r="K250">
        <v>19.722339199292801</v>
      </c>
      <c r="L250">
        <v>1.7935669790458816E-3</v>
      </c>
      <c r="M250">
        <v>6.3809013104847948E-4</v>
      </c>
      <c r="N250" s="1">
        <v>-1.7665943619105401E-5</v>
      </c>
      <c r="O250" s="1">
        <v>2.2229288047621302E-5</v>
      </c>
      <c r="P250" s="1">
        <v>-3.0038705277110299E-5</v>
      </c>
      <c r="AE250">
        <v>100</v>
      </c>
      <c r="AJ250">
        <v>1</v>
      </c>
    </row>
    <row r="251" spans="1:36" x14ac:dyDescent="0.2">
      <c r="A251">
        <v>250</v>
      </c>
      <c r="B251">
        <v>772</v>
      </c>
      <c r="C251">
        <v>140</v>
      </c>
      <c r="D251">
        <v>0.45574367315696301</v>
      </c>
      <c r="E251">
        <v>6.71928572760216</v>
      </c>
      <c r="F251">
        <v>0.33658209700830199</v>
      </c>
      <c r="G251">
        <v>-148.5232641019914</v>
      </c>
      <c r="H251">
        <v>-83.975980005118544</v>
      </c>
      <c r="I251">
        <v>61.762550145699201</v>
      </c>
      <c r="J251">
        <v>26.231178515091699</v>
      </c>
      <c r="K251">
        <v>19.963289156869202</v>
      </c>
      <c r="L251">
        <v>1.8018116998655884E-3</v>
      </c>
      <c r="M251">
        <v>6.3732406777066526E-4</v>
      </c>
      <c r="N251" s="1">
        <v>-1.76777496967513E-5</v>
      </c>
      <c r="O251" s="1">
        <v>2.2511995723039399E-5</v>
      </c>
      <c r="P251" s="1">
        <v>-3.06598339050249E-5</v>
      </c>
      <c r="AE251">
        <v>100</v>
      </c>
      <c r="AJ251">
        <v>1</v>
      </c>
    </row>
    <row r="252" spans="1:36" x14ac:dyDescent="0.2">
      <c r="A252">
        <v>251</v>
      </c>
      <c r="B252">
        <v>770</v>
      </c>
      <c r="C252">
        <v>140</v>
      </c>
      <c r="D252">
        <v>0.45456597804726301</v>
      </c>
      <c r="E252">
        <v>6.8881251649397601</v>
      </c>
      <c r="F252">
        <v>0.33779999609899802</v>
      </c>
      <c r="G252">
        <v>-152.12871789831792</v>
      </c>
      <c r="H252">
        <v>-86.139936723485931</v>
      </c>
      <c r="I252">
        <v>63.262927654729097</v>
      </c>
      <c r="J252">
        <v>26.9527457466674</v>
      </c>
      <c r="K252">
        <v>20.3911345307448</v>
      </c>
      <c r="L252">
        <v>1.8100948541817021E-3</v>
      </c>
      <c r="M252">
        <v>6.3654010931861829E-4</v>
      </c>
      <c r="N252" s="1">
        <v>-1.7834106248859299E-5</v>
      </c>
      <c r="O252" s="1">
        <v>2.3005465759169999E-5</v>
      </c>
      <c r="P252" s="1">
        <v>-3.1580088482322603E-5</v>
      </c>
      <c r="AE252">
        <v>100</v>
      </c>
      <c r="AJ252">
        <v>1</v>
      </c>
    </row>
    <row r="253" spans="1:36" x14ac:dyDescent="0.2">
      <c r="A253">
        <v>252</v>
      </c>
      <c r="B253">
        <v>768</v>
      </c>
      <c r="C253">
        <v>140</v>
      </c>
      <c r="D253">
        <v>0.45338375834414102</v>
      </c>
      <c r="E253">
        <v>7.0627838152957896</v>
      </c>
      <c r="F253">
        <v>0.33902793125660402</v>
      </c>
      <c r="G253">
        <v>-155.85648658167406</v>
      </c>
      <c r="H253">
        <v>-88.379479633653759</v>
      </c>
      <c r="I253">
        <v>64.813954479781003</v>
      </c>
      <c r="J253">
        <v>27.700710219268998</v>
      </c>
      <c r="K253">
        <v>20.832454096385501</v>
      </c>
      <c r="L253">
        <v>1.8184155817550468E-3</v>
      </c>
      <c r="M253">
        <v>6.3573786032383001E-4</v>
      </c>
      <c r="N253" s="1">
        <v>-1.7977821414603702E-5</v>
      </c>
      <c r="O253" s="1">
        <v>2.3514211269644098E-5</v>
      </c>
      <c r="P253" s="1">
        <v>-3.2536117211335E-5</v>
      </c>
      <c r="AE253">
        <v>100</v>
      </c>
      <c r="AJ253">
        <v>1</v>
      </c>
    </row>
    <row r="254" spans="1:36" x14ac:dyDescent="0.2">
      <c r="A254">
        <v>253</v>
      </c>
      <c r="B254">
        <v>766</v>
      </c>
      <c r="C254">
        <v>140</v>
      </c>
      <c r="D254">
        <v>0.45219698792282498</v>
      </c>
      <c r="E254">
        <v>8.04443970989192</v>
      </c>
      <c r="F254">
        <v>0.340266005076931</v>
      </c>
      <c r="G254">
        <v>-177.37138601897047</v>
      </c>
      <c r="H254">
        <v>-100.72651380688632</v>
      </c>
      <c r="I254">
        <v>73.7617049843346</v>
      </c>
      <c r="J254">
        <v>31.6249198345986</v>
      </c>
      <c r="K254">
        <v>23.6416203495648</v>
      </c>
      <c r="L254">
        <v>1.8267729687772159E-3</v>
      </c>
      <c r="M254">
        <v>6.3491691837736311E-4</v>
      </c>
      <c r="N254" s="1">
        <v>-2.0109555592764598E-5</v>
      </c>
      <c r="O254" s="1">
        <v>2.6696835353621101E-5</v>
      </c>
      <c r="P254" s="1">
        <v>-3.7236999430852802E-5</v>
      </c>
      <c r="AE254">
        <v>100</v>
      </c>
      <c r="AJ254">
        <v>1</v>
      </c>
    </row>
    <row r="255" spans="1:36" x14ac:dyDescent="0.2">
      <c r="A255">
        <v>254</v>
      </c>
      <c r="B255">
        <v>764</v>
      </c>
      <c r="C255">
        <v>140</v>
      </c>
      <c r="D255">
        <v>0.45100564045702202</v>
      </c>
      <c r="E255">
        <v>9.5610255614632091</v>
      </c>
      <c r="F255">
        <v>0.341514320669979</v>
      </c>
      <c r="G255">
        <v>-210.63523680879686</v>
      </c>
      <c r="H255">
        <v>-119.79134088869934</v>
      </c>
      <c r="I255">
        <v>87.595205443800793</v>
      </c>
      <c r="J255">
        <v>37.675784203634301</v>
      </c>
      <c r="K255">
        <v>27.995972592617701</v>
      </c>
      <c r="L255">
        <v>1.8351660460795294E-3</v>
      </c>
      <c r="M255">
        <v>6.3407687404750204E-4</v>
      </c>
      <c r="N255" s="1">
        <v>-2.34454561195283E-5</v>
      </c>
      <c r="O255" s="1">
        <v>3.1627326937774603E-5</v>
      </c>
      <c r="P255" s="1">
        <v>-4.4471692732211703E-5</v>
      </c>
      <c r="AE255">
        <v>100</v>
      </c>
      <c r="AJ255">
        <v>1</v>
      </c>
    </row>
    <row r="256" spans="1:36" x14ac:dyDescent="0.2">
      <c r="A256">
        <v>255</v>
      </c>
      <c r="B256">
        <v>762</v>
      </c>
      <c r="C256">
        <v>140</v>
      </c>
      <c r="D256">
        <v>0.44980968941699401</v>
      </c>
      <c r="E256">
        <v>10.012902703618201</v>
      </c>
      <c r="F256">
        <v>0.342772981625238</v>
      </c>
      <c r="G256">
        <v>-220.40697230021115</v>
      </c>
      <c r="H256">
        <v>-125.53197516028595</v>
      </c>
      <c r="I256">
        <v>91.658916232154596</v>
      </c>
      <c r="J256">
        <v>39.550088829388997</v>
      </c>
      <c r="K256">
        <v>29.2114700993721</v>
      </c>
      <c r="L256">
        <v>1.8435937873172851E-3</v>
      </c>
      <c r="M256">
        <v>6.3321731090934443E-4</v>
      </c>
      <c r="N256" s="1">
        <v>-2.40562345938055E-5</v>
      </c>
      <c r="O256" s="1">
        <v>3.3013847088376898E-5</v>
      </c>
      <c r="P256" s="1">
        <v>-4.6800486295463803E-5</v>
      </c>
      <c r="AE256">
        <v>100</v>
      </c>
      <c r="AJ256">
        <v>1</v>
      </c>
    </row>
    <row r="257" spans="1:36" x14ac:dyDescent="0.2">
      <c r="A257">
        <v>256</v>
      </c>
      <c r="B257">
        <v>760</v>
      </c>
      <c r="C257">
        <v>140</v>
      </c>
      <c r="D257">
        <v>0.44860910806756099</v>
      </c>
      <c r="E257">
        <v>10.219773243482001</v>
      </c>
      <c r="F257">
        <v>0.344042091974819</v>
      </c>
      <c r="G257">
        <v>-224.77364059055225</v>
      </c>
      <c r="H257">
        <v>-128.20634615460412</v>
      </c>
      <c r="I257">
        <v>93.474464325377696</v>
      </c>
      <c r="J257">
        <v>40.4635267023707</v>
      </c>
      <c r="K257">
        <v>29.705008433183099</v>
      </c>
      <c r="L257">
        <v>1.8520551071315231E-3</v>
      </c>
      <c r="M257">
        <v>6.3233780558711857E-4</v>
      </c>
      <c r="N257" s="1">
        <v>-2.40241624946666E-5</v>
      </c>
      <c r="O257" s="1">
        <v>3.3584522227972802E-5</v>
      </c>
      <c r="P257" s="1">
        <v>-4.8001335935262603E-5</v>
      </c>
      <c r="AE257">
        <v>100</v>
      </c>
      <c r="AJ257">
        <v>1</v>
      </c>
    </row>
    <row r="258" spans="1:36" x14ac:dyDescent="0.2">
      <c r="A258">
        <v>257</v>
      </c>
      <c r="B258">
        <v>758</v>
      </c>
      <c r="C258">
        <v>140</v>
      </c>
      <c r="D258">
        <v>0.44740386946613198</v>
      </c>
      <c r="E258">
        <v>10.340698059417401</v>
      </c>
      <c r="F258">
        <v>0.34532175615432897</v>
      </c>
      <c r="G258">
        <v>-227.24417875724453</v>
      </c>
      <c r="H258">
        <v>-129.80532226202237</v>
      </c>
      <c r="I258">
        <v>94.501065875617797</v>
      </c>
      <c r="J258">
        <v>41.0404951516716</v>
      </c>
      <c r="K258">
        <v>29.945110248993402</v>
      </c>
      <c r="L258">
        <v>1.8605488592906099E-3</v>
      </c>
      <c r="M258">
        <v>6.3143792781009957E-4</v>
      </c>
      <c r="N258" s="1">
        <v>-2.3750762751069101E-5</v>
      </c>
      <c r="O258" s="1">
        <v>3.3868246893765701E-5</v>
      </c>
      <c r="P258" s="1">
        <v>-4.8808304346341902E-5</v>
      </c>
      <c r="AE258">
        <v>100</v>
      </c>
      <c r="AJ258">
        <v>1</v>
      </c>
    </row>
    <row r="259" spans="1:36" x14ac:dyDescent="0.2">
      <c r="A259">
        <v>258</v>
      </c>
      <c r="B259">
        <v>756</v>
      </c>
      <c r="C259">
        <v>140</v>
      </c>
      <c r="D259">
        <v>0.44619394646067401</v>
      </c>
      <c r="E259">
        <v>10.4212745219039</v>
      </c>
      <c r="F259">
        <v>0.346612078961408</v>
      </c>
      <c r="G259">
        <v>-228.82450917610069</v>
      </c>
      <c r="H259">
        <v>-130.8996073538973</v>
      </c>
      <c r="I259">
        <v>95.157037861754205</v>
      </c>
      <c r="J259">
        <v>41.4599698949824</v>
      </c>
      <c r="K259">
        <v>30.066103158119301</v>
      </c>
      <c r="L259">
        <v>1.8690738348144734E-3</v>
      </c>
      <c r="M259">
        <v>6.3051724048297775E-4</v>
      </c>
      <c r="N259" s="1">
        <v>-2.3350751048538199E-5</v>
      </c>
      <c r="O259" s="1">
        <v>3.4016632646164901E-5</v>
      </c>
      <c r="P259" s="1">
        <v>-4.94317710515552E-5</v>
      </c>
      <c r="AE259">
        <v>100</v>
      </c>
      <c r="AJ259">
        <v>1</v>
      </c>
    </row>
    <row r="260" spans="1:36" x14ac:dyDescent="0.2">
      <c r="A260">
        <v>259</v>
      </c>
      <c r="B260">
        <v>754</v>
      </c>
      <c r="C260">
        <v>140</v>
      </c>
      <c r="D260">
        <v>0.44497931168767801</v>
      </c>
      <c r="E260">
        <v>10.4811124996501</v>
      </c>
      <c r="F260">
        <v>0.34791316551189</v>
      </c>
      <c r="G260">
        <v>-229.94707228781718</v>
      </c>
      <c r="H260">
        <v>-131.7347174994413</v>
      </c>
      <c r="I260">
        <v>95.622209730382295</v>
      </c>
      <c r="J260">
        <v>41.799008022313899</v>
      </c>
      <c r="K260">
        <v>30.125656452894201</v>
      </c>
      <c r="L260">
        <v>1.8776287600847995E-3</v>
      </c>
      <c r="M260">
        <v>6.2957529977162772E-4</v>
      </c>
      <c r="N260" s="1">
        <v>-2.28725965243572E-5</v>
      </c>
      <c r="O260" s="1">
        <v>3.4094761789118402E-5</v>
      </c>
      <c r="P260" s="1">
        <v>-4.9962412985427201E-5</v>
      </c>
      <c r="AE260">
        <v>100</v>
      </c>
      <c r="AJ260">
        <v>1</v>
      </c>
    </row>
    <row r="261" spans="1:36" x14ac:dyDescent="0.2">
      <c r="A261">
        <v>260</v>
      </c>
      <c r="B261">
        <v>752</v>
      </c>
      <c r="C261">
        <v>140</v>
      </c>
      <c r="D261">
        <v>0.443759937570114</v>
      </c>
      <c r="E261">
        <v>10.526234881934601</v>
      </c>
      <c r="F261">
        <v>0.34922512119344901</v>
      </c>
      <c r="G261">
        <v>-230.74503471647998</v>
      </c>
      <c r="H261">
        <v>-132.38591038335196</v>
      </c>
      <c r="I261">
        <v>95.951956387955207</v>
      </c>
      <c r="J261">
        <v>42.081093012808097</v>
      </c>
      <c r="K261">
        <v>30.1416886791019</v>
      </c>
      <c r="L261">
        <v>1.8862122949438811E-3</v>
      </c>
      <c r="M261">
        <v>6.2861165520514009E-4</v>
      </c>
      <c r="N261" s="1">
        <v>-2.2331710007412801E-5</v>
      </c>
      <c r="O261" s="1">
        <v>3.4122808935426602E-5</v>
      </c>
      <c r="P261" s="1">
        <v>-5.0427623165284203E-5</v>
      </c>
      <c r="AE261">
        <v>100</v>
      </c>
      <c r="AJ261">
        <v>1</v>
      </c>
    </row>
    <row r="262" spans="1:36" x14ac:dyDescent="0.2">
      <c r="A262">
        <v>261</v>
      </c>
      <c r="B262">
        <v>750</v>
      </c>
      <c r="C262">
        <v>140</v>
      </c>
      <c r="D262">
        <v>0.44253579631530099</v>
      </c>
      <c r="E262">
        <v>10.5618531352094</v>
      </c>
      <c r="F262">
        <v>0.35054805161672498</v>
      </c>
      <c r="G262">
        <v>-231.33334977751343</v>
      </c>
      <c r="H262">
        <v>-132.91842258996851</v>
      </c>
      <c r="I262">
        <v>96.194078413214996</v>
      </c>
      <c r="J262">
        <v>42.326682619449301</v>
      </c>
      <c r="K262">
        <v>30.129544541748999</v>
      </c>
      <c r="L262">
        <v>1.8948230307865028E-3</v>
      </c>
      <c r="M262">
        <v>6.2762584979517068E-4</v>
      </c>
      <c r="N262" s="1">
        <v>-2.1740585534985199E-5</v>
      </c>
      <c r="O262" s="1">
        <v>3.4118064376447398E-5</v>
      </c>
      <c r="P262" s="1">
        <v>-5.0851433971066302E-5</v>
      </c>
      <c r="AE262">
        <v>100</v>
      </c>
      <c r="AJ262">
        <v>1</v>
      </c>
    </row>
    <row r="263" spans="1:36" x14ac:dyDescent="0.2">
      <c r="A263">
        <v>262</v>
      </c>
      <c r="B263">
        <v>786</v>
      </c>
      <c r="C263">
        <v>130</v>
      </c>
      <c r="D263">
        <v>0.474248689987256</v>
      </c>
      <c r="E263">
        <v>6.6677510815522396</v>
      </c>
      <c r="F263">
        <v>0.30675534267556798</v>
      </c>
      <c r="G263">
        <v>-148.45460959448192</v>
      </c>
      <c r="H263">
        <v>-82.788866584182216</v>
      </c>
      <c r="I263">
        <v>62.002132565656702</v>
      </c>
      <c r="J263">
        <v>25.380346866208999</v>
      </c>
      <c r="K263">
        <v>21.736381258742099</v>
      </c>
      <c r="L263">
        <v>1.7737366362687904E-3</v>
      </c>
      <c r="M263">
        <v>7.1886672926560285E-4</v>
      </c>
      <c r="N263" s="1">
        <v>-2.6369635318437E-5</v>
      </c>
      <c r="O263" s="1">
        <v>2.91192806937777E-5</v>
      </c>
      <c r="P263" s="1">
        <v>-3.29796876768044E-5</v>
      </c>
      <c r="AE263">
        <v>100</v>
      </c>
      <c r="AJ263">
        <v>1</v>
      </c>
    </row>
    <row r="264" spans="1:36" x14ac:dyDescent="0.2">
      <c r="A264">
        <v>263</v>
      </c>
      <c r="B264">
        <v>784</v>
      </c>
      <c r="C264">
        <v>130</v>
      </c>
      <c r="D264">
        <v>0.47312160052972602</v>
      </c>
      <c r="E264">
        <v>6.6988934851317197</v>
      </c>
      <c r="F264">
        <v>0.30784817177132601</v>
      </c>
      <c r="G264">
        <v>-149.02344659162682</v>
      </c>
      <c r="H264">
        <v>-83.2265974085728</v>
      </c>
      <c r="I264">
        <v>62.243468477761297</v>
      </c>
      <c r="J264">
        <v>25.5582878422553</v>
      </c>
      <c r="K264">
        <v>21.760380926048601</v>
      </c>
      <c r="L264">
        <v>1.7824856719642389E-3</v>
      </c>
      <c r="M264">
        <v>7.183752365854287E-4</v>
      </c>
      <c r="N264" s="1">
        <v>-2.63838403821919E-5</v>
      </c>
      <c r="O264" s="1">
        <v>2.91797363320397E-5</v>
      </c>
      <c r="P264" s="1">
        <v>-3.3289897164970102E-5</v>
      </c>
      <c r="AE264">
        <v>100</v>
      </c>
      <c r="AJ264">
        <v>1</v>
      </c>
    </row>
    <row r="265" spans="1:36" x14ac:dyDescent="0.2">
      <c r="A265">
        <v>264</v>
      </c>
      <c r="B265">
        <v>782</v>
      </c>
      <c r="C265">
        <v>130</v>
      </c>
      <c r="D265">
        <v>0.47199023835473802</v>
      </c>
      <c r="E265">
        <v>6.73697987210927</v>
      </c>
      <c r="F265">
        <v>0.308950318892246</v>
      </c>
      <c r="G265">
        <v>-149.74556956497094</v>
      </c>
      <c r="H265">
        <v>-83.751247524841048</v>
      </c>
      <c r="I265">
        <v>62.548620910496702</v>
      </c>
      <c r="J265">
        <v>25.763933795956198</v>
      </c>
      <c r="K265">
        <v>21.806029837628799</v>
      </c>
      <c r="L265">
        <v>1.791295493564275E-3</v>
      </c>
      <c r="M265">
        <v>7.1786921942706473E-4</v>
      </c>
      <c r="N265" s="1">
        <v>-2.6414551732850499E-5</v>
      </c>
      <c r="O265" s="1">
        <v>2.9269237464301099E-5</v>
      </c>
      <c r="P265" s="1">
        <v>-3.3638382921619698E-5</v>
      </c>
      <c r="AE265">
        <v>100</v>
      </c>
      <c r="AJ265">
        <v>1</v>
      </c>
    </row>
    <row r="266" spans="1:36" x14ac:dyDescent="0.2">
      <c r="A266">
        <v>265</v>
      </c>
      <c r="B266">
        <v>780</v>
      </c>
      <c r="C266">
        <v>130</v>
      </c>
      <c r="D266">
        <v>0.47085457911978401</v>
      </c>
      <c r="E266">
        <v>6.7750982058148201</v>
      </c>
      <c r="F266">
        <v>0.31006189381820898</v>
      </c>
      <c r="G266">
        <v>-150.46708527593023</v>
      </c>
      <c r="H266">
        <v>-84.276998914295206</v>
      </c>
      <c r="I266">
        <v>62.853310059219503</v>
      </c>
      <c r="J266">
        <v>25.970988217803701</v>
      </c>
      <c r="K266">
        <v>21.8507928284379</v>
      </c>
      <c r="L266">
        <v>1.8001659351162768E-3</v>
      </c>
      <c r="M266">
        <v>7.1734829860801725E-4</v>
      </c>
      <c r="N266" s="1">
        <v>-2.64339090343139E-5</v>
      </c>
      <c r="O266" s="1">
        <v>2.9357577304874299E-5</v>
      </c>
      <c r="P266" s="1">
        <v>-3.39910205349132E-5</v>
      </c>
      <c r="AE266">
        <v>100</v>
      </c>
      <c r="AJ266">
        <v>1</v>
      </c>
    </row>
    <row r="267" spans="1:36" x14ac:dyDescent="0.2">
      <c r="A267">
        <v>266</v>
      </c>
      <c r="B267">
        <v>778</v>
      </c>
      <c r="C267">
        <v>130</v>
      </c>
      <c r="D267">
        <v>0.46971459829710499</v>
      </c>
      <c r="E267">
        <v>6.8132088679419898</v>
      </c>
      <c r="F267">
        <v>0.311183007512909</v>
      </c>
      <c r="G267">
        <v>-151.18711488317098</v>
      </c>
      <c r="H267">
        <v>-84.803362461011247</v>
      </c>
      <c r="I267">
        <v>63.157162496934703</v>
      </c>
      <c r="J267">
        <v>26.179312460528401</v>
      </c>
      <c r="K267">
        <v>21.894540201265102</v>
      </c>
      <c r="L267">
        <v>1.809096792541202E-3</v>
      </c>
      <c r="M267">
        <v>7.1681208550101094E-4</v>
      </c>
      <c r="N267" s="1">
        <v>-2.64412154171111E-5</v>
      </c>
      <c r="O267" s="1">
        <v>2.9444563214861601E-5</v>
      </c>
      <c r="P267" s="1">
        <v>-3.4347673848439899E-5</v>
      </c>
      <c r="AE267">
        <v>100</v>
      </c>
      <c r="AJ267">
        <v>1</v>
      </c>
    </row>
    <row r="268" spans="1:36" x14ac:dyDescent="0.2">
      <c r="A268">
        <v>267</v>
      </c>
      <c r="B268">
        <v>776</v>
      </c>
      <c r="C268">
        <v>130</v>
      </c>
      <c r="D268">
        <v>0.46857027117190198</v>
      </c>
      <c r="E268">
        <v>6.8906826987475096</v>
      </c>
      <c r="F268">
        <v>0.31231377211686201</v>
      </c>
      <c r="G268">
        <v>-152.77858183469621</v>
      </c>
      <c r="H268">
        <v>-85.820689320153406</v>
      </c>
      <c r="I268">
        <v>63.824844670751901</v>
      </c>
      <c r="J268">
        <v>26.540561945788301</v>
      </c>
      <c r="K268">
        <v>22.063332820843801</v>
      </c>
      <c r="L268">
        <v>1.8180878217730764E-3</v>
      </c>
      <c r="M268">
        <v>7.1626018186174065E-4</v>
      </c>
      <c r="N268" s="1">
        <v>-2.6587824577861501E-5</v>
      </c>
      <c r="O268" s="1">
        <v>2.96998685435799E-5</v>
      </c>
      <c r="P268" s="1">
        <v>-3.4907854147691503E-5</v>
      </c>
      <c r="AE268">
        <v>100</v>
      </c>
      <c r="AJ268">
        <v>1</v>
      </c>
    </row>
    <row r="269" spans="1:36" x14ac:dyDescent="0.2">
      <c r="A269">
        <v>268</v>
      </c>
      <c r="B269">
        <v>774</v>
      </c>
      <c r="C269">
        <v>130</v>
      </c>
      <c r="D269">
        <v>0.46742157284057101</v>
      </c>
      <c r="E269">
        <v>7.0502050886281697</v>
      </c>
      <c r="F269">
        <v>0.31345430093895499</v>
      </c>
      <c r="G269">
        <v>-156.18492141650628</v>
      </c>
      <c r="H269">
        <v>-87.861852243317088</v>
      </c>
      <c r="I269">
        <v>65.250540737690898</v>
      </c>
      <c r="J269">
        <v>27.220656180037601</v>
      </c>
      <c r="K269">
        <v>22.491971134258499</v>
      </c>
      <c r="L269">
        <v>1.8271387368350741E-3</v>
      </c>
      <c r="M269">
        <v>7.1569217965928005E-4</v>
      </c>
      <c r="N269" s="1">
        <v>-2.7033998107411001E-5</v>
      </c>
      <c r="O269" s="1">
        <v>3.03055852809385E-5</v>
      </c>
      <c r="P269" s="1">
        <v>-3.5891875403671602E-5</v>
      </c>
      <c r="AE269">
        <v>100</v>
      </c>
      <c r="AJ269">
        <v>1</v>
      </c>
    </row>
    <row r="270" spans="1:36" x14ac:dyDescent="0.2">
      <c r="A270">
        <v>269</v>
      </c>
      <c r="B270">
        <v>772</v>
      </c>
      <c r="C270">
        <v>130</v>
      </c>
      <c r="D270">
        <v>0.46626847820886702</v>
      </c>
      <c r="E270">
        <v>7.2146395303817998</v>
      </c>
      <c r="F270">
        <v>0.31460470844647997</v>
      </c>
      <c r="G270">
        <v>-159.69418638446206</v>
      </c>
      <c r="H270">
        <v>-89.966864294432455</v>
      </c>
      <c r="I270">
        <v>66.719084102567507</v>
      </c>
      <c r="J270">
        <v>27.923385542401501</v>
      </c>
      <c r="K270">
        <v>22.932395277895601</v>
      </c>
      <c r="L270">
        <v>1.836249207850656E-3</v>
      </c>
      <c r="M270">
        <v>7.1510766090943773E-4</v>
      </c>
      <c r="N270" s="1">
        <v>-2.7478803910239301E-5</v>
      </c>
      <c r="O270" s="1">
        <v>3.0928133491288999E-5</v>
      </c>
      <c r="P270" s="1">
        <v>-3.69114172883921E-5</v>
      </c>
      <c r="AE270">
        <v>100</v>
      </c>
      <c r="AJ270">
        <v>1</v>
      </c>
    </row>
    <row r="271" spans="1:36" x14ac:dyDescent="0.2">
      <c r="A271">
        <v>270</v>
      </c>
      <c r="B271">
        <v>770</v>
      </c>
      <c r="C271">
        <v>130</v>
      </c>
      <c r="D271">
        <v>0.46511096199012703</v>
      </c>
      <c r="E271">
        <v>7.38996626636062</v>
      </c>
      <c r="F271">
        <v>0.31576511025353299</v>
      </c>
      <c r="G271">
        <v>-163.43837238707303</v>
      </c>
      <c r="H271">
        <v>-92.210470201945839</v>
      </c>
      <c r="I271">
        <v>68.285607225826297</v>
      </c>
      <c r="J271">
        <v>28.6721376020847</v>
      </c>
      <c r="K271">
        <v>23.4033654333345</v>
      </c>
      <c r="L271">
        <v>1.8454188589898106E-3</v>
      </c>
      <c r="M271">
        <v>7.1450619751194729E-4</v>
      </c>
      <c r="N271" s="1">
        <v>-2.7943179324989201E-5</v>
      </c>
      <c r="O271" s="1">
        <v>3.1592855217409902E-5</v>
      </c>
      <c r="P271" s="1">
        <v>-3.7997790778002903E-5</v>
      </c>
      <c r="AE271">
        <v>100</v>
      </c>
      <c r="AJ271">
        <v>1</v>
      </c>
    </row>
    <row r="272" spans="1:36" x14ac:dyDescent="0.2">
      <c r="A272">
        <v>271</v>
      </c>
      <c r="B272">
        <v>768</v>
      </c>
      <c r="C272">
        <v>130</v>
      </c>
      <c r="D272">
        <v>0.46394899870335798</v>
      </c>
      <c r="E272">
        <v>9.3232397450027005</v>
      </c>
      <c r="F272">
        <v>0.31693562310770401</v>
      </c>
      <c r="G272">
        <v>-206.02291018866879</v>
      </c>
      <c r="H272">
        <v>-116.40589192852208</v>
      </c>
      <c r="I272">
        <v>86.080155203804694</v>
      </c>
      <c r="J272">
        <v>36.2623707877135</v>
      </c>
      <c r="K272">
        <v>29.416824948814199</v>
      </c>
      <c r="L272">
        <v>1.854647266348905E-3</v>
      </c>
      <c r="M272">
        <v>7.1388735109191115E-4</v>
      </c>
      <c r="N272" s="1">
        <v>-3.4979528150923303E-5</v>
      </c>
      <c r="O272" s="1">
        <v>3.9747471445923699E-5</v>
      </c>
      <c r="P272" s="1">
        <v>-4.8180421816518803E-5</v>
      </c>
      <c r="AE272">
        <v>100</v>
      </c>
      <c r="AJ272">
        <v>1</v>
      </c>
    </row>
    <row r="273" spans="1:36" x14ac:dyDescent="0.2">
      <c r="A273">
        <v>272</v>
      </c>
      <c r="B273">
        <v>766</v>
      </c>
      <c r="C273">
        <v>130</v>
      </c>
      <c r="D273">
        <v>0.46278256267141699</v>
      </c>
      <c r="E273">
        <v>9.9346612804027004</v>
      </c>
      <c r="F273">
        <v>0.31811636487497802</v>
      </c>
      <c r="G273">
        <v>-219.35059307060251</v>
      </c>
      <c r="H273">
        <v>-124.11721061435999</v>
      </c>
      <c r="I273">
        <v>91.650933627950906</v>
      </c>
      <c r="J273">
        <v>38.736612049486297</v>
      </c>
      <c r="K273">
        <v>31.229645429611999</v>
      </c>
      <c r="L273">
        <v>1.8639339557644835E-3</v>
      </c>
      <c r="M273">
        <v>7.1325067284639721E-4</v>
      </c>
      <c r="N273" s="1">
        <v>-3.6962780505907602E-5</v>
      </c>
      <c r="O273" s="1">
        <v>4.22357792605125E-5</v>
      </c>
      <c r="P273" s="1">
        <v>-5.1601534692483699E-5</v>
      </c>
      <c r="AE273">
        <v>100</v>
      </c>
      <c r="AJ273">
        <v>1</v>
      </c>
    </row>
    <row r="274" spans="1:36" x14ac:dyDescent="0.2">
      <c r="A274">
        <v>273</v>
      </c>
      <c r="B274">
        <v>764</v>
      </c>
      <c r="C274">
        <v>130</v>
      </c>
      <c r="D274">
        <v>0.461611628019092</v>
      </c>
      <c r="E274">
        <v>10.1855824729122</v>
      </c>
      <c r="F274">
        <v>0.31930745452272702</v>
      </c>
      <c r="G274">
        <v>-224.70290807208059</v>
      </c>
      <c r="H274">
        <v>-127.33158647013087</v>
      </c>
      <c r="I274">
        <v>93.889167832721498</v>
      </c>
      <c r="J274">
        <v>39.814486571919602</v>
      </c>
      <c r="K274">
        <v>31.8989811501168</v>
      </c>
      <c r="L274">
        <v>1.8732784005600033E-3</v>
      </c>
      <c r="M274">
        <v>7.125957033967973E-4</v>
      </c>
      <c r="N274" s="1">
        <v>-3.7557691413709103E-5</v>
      </c>
      <c r="O274" s="1">
        <v>4.3180367289128802E-5</v>
      </c>
      <c r="P274" s="1">
        <v>-5.31764170625024E-5</v>
      </c>
      <c r="AE274">
        <v>100</v>
      </c>
      <c r="AJ274">
        <v>1</v>
      </c>
    </row>
    <row r="275" spans="1:36" x14ac:dyDescent="0.2">
      <c r="A275">
        <v>274</v>
      </c>
      <c r="B275">
        <v>762</v>
      </c>
      <c r="C275">
        <v>130</v>
      </c>
      <c r="D275">
        <v>0.46043616867121101</v>
      </c>
      <c r="E275">
        <v>10.3239380941967</v>
      </c>
      <c r="F275">
        <v>0.32050901210070498</v>
      </c>
      <c r="G275">
        <v>-227.5649036849031</v>
      </c>
      <c r="H275">
        <v>-129.14200434285561</v>
      </c>
      <c r="I275">
        <v>95.086516285936696</v>
      </c>
      <c r="J275">
        <v>40.457097457208199</v>
      </c>
      <c r="K275">
        <v>32.211069593740099</v>
      </c>
      <c r="L275">
        <v>1.8826800192256184E-3</v>
      </c>
      <c r="M275">
        <v>7.1192197264777712E-4</v>
      </c>
      <c r="N275" s="1">
        <v>-3.7703531607074003E-5</v>
      </c>
      <c r="O275" s="1">
        <v>4.3642210643572599E-5</v>
      </c>
      <c r="P275" s="1">
        <v>-5.4177623505499801E-5</v>
      </c>
      <c r="AE275">
        <v>100</v>
      </c>
      <c r="AJ275">
        <v>1</v>
      </c>
    </row>
    <row r="276" spans="1:36" x14ac:dyDescent="0.2">
      <c r="A276">
        <v>275</v>
      </c>
      <c r="B276">
        <v>760</v>
      </c>
      <c r="C276">
        <v>130</v>
      </c>
      <c r="D276">
        <v>0.45925615835067601</v>
      </c>
      <c r="E276">
        <v>10.4129706541222</v>
      </c>
      <c r="F276">
        <v>0.32172115871995499</v>
      </c>
      <c r="G276">
        <v>-229.33566545330649</v>
      </c>
      <c r="H276">
        <v>-130.33742690316029</v>
      </c>
      <c r="I276">
        <v>95.827515357289897</v>
      </c>
      <c r="J276">
        <v>40.909615249051399</v>
      </c>
      <c r="K276">
        <v>32.366446445588998</v>
      </c>
      <c r="L276">
        <v>1.8921381730314611E-3</v>
      </c>
      <c r="M276">
        <v>7.1122899965386419E-4</v>
      </c>
      <c r="N276" s="1">
        <v>-3.7639263276062799E-5</v>
      </c>
      <c r="O276" s="1">
        <v>4.3891900615680303E-5</v>
      </c>
      <c r="P276" s="1">
        <v>-5.4929812361344103E-5</v>
      </c>
      <c r="AE276">
        <v>100</v>
      </c>
      <c r="AJ276">
        <v>1</v>
      </c>
    </row>
    <row r="277" spans="1:36" x14ac:dyDescent="0.2">
      <c r="A277">
        <v>276</v>
      </c>
      <c r="B277">
        <v>758</v>
      </c>
      <c r="C277">
        <v>130</v>
      </c>
      <c r="D277">
        <v>0.45807157057654202</v>
      </c>
      <c r="E277">
        <v>10.475819887517501</v>
      </c>
      <c r="F277">
        <v>0.322944016529505</v>
      </c>
      <c r="G277">
        <v>-230.52712737681568</v>
      </c>
      <c r="H277">
        <v>-131.20651844171874</v>
      </c>
      <c r="I277">
        <v>96.3260474640213</v>
      </c>
      <c r="J277">
        <v>41.261733584775399</v>
      </c>
      <c r="K277">
        <v>32.4385012612873</v>
      </c>
      <c r="L277">
        <v>1.901652163573629E-3</v>
      </c>
      <c r="M277">
        <v>7.1051629249421885E-4</v>
      </c>
      <c r="N277" s="1">
        <v>-3.7451851945995498E-5</v>
      </c>
      <c r="O277" s="1">
        <v>4.4028438755323603E-5</v>
      </c>
      <c r="P277" s="1">
        <v>-5.5551755291271601E-5</v>
      </c>
      <c r="AE277">
        <v>100</v>
      </c>
      <c r="AJ277">
        <v>1</v>
      </c>
    </row>
    <row r="278" spans="1:36" x14ac:dyDescent="0.2">
      <c r="A278">
        <v>277</v>
      </c>
      <c r="B278">
        <v>756</v>
      </c>
      <c r="C278">
        <v>130</v>
      </c>
      <c r="D278">
        <v>0.45688237866200498</v>
      </c>
      <c r="E278">
        <v>10.5229834904274</v>
      </c>
      <c r="F278">
        <v>0.32417770869074503</v>
      </c>
      <c r="G278">
        <v>-231.37155374175234</v>
      </c>
      <c r="H278">
        <v>-131.88022997031277</v>
      </c>
      <c r="I278">
        <v>96.679148490286096</v>
      </c>
      <c r="J278">
        <v>41.554134450517203</v>
      </c>
      <c r="K278">
        <v>32.460540031967497</v>
      </c>
      <c r="L278">
        <v>1.9112212302544174E-3</v>
      </c>
      <c r="M278">
        <v>7.09783348156926E-4</v>
      </c>
      <c r="N278" s="1">
        <v>-3.7180334562708802E-5</v>
      </c>
      <c r="O278" s="1">
        <v>4.40967319008291E-5</v>
      </c>
      <c r="P278" s="1">
        <v>-5.60973217079202E-5</v>
      </c>
      <c r="AE278">
        <v>100</v>
      </c>
      <c r="AJ278">
        <v>1</v>
      </c>
    </row>
    <row r="279" spans="1:36" x14ac:dyDescent="0.2">
      <c r="A279">
        <v>278</v>
      </c>
      <c r="B279">
        <v>754</v>
      </c>
      <c r="C279">
        <v>130</v>
      </c>
      <c r="D279">
        <v>0.45568855571240902</v>
      </c>
      <c r="E279">
        <v>10.561893553652499</v>
      </c>
      <c r="F279">
        <v>0.32542235934939301</v>
      </c>
      <c r="G279">
        <v>-232.03308725521623</v>
      </c>
      <c r="H279">
        <v>-132.45139721425042</v>
      </c>
      <c r="I279">
        <v>96.955395224681595</v>
      </c>
      <c r="J279">
        <v>41.815777178682197</v>
      </c>
      <c r="K279">
        <v>32.455955315328097</v>
      </c>
      <c r="L279">
        <v>1.9208445476970508E-3</v>
      </c>
      <c r="M279">
        <v>7.0902965243369357E-4</v>
      </c>
      <c r="N279" s="1">
        <v>-3.6851520883381902E-5</v>
      </c>
      <c r="O279" s="1">
        <v>4.4128369003180301E-5</v>
      </c>
      <c r="P279" s="1">
        <v>-5.66050867122194E-5</v>
      </c>
      <c r="AE279">
        <v>100</v>
      </c>
      <c r="AJ279">
        <v>1</v>
      </c>
    </row>
    <row r="280" spans="1:36" x14ac:dyDescent="0.2">
      <c r="A280">
        <v>279</v>
      </c>
      <c r="B280">
        <v>752</v>
      </c>
      <c r="C280">
        <v>130</v>
      </c>
      <c r="D280">
        <v>0.45449007462322599</v>
      </c>
      <c r="E280">
        <v>10.5922087963758</v>
      </c>
      <c r="F280">
        <v>0.32667809360490901</v>
      </c>
      <c r="G280">
        <v>-232.50469393168325</v>
      </c>
      <c r="H280">
        <v>-132.91554613387783</v>
      </c>
      <c r="I280">
        <v>97.151840521011394</v>
      </c>
      <c r="J280">
        <v>42.045062705085599</v>
      </c>
      <c r="K280">
        <v>32.423994763439097</v>
      </c>
      <c r="L280">
        <v>1.9305212230957304E-3</v>
      </c>
      <c r="M280">
        <v>7.0825467982595157E-4</v>
      </c>
      <c r="N280" s="1">
        <v>-3.6464267551749299E-5</v>
      </c>
      <c r="O280" s="1">
        <v>4.4122193391139998E-5</v>
      </c>
      <c r="P280" s="1">
        <v>-5.70725605462018E-5</v>
      </c>
      <c r="AE280">
        <v>100</v>
      </c>
      <c r="AJ280">
        <v>1</v>
      </c>
    </row>
    <row r="281" spans="1:36" x14ac:dyDescent="0.2">
      <c r="A281">
        <v>280</v>
      </c>
      <c r="B281">
        <v>792</v>
      </c>
      <c r="C281">
        <v>120</v>
      </c>
      <c r="D281">
        <v>0.48793174670234402</v>
      </c>
      <c r="E281">
        <v>6.8603644913752504</v>
      </c>
      <c r="F281">
        <v>0.28122827198497002</v>
      </c>
      <c r="G281">
        <v>-153.36095979738442</v>
      </c>
      <c r="H281">
        <v>-84.819662797067465</v>
      </c>
      <c r="I281">
        <v>64.352647910767104</v>
      </c>
      <c r="J281">
        <v>25.600433638888099</v>
      </c>
      <c r="K281">
        <v>24.394291665461999</v>
      </c>
      <c r="L281">
        <v>1.7647498461571475E-3</v>
      </c>
      <c r="M281">
        <v>8.0830698742375686E-4</v>
      </c>
      <c r="N281" s="1">
        <v>-3.5493722184889399E-5</v>
      </c>
      <c r="O281" s="1">
        <v>3.9058519519418097E-5</v>
      </c>
      <c r="P281" s="1">
        <v>-3.7529195185975299E-5</v>
      </c>
      <c r="AE281">
        <v>100</v>
      </c>
      <c r="AJ281">
        <v>1</v>
      </c>
    </row>
    <row r="282" spans="1:36" x14ac:dyDescent="0.2">
      <c r="A282">
        <v>281</v>
      </c>
      <c r="B282">
        <v>790</v>
      </c>
      <c r="C282">
        <v>120</v>
      </c>
      <c r="D282">
        <v>0.486836758688802</v>
      </c>
      <c r="E282">
        <v>6.8847102993928599</v>
      </c>
      <c r="F282">
        <v>0.28222520732211198</v>
      </c>
      <c r="G282">
        <v>-153.77608777197506</v>
      </c>
      <c r="H282">
        <v>-85.172110285662114</v>
      </c>
      <c r="I282">
        <v>64.532678681574396</v>
      </c>
      <c r="J282">
        <v>25.751433632409899</v>
      </c>
      <c r="K282">
        <v>24.3943847706527</v>
      </c>
      <c r="L282">
        <v>1.7739275471855152E-3</v>
      </c>
      <c r="M282">
        <v>8.0807754322329884E-4</v>
      </c>
      <c r="N282" s="1">
        <v>-3.56542292723656E-5</v>
      </c>
      <c r="O282" s="1">
        <v>3.9109629709803203E-5</v>
      </c>
      <c r="P282" s="1">
        <v>-3.7834735051283503E-5</v>
      </c>
      <c r="AE282">
        <v>100</v>
      </c>
      <c r="AJ282">
        <v>1</v>
      </c>
    </row>
    <row r="283" spans="1:36" x14ac:dyDescent="0.2">
      <c r="A283">
        <v>282</v>
      </c>
      <c r="B283">
        <v>788</v>
      </c>
      <c r="C283">
        <v>120</v>
      </c>
      <c r="D283">
        <v>0.48573764312303003</v>
      </c>
      <c r="E283">
        <v>6.91991025042178</v>
      </c>
      <c r="F283">
        <v>0.283230897658583</v>
      </c>
      <c r="G283">
        <v>-154.43263330150964</v>
      </c>
      <c r="H283">
        <v>-85.659403050385151</v>
      </c>
      <c r="I283">
        <v>64.813824858597599</v>
      </c>
      <c r="J283">
        <v>25.944242035736501</v>
      </c>
      <c r="K283">
        <v>24.432045753579001</v>
      </c>
      <c r="L283">
        <v>1.7831835650669373E-3</v>
      </c>
      <c r="M283">
        <v>8.0783691589447087E-4</v>
      </c>
      <c r="N283" s="1">
        <v>-3.5864160141123697E-5</v>
      </c>
      <c r="O283" s="1">
        <v>3.9221298705342399E-5</v>
      </c>
      <c r="P283" s="1">
        <v>-3.8204085180707501E-5</v>
      </c>
      <c r="AE283">
        <v>100</v>
      </c>
      <c r="AJ283">
        <v>1</v>
      </c>
    </row>
    <row r="284" spans="1:36" x14ac:dyDescent="0.2">
      <c r="A284">
        <v>283</v>
      </c>
      <c r="B284">
        <v>786</v>
      </c>
      <c r="C284">
        <v>120</v>
      </c>
      <c r="D284">
        <v>0.48463437662276798</v>
      </c>
      <c r="E284">
        <v>6.9551314224130101</v>
      </c>
      <c r="F284">
        <v>0.28424545597738199</v>
      </c>
      <c r="G284">
        <v>-155.08843105214748</v>
      </c>
      <c r="H284">
        <v>-86.147609542651082</v>
      </c>
      <c r="I284">
        <v>65.094464110645603</v>
      </c>
      <c r="J284">
        <v>26.138451719136398</v>
      </c>
      <c r="K284">
        <v>24.468751482755199</v>
      </c>
      <c r="L284">
        <v>1.7925183159377025E-3</v>
      </c>
      <c r="M284">
        <v>8.0758476349095457E-4</v>
      </c>
      <c r="N284" s="1">
        <v>-3.60670256117168E-5</v>
      </c>
      <c r="O284" s="1">
        <v>3.9331834400263002E-5</v>
      </c>
      <c r="P284" s="1">
        <v>-3.8578075119738902E-5</v>
      </c>
      <c r="AE284">
        <v>100</v>
      </c>
      <c r="AJ284">
        <v>1</v>
      </c>
    </row>
    <row r="285" spans="1:36" x14ac:dyDescent="0.2">
      <c r="A285">
        <v>284</v>
      </c>
      <c r="B285">
        <v>784</v>
      </c>
      <c r="C285">
        <v>120</v>
      </c>
      <c r="D285">
        <v>0.48352693562881199</v>
      </c>
      <c r="E285">
        <v>6.9903386789248598</v>
      </c>
      <c r="F285">
        <v>0.28526899686889101</v>
      </c>
      <c r="G285">
        <v>-155.74269891793946</v>
      </c>
      <c r="H285">
        <v>-86.636298059522019</v>
      </c>
      <c r="I285">
        <v>65.374262081507297</v>
      </c>
      <c r="J285">
        <v>26.333947864587302</v>
      </c>
      <c r="K285">
        <v>24.504375714328201</v>
      </c>
      <c r="L285">
        <v>1.801932194714001E-3</v>
      </c>
      <c r="M285">
        <v>8.0732073379517853E-4</v>
      </c>
      <c r="N285" s="1">
        <v>-3.6262181475711099E-5</v>
      </c>
      <c r="O285" s="1">
        <v>3.9441021510935303E-5</v>
      </c>
      <c r="P285" s="1">
        <v>-3.8956600934079297E-5</v>
      </c>
      <c r="AE285">
        <v>100</v>
      </c>
      <c r="AJ285">
        <v>1</v>
      </c>
    </row>
    <row r="286" spans="1:36" x14ac:dyDescent="0.2">
      <c r="A286">
        <v>285</v>
      </c>
      <c r="B286">
        <v>782</v>
      </c>
      <c r="C286">
        <v>120</v>
      </c>
      <c r="D286">
        <v>0.48241529640335601</v>
      </c>
      <c r="E286">
        <v>7.0254978809895698</v>
      </c>
      <c r="F286">
        <v>0.28630163654437002</v>
      </c>
      <c r="G286">
        <v>-156.39467964013218</v>
      </c>
      <c r="H286">
        <v>-87.125048251247648</v>
      </c>
      <c r="I286">
        <v>65.652894669181606</v>
      </c>
      <c r="J286">
        <v>26.530618201275701</v>
      </c>
      <c r="K286">
        <v>24.538797492695299</v>
      </c>
      <c r="L286">
        <v>1.811425573531809E-3</v>
      </c>
      <c r="M286">
        <v>8.0704446402858274E-4</v>
      </c>
      <c r="N286" s="1">
        <v>-3.6448968457108501E-5</v>
      </c>
      <c r="O286" s="1">
        <v>3.9548651506069398E-5</v>
      </c>
      <c r="P286" s="1">
        <v>-3.9339562020622902E-5</v>
      </c>
      <c r="AE286">
        <v>100</v>
      </c>
      <c r="AJ286">
        <v>1</v>
      </c>
    </row>
    <row r="287" spans="1:36" x14ac:dyDescent="0.2">
      <c r="A287">
        <v>286</v>
      </c>
      <c r="B287">
        <v>780</v>
      </c>
      <c r="C287">
        <v>120</v>
      </c>
      <c r="D287">
        <v>0.48129943502824801</v>
      </c>
      <c r="E287">
        <v>7.1053639738577701</v>
      </c>
      <c r="F287">
        <v>0.28734349284878202</v>
      </c>
      <c r="G287">
        <v>-158.03983199935831</v>
      </c>
      <c r="H287">
        <v>-88.169218686828827</v>
      </c>
      <c r="I287">
        <v>66.348268943754107</v>
      </c>
      <c r="J287">
        <v>26.8979017507571</v>
      </c>
      <c r="K287">
        <v>24.727770597530199</v>
      </c>
      <c r="L287">
        <v>1.8209988001114381E-3</v>
      </c>
      <c r="M287">
        <v>8.0675558055645939E-4</v>
      </c>
      <c r="N287" s="1">
        <v>-3.6859049958450897E-5</v>
      </c>
      <c r="O287" s="1">
        <v>3.9906067194013097E-5</v>
      </c>
      <c r="P287" s="1">
        <v>-3.9978864606422999E-5</v>
      </c>
      <c r="AE287">
        <v>100</v>
      </c>
      <c r="AJ287">
        <v>1</v>
      </c>
    </row>
    <row r="288" spans="1:36" x14ac:dyDescent="0.2">
      <c r="A288">
        <v>287</v>
      </c>
      <c r="B288">
        <v>778</v>
      </c>
      <c r="C288">
        <v>120</v>
      </c>
      <c r="D288">
        <v>0.48017932740332298</v>
      </c>
      <c r="E288">
        <v>7.2561758745915599</v>
      </c>
      <c r="F288">
        <v>0.28839468527284501</v>
      </c>
      <c r="G288">
        <v>-161.2587788842506</v>
      </c>
      <c r="H288">
        <v>-90.095622512587013</v>
      </c>
      <c r="I288">
        <v>67.704237074707905</v>
      </c>
      <c r="J288">
        <v>27.536644107980699</v>
      </c>
      <c r="K288">
        <v>25.160574189245501</v>
      </c>
      <c r="L288">
        <v>1.8306521960434056E-3</v>
      </c>
      <c r="M288">
        <v>8.0645369858738623E-4</v>
      </c>
      <c r="N288" s="1">
        <v>-3.7627714061705101E-5</v>
      </c>
      <c r="O288" s="1">
        <v>4.0658527146697302E-5</v>
      </c>
      <c r="P288" s="1">
        <v>-4.1026641054796997E-5</v>
      </c>
      <c r="AE288">
        <v>100</v>
      </c>
      <c r="AJ288">
        <v>1</v>
      </c>
    </row>
    <row r="289" spans="1:36" x14ac:dyDescent="0.2">
      <c r="A289">
        <v>288</v>
      </c>
      <c r="B289">
        <v>776</v>
      </c>
      <c r="C289">
        <v>120</v>
      </c>
      <c r="D289">
        <v>0.47905494924462999</v>
      </c>
      <c r="E289">
        <v>7.4119388903655201</v>
      </c>
      <c r="F289">
        <v>0.289455334964271</v>
      </c>
      <c r="G289">
        <v>-164.58214145222121</v>
      </c>
      <c r="H289">
        <v>-92.085964731060528</v>
      </c>
      <c r="I289">
        <v>69.103958716807796</v>
      </c>
      <c r="J289">
        <v>28.197819665614201</v>
      </c>
      <c r="K289">
        <v>25.6065029559065</v>
      </c>
      <c r="L289">
        <v>1.8403860549930137E-3</v>
      </c>
      <c r="M289">
        <v>8.0613842186747875E-4</v>
      </c>
      <c r="N289" s="1">
        <v>-3.84115383068559E-5</v>
      </c>
      <c r="O289" s="1">
        <v>4.1434294137172799E-5</v>
      </c>
      <c r="P289" s="1">
        <v>-4.2114003026965597E-5</v>
      </c>
      <c r="AE289">
        <v>100</v>
      </c>
      <c r="AJ289">
        <v>1</v>
      </c>
    </row>
    <row r="290" spans="1:36" x14ac:dyDescent="0.2">
      <c r="A290">
        <v>289</v>
      </c>
      <c r="B290">
        <v>774</v>
      </c>
      <c r="C290">
        <v>120</v>
      </c>
      <c r="D290">
        <v>0.47792627608270499</v>
      </c>
      <c r="E290">
        <v>7.5786981197881902</v>
      </c>
      <c r="F290">
        <v>0.29052556473809499</v>
      </c>
      <c r="G290">
        <v>-168.1437686288813</v>
      </c>
      <c r="H290">
        <v>-94.215518986951025</v>
      </c>
      <c r="I290">
        <v>70.603625687226995</v>
      </c>
      <c r="J290">
        <v>28.904679885454598</v>
      </c>
      <c r="K290">
        <v>26.086166037127501</v>
      </c>
      <c r="L290">
        <v>1.8502006408207326E-3</v>
      </c>
      <c r="M290">
        <v>8.0580934236973152E-4</v>
      </c>
      <c r="N290" s="1">
        <v>-3.9240696409617897E-5</v>
      </c>
      <c r="O290" s="1">
        <v>4.2266845417810897E-5</v>
      </c>
      <c r="P290" s="1">
        <v>-4.32761385038961E-5</v>
      </c>
      <c r="AE290">
        <v>100</v>
      </c>
      <c r="AJ290">
        <v>1</v>
      </c>
    </row>
    <row r="291" spans="1:36" x14ac:dyDescent="0.2">
      <c r="A291">
        <v>290</v>
      </c>
      <c r="B291">
        <v>772</v>
      </c>
      <c r="C291">
        <v>120</v>
      </c>
      <c r="D291">
        <v>0.47679328326077502</v>
      </c>
      <c r="E291">
        <v>9.2609652818801909</v>
      </c>
      <c r="F291">
        <v>0.291605499086037</v>
      </c>
      <c r="G291">
        <v>-205.29467932531955</v>
      </c>
      <c r="H291">
        <v>-115.19956121362726</v>
      </c>
      <c r="I291">
        <v>86.208121135449403</v>
      </c>
      <c r="J291">
        <v>35.410255007830997</v>
      </c>
      <c r="K291">
        <v>31.758541285765499</v>
      </c>
      <c r="L291">
        <v>1.860096185615285E-3</v>
      </c>
      <c r="M291">
        <v>8.0546603997860443E-4</v>
      </c>
      <c r="N291" s="1">
        <v>-4.78947012142384E-5</v>
      </c>
      <c r="O291" s="1">
        <v>5.1526570245051999E-5</v>
      </c>
      <c r="P291" s="1">
        <v>-5.3148642610591401E-5</v>
      </c>
      <c r="AE291">
        <v>100</v>
      </c>
      <c r="AJ291">
        <v>1</v>
      </c>
    </row>
    <row r="292" spans="1:36" x14ac:dyDescent="0.2">
      <c r="A292">
        <v>291</v>
      </c>
      <c r="B292">
        <v>770</v>
      </c>
      <c r="C292">
        <v>120</v>
      </c>
      <c r="D292">
        <v>0.47565594593299199</v>
      </c>
      <c r="E292">
        <v>9.9210493236668604</v>
      </c>
      <c r="F292">
        <v>0.29269526418479702</v>
      </c>
      <c r="G292">
        <v>-219.74261869579942</v>
      </c>
      <c r="H292">
        <v>-123.48648376482362</v>
      </c>
      <c r="I292">
        <v>92.279933245095094</v>
      </c>
      <c r="J292">
        <v>38.031114094485297</v>
      </c>
      <c r="K292">
        <v>33.895489738443601</v>
      </c>
      <c r="L292">
        <v>1.8700728876367518E-3</v>
      </c>
      <c r="M292">
        <v>8.0510808217028589E-4</v>
      </c>
      <c r="N292" s="1">
        <v>-5.1232907790859099E-5</v>
      </c>
      <c r="O292" s="1">
        <v>5.5067425352069599E-5</v>
      </c>
      <c r="P292" s="1">
        <v>-5.7226678136962902E-5</v>
      </c>
      <c r="AE292">
        <v>100</v>
      </c>
      <c r="AJ292">
        <v>1</v>
      </c>
    </row>
    <row r="293" spans="1:36" x14ac:dyDescent="0.2">
      <c r="A293">
        <v>292</v>
      </c>
      <c r="B293">
        <v>768</v>
      </c>
      <c r="C293">
        <v>120</v>
      </c>
      <c r="D293">
        <v>0.474514239062578</v>
      </c>
      <c r="E293">
        <v>10.185998308596799</v>
      </c>
      <c r="F293">
        <v>0.29379498790320202</v>
      </c>
      <c r="G293">
        <v>-225.42159470698115</v>
      </c>
      <c r="H293">
        <v>-126.86247595080881</v>
      </c>
      <c r="I293">
        <v>94.669305873213702</v>
      </c>
      <c r="J293">
        <v>39.147414777968102</v>
      </c>
      <c r="K293">
        <v>34.670429135955203</v>
      </c>
      <c r="L293">
        <v>1.8801309091662603E-3</v>
      </c>
      <c r="M293">
        <v>8.047350236888161E-4</v>
      </c>
      <c r="N293" s="1">
        <v>-5.2507350215586299E-5</v>
      </c>
      <c r="O293" s="1">
        <v>5.64020851711443E-5</v>
      </c>
      <c r="P293" s="1">
        <v>-5.9057173331600599E-5</v>
      </c>
      <c r="AE293">
        <v>100</v>
      </c>
      <c r="AJ293">
        <v>1</v>
      </c>
    </row>
    <row r="294" spans="1:36" x14ac:dyDescent="0.2">
      <c r="A294">
        <v>293</v>
      </c>
      <c r="B294">
        <v>766</v>
      </c>
      <c r="C294">
        <v>120</v>
      </c>
      <c r="D294">
        <v>0.47336813742000999</v>
      </c>
      <c r="E294">
        <v>10.3292882791841</v>
      </c>
      <c r="F294">
        <v>0.29490479980812401</v>
      </c>
      <c r="G294">
        <v>-228.40075272257388</v>
      </c>
      <c r="H294">
        <v>-128.72659362939416</v>
      </c>
      <c r="I294">
        <v>95.924621225255294</v>
      </c>
      <c r="J294">
        <v>39.801308245206798</v>
      </c>
      <c r="K294">
        <v>35.0258398164586</v>
      </c>
      <c r="L294">
        <v>1.8902703742597711E-3</v>
      </c>
      <c r="M294">
        <v>8.0434640621856806E-4</v>
      </c>
      <c r="N294" s="1">
        <v>-5.3133744188722203E-5</v>
      </c>
      <c r="O294" s="1">
        <v>5.7056922450258198E-5</v>
      </c>
      <c r="P294" s="1">
        <v>-6.0199216179805201E-5</v>
      </c>
      <c r="AE294">
        <v>100</v>
      </c>
      <c r="AJ294">
        <v>1</v>
      </c>
    </row>
    <row r="295" spans="1:36" x14ac:dyDescent="0.2">
      <c r="A295">
        <v>294</v>
      </c>
      <c r="B295">
        <v>764</v>
      </c>
      <c r="C295">
        <v>120</v>
      </c>
      <c r="D295">
        <v>0.47221761558116099</v>
      </c>
      <c r="E295">
        <v>10.420303511742899</v>
      </c>
      <c r="F295">
        <v>0.29602483116904899</v>
      </c>
      <c r="G295">
        <v>-230.21981510367709</v>
      </c>
      <c r="H295">
        <v>-129.94126099851459</v>
      </c>
      <c r="I295">
        <v>96.692394776755293</v>
      </c>
      <c r="J295">
        <v>40.257258248984002</v>
      </c>
      <c r="K295">
        <v>35.200775119409599</v>
      </c>
      <c r="L295">
        <v>1.9004913664025882E-3</v>
      </c>
      <c r="M295">
        <v>8.0394175805349581E-4</v>
      </c>
      <c r="N295" s="1">
        <v>-5.3470646214326598E-5</v>
      </c>
      <c r="O295" s="1">
        <v>5.7419108835043503E-5</v>
      </c>
      <c r="P295" s="1">
        <v>-6.1048579373084396E-5</v>
      </c>
      <c r="AE295">
        <v>100</v>
      </c>
      <c r="AJ295">
        <v>1</v>
      </c>
    </row>
    <row r="296" spans="1:36" x14ac:dyDescent="0.2">
      <c r="A296">
        <v>295</v>
      </c>
      <c r="B296">
        <v>762</v>
      </c>
      <c r="C296">
        <v>120</v>
      </c>
      <c r="D296">
        <v>0.47106264792542502</v>
      </c>
      <c r="E296">
        <v>10.483974643699099</v>
      </c>
      <c r="F296">
        <v>0.29715521496122199</v>
      </c>
      <c r="G296">
        <v>-231.43203796244899</v>
      </c>
      <c r="H296">
        <v>-130.81635381653734</v>
      </c>
      <c r="I296">
        <v>97.2049304158746</v>
      </c>
      <c r="J296">
        <v>40.610288425214698</v>
      </c>
      <c r="K296">
        <v>35.281139673309298</v>
      </c>
      <c r="L296">
        <v>1.9107939260616979E-3</v>
      </c>
      <c r="M296">
        <v>8.0352059376355368E-4</v>
      </c>
      <c r="N296" s="1">
        <v>-5.3646362756890201E-5</v>
      </c>
      <c r="O296" s="1">
        <v>5.7627751952799502E-5</v>
      </c>
      <c r="P296" s="1">
        <v>-6.1747501823263096E-5</v>
      </c>
      <c r="AE296">
        <v>100</v>
      </c>
      <c r="AJ296">
        <v>1</v>
      </c>
    </row>
    <row r="297" spans="1:36" x14ac:dyDescent="0.2">
      <c r="A297">
        <v>296</v>
      </c>
      <c r="B297">
        <v>760</v>
      </c>
      <c r="C297">
        <v>120</v>
      </c>
      <c r="D297">
        <v>0.46990320863379098</v>
      </c>
      <c r="E297">
        <v>10.5314420957846</v>
      </c>
      <c r="F297">
        <v>0.29829608586723999</v>
      </c>
      <c r="G297">
        <v>-232.28466312365816</v>
      </c>
      <c r="H297">
        <v>-131.49033735975198</v>
      </c>
      <c r="I297">
        <v>97.566038331101893</v>
      </c>
      <c r="J297">
        <v>40.902857386965003</v>
      </c>
      <c r="K297">
        <v>35.305331161709397</v>
      </c>
      <c r="L297">
        <v>1.9211780481333367E-3</v>
      </c>
      <c r="M297">
        <v>8.0308241385901964E-4</v>
      </c>
      <c r="N297" s="1">
        <v>-5.3717758116819099E-5</v>
      </c>
      <c r="O297" s="1">
        <v>5.7745007568898101E-5</v>
      </c>
      <c r="P297" s="1">
        <v>-6.2359566345395999E-5</v>
      </c>
      <c r="AE297">
        <v>100</v>
      </c>
      <c r="AJ297">
        <v>1</v>
      </c>
    </row>
    <row r="298" spans="1:36" x14ac:dyDescent="0.2">
      <c r="A298">
        <v>297</v>
      </c>
      <c r="B298">
        <v>758</v>
      </c>
      <c r="C298">
        <v>120</v>
      </c>
      <c r="D298">
        <v>0.46873927168695301</v>
      </c>
      <c r="E298">
        <v>10.568452042577601</v>
      </c>
      <c r="F298">
        <v>0.29944758027699497</v>
      </c>
      <c r="G298">
        <v>-232.90522743737418</v>
      </c>
      <c r="H298">
        <v>-132.03462837602785</v>
      </c>
      <c r="I298">
        <v>97.829265362539203</v>
      </c>
      <c r="J298">
        <v>41.156863349843498</v>
      </c>
      <c r="K298">
        <v>35.293162271679002</v>
      </c>
      <c r="L298">
        <v>1.9316436792822349E-3</v>
      </c>
      <c r="M298">
        <v>8.0262670445306367E-4</v>
      </c>
      <c r="N298" s="1">
        <v>-5.3713734690560998E-5</v>
      </c>
      <c r="O298" s="1">
        <v>5.7802927821133203E-5</v>
      </c>
      <c r="P298" s="1">
        <v>-6.2917591900992094E-5</v>
      </c>
      <c r="AE298">
        <v>100</v>
      </c>
      <c r="AJ298">
        <v>1</v>
      </c>
    </row>
    <row r="299" spans="1:36" x14ac:dyDescent="0.2">
      <c r="A299">
        <v>298</v>
      </c>
      <c r="B299">
        <v>756</v>
      </c>
      <c r="C299">
        <v>120</v>
      </c>
      <c r="D299">
        <v>0.46757081086333502</v>
      </c>
      <c r="E299">
        <v>10.5999150650776</v>
      </c>
      <c r="F299">
        <v>0.30060983628583199</v>
      </c>
      <c r="G299">
        <v>-233.40244179320584</v>
      </c>
      <c r="H299">
        <v>-132.5103750835101</v>
      </c>
      <c r="I299">
        <v>98.040259079828303</v>
      </c>
      <c r="J299">
        <v>41.391172906003803</v>
      </c>
      <c r="K299">
        <v>35.261371337825402</v>
      </c>
      <c r="L299">
        <v>1.9421907151702953E-3</v>
      </c>
      <c r="M299">
        <v>8.0215293692347781E-4</v>
      </c>
      <c r="N299" s="1">
        <v>-5.3658649908450502E-5</v>
      </c>
      <c r="O299" s="1">
        <v>5.78286950751706E-5</v>
      </c>
      <c r="P299" s="1">
        <v>-6.3450096553523705E-5</v>
      </c>
      <c r="AE299">
        <v>100</v>
      </c>
      <c r="AJ299">
        <v>1</v>
      </c>
    </row>
    <row r="300" spans="1:36" x14ac:dyDescent="0.2">
      <c r="A300">
        <v>299</v>
      </c>
      <c r="B300">
        <v>798</v>
      </c>
      <c r="C300">
        <v>110</v>
      </c>
      <c r="D300">
        <v>0.501461513326802</v>
      </c>
      <c r="E300">
        <v>7.0623047768490999</v>
      </c>
      <c r="F300">
        <v>0.25539656593439097</v>
      </c>
      <c r="G300">
        <v>-158.53794942532556</v>
      </c>
      <c r="H300">
        <v>-86.929986184645657</v>
      </c>
      <c r="I300">
        <v>66.855253442700203</v>
      </c>
      <c r="J300">
        <v>25.737044308860199</v>
      </c>
      <c r="K300">
        <v>27.652309070840499</v>
      </c>
      <c r="L300">
        <v>1.7410255801400755E-3</v>
      </c>
      <c r="M300">
        <v>9.1049477783971828E-4</v>
      </c>
      <c r="N300" s="1">
        <v>-4.5130547067601997E-5</v>
      </c>
      <c r="O300" s="1">
        <v>5.3219043691995998E-5</v>
      </c>
      <c r="P300" s="1">
        <v>-4.2910481048730398E-5</v>
      </c>
      <c r="AE300">
        <v>100</v>
      </c>
      <c r="AJ300">
        <v>1</v>
      </c>
    </row>
    <row r="301" spans="1:36" x14ac:dyDescent="0.2">
      <c r="A301">
        <v>300</v>
      </c>
      <c r="B301">
        <v>796</v>
      </c>
      <c r="C301">
        <v>110</v>
      </c>
      <c r="D301">
        <v>0.50039797970350297</v>
      </c>
      <c r="E301">
        <v>7.0901723260003298</v>
      </c>
      <c r="F301">
        <v>0.25628981796037997</v>
      </c>
      <c r="G301">
        <v>-159.0293435045499</v>
      </c>
      <c r="H301">
        <v>-87.324744594631056</v>
      </c>
      <c r="I301">
        <v>67.070716309133601</v>
      </c>
      <c r="J301">
        <v>25.897966669756901</v>
      </c>
      <c r="K301">
        <v>27.664666440616799</v>
      </c>
      <c r="L301">
        <v>1.7503974394829141E-3</v>
      </c>
      <c r="M301">
        <v>9.1055820545596258E-4</v>
      </c>
      <c r="N301" s="1">
        <v>-4.5502977220264899E-5</v>
      </c>
      <c r="O301" s="1">
        <v>5.3324695690828899E-5</v>
      </c>
      <c r="P301" s="1">
        <v>-4.32631359302033E-5</v>
      </c>
      <c r="AE301">
        <v>100</v>
      </c>
      <c r="AJ301">
        <v>1</v>
      </c>
    </row>
    <row r="302" spans="1:36" x14ac:dyDescent="0.2">
      <c r="A302">
        <v>301</v>
      </c>
      <c r="B302">
        <v>794</v>
      </c>
      <c r="C302">
        <v>110</v>
      </c>
      <c r="D302">
        <v>0.49933045963547601</v>
      </c>
      <c r="E302">
        <v>7.1225661130390003</v>
      </c>
      <c r="F302">
        <v>0.257191038276537</v>
      </c>
      <c r="G302">
        <v>-159.62121586138119</v>
      </c>
      <c r="H302">
        <v>-87.775809285213697</v>
      </c>
      <c r="I302">
        <v>67.328381713791799</v>
      </c>
      <c r="J302">
        <v>26.0766746194628</v>
      </c>
      <c r="K302">
        <v>27.693679222915399</v>
      </c>
      <c r="L302">
        <v>1.7598606774026154E-3</v>
      </c>
      <c r="M302">
        <v>9.1061468159116732E-4</v>
      </c>
      <c r="N302" s="1">
        <v>-4.5902564402470197E-5</v>
      </c>
      <c r="O302" s="1">
        <v>5.3463273808783697E-5</v>
      </c>
      <c r="P302" s="1">
        <v>-4.3647981417581098E-5</v>
      </c>
      <c r="AE302">
        <v>100</v>
      </c>
      <c r="AJ302">
        <v>1</v>
      </c>
    </row>
    <row r="303" spans="1:36" x14ac:dyDescent="0.2">
      <c r="A303">
        <v>302</v>
      </c>
      <c r="B303">
        <v>792</v>
      </c>
      <c r="C303">
        <v>110</v>
      </c>
      <c r="D303">
        <v>0.49825893066704502</v>
      </c>
      <c r="E303">
        <v>7.1549600626210603</v>
      </c>
      <c r="F303">
        <v>0.25810033632353102</v>
      </c>
      <c r="G303">
        <v>-160.2119647506745</v>
      </c>
      <c r="H303">
        <v>-88.227471899695544</v>
      </c>
      <c r="I303">
        <v>67.5853986372733</v>
      </c>
      <c r="J303">
        <v>26.2566935329302</v>
      </c>
      <c r="K303">
        <v>27.7216223912713</v>
      </c>
      <c r="L303">
        <v>1.7694162325728072E-3</v>
      </c>
      <c r="M303">
        <v>9.1066393829903084E-4</v>
      </c>
      <c r="N303" s="1">
        <v>-4.6300080469632403E-5</v>
      </c>
      <c r="O303" s="1">
        <v>5.3600660860695501E-5</v>
      </c>
      <c r="P303" s="1">
        <v>-4.4037623366418297E-5</v>
      </c>
      <c r="AE303">
        <v>100</v>
      </c>
      <c r="AJ303">
        <v>1</v>
      </c>
    </row>
    <row r="304" spans="1:36" x14ac:dyDescent="0.2">
      <c r="A304">
        <v>303</v>
      </c>
      <c r="B304">
        <v>790</v>
      </c>
      <c r="C304">
        <v>110</v>
      </c>
      <c r="D304">
        <v>0.49718337017354403</v>
      </c>
      <c r="E304">
        <v>7.1873234036625799</v>
      </c>
      <c r="F304">
        <v>0.25901782337520102</v>
      </c>
      <c r="G304">
        <v>-160.80090347692754</v>
      </c>
      <c r="H304">
        <v>-88.679355975545548</v>
      </c>
      <c r="I304">
        <v>67.841471597785599</v>
      </c>
      <c r="J304">
        <v>26.437930133839</v>
      </c>
      <c r="K304">
        <v>27.748373876385099</v>
      </c>
      <c r="L304">
        <v>1.7790650417421425E-3</v>
      </c>
      <c r="M304">
        <v>9.1070569828145592E-4</v>
      </c>
      <c r="N304" s="1">
        <v>-4.6695003912593E-5</v>
      </c>
      <c r="O304" s="1">
        <v>5.37366160611917E-5</v>
      </c>
      <c r="P304" s="1">
        <v>-4.4431980427281003E-5</v>
      </c>
      <c r="AE304">
        <v>100</v>
      </c>
      <c r="AJ304">
        <v>1</v>
      </c>
    </row>
    <row r="305" spans="1:36" x14ac:dyDescent="0.2">
      <c r="A305">
        <v>304</v>
      </c>
      <c r="B305">
        <v>788</v>
      </c>
      <c r="C305">
        <v>110</v>
      </c>
      <c r="D305">
        <v>0.49610375535975398</v>
      </c>
      <c r="E305">
        <v>7.21962634189354</v>
      </c>
      <c r="F305">
        <v>0.25994361256822701</v>
      </c>
      <c r="G305">
        <v>-161.3873695150902</v>
      </c>
      <c r="H305">
        <v>-89.131096250103809</v>
      </c>
      <c r="I305">
        <v>68.096315109565097</v>
      </c>
      <c r="J305">
        <v>26.620293894703401</v>
      </c>
      <c r="K305">
        <v>27.7738170619545</v>
      </c>
      <c r="L305">
        <v>1.7888080388081423E-3</v>
      </c>
      <c r="M305">
        <v>9.1073967455936348E-4</v>
      </c>
      <c r="N305" s="1">
        <v>-4.7086799104260501E-5</v>
      </c>
      <c r="O305" s="1">
        <v>5.3870907268426901E-5</v>
      </c>
      <c r="P305" s="1">
        <v>-4.4830976609167101E-5</v>
      </c>
      <c r="AE305">
        <v>100</v>
      </c>
      <c r="AJ305">
        <v>1</v>
      </c>
    </row>
    <row r="306" spans="1:36" x14ac:dyDescent="0.2">
      <c r="A306">
        <v>305</v>
      </c>
      <c r="B306">
        <v>786</v>
      </c>
      <c r="C306">
        <v>110</v>
      </c>
      <c r="D306">
        <v>0.49502006325827702</v>
      </c>
      <c r="E306">
        <v>7.2518403115016703</v>
      </c>
      <c r="F306">
        <v>0.26087781893192902</v>
      </c>
      <c r="G306">
        <v>-161.97073003484604</v>
      </c>
      <c r="H306">
        <v>-89.582341800303709</v>
      </c>
      <c r="I306">
        <v>68.349656028780203</v>
      </c>
      <c r="J306">
        <v>26.803697972949401</v>
      </c>
      <c r="K306">
        <v>27.797841691531001</v>
      </c>
      <c r="L306">
        <v>1.7986461538287187E-3</v>
      </c>
      <c r="M306">
        <v>9.107655701326078E-4</v>
      </c>
      <c r="N306" s="1">
        <v>-4.7474917470753402E-5</v>
      </c>
      <c r="O306" s="1">
        <v>5.4003312770682798E-5</v>
      </c>
      <c r="P306" s="1">
        <v>-4.5234542893025302E-5</v>
      </c>
      <c r="AE306">
        <v>100</v>
      </c>
      <c r="AJ306">
        <v>1</v>
      </c>
    </row>
    <row r="307" spans="1:36" x14ac:dyDescent="0.2">
      <c r="A307">
        <v>306</v>
      </c>
      <c r="B307">
        <v>784</v>
      </c>
      <c r="C307">
        <v>110</v>
      </c>
      <c r="D307">
        <v>0.49393227072789903</v>
      </c>
      <c r="E307">
        <v>7.36510194651395</v>
      </c>
      <c r="F307">
        <v>0.26182055941815802</v>
      </c>
      <c r="G307">
        <v>-164.36165949628756</v>
      </c>
      <c r="H307">
        <v>-91.035979348348818</v>
      </c>
      <c r="I307">
        <v>69.365648121403296</v>
      </c>
      <c r="J307">
        <v>27.288783654540001</v>
      </c>
      <c r="K307">
        <v>28.130342257618501</v>
      </c>
      <c r="L307">
        <v>1.8085803119678441E-3</v>
      </c>
      <c r="M307">
        <v>9.1078307762868828E-4</v>
      </c>
      <c r="N307" s="1">
        <v>-4.8392081366586503E-5</v>
      </c>
      <c r="O307" s="1">
        <v>5.4736825063310003E-5</v>
      </c>
      <c r="P307" s="1">
        <v>-4.6151207046009798E-5</v>
      </c>
      <c r="AE307">
        <v>100</v>
      </c>
      <c r="AJ307">
        <v>1</v>
      </c>
    </row>
    <row r="308" spans="1:36" x14ac:dyDescent="0.2">
      <c r="A308">
        <v>307</v>
      </c>
      <c r="B308">
        <v>782</v>
      </c>
      <c r="C308">
        <v>110</v>
      </c>
      <c r="D308">
        <v>0.49284035445197399</v>
      </c>
      <c r="E308">
        <v>7.5080319789973302</v>
      </c>
      <c r="F308">
        <v>0.262771952931247</v>
      </c>
      <c r="G308">
        <v>-167.40995491236441</v>
      </c>
      <c r="H308">
        <v>-92.858364139246731</v>
      </c>
      <c r="I308">
        <v>70.659041207469997</v>
      </c>
      <c r="J308">
        <v>27.886955964587798</v>
      </c>
      <c r="K308">
        <v>28.5724252350544</v>
      </c>
      <c r="L308">
        <v>1.8186114323719181E-3</v>
      </c>
      <c r="M308">
        <v>9.1079187893995238E-4</v>
      </c>
      <c r="N308" s="1">
        <v>-4.9504742447575403E-5</v>
      </c>
      <c r="O308" s="1">
        <v>5.56867153059439E-5</v>
      </c>
      <c r="P308" s="1">
        <v>-4.7264700436759903E-5</v>
      </c>
      <c r="AE308">
        <v>100</v>
      </c>
      <c r="AJ308">
        <v>1</v>
      </c>
    </row>
    <row r="309" spans="1:36" x14ac:dyDescent="0.2">
      <c r="A309">
        <v>308</v>
      </c>
      <c r="B309">
        <v>780</v>
      </c>
      <c r="C309">
        <v>110</v>
      </c>
      <c r="D309">
        <v>0.49174429093671501</v>
      </c>
      <c r="E309">
        <v>7.6571444260621604</v>
      </c>
      <c r="F309">
        <v>0.26373212035799298</v>
      </c>
      <c r="G309">
        <v>-170.59071126477392</v>
      </c>
      <c r="H309">
        <v>-94.759519804225306</v>
      </c>
      <c r="I309">
        <v>72.0083305785421</v>
      </c>
      <c r="J309">
        <v>28.511636205580999</v>
      </c>
      <c r="K309">
        <v>29.0337954120576</v>
      </c>
      <c r="L309">
        <v>1.8287404269731878E-3</v>
      </c>
      <c r="M309">
        <v>9.1079164484907137E-4</v>
      </c>
      <c r="N309" s="1">
        <v>-5.0658899675601998E-5</v>
      </c>
      <c r="O309" s="1">
        <v>5.6677782911349398E-5</v>
      </c>
      <c r="P309" s="1">
        <v>-4.8429349017004499E-5</v>
      </c>
      <c r="AE309">
        <v>100</v>
      </c>
      <c r="AJ309">
        <v>1</v>
      </c>
    </row>
    <row r="310" spans="1:36" x14ac:dyDescent="0.2">
      <c r="A310">
        <v>309</v>
      </c>
      <c r="B310">
        <v>778</v>
      </c>
      <c r="C310">
        <v>110</v>
      </c>
      <c r="D310">
        <v>0.49064405650953802</v>
      </c>
      <c r="E310">
        <v>7.8370991034555804</v>
      </c>
      <c r="F310">
        <v>0.264701184597607</v>
      </c>
      <c r="G310">
        <v>-174.45250972222465</v>
      </c>
      <c r="H310">
        <v>-97.044951004409981</v>
      </c>
      <c r="I310">
        <v>73.645096881676807</v>
      </c>
      <c r="J310">
        <v>29.255110486088</v>
      </c>
      <c r="K310">
        <v>29.6073442790569</v>
      </c>
      <c r="L310">
        <v>1.8389681992164086E-3</v>
      </c>
      <c r="M310">
        <v>9.1078203464255278E-4</v>
      </c>
      <c r="N310" s="1">
        <v>-5.2017909211203701E-5</v>
      </c>
      <c r="O310" s="1">
        <v>5.7891880618488902E-5</v>
      </c>
      <c r="P310" s="1">
        <v>-4.9802709000009197E-5</v>
      </c>
      <c r="AE310">
        <v>100</v>
      </c>
      <c r="AJ310">
        <v>1</v>
      </c>
    </row>
    <row r="311" spans="1:36" x14ac:dyDescent="0.2">
      <c r="A311">
        <v>310</v>
      </c>
      <c r="B311">
        <v>776</v>
      </c>
      <c r="C311">
        <v>110</v>
      </c>
      <c r="D311">
        <v>0.48953962731735601</v>
      </c>
      <c r="E311">
        <v>9.4649181360273396</v>
      </c>
      <c r="F311">
        <v>0.265679270591617</v>
      </c>
      <c r="G311">
        <v>-210.50967192920365</v>
      </c>
      <c r="H311">
        <v>-117.27260318112467</v>
      </c>
      <c r="I311">
        <v>88.874312686888302</v>
      </c>
      <c r="J311">
        <v>35.421360279185201</v>
      </c>
      <c r="K311">
        <v>35.625354266257702</v>
      </c>
      <c r="L311">
        <v>1.8492956427048506E-3</v>
      </c>
      <c r="M311">
        <v>9.1076269571202539E-4</v>
      </c>
      <c r="N311" s="1">
        <v>-6.30174306158491E-5</v>
      </c>
      <c r="O311" s="1">
        <v>6.9773604138338895E-5</v>
      </c>
      <c r="P311" s="1">
        <v>-6.0435970568794103E-5</v>
      </c>
      <c r="AE311">
        <v>100</v>
      </c>
      <c r="AJ311">
        <v>1</v>
      </c>
    </row>
    <row r="312" spans="1:36" x14ac:dyDescent="0.2">
      <c r="A312">
        <v>311</v>
      </c>
      <c r="B312">
        <v>774</v>
      </c>
      <c r="C312">
        <v>110</v>
      </c>
      <c r="D312">
        <v>0.48843097932483898</v>
      </c>
      <c r="E312">
        <v>10.000514428769799</v>
      </c>
      <c r="F312">
        <v>0.266666505353651</v>
      </c>
      <c r="G312">
        <v>-222.23415774766227</v>
      </c>
      <c r="H312">
        <v>-123.98371692386799</v>
      </c>
      <c r="I312">
        <v>93.831985610707505</v>
      </c>
      <c r="J312">
        <v>37.521796221650803</v>
      </c>
      <c r="K312">
        <v>37.501951793710397</v>
      </c>
      <c r="L312">
        <v>1.8597236397613094E-3</v>
      </c>
      <c r="M312">
        <v>9.107332631430431E-4</v>
      </c>
      <c r="N312" s="1">
        <v>-6.67801154453296E-5</v>
      </c>
      <c r="O312" s="1">
        <v>7.3570578565120904E-5</v>
      </c>
      <c r="P312" s="1">
        <v>-6.4166374769192603E-5</v>
      </c>
      <c r="AE312">
        <v>100</v>
      </c>
      <c r="AJ312">
        <v>1</v>
      </c>
    </row>
    <row r="313" spans="1:36" x14ac:dyDescent="0.2">
      <c r="A313">
        <v>312</v>
      </c>
      <c r="B313">
        <v>772</v>
      </c>
      <c r="C313">
        <v>110</v>
      </c>
      <c r="D313">
        <v>0.48731808831268297</v>
      </c>
      <c r="E313">
        <v>10.2331916553902</v>
      </c>
      <c r="F313">
        <v>0.26766301799905901</v>
      </c>
      <c r="G313">
        <v>-227.21281768685057</v>
      </c>
      <c r="H313">
        <v>-126.94527614910055</v>
      </c>
      <c r="I313">
        <v>95.941632874137795</v>
      </c>
      <c r="J313">
        <v>38.494288682114302</v>
      </c>
      <c r="K313">
        <v>38.231623224939398</v>
      </c>
      <c r="L313">
        <v>1.8702530599000961E-3</v>
      </c>
      <c r="M313">
        <v>9.1069335929123561E-4</v>
      </c>
      <c r="N313" s="1">
        <v>-6.8524927375726203E-5</v>
      </c>
      <c r="O313" s="1">
        <v>7.5126977700046803E-5</v>
      </c>
      <c r="P313" s="1">
        <v>-6.5982481402081805E-5</v>
      </c>
      <c r="AE313">
        <v>100</v>
      </c>
      <c r="AJ313">
        <v>1</v>
      </c>
    </row>
    <row r="314" spans="1:36" x14ac:dyDescent="0.2">
      <c r="A314">
        <v>313</v>
      </c>
      <c r="B314">
        <v>770</v>
      </c>
      <c r="C314">
        <v>110</v>
      </c>
      <c r="D314">
        <v>0.486200929875856</v>
      </c>
      <c r="E314">
        <v>10.3632876210162</v>
      </c>
      <c r="F314">
        <v>0.26866893977432998</v>
      </c>
      <c r="G314">
        <v>-229.90715733328076</v>
      </c>
      <c r="H314">
        <v>-128.63721795928018</v>
      </c>
      <c r="I314">
        <v>97.086583792892696</v>
      </c>
      <c r="J314">
        <v>39.085684679727599</v>
      </c>
      <c r="K314">
        <v>38.5727044954318</v>
      </c>
      <c r="L314">
        <v>1.8808847582053932E-3</v>
      </c>
      <c r="M314">
        <v>9.1064259334561388E-4</v>
      </c>
      <c r="N314" s="1">
        <v>-6.9578669459710693E-5</v>
      </c>
      <c r="O314" s="1">
        <v>7.5924276556447597E-5</v>
      </c>
      <c r="P314" s="1">
        <v>-6.7154272203561206E-5</v>
      </c>
      <c r="AE314">
        <v>100</v>
      </c>
      <c r="AJ314">
        <v>1</v>
      </c>
    </row>
    <row r="315" spans="1:36" x14ac:dyDescent="0.2">
      <c r="A315">
        <v>314</v>
      </c>
      <c r="B315">
        <v>768</v>
      </c>
      <c r="C315">
        <v>110</v>
      </c>
      <c r="D315">
        <v>0.48507947942179502</v>
      </c>
      <c r="E315">
        <v>10.4473343231701</v>
      </c>
      <c r="F315">
        <v>0.26968440408620897</v>
      </c>
      <c r="G315">
        <v>-231.57604187058243</v>
      </c>
      <c r="H315">
        <v>-129.75938050264929</v>
      </c>
      <c r="I315">
        <v>97.798242303388193</v>
      </c>
      <c r="J315">
        <v>39.506793317888999</v>
      </c>
      <c r="K315">
        <v>38.739111957806998</v>
      </c>
      <c r="L315">
        <v>1.8916195736111288E-3</v>
      </c>
      <c r="M315">
        <v>9.1058056087872565E-4</v>
      </c>
      <c r="N315" s="1">
        <v>-7.0315361717413204E-5</v>
      </c>
      <c r="O315" s="1">
        <v>7.6380429911567606E-5</v>
      </c>
      <c r="P315" s="1">
        <v>-6.8040370140266397E-5</v>
      </c>
      <c r="AE315">
        <v>100</v>
      </c>
      <c r="AJ315">
        <v>1</v>
      </c>
    </row>
    <row r="316" spans="1:36" x14ac:dyDescent="0.2">
      <c r="A316">
        <v>315</v>
      </c>
      <c r="B316">
        <v>766</v>
      </c>
      <c r="C316">
        <v>110</v>
      </c>
      <c r="D316">
        <v>0.483953712168602</v>
      </c>
      <c r="E316">
        <v>10.506717412408401</v>
      </c>
      <c r="F316">
        <v>0.27070954653049101</v>
      </c>
      <c r="G316">
        <v>-232.69569804201606</v>
      </c>
      <c r="H316">
        <v>-130.57650680034465</v>
      </c>
      <c r="I316">
        <v>98.277634442150898</v>
      </c>
      <c r="J316">
        <v>39.837369090034699</v>
      </c>
      <c r="K316">
        <v>38.811772791415102</v>
      </c>
      <c r="L316">
        <v>1.9024583270780546E-3</v>
      </c>
      <c r="M316">
        <v>9.1050684338371286E-4</v>
      </c>
      <c r="N316" s="1">
        <v>-7.0876039371243005E-5</v>
      </c>
      <c r="O316" s="1">
        <v>7.6653539419665605E-5</v>
      </c>
      <c r="P316" s="1">
        <v>-6.8776514105625103E-5</v>
      </c>
      <c r="AE316">
        <v>100</v>
      </c>
      <c r="AJ316">
        <v>1</v>
      </c>
    </row>
    <row r="317" spans="1:36" x14ac:dyDescent="0.2">
      <c r="A317">
        <v>316</v>
      </c>
      <c r="B317">
        <v>764</v>
      </c>
      <c r="C317">
        <v>110</v>
      </c>
      <c r="D317">
        <v>0.48282360314323097</v>
      </c>
      <c r="E317">
        <v>10.551272568533699</v>
      </c>
      <c r="F317">
        <v>0.27174450492038998</v>
      </c>
      <c r="G317">
        <v>-233.48516394804025</v>
      </c>
      <c r="H317">
        <v>-131.21035431519456</v>
      </c>
      <c r="I317">
        <v>98.617218067715996</v>
      </c>
      <c r="J317">
        <v>40.114095416826203</v>
      </c>
      <c r="K317">
        <v>38.827915109543</v>
      </c>
      <c r="L317">
        <v>1.9134018196623793E-3</v>
      </c>
      <c r="M317">
        <v>9.1042100779788345E-4</v>
      </c>
      <c r="N317" s="1">
        <v>-7.1325147042810205E-5</v>
      </c>
      <c r="O317" s="1">
        <v>7.6816316696982405E-5</v>
      </c>
      <c r="P317" s="1">
        <v>-6.9425188715467901E-5</v>
      </c>
      <c r="AE317">
        <v>100</v>
      </c>
      <c r="AJ317">
        <v>1</v>
      </c>
    </row>
    <row r="318" spans="1:36" x14ac:dyDescent="0.2">
      <c r="A318">
        <v>317</v>
      </c>
      <c r="B318">
        <v>762</v>
      </c>
      <c r="C318">
        <v>110</v>
      </c>
      <c r="D318">
        <v>0.48168912717963802</v>
      </c>
      <c r="E318">
        <v>10.5861655951875</v>
      </c>
      <c r="F318">
        <v>0.27278941931442502</v>
      </c>
      <c r="G318">
        <v>-234.05948972369319</v>
      </c>
      <c r="H318">
        <v>-131.72486933194324</v>
      </c>
      <c r="I318">
        <v>98.865554215107494</v>
      </c>
      <c r="J318">
        <v>40.356241904341204</v>
      </c>
      <c r="K318">
        <v>38.8070975105732</v>
      </c>
      <c r="L318">
        <v>1.9244508304712437E-3</v>
      </c>
      <c r="M318">
        <v>9.1032260601286075E-4</v>
      </c>
      <c r="N318" s="1">
        <v>-7.1696145830301E-5</v>
      </c>
      <c r="O318" s="1">
        <v>7.6906946637211393E-5</v>
      </c>
      <c r="P318" s="1">
        <v>-7.0019263904304803E-5</v>
      </c>
      <c r="AE318">
        <v>100</v>
      </c>
      <c r="AJ318">
        <v>1</v>
      </c>
    </row>
    <row r="319" spans="1:36" x14ac:dyDescent="0.2">
      <c r="A319">
        <v>318</v>
      </c>
      <c r="B319">
        <v>760</v>
      </c>
      <c r="C319">
        <v>110</v>
      </c>
      <c r="D319">
        <v>0.480550258916906</v>
      </c>
      <c r="E319">
        <v>10.614379889118499</v>
      </c>
      <c r="F319">
        <v>0.27384443204373499</v>
      </c>
      <c r="G319">
        <v>-234.48512627838659</v>
      </c>
      <c r="H319">
        <v>-132.15698153089218</v>
      </c>
      <c r="I319">
        <v>99.050688619720802</v>
      </c>
      <c r="J319">
        <v>40.574940803223598</v>
      </c>
      <c r="K319">
        <v>38.760619706240099</v>
      </c>
      <c r="L319">
        <v>1.9356061144997023E-3</v>
      </c>
      <c r="M319">
        <v>9.1021117437124766E-4</v>
      </c>
      <c r="N319" s="1">
        <v>-7.2008001754813504E-5</v>
      </c>
      <c r="O319" s="1">
        <v>7.69474765214369E-5</v>
      </c>
      <c r="P319" s="1">
        <v>-7.0577773276192494E-5</v>
      </c>
      <c r="AE319">
        <v>100</v>
      </c>
      <c r="AJ319">
        <v>1</v>
      </c>
    </row>
    <row r="320" spans="1:36" x14ac:dyDescent="0.2">
      <c r="A320">
        <v>319</v>
      </c>
      <c r="B320">
        <v>806</v>
      </c>
      <c r="C320">
        <v>100</v>
      </c>
      <c r="D320">
        <v>0.51586943427697896</v>
      </c>
      <c r="E320">
        <v>7.2758319893845096</v>
      </c>
      <c r="F320">
        <v>0.22867453013667</v>
      </c>
      <c r="G320">
        <v>-164.18608202789625</v>
      </c>
      <c r="H320">
        <v>-89.094366292160032</v>
      </c>
      <c r="I320">
        <v>69.587990004714598</v>
      </c>
      <c r="J320">
        <v>25.738173959761401</v>
      </c>
      <c r="K320">
        <v>31.8174130937801</v>
      </c>
      <c r="L320">
        <v>1.6928269517603844E-3</v>
      </c>
      <c r="M320">
        <v>1.0276883640724123E-3</v>
      </c>
      <c r="N320" s="1">
        <v>-5.4617897138962399E-5</v>
      </c>
      <c r="O320" s="1">
        <v>7.4090093549334502E-5</v>
      </c>
      <c r="P320" s="1">
        <v>-4.9327773412348397E-5</v>
      </c>
      <c r="AE320">
        <v>100</v>
      </c>
      <c r="AJ320">
        <v>1</v>
      </c>
    </row>
    <row r="321" spans="1:36" x14ac:dyDescent="0.2">
      <c r="A321">
        <v>320</v>
      </c>
      <c r="B321">
        <v>804</v>
      </c>
      <c r="C321">
        <v>100</v>
      </c>
      <c r="D321">
        <v>0.514840551455232</v>
      </c>
      <c r="E321">
        <v>7.2860261362846099</v>
      </c>
      <c r="F321">
        <v>0.22945216523124601</v>
      </c>
      <c r="G321">
        <v>-164.27679951939689</v>
      </c>
      <c r="H321">
        <v>-89.270800477273099</v>
      </c>
      <c r="I321">
        <v>69.637625728721304</v>
      </c>
      <c r="J321">
        <v>25.830217888261998</v>
      </c>
      <c r="K321">
        <v>31.754009071745301</v>
      </c>
      <c r="L321">
        <v>1.7020397708502975E-3</v>
      </c>
      <c r="M321">
        <v>1.0280661530613887E-3</v>
      </c>
      <c r="N321" s="1">
        <v>-5.5052573782368197E-5</v>
      </c>
      <c r="O321" s="1">
        <v>7.4064524680034596E-5</v>
      </c>
      <c r="P321" s="1">
        <v>-4.9580490139474902E-5</v>
      </c>
      <c r="AE321">
        <v>100</v>
      </c>
      <c r="AJ321">
        <v>1</v>
      </c>
    </row>
    <row r="322" spans="1:36" x14ac:dyDescent="0.2">
      <c r="A322">
        <v>321</v>
      </c>
      <c r="B322">
        <v>802</v>
      </c>
      <c r="C322">
        <v>100</v>
      </c>
      <c r="D322">
        <v>0.51380784076640695</v>
      </c>
      <c r="E322">
        <v>7.31568343322287</v>
      </c>
      <c r="F322">
        <v>0.23023670936889501</v>
      </c>
      <c r="G322">
        <v>-164.80568363778556</v>
      </c>
      <c r="H322">
        <v>-89.686099035596683</v>
      </c>
      <c r="I322">
        <v>69.872828057000206</v>
      </c>
      <c r="J322">
        <v>25.992322037549101</v>
      </c>
      <c r="K322">
        <v>31.774617754379602</v>
      </c>
      <c r="L322">
        <v>1.7113500245243779E-3</v>
      </c>
      <c r="M322">
        <v>1.0284419768289898E-3</v>
      </c>
      <c r="N322" s="1">
        <v>-5.5636847565888398E-5</v>
      </c>
      <c r="O322" s="1">
        <v>7.4236033949309102E-5</v>
      </c>
      <c r="P322" s="1">
        <v>-4.9969726982765703E-5</v>
      </c>
      <c r="AE322">
        <v>100</v>
      </c>
      <c r="AJ322">
        <v>1</v>
      </c>
    </row>
    <row r="323" spans="1:36" x14ac:dyDescent="0.2">
      <c r="A323">
        <v>322</v>
      </c>
      <c r="B323">
        <v>800</v>
      </c>
      <c r="C323">
        <v>100</v>
      </c>
      <c r="D323">
        <v>0.51277128080883805</v>
      </c>
      <c r="E323">
        <v>7.3453393703884604</v>
      </c>
      <c r="F323">
        <v>0.23102826060898499</v>
      </c>
      <c r="G323">
        <v>-165.33350081327293</v>
      </c>
      <c r="H323">
        <v>-90.101917091893242</v>
      </c>
      <c r="I323">
        <v>70.107428761704199</v>
      </c>
      <c r="J323">
        <v>26.155651338527498</v>
      </c>
      <c r="K323">
        <v>31.794116230742901</v>
      </c>
      <c r="L323">
        <v>1.7207590212170441E-3</v>
      </c>
      <c r="M323">
        <v>1.0288156735918175E-3</v>
      </c>
      <c r="N323" s="1">
        <v>-5.6224476115394901E-5</v>
      </c>
      <c r="O323" s="1">
        <v>7.4406409842688899E-5</v>
      </c>
      <c r="P323" s="1">
        <v>-5.0363629542096803E-5</v>
      </c>
      <c r="AE323">
        <v>100</v>
      </c>
      <c r="AJ323">
        <v>1</v>
      </c>
    </row>
    <row r="324" spans="1:36" x14ac:dyDescent="0.2">
      <c r="A324">
        <v>323</v>
      </c>
      <c r="B324">
        <v>798</v>
      </c>
      <c r="C324">
        <v>100</v>
      </c>
      <c r="D324">
        <v>0.51173085002101004</v>
      </c>
      <c r="E324">
        <v>7.3749666837004897</v>
      </c>
      <c r="F324">
        <v>0.231826918816084</v>
      </c>
      <c r="G324">
        <v>-165.85963954163279</v>
      </c>
      <c r="H324">
        <v>-90.517922935480655</v>
      </c>
      <c r="I324">
        <v>70.341163249744</v>
      </c>
      <c r="J324">
        <v>26.320129253404598</v>
      </c>
      <c r="K324">
        <v>31.812382795594399</v>
      </c>
      <c r="L324">
        <v>1.7302680846730347E-3</v>
      </c>
      <c r="M324">
        <v>1.0291870748029344E-3</v>
      </c>
      <c r="N324" s="1">
        <v>-5.68151117689845E-5</v>
      </c>
      <c r="O324" s="1">
        <v>7.4575372848230097E-5</v>
      </c>
      <c r="P324" s="1">
        <v>-5.0762121965302102E-5</v>
      </c>
      <c r="AE324">
        <v>100</v>
      </c>
      <c r="AJ324">
        <v>1</v>
      </c>
    </row>
    <row r="325" spans="1:36" x14ac:dyDescent="0.2">
      <c r="A325">
        <v>324</v>
      </c>
      <c r="B325">
        <v>796</v>
      </c>
      <c r="C325">
        <v>100</v>
      </c>
      <c r="D325">
        <v>0.51068652668007097</v>
      </c>
      <c r="E325">
        <v>7.4045389110306701</v>
      </c>
      <c r="F325">
        <v>0.23263278569757001</v>
      </c>
      <c r="G325">
        <v>-166.38350842922037</v>
      </c>
      <c r="H325">
        <v>-90.933793973126171</v>
      </c>
      <c r="I325">
        <v>70.573775230743905</v>
      </c>
      <c r="J325">
        <v>26.485681580713301</v>
      </c>
      <c r="K325">
        <v>31.829300796220402</v>
      </c>
      <c r="L325">
        <v>1.7398785537786595E-3</v>
      </c>
      <c r="M325">
        <v>1.0295560048744364E-3</v>
      </c>
      <c r="N325" s="1">
        <v>-5.7408396516269E-5</v>
      </c>
      <c r="O325" s="1">
        <v>7.4742653276004903E-5</v>
      </c>
      <c r="P325" s="1">
        <v>-5.1165134266737399E-5</v>
      </c>
      <c r="AE325">
        <v>100</v>
      </c>
      <c r="AJ325">
        <v>1</v>
      </c>
    </row>
    <row r="326" spans="1:36" x14ac:dyDescent="0.2">
      <c r="A326">
        <v>325</v>
      </c>
      <c r="B326">
        <v>794</v>
      </c>
      <c r="C326">
        <v>100</v>
      </c>
      <c r="D326">
        <v>0.50963828890034402</v>
      </c>
      <c r="E326">
        <v>7.4340306098318498</v>
      </c>
      <c r="F326">
        <v>0.23344596484196101</v>
      </c>
      <c r="G326">
        <v>-166.9045409991428</v>
      </c>
      <c r="H326">
        <v>-91.34921942833077</v>
      </c>
      <c r="I326">
        <v>70.805018769272095</v>
      </c>
      <c r="J326">
        <v>26.652237242444102</v>
      </c>
      <c r="K326">
        <v>31.844759513682501</v>
      </c>
      <c r="L326">
        <v>1.7495917823615169E-3</v>
      </c>
      <c r="M326">
        <v>1.029922280888413E-3</v>
      </c>
      <c r="N326" s="1">
        <v>-5.8003963261710502E-5</v>
      </c>
      <c r="O326" s="1">
        <v>7.4907993368505298E-5</v>
      </c>
      <c r="P326" s="1">
        <v>-5.1572603922342202E-5</v>
      </c>
      <c r="AE326">
        <v>100</v>
      </c>
      <c r="AJ326">
        <v>1</v>
      </c>
    </row>
    <row r="327" spans="1:36" x14ac:dyDescent="0.2">
      <c r="A327">
        <v>326</v>
      </c>
      <c r="B327">
        <v>792</v>
      </c>
      <c r="C327">
        <v>100</v>
      </c>
      <c r="D327">
        <v>0.50858611463174297</v>
      </c>
      <c r="E327">
        <v>7.4634175468306703</v>
      </c>
      <c r="F327">
        <v>0.23426656175799099</v>
      </c>
      <c r="G327">
        <v>-167.42219984602795</v>
      </c>
      <c r="H327">
        <v>-91.763902706598003</v>
      </c>
      <c r="I327">
        <v>71.034660062203898</v>
      </c>
      <c r="J327">
        <v>26.8197289819384</v>
      </c>
      <c r="K327">
        <v>31.858654905008301</v>
      </c>
      <c r="L327">
        <v>1.7594091389562807E-3</v>
      </c>
      <c r="M327">
        <v>1.0302857122958349E-3</v>
      </c>
      <c r="N327" s="1">
        <v>-5.8601436912661598E-5</v>
      </c>
      <c r="O327" s="1">
        <v>7.50711491059608E-5</v>
      </c>
      <c r="P327" s="1">
        <v>-5.1984477308852099E-5</v>
      </c>
      <c r="AE327">
        <v>100</v>
      </c>
      <c r="AJ327">
        <v>1</v>
      </c>
    </row>
    <row r="328" spans="1:36" x14ac:dyDescent="0.2">
      <c r="A328">
        <v>327</v>
      </c>
      <c r="B328">
        <v>790</v>
      </c>
      <c r="C328">
        <v>100</v>
      </c>
      <c r="D328">
        <v>0.507529981658283</v>
      </c>
      <c r="E328">
        <v>7.5393618876202302</v>
      </c>
      <c r="F328">
        <v>0.23509468391441601</v>
      </c>
      <c r="G328">
        <v>-168.98234795729394</v>
      </c>
      <c r="H328">
        <v>-92.751899166094731</v>
      </c>
      <c r="I328">
        <v>71.7064979325976</v>
      </c>
      <c r="J328">
        <v>27.1562501513516</v>
      </c>
      <c r="K328">
        <v>32.069469892244904</v>
      </c>
      <c r="L328">
        <v>1.7693320065342221E-3</v>
      </c>
      <c r="M328">
        <v>1.0306461006029022E-3</v>
      </c>
      <c r="N328" s="1">
        <v>-5.9569298642312403E-5</v>
      </c>
      <c r="O328" s="1">
        <v>7.5700643135418304E-5</v>
      </c>
      <c r="P328" s="1">
        <v>-5.2727206934028803E-5</v>
      </c>
      <c r="AE328">
        <v>100</v>
      </c>
      <c r="AJ328">
        <v>1</v>
      </c>
    </row>
    <row r="329" spans="1:36" x14ac:dyDescent="0.2">
      <c r="A329">
        <v>328</v>
      </c>
      <c r="B329">
        <v>788</v>
      </c>
      <c r="C329">
        <v>100</v>
      </c>
      <c r="D329">
        <v>0.50646986759647905</v>
      </c>
      <c r="E329">
        <v>7.6718195560548503</v>
      </c>
      <c r="F329">
        <v>0.23593044078056399</v>
      </c>
      <c r="G329">
        <v>-171.80528735044518</v>
      </c>
      <c r="H329">
        <v>-94.436772467873539</v>
      </c>
      <c r="I329">
        <v>72.914201732860803</v>
      </c>
      <c r="J329">
        <v>27.698963421718201</v>
      </c>
      <c r="K329">
        <v>32.517294210416402</v>
      </c>
      <c r="L329">
        <v>1.779361782193686E-3</v>
      </c>
      <c r="M329">
        <v>1.0310032390443114E-3</v>
      </c>
      <c r="N329" s="1">
        <v>-6.0993374195288298E-5</v>
      </c>
      <c r="O329" s="1">
        <v>7.6893766003538903E-5</v>
      </c>
      <c r="P329" s="1">
        <v>-5.3874865555074303E-5</v>
      </c>
      <c r="AE329">
        <v>100</v>
      </c>
      <c r="AJ329">
        <v>1</v>
      </c>
    </row>
    <row r="330" spans="1:36" x14ac:dyDescent="0.2">
      <c r="A330">
        <v>329</v>
      </c>
      <c r="B330">
        <v>786</v>
      </c>
      <c r="C330">
        <v>100</v>
      </c>
      <c r="D330">
        <v>0.50540574989378495</v>
      </c>
      <c r="E330">
        <v>7.8088990540211398</v>
      </c>
      <c r="F330">
        <v>0.23677394386762701</v>
      </c>
      <c r="G330">
        <v>-174.72671053331001</v>
      </c>
      <c r="H330">
        <v>-96.180616963085157</v>
      </c>
      <c r="I330">
        <v>74.163775009946605</v>
      </c>
      <c r="J330">
        <v>28.261574341991199</v>
      </c>
      <c r="K330">
        <v>32.980398630293699</v>
      </c>
      <c r="L330">
        <v>1.7894998768088178E-3</v>
      </c>
      <c r="M330">
        <v>1.0313569122429196E-3</v>
      </c>
      <c r="N330" s="1">
        <v>-6.2466658131603205E-5</v>
      </c>
      <c r="O330" s="1">
        <v>7.8128308016560494E-5</v>
      </c>
      <c r="P330" s="1">
        <v>-5.5066704949475799E-5</v>
      </c>
      <c r="AE330">
        <v>100</v>
      </c>
      <c r="AJ330">
        <v>1</v>
      </c>
    </row>
    <row r="331" spans="1:36" x14ac:dyDescent="0.2">
      <c r="A331">
        <v>330</v>
      </c>
      <c r="B331">
        <v>784</v>
      </c>
      <c r="C331">
        <v>100</v>
      </c>
      <c r="D331">
        <v>0.50433760582698905</v>
      </c>
      <c r="E331">
        <v>7.9560971902062203</v>
      </c>
      <c r="F331">
        <v>0.23762530677069199</v>
      </c>
      <c r="G331">
        <v>-177.86924865014331</v>
      </c>
      <c r="H331">
        <v>-98.051284740021131</v>
      </c>
      <c r="I331">
        <v>75.507276051170294</v>
      </c>
      <c r="J331">
        <v>28.864206504122201</v>
      </c>
      <c r="K331">
        <v>33.481691400334697</v>
      </c>
      <c r="L331">
        <v>1.799747714633534E-3</v>
      </c>
      <c r="M331">
        <v>1.0317068958552802E-3</v>
      </c>
      <c r="N331" s="1">
        <v>-6.4033797849294703E-5</v>
      </c>
      <c r="O331" s="1">
        <v>7.9458909304458604E-5</v>
      </c>
      <c r="P331" s="1">
        <v>-5.6342363055500401E-5</v>
      </c>
      <c r="AE331">
        <v>100</v>
      </c>
      <c r="AJ331">
        <v>1</v>
      </c>
    </row>
    <row r="332" spans="1:36" x14ac:dyDescent="0.2">
      <c r="A332">
        <v>331</v>
      </c>
      <c r="B332">
        <v>782</v>
      </c>
      <c r="C332">
        <v>100</v>
      </c>
      <c r="D332">
        <v>0.50326541250059598</v>
      </c>
      <c r="E332">
        <v>8.9612237670844408</v>
      </c>
      <c r="F332">
        <v>0.238484645211514</v>
      </c>
      <c r="G332">
        <v>-200.17017329340757</v>
      </c>
      <c r="H332">
        <v>-110.50360910486647</v>
      </c>
      <c r="I332">
        <v>84.984781643427695</v>
      </c>
      <c r="J332">
        <v>32.590541730758197</v>
      </c>
      <c r="K332">
        <v>37.575684418326503</v>
      </c>
      <c r="L332">
        <v>1.8101067328576417E-3</v>
      </c>
      <c r="M332">
        <v>1.0320529562025049E-3</v>
      </c>
      <c r="N332" s="1">
        <v>-7.2560860854968605E-5</v>
      </c>
      <c r="O332" s="1">
        <v>8.9337082608863396E-5</v>
      </c>
      <c r="P332" s="1">
        <v>-6.3732749574540599E-5</v>
      </c>
      <c r="AE332">
        <v>100</v>
      </c>
      <c r="AJ332">
        <v>1</v>
      </c>
    </row>
    <row r="333" spans="1:36" x14ac:dyDescent="0.2">
      <c r="A333">
        <v>332</v>
      </c>
      <c r="B333">
        <v>780</v>
      </c>
      <c r="C333">
        <v>100</v>
      </c>
      <c r="D333">
        <v>0.50218914684517901</v>
      </c>
      <c r="E333">
        <v>9.8129826523724297</v>
      </c>
      <c r="F333">
        <v>0.239352077082018</v>
      </c>
      <c r="G333">
        <v>-219.01016956597033</v>
      </c>
      <c r="H333">
        <v>-121.07837502613488</v>
      </c>
      <c r="I333">
        <v>92.994739715230693</v>
      </c>
      <c r="J333">
        <v>35.776828060619003</v>
      </c>
      <c r="K333">
        <v>40.9981094461521</v>
      </c>
      <c r="L333">
        <v>1.8205783811116154E-3</v>
      </c>
      <c r="M333">
        <v>1.0323948498857499E-3</v>
      </c>
      <c r="N333" s="1">
        <v>-7.9934797002733E-5</v>
      </c>
      <c r="O333" s="1">
        <v>9.7652952083166801E-5</v>
      </c>
      <c r="P333" s="1">
        <v>-7.0094155727105605E-5</v>
      </c>
      <c r="AE333">
        <v>100</v>
      </c>
      <c r="AJ333">
        <v>1</v>
      </c>
    </row>
    <row r="334" spans="1:36" x14ac:dyDescent="0.2">
      <c r="A334">
        <v>333</v>
      </c>
      <c r="B334">
        <v>778</v>
      </c>
      <c r="C334">
        <v>100</v>
      </c>
      <c r="D334">
        <v>0.501108785615755</v>
      </c>
      <c r="E334">
        <v>10.1515261218048</v>
      </c>
      <c r="F334">
        <v>0.24022772248853699</v>
      </c>
      <c r="G334">
        <v>-226.37358585635866</v>
      </c>
      <c r="H334">
        <v>-125.32963917351061</v>
      </c>
      <c r="I334">
        <v>96.132574808038797</v>
      </c>
      <c r="J334">
        <v>37.103991617891403</v>
      </c>
      <c r="K334">
        <v>42.257929337398799</v>
      </c>
      <c r="L334">
        <v>1.831164120916739E-3</v>
      </c>
      <c r="M334">
        <v>1.0327323233859484E-3</v>
      </c>
      <c r="N334" s="1">
        <v>-8.3183709822706099E-5</v>
      </c>
      <c r="O334">
        <v>1.00840158857846E-4</v>
      </c>
      <c r="P334" s="1">
        <v>-7.2832142643546006E-5</v>
      </c>
      <c r="AE334">
        <v>100</v>
      </c>
      <c r="AJ334">
        <v>1</v>
      </c>
    </row>
    <row r="335" spans="1:36" x14ac:dyDescent="0.2">
      <c r="A335">
        <v>334</v>
      </c>
      <c r="B335">
        <v>776</v>
      </c>
      <c r="C335">
        <v>100</v>
      </c>
      <c r="D335">
        <v>0.50002430539008103</v>
      </c>
      <c r="E335">
        <v>10.321601221968001</v>
      </c>
      <c r="F335">
        <v>0.24111170379677099</v>
      </c>
      <c r="G335">
        <v>-229.97075493206196</v>
      </c>
      <c r="H335">
        <v>-127.50491463665253</v>
      </c>
      <c r="I335">
        <v>97.671207119523004</v>
      </c>
      <c r="J335">
        <v>37.821341861154899</v>
      </c>
      <c r="K335">
        <v>42.808379101613298</v>
      </c>
      <c r="L335">
        <v>1.8418654250765899E-3</v>
      </c>
      <c r="M335">
        <v>1.0330651126469323E-3</v>
      </c>
      <c r="N335" s="1">
        <v>-8.5074022274160102E-5</v>
      </c>
      <c r="O335">
        <v>1.02344614691122E-4</v>
      </c>
      <c r="P335" s="1">
        <v>-7.4383356295152394E-5</v>
      </c>
      <c r="AE335">
        <v>100</v>
      </c>
      <c r="AJ335">
        <v>1</v>
      </c>
    </row>
    <row r="336" spans="1:36" x14ac:dyDescent="0.2">
      <c r="A336">
        <v>335</v>
      </c>
      <c r="B336">
        <v>774</v>
      </c>
      <c r="C336">
        <v>100</v>
      </c>
      <c r="D336">
        <v>0.49893568256697302</v>
      </c>
      <c r="E336">
        <v>10.4242883728365</v>
      </c>
      <c r="F336">
        <v>0.24200414567745401</v>
      </c>
      <c r="G336">
        <v>-232.06146626508422</v>
      </c>
      <c r="H336">
        <v>-128.84992365552634</v>
      </c>
      <c r="I336">
        <v>98.569935565572706</v>
      </c>
      <c r="J336">
        <v>38.295612372889202</v>
      </c>
      <c r="K336">
        <v>43.074833877970597</v>
      </c>
      <c r="L336">
        <v>1.8526837770060926E-3</v>
      </c>
      <c r="M336">
        <v>1.0333929426414989E-3</v>
      </c>
      <c r="N336" s="1">
        <v>-8.6418851835059506E-5</v>
      </c>
      <c r="O336">
        <v>1.0317581839515199E-4</v>
      </c>
      <c r="P336" s="1">
        <v>-7.5463766930722101E-5</v>
      </c>
      <c r="AE336">
        <v>100</v>
      </c>
      <c r="AJ336">
        <v>1</v>
      </c>
    </row>
    <row r="337" spans="1:36" x14ac:dyDescent="0.2">
      <c r="A337">
        <v>336</v>
      </c>
      <c r="B337">
        <v>772</v>
      </c>
      <c r="C337">
        <v>100</v>
      </c>
      <c r="D337">
        <v>0.49784289336458698</v>
      </c>
      <c r="E337">
        <v>10.493671753520999</v>
      </c>
      <c r="F337">
        <v>0.242905175152728</v>
      </c>
      <c r="G337">
        <v>-233.40767390459354</v>
      </c>
      <c r="H337">
        <v>-129.78474108825654</v>
      </c>
      <c r="I337">
        <v>99.152215413767905</v>
      </c>
      <c r="J337">
        <v>38.6505005435817</v>
      </c>
      <c r="K337">
        <v>43.200692397447</v>
      </c>
      <c r="L337">
        <v>1.86362066999376E-3</v>
      </c>
      <c r="M337">
        <v>1.0337155269196274E-3</v>
      </c>
      <c r="N337" s="1">
        <v>-8.7492193323925806E-5</v>
      </c>
      <c r="O337">
        <v>1.03674123303734E-4</v>
      </c>
      <c r="P337" s="1">
        <v>-7.6314979113632905E-5</v>
      </c>
      <c r="AE337">
        <v>100</v>
      </c>
      <c r="AJ337">
        <v>1</v>
      </c>
    </row>
    <row r="338" spans="1:36" x14ac:dyDescent="0.2">
      <c r="A338">
        <v>337</v>
      </c>
      <c r="B338">
        <v>770</v>
      </c>
      <c r="C338">
        <v>100</v>
      </c>
      <c r="D338">
        <v>0.49674591381872402</v>
      </c>
      <c r="E338">
        <v>10.544127455312699</v>
      </c>
      <c r="F338">
        <v>0.24381492164320401</v>
      </c>
      <c r="G338">
        <v>-234.33076184399491</v>
      </c>
      <c r="H338">
        <v>-130.48654674154932</v>
      </c>
      <c r="I338">
        <v>99.554473565315703</v>
      </c>
      <c r="J338">
        <v>38.938189898712103</v>
      </c>
      <c r="K338">
        <v>43.246440309108102</v>
      </c>
      <c r="L338">
        <v>1.8746776063928955E-3</v>
      </c>
      <c r="M338">
        <v>1.0340325671383188E-3</v>
      </c>
      <c r="N338" s="1">
        <v>-8.8409319057970202E-5</v>
      </c>
      <c r="O338">
        <v>1.03983083098543E-4</v>
      </c>
      <c r="P338" s="1">
        <v>-7.7038986587168396E-5</v>
      </c>
      <c r="AE338">
        <v>100</v>
      </c>
      <c r="AJ338">
        <v>1</v>
      </c>
    </row>
    <row r="339" spans="1:36" x14ac:dyDescent="0.2">
      <c r="A339">
        <v>338</v>
      </c>
      <c r="B339">
        <v>768</v>
      </c>
      <c r="C339">
        <v>100</v>
      </c>
      <c r="D339">
        <v>0.49564471978101199</v>
      </c>
      <c r="E339">
        <v>10.582743932265</v>
      </c>
      <c r="F339">
        <v>0.24473351701568</v>
      </c>
      <c r="G339">
        <v>-234.98920425643345</v>
      </c>
      <c r="H339">
        <v>-131.04270149807249</v>
      </c>
      <c r="I339">
        <v>99.843979113762501</v>
      </c>
      <c r="J339">
        <v>39.184417870235698</v>
      </c>
      <c r="K339">
        <v>43.241906794429497</v>
      </c>
      <c r="L339">
        <v>1.8858560967366686E-3</v>
      </c>
      <c r="M339">
        <v>1.0343437525722032E-3</v>
      </c>
      <c r="N339" s="1">
        <v>-8.9226782794729403E-5</v>
      </c>
      <c r="O339">
        <v>1.04173482249393E-4</v>
      </c>
      <c r="P339" s="1">
        <v>-7.7686154123803294E-5</v>
      </c>
      <c r="AE339">
        <v>100</v>
      </c>
      <c r="AJ339">
        <v>1</v>
      </c>
    </row>
    <row r="340" spans="1:36" x14ac:dyDescent="0.2">
      <c r="A340">
        <v>339</v>
      </c>
      <c r="B340">
        <v>766</v>
      </c>
      <c r="C340">
        <v>100</v>
      </c>
      <c r="D340">
        <v>0.49453928691719501</v>
      </c>
      <c r="E340">
        <v>10.613425893311801</v>
      </c>
      <c r="F340">
        <v>0.24566109563152799</v>
      </c>
      <c r="G340">
        <v>-235.47030409304719</v>
      </c>
      <c r="H340">
        <v>-131.50132746912357</v>
      </c>
      <c r="I340">
        <v>100.057787882364</v>
      </c>
      <c r="J340">
        <v>39.4033688663731</v>
      </c>
      <c r="K340">
        <v>43.203527469530997</v>
      </c>
      <c r="L340">
        <v>1.8971576587724786E-3</v>
      </c>
      <c r="M340">
        <v>1.0346487596043659E-3</v>
      </c>
      <c r="N340" s="1">
        <v>-8.9975472525634403E-5</v>
      </c>
      <c r="O340">
        <v>1.04284313370967E-4</v>
      </c>
      <c r="P340" s="1">
        <v>-7.8284295063276504E-5</v>
      </c>
      <c r="AE340">
        <v>100</v>
      </c>
      <c r="AJ340">
        <v>1</v>
      </c>
    </row>
    <row r="341" spans="1:36" x14ac:dyDescent="0.2">
      <c r="A341">
        <v>340</v>
      </c>
      <c r="B341">
        <v>764</v>
      </c>
      <c r="C341">
        <v>100</v>
      </c>
      <c r="D341">
        <v>0.49342959070530001</v>
      </c>
      <c r="E341">
        <v>10.638507549178</v>
      </c>
      <c r="F341">
        <v>0.24659779439568899</v>
      </c>
      <c r="G341">
        <v>-235.8262553338154</v>
      </c>
      <c r="H341">
        <v>-131.89119127573355</v>
      </c>
      <c r="I341">
        <v>100.21805145386899</v>
      </c>
      <c r="J341">
        <v>39.603528946928002</v>
      </c>
      <c r="K341">
        <v>43.141130176158498</v>
      </c>
      <c r="L341">
        <v>1.9085838164100257E-3</v>
      </c>
      <c r="M341">
        <v>1.0349472511966098E-3</v>
      </c>
      <c r="N341" s="1">
        <v>-9.0673603646244499E-5</v>
      </c>
      <c r="O341">
        <v>1.0433888513303E-4</v>
      </c>
      <c r="P341" s="1">
        <v>-7.8850102469167705E-5</v>
      </c>
      <c r="AE341">
        <v>100</v>
      </c>
      <c r="AJ34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2FFA0-3CF7-47EA-88E8-94778EF0A386}">
  <sheetPr codeName="Sheet14"/>
  <dimension ref="A1:AU341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760</v>
      </c>
      <c r="C2">
        <v>300</v>
      </c>
      <c r="D2">
        <v>0.27825630353772701</v>
      </c>
      <c r="E2">
        <v>215.65674627582825</v>
      </c>
      <c r="F2">
        <v>57.626514780083816</v>
      </c>
      <c r="G2">
        <v>70.869907606447512</v>
      </c>
      <c r="H2">
        <v>66.278538457426166</v>
      </c>
      <c r="J2">
        <v>45.82777917048702</v>
      </c>
      <c r="L2">
        <v>4.0024505513332986</v>
      </c>
      <c r="M2">
        <v>13.789882875814396</v>
      </c>
      <c r="N2">
        <v>2.6742136529800309</v>
      </c>
      <c r="O2">
        <v>16.151380619520708</v>
      </c>
      <c r="P2">
        <v>10.173790842547817</v>
      </c>
      <c r="Q2">
        <v>1.6332326763547618</v>
      </c>
      <c r="R2">
        <v>11.56941779694966</v>
      </c>
      <c r="S2">
        <v>37.357609995685941</v>
      </c>
      <c r="U2">
        <v>2.6345436522028085</v>
      </c>
      <c r="V2">
        <v>47.603821123662165</v>
      </c>
      <c r="W2">
        <v>21.727318912175836</v>
      </c>
      <c r="X2">
        <v>51.721133569325694</v>
      </c>
      <c r="Y2">
        <v>6.3094000395998862</v>
      </c>
      <c r="Z2">
        <v>28.142506325175155</v>
      </c>
      <c r="AA2">
        <v>2.8936664878994272</v>
      </c>
      <c r="AB2">
        <v>33.513542579044902</v>
      </c>
      <c r="AC2">
        <v>1.1614689614955539E-2</v>
      </c>
      <c r="AD2">
        <v>5.9218350058156286</v>
      </c>
      <c r="AE2">
        <v>11.506099371041646</v>
      </c>
      <c r="AF2">
        <v>13.493019061685917</v>
      </c>
      <c r="AG2">
        <v>19.019142571417706</v>
      </c>
      <c r="AH2">
        <v>5.1789811671975112</v>
      </c>
      <c r="AI2">
        <v>2.6263074532229047</v>
      </c>
      <c r="AK2">
        <v>42.782177519504145</v>
      </c>
    </row>
    <row r="3" spans="1:47" x14ac:dyDescent="0.2">
      <c r="A3">
        <v>2</v>
      </c>
      <c r="B3">
        <v>758</v>
      </c>
      <c r="C3">
        <v>300</v>
      </c>
      <c r="D3">
        <v>0.27672065169955901</v>
      </c>
      <c r="E3">
        <v>215.43520403647449</v>
      </c>
      <c r="F3">
        <v>56.951562713597816</v>
      </c>
      <c r="G3">
        <v>70.757433559172028</v>
      </c>
      <c r="H3">
        <v>66.161231119584926</v>
      </c>
      <c r="J3">
        <v>45.731312243991006</v>
      </c>
      <c r="L3">
        <v>3.8520900426316693</v>
      </c>
      <c r="M3">
        <v>13.672651583158469</v>
      </c>
      <c r="N3">
        <v>2.6661658535881152</v>
      </c>
      <c r="O3">
        <v>15.440814425864083</v>
      </c>
      <c r="P3">
        <v>9.9837541094043445</v>
      </c>
      <c r="Q3">
        <v>1.5216984878147906</v>
      </c>
      <c r="R3">
        <v>11.188908268649552</v>
      </c>
      <c r="S3">
        <v>36.590627254808908</v>
      </c>
      <c r="U3">
        <v>2.4910805261096978</v>
      </c>
      <c r="V3">
        <v>47.412249165493229</v>
      </c>
      <c r="W3">
        <v>21.356765239514765</v>
      </c>
      <c r="X3">
        <v>51.361920238929528</v>
      </c>
      <c r="Y3">
        <v>6.1530103723993275</v>
      </c>
      <c r="Z3">
        <v>27.774837153978993</v>
      </c>
      <c r="AA3">
        <v>2.7378354784934489</v>
      </c>
      <c r="AB3">
        <v>33.251495358823881</v>
      </c>
      <c r="AD3">
        <v>5.7140015719256185</v>
      </c>
      <c r="AE3">
        <v>11.339125164213133</v>
      </c>
      <c r="AF3">
        <v>13.361562033635238</v>
      </c>
      <c r="AG3">
        <v>18.715038974790229</v>
      </c>
      <c r="AH3">
        <v>4.9451469824278522</v>
      </c>
      <c r="AI3">
        <v>2.6176873269073848</v>
      </c>
      <c r="AK3">
        <v>42.793375234142118</v>
      </c>
    </row>
    <row r="4" spans="1:47" x14ac:dyDescent="0.2">
      <c r="A4">
        <v>3</v>
      </c>
      <c r="B4">
        <v>756</v>
      </c>
      <c r="C4">
        <v>300</v>
      </c>
      <c r="D4">
        <v>0.27517903123937498</v>
      </c>
      <c r="E4">
        <v>215.1864613527018</v>
      </c>
      <c r="F4">
        <v>56.182998607683608</v>
      </c>
      <c r="G4">
        <v>70.631055090556913</v>
      </c>
      <c r="H4">
        <v>66.030071308835474</v>
      </c>
      <c r="J4">
        <v>45.58569348775913</v>
      </c>
      <c r="L4">
        <v>3.686627819254896</v>
      </c>
      <c r="M4">
        <v>13.516226307906731</v>
      </c>
      <c r="N4">
        <v>2.6701079495811917</v>
      </c>
      <c r="O4">
        <v>14.690363526573549</v>
      </c>
      <c r="P4">
        <v>9.7779292534911946</v>
      </c>
      <c r="Q4">
        <v>1.3802244477457488</v>
      </c>
      <c r="R4">
        <v>10.745867924659006</v>
      </c>
      <c r="S4">
        <v>35.630175788108971</v>
      </c>
      <c r="U4">
        <v>2.314326730429269</v>
      </c>
      <c r="V4">
        <v>47.156957158711236</v>
      </c>
      <c r="W4">
        <v>20.912731268869134</v>
      </c>
      <c r="X4">
        <v>50.889746435758596</v>
      </c>
      <c r="Y4">
        <v>5.9755540874451212</v>
      </c>
      <c r="Z4">
        <v>27.3519517066776</v>
      </c>
      <c r="AA4">
        <v>2.5670651382261132</v>
      </c>
      <c r="AB4">
        <v>32.921225268586383</v>
      </c>
      <c r="AD4">
        <v>5.4703799207040831</v>
      </c>
      <c r="AE4">
        <v>11.150646171188107</v>
      </c>
      <c r="AF4">
        <v>13.202902036418577</v>
      </c>
      <c r="AG4">
        <v>18.354712441705267</v>
      </c>
      <c r="AH4">
        <v>4.6668254059599059</v>
      </c>
      <c r="AI4">
        <v>2.6210537870727331</v>
      </c>
      <c r="AK4">
        <v>42.787235438279986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214.93837791108646</v>
      </c>
      <c r="F5">
        <v>55.417324471694791</v>
      </c>
      <c r="G5">
        <v>70.505024311608125</v>
      </c>
      <c r="H5">
        <v>65.899311302408535</v>
      </c>
      <c r="J5">
        <v>45.442563289138548</v>
      </c>
      <c r="L5">
        <v>3.5218060082194098</v>
      </c>
      <c r="M5">
        <v>13.360410505992879</v>
      </c>
      <c r="N5">
        <v>2.6740495305086469</v>
      </c>
      <c r="O5">
        <v>13.942450438513939</v>
      </c>
      <c r="P5">
        <v>9.5728302672890671</v>
      </c>
      <c r="Q5">
        <v>1.2392793781088138</v>
      </c>
      <c r="R5">
        <v>10.304318365048568</v>
      </c>
      <c r="S5">
        <v>34.673602830727042</v>
      </c>
      <c r="U5">
        <v>2.1378974282583481</v>
      </c>
      <c r="V5">
        <v>46.902548464130497</v>
      </c>
      <c r="W5">
        <v>20.469856042669338</v>
      </c>
      <c r="X5">
        <v>50.419399282022979</v>
      </c>
      <c r="Y5">
        <v>5.798734418408344</v>
      </c>
      <c r="Z5">
        <v>26.930264782816366</v>
      </c>
      <c r="AA5">
        <v>2.396985629781375</v>
      </c>
      <c r="AB5">
        <v>32.592075809287223</v>
      </c>
      <c r="AD5">
        <v>5.2272630503766893</v>
      </c>
      <c r="AE5">
        <v>10.962669266680965</v>
      </c>
      <c r="AF5">
        <v>13.044852160254393</v>
      </c>
      <c r="AG5">
        <v>17.995516109897856</v>
      </c>
      <c r="AH5">
        <v>4.3894576336100819</v>
      </c>
      <c r="AI5">
        <v>2.6244164085601906</v>
      </c>
      <c r="AK5">
        <v>42.782405875165196</v>
      </c>
    </row>
    <row r="6" spans="1:47" x14ac:dyDescent="0.2">
      <c r="A6">
        <v>5</v>
      </c>
      <c r="B6">
        <v>752</v>
      </c>
      <c r="C6">
        <v>300</v>
      </c>
      <c r="D6">
        <v>0.27207774472028401</v>
      </c>
      <c r="E6">
        <v>214.69095025659692</v>
      </c>
      <c r="F6">
        <v>54.654525044686302</v>
      </c>
      <c r="G6">
        <v>70.379339823391732</v>
      </c>
      <c r="H6">
        <v>65.768949868240824</v>
      </c>
      <c r="J6">
        <v>45.301917738238643</v>
      </c>
      <c r="L6">
        <v>3.3577116456651748</v>
      </c>
      <c r="M6">
        <v>13.205200037770721</v>
      </c>
      <c r="N6">
        <v>2.6779906009018304</v>
      </c>
      <c r="O6">
        <v>13.197063216592289</v>
      </c>
      <c r="P6">
        <v>9.3684545393932126</v>
      </c>
      <c r="Q6">
        <v>1.0988080657338577</v>
      </c>
      <c r="R6">
        <v>9.8642496360480614</v>
      </c>
      <c r="S6">
        <v>33.72088419011618</v>
      </c>
      <c r="U6">
        <v>1.9617894953298172</v>
      </c>
      <c r="V6">
        <v>46.649016971693875</v>
      </c>
      <c r="W6">
        <v>20.028131054013741</v>
      </c>
      <c r="X6">
        <v>49.950866329652698</v>
      </c>
      <c r="Y6">
        <v>5.6225478042959756</v>
      </c>
      <c r="Z6">
        <v>26.509767179916405</v>
      </c>
      <c r="AA6">
        <v>2.2275934231583889</v>
      </c>
      <c r="AB6">
        <v>32.264038500918389</v>
      </c>
      <c r="AD6">
        <v>4.9846487914302289</v>
      </c>
      <c r="AE6">
        <v>10.775190036477765</v>
      </c>
      <c r="AF6">
        <v>12.887408314965795</v>
      </c>
      <c r="AG6">
        <v>17.637441551424665</v>
      </c>
      <c r="AH6">
        <v>4.1130399881094135</v>
      </c>
      <c r="AI6">
        <v>2.6277751811897034</v>
      </c>
      <c r="AK6">
        <v>42.77888587502315</v>
      </c>
    </row>
    <row r="7" spans="1:47" x14ac:dyDescent="0.2">
      <c r="A7">
        <v>6</v>
      </c>
      <c r="B7">
        <v>750</v>
      </c>
      <c r="C7">
        <v>300</v>
      </c>
      <c r="D7">
        <v>0.270518008112205</v>
      </c>
      <c r="E7">
        <v>214.44417502378698</v>
      </c>
      <c r="F7">
        <v>53.894585439186912</v>
      </c>
      <c r="G7">
        <v>70.254000271599253</v>
      </c>
      <c r="H7">
        <v>65.638985819547884</v>
      </c>
      <c r="J7">
        <v>45.163753112645615</v>
      </c>
      <c r="L7">
        <v>3.1943025962096216</v>
      </c>
      <c r="M7">
        <v>13.050590839605826</v>
      </c>
      <c r="N7">
        <v>2.6819311652872031</v>
      </c>
      <c r="O7">
        <v>12.454190206319149</v>
      </c>
      <c r="P7">
        <v>9.1647995486547504</v>
      </c>
      <c r="Q7">
        <v>0.95889725032240036</v>
      </c>
      <c r="R7">
        <v>9.4256520001758606</v>
      </c>
      <c r="S7">
        <v>32.771996138228985</v>
      </c>
      <c r="U7">
        <v>1.7859998918430158</v>
      </c>
      <c r="V7">
        <v>46.396356594903018</v>
      </c>
      <c r="W7">
        <v>19.587547943088875</v>
      </c>
      <c r="X7">
        <v>49.48413537772781</v>
      </c>
      <c r="Y7">
        <v>5.4469907809972433</v>
      </c>
      <c r="Z7">
        <v>26.090449835753706</v>
      </c>
      <c r="AA7">
        <v>2.0588850581267106</v>
      </c>
      <c r="AB7">
        <v>31.937104997955807</v>
      </c>
      <c r="AD7">
        <v>4.7425350253861263</v>
      </c>
      <c r="AE7">
        <v>10.588204125068044</v>
      </c>
      <c r="AF7">
        <v>12.730566486587641</v>
      </c>
      <c r="AG7">
        <v>17.280480473122896</v>
      </c>
      <c r="AH7">
        <v>3.8375688922435565</v>
      </c>
      <c r="AI7">
        <v>2.6311300947728351</v>
      </c>
      <c r="AK7">
        <v>42.776674866031108</v>
      </c>
    </row>
    <row r="8" spans="1:47" x14ac:dyDescent="0.2">
      <c r="A8">
        <v>7</v>
      </c>
      <c r="B8">
        <v>748</v>
      </c>
      <c r="C8">
        <v>300</v>
      </c>
      <c r="D8">
        <v>0.26895216177838999</v>
      </c>
      <c r="E8">
        <v>214.19804893537835</v>
      </c>
      <c r="F8">
        <v>53.137491134310274</v>
      </c>
      <c r="G8">
        <v>70.129004345856146</v>
      </c>
      <c r="H8">
        <v>65.509418014130546</v>
      </c>
      <c r="J8">
        <v>45.028065874891325</v>
      </c>
      <c r="L8">
        <v>3.0315213631233311</v>
      </c>
      <c r="M8">
        <v>12.896578922119501</v>
      </c>
      <c r="N8">
        <v>2.6858712282356954</v>
      </c>
      <c r="O8">
        <v>11.713820038670216</v>
      </c>
      <c r="P8">
        <v>8.9618628628560852</v>
      </c>
      <c r="Q8">
        <v>0.81949788063963935</v>
      </c>
      <c r="R8">
        <v>8.9885159325366306</v>
      </c>
      <c r="S8">
        <v>31.82691540178115</v>
      </c>
      <c r="U8">
        <v>1.6105256610463168</v>
      </c>
      <c r="V8">
        <v>46.144561262728644</v>
      </c>
      <c r="W8">
        <v>19.148098493479782</v>
      </c>
      <c r="X8">
        <v>49.01919446751554</v>
      </c>
      <c r="Y8">
        <v>5.2720599800879331</v>
      </c>
      <c r="Z8">
        <v>25.67230382411951</v>
      </c>
      <c r="AA8">
        <v>1.8908571413204553</v>
      </c>
      <c r="AB8">
        <v>31.61126708550643</v>
      </c>
      <c r="AD8">
        <v>4.5009196835973588</v>
      </c>
      <c r="AE8">
        <v>10.401707233568082</v>
      </c>
      <c r="AF8">
        <v>12.574322735655244</v>
      </c>
      <c r="AG8">
        <v>16.924624712809564</v>
      </c>
      <c r="AH8">
        <v>3.5630409154589673</v>
      </c>
      <c r="AI8">
        <v>2.634481139161895</v>
      </c>
      <c r="AK8">
        <v>42.775772373216412</v>
      </c>
    </row>
    <row r="9" spans="1:47" x14ac:dyDescent="0.2">
      <c r="A9">
        <v>8</v>
      </c>
      <c r="B9">
        <v>746</v>
      </c>
      <c r="C9">
        <v>300</v>
      </c>
      <c r="D9">
        <v>0.26738016974930101</v>
      </c>
      <c r="E9">
        <v>213.95256880144464</v>
      </c>
      <c r="F9">
        <v>52.383227970758583</v>
      </c>
      <c r="G9">
        <v>70.004350779273679</v>
      </c>
      <c r="H9">
        <v>65.380245353938221</v>
      </c>
      <c r="J9">
        <v>44.894852670959054</v>
      </c>
      <c r="L9">
        <v>2.8694627068267402</v>
      </c>
      <c r="M9">
        <v>12.743160369030708</v>
      </c>
      <c r="N9">
        <v>2.6898107942958878</v>
      </c>
      <c r="O9">
        <v>10.975941625921301</v>
      </c>
      <c r="P9">
        <v>8.7596421377607463</v>
      </c>
      <c r="Q9">
        <v>0.68060452260755933</v>
      </c>
      <c r="R9">
        <v>8.5528321183024154</v>
      </c>
      <c r="S9">
        <v>30.885619155618325</v>
      </c>
      <c r="U9">
        <v>1.4353639283300221</v>
      </c>
      <c r="V9">
        <v>45.893624912183164</v>
      </c>
      <c r="W9">
        <v>18.709774629439117</v>
      </c>
      <c r="X9">
        <v>48.556031879655841</v>
      </c>
      <c r="Y9">
        <v>5.0977521280556513</v>
      </c>
      <c r="Z9">
        <v>25.255320351183151</v>
      </c>
      <c r="AA9">
        <v>1.7235063443378531</v>
      </c>
      <c r="AB9">
        <v>31.286516676295399</v>
      </c>
      <c r="AD9">
        <v>4.2598007464218997</v>
      </c>
      <c r="AE9">
        <v>10.215695117814011</v>
      </c>
      <c r="AF9">
        <v>12.41867319598736</v>
      </c>
      <c r="AG9">
        <v>16.569866236209517</v>
      </c>
      <c r="AH9">
        <v>3.2894527335215162</v>
      </c>
      <c r="AI9">
        <v>2.6378283041852111</v>
      </c>
      <c r="AK9">
        <v>42.776178017844636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213.70773151820808</v>
      </c>
      <c r="F10">
        <v>51.631782144745245</v>
      </c>
      <c r="G10">
        <v>69.880038347869331</v>
      </c>
      <c r="H10">
        <v>65.251466784486226</v>
      </c>
      <c r="J10">
        <v>44.764110328223268</v>
      </c>
      <c r="L10">
        <v>2.7080279051877332</v>
      </c>
      <c r="M10">
        <v>12.590331335624951</v>
      </c>
      <c r="N10">
        <v>2.6937498679994789</v>
      </c>
      <c r="O10">
        <v>10.240544157013582</v>
      </c>
      <c r="P10">
        <v>8.5581351159594572</v>
      </c>
      <c r="Q10">
        <v>0.54221184513251042</v>
      </c>
      <c r="R10">
        <v>8.1185914494865443</v>
      </c>
      <c r="S10">
        <v>29.948085014264382</v>
      </c>
      <c r="U10">
        <v>1.2605119000292624</v>
      </c>
      <c r="V10">
        <v>45.643541479668706</v>
      </c>
      <c r="W10">
        <v>18.272568412586182</v>
      </c>
      <c r="X10">
        <v>48.094636130299811</v>
      </c>
      <c r="Y10">
        <v>4.9240640452859452</v>
      </c>
      <c r="Z10">
        <v>24.839490751552457</v>
      </c>
      <c r="AA10">
        <v>1.5568294025785363</v>
      </c>
      <c r="AB10">
        <v>30.962845807188739</v>
      </c>
      <c r="AD10">
        <v>4.0191762421035531</v>
      </c>
      <c r="AE10">
        <v>10.030163586395224</v>
      </c>
      <c r="AF10">
        <v>12.263614073155097</v>
      </c>
      <c r="AG10">
        <v>16.216197133479522</v>
      </c>
      <c r="AH10">
        <v>3.0168011632572518</v>
      </c>
      <c r="AI10">
        <v>2.6411715796517856</v>
      </c>
      <c r="AK10">
        <v>42.777891516542262</v>
      </c>
    </row>
    <row r="11" spans="1:47" x14ac:dyDescent="0.2">
      <c r="A11">
        <v>10</v>
      </c>
      <c r="B11">
        <v>742</v>
      </c>
      <c r="C11">
        <v>300</v>
      </c>
      <c r="D11">
        <v>0.264217603309855</v>
      </c>
      <c r="E11">
        <v>213.46353406683872</v>
      </c>
      <c r="F11">
        <v>50.883140201808779</v>
      </c>
      <c r="G11">
        <v>69.756065869945033</v>
      </c>
      <c r="H11">
        <v>65.123081294242681</v>
      </c>
      <c r="J11">
        <v>44.635835853288008</v>
      </c>
      <c r="L11">
        <v>2.5473125688823166</v>
      </c>
      <c r="M11">
        <v>12.438088047096542</v>
      </c>
      <c r="N11">
        <v>2.6976884539439427</v>
      </c>
      <c r="O11">
        <v>9.50761709298299</v>
      </c>
      <c r="P11">
        <v>8.3573396257211332</v>
      </c>
      <c r="Q11">
        <v>0.40426944171745072</v>
      </c>
      <c r="R11">
        <v>7.6857850216040395</v>
      </c>
      <c r="S11">
        <v>29.014291022942892</v>
      </c>
      <c r="U11">
        <v>1.0859668621315322</v>
      </c>
      <c r="V11">
        <v>45.394304891662372</v>
      </c>
      <c r="W11">
        <v>17.836472038352753</v>
      </c>
      <c r="X11">
        <v>47.634995966269344</v>
      </c>
      <c r="Y11">
        <v>4.7509926450303226</v>
      </c>
      <c r="Z11">
        <v>24.424806484061023</v>
      </c>
      <c r="AA11">
        <v>1.3908231153330053</v>
      </c>
      <c r="AB11">
        <v>30.640246635407525</v>
      </c>
      <c r="AD11">
        <v>3.7790442454359674</v>
      </c>
      <c r="AE11">
        <v>9.8451084985640023</v>
      </c>
      <c r="AF11">
        <v>12.10914164291473</v>
      </c>
      <c r="AG11">
        <v>15.863609615513706</v>
      </c>
      <c r="AH11">
        <v>2.7450831127065021</v>
      </c>
      <c r="AI11">
        <v>2.6445109554361639</v>
      </c>
      <c r="AK11">
        <v>42.780912680416563</v>
      </c>
    </row>
    <row r="12" spans="1:47" x14ac:dyDescent="0.2">
      <c r="A12">
        <v>11</v>
      </c>
      <c r="B12">
        <v>740</v>
      </c>
      <c r="C12">
        <v>300</v>
      </c>
      <c r="D12">
        <v>0.26262695553471999</v>
      </c>
      <c r="E12">
        <v>213.21997351280137</v>
      </c>
      <c r="F12">
        <v>50.137289032453793</v>
      </c>
      <c r="G12">
        <v>69.632432205735412</v>
      </c>
      <c r="H12">
        <v>64.995087914277491</v>
      </c>
      <c r="J12">
        <v>44.510026430934523</v>
      </c>
      <c r="L12">
        <v>2.3872093309461486</v>
      </c>
      <c r="M12">
        <v>12.286426797560683</v>
      </c>
      <c r="N12">
        <v>2.7016265567026552</v>
      </c>
      <c r="O12">
        <v>8.7771501632406093</v>
      </c>
      <c r="P12">
        <v>8.1572535802047366</v>
      </c>
      <c r="Q12">
        <v>0.26685463569239526</v>
      </c>
      <c r="R12">
        <v>7.2544041315263073</v>
      </c>
      <c r="S12">
        <v>28.084215651972738</v>
      </c>
      <c r="U12">
        <v>0.91172617955057467</v>
      </c>
      <c r="V12">
        <v>45.14590905600987</v>
      </c>
      <c r="W12">
        <v>17.401477833547112</v>
      </c>
      <c r="X12">
        <v>47.177100363065087</v>
      </c>
      <c r="Y12">
        <v>4.5785349327850353</v>
      </c>
      <c r="Z12">
        <v>24.011259128344914</v>
      </c>
      <c r="AA12">
        <v>1.2254843477180692</v>
      </c>
      <c r="AB12">
        <v>30.318711435783737</v>
      </c>
      <c r="AD12">
        <v>3.539402876922531</v>
      </c>
      <c r="AE12">
        <v>9.6605257624141068</v>
      </c>
      <c r="AF12">
        <v>11.955252250122014</v>
      </c>
      <c r="AG12">
        <v>15.512096011101621</v>
      </c>
      <c r="AH12">
        <v>2.4742956123122415</v>
      </c>
      <c r="AI12">
        <v>2.6478464213869288</v>
      </c>
      <c r="AK12">
        <v>42.785241414685927</v>
      </c>
    </row>
    <row r="13" spans="1:47" x14ac:dyDescent="0.2">
      <c r="A13">
        <v>12</v>
      </c>
      <c r="B13">
        <v>738</v>
      </c>
      <c r="C13">
        <v>300</v>
      </c>
      <c r="D13">
        <v>0.26103001532908299</v>
      </c>
      <c r="E13">
        <v>212.97704700482407</v>
      </c>
      <c r="F13">
        <v>49.394215866631484</v>
      </c>
      <c r="G13">
        <v>69.509136256879842</v>
      </c>
      <c r="H13">
        <v>64.867485717741033</v>
      </c>
      <c r="J13">
        <v>44.386679422341608</v>
      </c>
      <c r="L13">
        <v>2.2277721213661024</v>
      </c>
      <c r="M13">
        <v>12.135343948585012</v>
      </c>
      <c r="N13">
        <v>2.7055641808619142</v>
      </c>
      <c r="O13">
        <v>8.0491333614041913</v>
      </c>
      <c r="P13">
        <v>7.9578749764485677</v>
      </c>
      <c r="Q13">
        <v>0.12992352883863806</v>
      </c>
      <c r="R13">
        <v>6.824440274525343</v>
      </c>
      <c r="S13">
        <v>27.157837788860444</v>
      </c>
      <c r="U13">
        <v>0.73778729501661588</v>
      </c>
      <c r="V13">
        <v>44.898347851824781</v>
      </c>
      <c r="W13">
        <v>16.967578253139283</v>
      </c>
      <c r="X13">
        <v>46.720938520841202</v>
      </c>
      <c r="Y13">
        <v>4.4066880054075552</v>
      </c>
      <c r="Z13">
        <v>23.598840380895862</v>
      </c>
      <c r="AA13">
        <v>1.0608100342962863</v>
      </c>
      <c r="AB13">
        <v>29.998232597304824</v>
      </c>
      <c r="AD13">
        <v>3.3002503015189837</v>
      </c>
      <c r="AE13">
        <v>9.4764113328961077</v>
      </c>
      <c r="AF13">
        <v>11.801942307308186</v>
      </c>
      <c r="AG13">
        <v>15.161648763527516</v>
      </c>
      <c r="AH13">
        <v>2.2044358196283653</v>
      </c>
      <c r="AI13">
        <v>2.6511779673662854</v>
      </c>
      <c r="AK13">
        <v>42.790877717975732</v>
      </c>
    </row>
    <row r="14" spans="1:47" x14ac:dyDescent="0.2">
      <c r="A14">
        <v>13</v>
      </c>
      <c r="B14">
        <v>736</v>
      </c>
      <c r="C14">
        <v>300</v>
      </c>
      <c r="D14">
        <v>0.25942674528068399</v>
      </c>
      <c r="E14">
        <v>212.72196898896624</v>
      </c>
      <c r="F14">
        <v>48.538750016168343</v>
      </c>
      <c r="G14">
        <v>69.372450368417844</v>
      </c>
      <c r="H14">
        <v>64.726547221862219</v>
      </c>
      <c r="J14">
        <v>44.194264527274093</v>
      </c>
      <c r="L14">
        <v>2.038930972727576</v>
      </c>
      <c r="M14">
        <v>11.968228925914998</v>
      </c>
      <c r="N14">
        <v>2.7095008689671309</v>
      </c>
      <c r="O14">
        <v>7.2175843628285117</v>
      </c>
      <c r="P14">
        <v>7.7317482373149788</v>
      </c>
      <c r="R14">
        <v>6.3329413650237187</v>
      </c>
      <c r="S14">
        <v>26.103487094650401</v>
      </c>
      <c r="U14">
        <v>0.55693207153256252</v>
      </c>
      <c r="V14">
        <v>44.621818762390625</v>
      </c>
      <c r="W14">
        <v>16.535948383916121</v>
      </c>
      <c r="X14">
        <v>46.243931727640479</v>
      </c>
      <c r="Y14">
        <v>4.2066561498560668</v>
      </c>
      <c r="Z14">
        <v>23.085203337952901</v>
      </c>
      <c r="AA14">
        <v>0.86677496392751341</v>
      </c>
      <c r="AB14">
        <v>29.606572040228261</v>
      </c>
      <c r="AD14">
        <v>3.0049184587485707</v>
      </c>
      <c r="AE14">
        <v>9.2443492442210111</v>
      </c>
      <c r="AF14">
        <v>11.632600829350164</v>
      </c>
      <c r="AG14">
        <v>14.740029385620621</v>
      </c>
      <c r="AH14">
        <v>1.8875540230647962</v>
      </c>
      <c r="AI14">
        <v>2.6545051211964825</v>
      </c>
      <c r="AK14">
        <v>42.75807614953743</v>
      </c>
    </row>
    <row r="15" spans="1:47" x14ac:dyDescent="0.2">
      <c r="A15">
        <v>14</v>
      </c>
      <c r="B15">
        <v>734</v>
      </c>
      <c r="C15">
        <v>300</v>
      </c>
      <c r="D15">
        <v>0.25781710768008598</v>
      </c>
      <c r="E15">
        <v>212.92962524960078</v>
      </c>
      <c r="F15">
        <v>45.778628235358632</v>
      </c>
      <c r="G15">
        <v>69.316936195793417</v>
      </c>
      <c r="H15">
        <v>64.666834254955731</v>
      </c>
      <c r="J15">
        <v>32.847334687318565</v>
      </c>
      <c r="L15">
        <v>1.6935348101054224</v>
      </c>
      <c r="M15">
        <v>10.92067728902588</v>
      </c>
      <c r="N15">
        <v>2.7134891734551325</v>
      </c>
      <c r="O15">
        <v>5.1890628879876903</v>
      </c>
      <c r="P15">
        <v>7.6680494174371878</v>
      </c>
      <c r="R15">
        <v>5.3604301927430438</v>
      </c>
      <c r="S15">
        <v>26.790404347462491</v>
      </c>
      <c r="U15">
        <v>0.31869137349753723</v>
      </c>
      <c r="V15">
        <v>46.249220042514409</v>
      </c>
      <c r="W15">
        <v>15.441041203484065</v>
      </c>
      <c r="X15">
        <v>45.615296613219023</v>
      </c>
      <c r="Y15">
        <v>3.8468816869789348</v>
      </c>
      <c r="Z15">
        <v>17.12548412126846</v>
      </c>
      <c r="AB15">
        <v>27.78058393000936</v>
      </c>
      <c r="AD15">
        <v>1.7930910717518969E-2</v>
      </c>
      <c r="AE15">
        <v>5.938514343622507</v>
      </c>
      <c r="AF15">
        <v>10.582875974957457</v>
      </c>
      <c r="AG15">
        <v>12.884144645624914</v>
      </c>
      <c r="AI15">
        <v>2.6578804205918836</v>
      </c>
      <c r="AK15">
        <v>34.742295280740819</v>
      </c>
    </row>
    <row r="16" spans="1:47" x14ac:dyDescent="0.2">
      <c r="A16">
        <v>15</v>
      </c>
      <c r="B16">
        <v>732</v>
      </c>
      <c r="C16">
        <v>300</v>
      </c>
      <c r="D16">
        <v>0.256201064517732</v>
      </c>
      <c r="E16">
        <v>213.29261502820722</v>
      </c>
      <c r="F16">
        <v>47.063390889576517</v>
      </c>
      <c r="G16">
        <v>69.237014560779897</v>
      </c>
      <c r="H16">
        <v>64.582767812353438</v>
      </c>
      <c r="J16">
        <v>26.7103026487816</v>
      </c>
      <c r="L16">
        <v>1.7323243064835696</v>
      </c>
      <c r="M16">
        <v>9.8377657353871175</v>
      </c>
      <c r="N16">
        <v>2.7174675109386031</v>
      </c>
      <c r="O16">
        <v>5.2910596683771391</v>
      </c>
      <c r="P16">
        <v>7.5555587693636008</v>
      </c>
      <c r="R16">
        <v>4.5730247802321315</v>
      </c>
      <c r="S16">
        <v>28.190842530927178</v>
      </c>
      <c r="U16">
        <v>0.24082989265009028</v>
      </c>
      <c r="V16">
        <v>47.835304004839905</v>
      </c>
      <c r="W16">
        <v>14.229184012416642</v>
      </c>
      <c r="X16">
        <v>45.459153176441198</v>
      </c>
      <c r="Y16">
        <v>3.7191786460588885</v>
      </c>
      <c r="Z16">
        <v>18.014063441298312</v>
      </c>
      <c r="AB16">
        <v>29.500565072065303</v>
      </c>
      <c r="AE16">
        <v>6.4401089459817324</v>
      </c>
      <c r="AF16">
        <v>9.4977829052185037</v>
      </c>
      <c r="AG16">
        <v>14.574229816246662</v>
      </c>
      <c r="AI16">
        <v>2.6612422674445719</v>
      </c>
      <c r="AK16">
        <v>30.286799872199314</v>
      </c>
    </row>
    <row r="17" spans="1:37" x14ac:dyDescent="0.2">
      <c r="A17">
        <v>16</v>
      </c>
      <c r="B17">
        <v>730</v>
      </c>
      <c r="C17">
        <v>300</v>
      </c>
      <c r="D17">
        <v>0.25457857748093798</v>
      </c>
      <c r="E17">
        <v>213.59312849719686</v>
      </c>
      <c r="F17">
        <v>47.896164106932588</v>
      </c>
      <c r="G17">
        <v>69.201241716814806</v>
      </c>
      <c r="H17">
        <v>64.542904321741432</v>
      </c>
      <c r="J17">
        <v>23.724316327739569</v>
      </c>
      <c r="L17">
        <v>1.7632453707680069</v>
      </c>
      <c r="M17">
        <v>9.0161016113685974</v>
      </c>
      <c r="N17">
        <v>2.7214370294197652</v>
      </c>
      <c r="O17">
        <v>5.291607701790384</v>
      </c>
      <c r="P17">
        <v>7.5313901414484166</v>
      </c>
      <c r="R17">
        <v>3.9688321260589032</v>
      </c>
      <c r="S17">
        <v>29.079552707645355</v>
      </c>
      <c r="U17">
        <v>0.18648552072691096</v>
      </c>
      <c r="V17">
        <v>48.964283032608726</v>
      </c>
      <c r="W17">
        <v>13.267274875701357</v>
      </c>
      <c r="X17">
        <v>45.371373869057443</v>
      </c>
      <c r="Y17">
        <v>3.656313756915369</v>
      </c>
      <c r="Z17">
        <v>18.113021238858945</v>
      </c>
      <c r="AB17">
        <v>30.382746296780034</v>
      </c>
      <c r="AE17">
        <v>6.4822075074191847</v>
      </c>
      <c r="AF17">
        <v>8.6739301617225415</v>
      </c>
      <c r="AG17">
        <v>15.426516926878712</v>
      </c>
      <c r="AI17">
        <v>2.6645917950394287</v>
      </c>
      <c r="AK17">
        <v>28.057969924278808</v>
      </c>
    </row>
    <row r="18" spans="1:37" x14ac:dyDescent="0.2">
      <c r="A18">
        <v>17</v>
      </c>
      <c r="B18">
        <v>728</v>
      </c>
      <c r="C18">
        <v>300</v>
      </c>
      <c r="D18">
        <v>0.25294960795086002</v>
      </c>
      <c r="E18">
        <v>213.83616847250136</v>
      </c>
      <c r="F18">
        <v>48.602042945338532</v>
      </c>
      <c r="G18">
        <v>69.164941216172423</v>
      </c>
      <c r="H18">
        <v>64.502567510337812</v>
      </c>
      <c r="J18">
        <v>21.802578864638114</v>
      </c>
      <c r="L18">
        <v>1.7883655019019824</v>
      </c>
      <c r="M18">
        <v>8.3201634801381754</v>
      </c>
      <c r="N18">
        <v>2.7254001045657179</v>
      </c>
      <c r="O18">
        <v>5.2827419950680872</v>
      </c>
      <c r="P18">
        <v>7.5061932084774243</v>
      </c>
      <c r="R18">
        <v>3.4395199823182971</v>
      </c>
      <c r="S18">
        <v>29.78521546140815</v>
      </c>
      <c r="U18">
        <v>0.13772725648503673</v>
      </c>
      <c r="V18">
        <v>49.890439211626905</v>
      </c>
      <c r="W18">
        <v>12.428365047368755</v>
      </c>
      <c r="X18">
        <v>45.300436607588573</v>
      </c>
      <c r="Y18">
        <v>3.6063562739041277</v>
      </c>
      <c r="Z18">
        <v>18.19235258624046</v>
      </c>
      <c r="AB18">
        <v>31.099945671557766</v>
      </c>
      <c r="AE18">
        <v>6.5139237730853665</v>
      </c>
      <c r="AF18">
        <v>7.9757987307364289</v>
      </c>
      <c r="AG18">
        <v>16.113826471927922</v>
      </c>
      <c r="AI18">
        <v>2.6679313643291218</v>
      </c>
      <c r="AK18">
        <v>26.590039193161086</v>
      </c>
    </row>
    <row r="19" spans="1:37" x14ac:dyDescent="0.2">
      <c r="A19">
        <v>18</v>
      </c>
      <c r="B19">
        <v>726</v>
      </c>
      <c r="C19">
        <v>300</v>
      </c>
      <c r="D19">
        <v>0.251314116999449</v>
      </c>
      <c r="E19">
        <v>214.04131907374148</v>
      </c>
      <c r="F19">
        <v>49.224383516154838</v>
      </c>
      <c r="G19">
        <v>69.128221610395713</v>
      </c>
      <c r="H19">
        <v>64.461866105328326</v>
      </c>
      <c r="J19">
        <v>20.417418043632441</v>
      </c>
      <c r="L19">
        <v>1.8101121606024571</v>
      </c>
      <c r="M19">
        <v>7.7041105503046392</v>
      </c>
      <c r="N19">
        <v>2.7293587472959642</v>
      </c>
      <c r="O19">
        <v>5.2683347726829677</v>
      </c>
      <c r="P19">
        <v>7.4801872801277645</v>
      </c>
      <c r="R19">
        <v>2.9605197696284966</v>
      </c>
      <c r="S19">
        <v>30.386623055657616</v>
      </c>
      <c r="U19">
        <v>9.1141177930265604E-2</v>
      </c>
      <c r="V19">
        <v>50.69239063187711</v>
      </c>
      <c r="W19">
        <v>11.668263765673339</v>
      </c>
      <c r="X19">
        <v>45.236522802840518</v>
      </c>
      <c r="Y19">
        <v>3.5644483922748456</v>
      </c>
      <c r="Z19">
        <v>18.259243759518952</v>
      </c>
      <c r="AB19">
        <v>31.71900164987877</v>
      </c>
      <c r="AE19">
        <v>6.539115663973865</v>
      </c>
      <c r="AF19">
        <v>7.3575498794322476</v>
      </c>
      <c r="AG19">
        <v>16.70299896746722</v>
      </c>
      <c r="AI19">
        <v>2.6712629715223319</v>
      </c>
      <c r="AK19">
        <v>25.510232580747719</v>
      </c>
    </row>
    <row r="20" spans="1:37" x14ac:dyDescent="0.2">
      <c r="A20">
        <v>19</v>
      </c>
      <c r="B20">
        <v>724</v>
      </c>
      <c r="C20">
        <v>300</v>
      </c>
      <c r="D20">
        <v>0.249672065386352</v>
      </c>
      <c r="E20">
        <v>214.21920571788183</v>
      </c>
      <c r="F20">
        <v>49.786707344483233</v>
      </c>
      <c r="G20">
        <v>69.091188172331229</v>
      </c>
      <c r="H20">
        <v>64.42090555590498</v>
      </c>
      <c r="J20">
        <v>19.353450283319663</v>
      </c>
      <c r="L20">
        <v>1.8296400691412527</v>
      </c>
      <c r="M20">
        <v>7.1446174663873316</v>
      </c>
      <c r="N20">
        <v>2.7333139940685718</v>
      </c>
      <c r="O20">
        <v>5.250654460233112</v>
      </c>
      <c r="P20">
        <v>7.4535841353358752</v>
      </c>
      <c r="R20">
        <v>2.5183773943188932</v>
      </c>
      <c r="S20">
        <v>30.918703776738763</v>
      </c>
      <c r="U20">
        <v>4.5596062483091664E-2</v>
      </c>
      <c r="V20">
        <v>51.407882911231717</v>
      </c>
      <c r="W20">
        <v>10.964199162442073</v>
      </c>
      <c r="X20">
        <v>45.176375995368851</v>
      </c>
      <c r="Y20">
        <v>3.5281876316115577</v>
      </c>
      <c r="Z20">
        <v>18.317390733870251</v>
      </c>
      <c r="AB20">
        <v>32.270942818411008</v>
      </c>
      <c r="AE20">
        <v>6.5597357032336472</v>
      </c>
      <c r="AF20">
        <v>6.7958593366439963</v>
      </c>
      <c r="AG20">
        <v>17.225064088627342</v>
      </c>
      <c r="AI20">
        <v>2.6745876383714271</v>
      </c>
      <c r="AK20">
        <v>24.66526922453501</v>
      </c>
    </row>
    <row r="21" spans="1:37" x14ac:dyDescent="0.2">
      <c r="A21">
        <v>20</v>
      </c>
      <c r="B21">
        <v>760</v>
      </c>
      <c r="C21">
        <v>290</v>
      </c>
      <c r="D21">
        <v>0.28890335382083798</v>
      </c>
      <c r="E21">
        <v>209.82655085392125</v>
      </c>
      <c r="F21">
        <v>57.442726304711925</v>
      </c>
      <c r="G21">
        <v>70.872513486884102</v>
      </c>
      <c r="H21">
        <v>66.280684289882458</v>
      </c>
      <c r="J21">
        <v>45.639594417120186</v>
      </c>
      <c r="L21">
        <v>3.9706505305240678</v>
      </c>
      <c r="M21">
        <v>13.781747507114723</v>
      </c>
      <c r="N21">
        <v>2.637997259567368</v>
      </c>
      <c r="O21">
        <v>16.199125253107876</v>
      </c>
      <c r="P21">
        <v>10.086326155285377</v>
      </c>
      <c r="Q21">
        <v>1.545813501208716</v>
      </c>
      <c r="R21">
        <v>11.593780359854915</v>
      </c>
      <c r="S21">
        <v>37.181251701851018</v>
      </c>
      <c r="U21">
        <v>2.569115303346333</v>
      </c>
      <c r="V21">
        <v>47.399036536519716</v>
      </c>
      <c r="W21">
        <v>21.929761772410597</v>
      </c>
      <c r="X21">
        <v>51.136861592489396</v>
      </c>
      <c r="Y21">
        <v>6.2353671411082328</v>
      </c>
      <c r="Z21">
        <v>28.144833976961607</v>
      </c>
      <c r="AA21">
        <v>2.8722261840581704</v>
      </c>
      <c r="AB21">
        <v>33.531282775344408</v>
      </c>
      <c r="AC21">
        <v>1.2029536055393508E-2</v>
      </c>
      <c r="AD21">
        <v>5.917763941798265</v>
      </c>
      <c r="AE21">
        <v>11.581239796961084</v>
      </c>
      <c r="AF21">
        <v>13.479497118690198</v>
      </c>
      <c r="AG21">
        <v>19.043854587616256</v>
      </c>
      <c r="AH21">
        <v>4.9908108513641309</v>
      </c>
      <c r="AI21">
        <v>2.5887754521315145</v>
      </c>
      <c r="AK21">
        <v>42.64008029837737</v>
      </c>
    </row>
    <row r="22" spans="1:37" x14ac:dyDescent="0.2">
      <c r="A22">
        <v>21</v>
      </c>
      <c r="B22">
        <v>758</v>
      </c>
      <c r="C22">
        <v>290</v>
      </c>
      <c r="D22">
        <v>0.28738835280996899</v>
      </c>
      <c r="E22">
        <v>209.60618341056761</v>
      </c>
      <c r="F22">
        <v>56.772268639705054</v>
      </c>
      <c r="G22">
        <v>70.760603202610199</v>
      </c>
      <c r="H22">
        <v>66.163932577880033</v>
      </c>
      <c r="J22">
        <v>45.544670450611534</v>
      </c>
      <c r="L22">
        <v>3.8210843878134546</v>
      </c>
      <c r="M22">
        <v>13.66632537239563</v>
      </c>
      <c r="N22">
        <v>2.6295418514845479</v>
      </c>
      <c r="O22">
        <v>15.490333922428441</v>
      </c>
      <c r="P22">
        <v>9.8970014495922296</v>
      </c>
      <c r="Q22">
        <v>1.4360625410297971</v>
      </c>
      <c r="R22">
        <v>11.216232187118074</v>
      </c>
      <c r="S22">
        <v>36.422517090001335</v>
      </c>
      <c r="U22">
        <v>2.4268223382439733</v>
      </c>
      <c r="V22">
        <v>47.2103425820398</v>
      </c>
      <c r="W22">
        <v>21.562296949124956</v>
      </c>
      <c r="X22">
        <v>50.782874620127998</v>
      </c>
      <c r="Y22">
        <v>6.079844340183417</v>
      </c>
      <c r="Z22">
        <v>27.780453684609164</v>
      </c>
      <c r="AA22">
        <v>2.7172148520505433</v>
      </c>
      <c r="AB22">
        <v>33.272587445855223</v>
      </c>
      <c r="AD22">
        <v>5.7120086770403304</v>
      </c>
      <c r="AE22">
        <v>11.415603867826759</v>
      </c>
      <c r="AF22">
        <v>13.349438822105668</v>
      </c>
      <c r="AG22">
        <v>18.74272157943561</v>
      </c>
      <c r="AH22">
        <v>4.7588332989000106</v>
      </c>
      <c r="AI22">
        <v>2.5797486193256738</v>
      </c>
      <c r="AK22">
        <v>42.651869022134861</v>
      </c>
    </row>
    <row r="23" spans="1:37" x14ac:dyDescent="0.2">
      <c r="A23">
        <v>22</v>
      </c>
      <c r="B23">
        <v>756</v>
      </c>
      <c r="C23">
        <v>290</v>
      </c>
      <c r="D23">
        <v>0.28586746344070502</v>
      </c>
      <c r="E23">
        <v>209.35753680887296</v>
      </c>
      <c r="F23">
        <v>56.004958952543703</v>
      </c>
      <c r="G23">
        <v>70.634294130791147</v>
      </c>
      <c r="H23">
        <v>66.032834030552479</v>
      </c>
      <c r="J23">
        <v>45.398528756105691</v>
      </c>
      <c r="L23">
        <v>3.6559226929555226</v>
      </c>
      <c r="M23">
        <v>13.510363207105836</v>
      </c>
      <c r="N23">
        <v>2.633485855195643</v>
      </c>
      <c r="O23">
        <v>14.740459989024492</v>
      </c>
      <c r="P23">
        <v>9.6913094002174507</v>
      </c>
      <c r="Q23">
        <v>1.2954751141594261</v>
      </c>
      <c r="R23">
        <v>10.773986122534209</v>
      </c>
      <c r="S23">
        <v>35.463663210415142</v>
      </c>
      <c r="U23">
        <v>2.2499787851433704</v>
      </c>
      <c r="V23">
        <v>46.955599589177233</v>
      </c>
      <c r="W23">
        <v>21.118910703205739</v>
      </c>
      <c r="X23">
        <v>50.31168034989507</v>
      </c>
      <c r="Y23">
        <v>5.9025472786585569</v>
      </c>
      <c r="Z23">
        <v>27.359549008441146</v>
      </c>
      <c r="AA23">
        <v>2.5467798620163813</v>
      </c>
      <c r="AB23">
        <v>32.943652349730797</v>
      </c>
      <c r="AD23">
        <v>5.4695207604750751</v>
      </c>
      <c r="AE23">
        <v>11.228044649726021</v>
      </c>
      <c r="AF23">
        <v>13.191241034443163</v>
      </c>
      <c r="AG23">
        <v>18.383758254587743</v>
      </c>
      <c r="AH23">
        <v>4.4808932439221225</v>
      </c>
      <c r="AI23">
        <v>2.5831178894095075</v>
      </c>
      <c r="AK23">
        <v>42.645475475631827</v>
      </c>
    </row>
    <row r="24" spans="1:37" x14ac:dyDescent="0.2">
      <c r="A24">
        <v>23</v>
      </c>
      <c r="B24">
        <v>754</v>
      </c>
      <c r="C24">
        <v>290</v>
      </c>
      <c r="D24">
        <v>0.28434065131675001</v>
      </c>
      <c r="E24">
        <v>209.10953747763978</v>
      </c>
      <c r="F24">
        <v>55.240504849054062</v>
      </c>
      <c r="G24">
        <v>70.50832805636847</v>
      </c>
      <c r="H24">
        <v>65.902130599066112</v>
      </c>
      <c r="J24">
        <v>45.254847948667503</v>
      </c>
      <c r="L24">
        <v>3.4913888923368175</v>
      </c>
      <c r="M24">
        <v>13.355003634878255</v>
      </c>
      <c r="N24">
        <v>2.6374293462866536</v>
      </c>
      <c r="O24">
        <v>13.993099325271761</v>
      </c>
      <c r="P24">
        <v>9.48633383356138</v>
      </c>
      <c r="Q24">
        <v>1.1554159355582805</v>
      </c>
      <c r="R24">
        <v>10.333210472104263</v>
      </c>
      <c r="S24">
        <v>34.508640050355851</v>
      </c>
      <c r="U24">
        <v>2.0734473965634765</v>
      </c>
      <c r="V24">
        <v>46.701725698769614</v>
      </c>
      <c r="W24">
        <v>20.676674638188331</v>
      </c>
      <c r="X24">
        <v>49.842281078186716</v>
      </c>
      <c r="Y24">
        <v>5.725877191935834</v>
      </c>
      <c r="Z24">
        <v>26.939845261333474</v>
      </c>
      <c r="AA24">
        <v>2.3770278683311843</v>
      </c>
      <c r="AB24">
        <v>32.615834513290402</v>
      </c>
      <c r="AD24">
        <v>5.2275348193233446</v>
      </c>
      <c r="AE24">
        <v>11.040991135512138</v>
      </c>
      <c r="AF24">
        <v>13.033646499658371</v>
      </c>
      <c r="AG24">
        <v>18.02592176220902</v>
      </c>
      <c r="AH24">
        <v>4.2038956116159198</v>
      </c>
      <c r="AI24">
        <v>2.5864833232613362</v>
      </c>
      <c r="AK24">
        <v>42.640375728909099</v>
      </c>
    </row>
    <row r="25" spans="1:37" x14ac:dyDescent="0.2">
      <c r="A25">
        <v>24</v>
      </c>
      <c r="B25">
        <v>752</v>
      </c>
      <c r="C25">
        <v>290</v>
      </c>
      <c r="D25">
        <v>0.28280788177339999</v>
      </c>
      <c r="E25">
        <v>208.86218193313505</v>
      </c>
      <c r="F25">
        <v>54.478891314983507</v>
      </c>
      <c r="G25">
        <v>70.382703584989741</v>
      </c>
      <c r="H25">
        <v>65.771821055939157</v>
      </c>
      <c r="J25">
        <v>45.113623961829497</v>
      </c>
      <c r="L25">
        <v>3.3275780168412092</v>
      </c>
      <c r="M25">
        <v>13.200242596817487</v>
      </c>
      <c r="N25">
        <v>2.6413723293654137</v>
      </c>
      <c r="O25">
        <v>13.248240230499841</v>
      </c>
      <c r="P25">
        <v>9.2820721474684653</v>
      </c>
      <c r="Q25">
        <v>1.0158301540095298</v>
      </c>
      <c r="R25">
        <v>9.8938954127037295</v>
      </c>
      <c r="S25">
        <v>33.557423743701101</v>
      </c>
      <c r="U25">
        <v>1.897225070151785</v>
      </c>
      <c r="V25">
        <v>46.448714834249728</v>
      </c>
      <c r="W25">
        <v>20.235580522294978</v>
      </c>
      <c r="X25">
        <v>49.374664386219997</v>
      </c>
      <c r="Y25">
        <v>5.5498305404031161</v>
      </c>
      <c r="Z25">
        <v>26.521333784070471</v>
      </c>
      <c r="AA25">
        <v>2.2079553967399699</v>
      </c>
      <c r="AB25">
        <v>32.28912582218981</v>
      </c>
      <c r="AD25">
        <v>4.9860489987184824</v>
      </c>
      <c r="AE25">
        <v>10.854439201170241</v>
      </c>
      <c r="AF25">
        <v>12.876651208400856</v>
      </c>
      <c r="AG25">
        <v>17.669204040095778</v>
      </c>
      <c r="AH25">
        <v>3.9278367950767255</v>
      </c>
      <c r="AI25">
        <v>2.5898449107770092</v>
      </c>
      <c r="AK25">
        <v>42.636568978430887</v>
      </c>
    </row>
    <row r="26" spans="1:37" x14ac:dyDescent="0.2">
      <c r="A26">
        <v>25</v>
      </c>
      <c r="B26">
        <v>750</v>
      </c>
      <c r="C26">
        <v>290</v>
      </c>
      <c r="D26">
        <v>0.281269119874895</v>
      </c>
      <c r="E26">
        <v>208.61546677573295</v>
      </c>
      <c r="F26">
        <v>53.720103695704971</v>
      </c>
      <c r="G26">
        <v>70.257419364759684</v>
      </c>
      <c r="H26">
        <v>65.641904216799873</v>
      </c>
      <c r="J26">
        <v>44.974852902820274</v>
      </c>
      <c r="L26">
        <v>3.1644445274361206</v>
      </c>
      <c r="M26">
        <v>13.046076107777472</v>
      </c>
      <c r="N26">
        <v>2.6453148089864409</v>
      </c>
      <c r="O26">
        <v>12.505871284914925</v>
      </c>
      <c r="P26">
        <v>9.0785218256531905</v>
      </c>
      <c r="Q26">
        <v>0.87680259918235692</v>
      </c>
      <c r="R26">
        <v>9.4560313295540901</v>
      </c>
      <c r="S26">
        <v>32.609990870350053</v>
      </c>
      <c r="U26">
        <v>1.7213087836275516</v>
      </c>
      <c r="V26">
        <v>46.196560938128698</v>
      </c>
      <c r="W26">
        <v>19.795620269131387</v>
      </c>
      <c r="X26">
        <v>48.908818089410488</v>
      </c>
      <c r="Y26">
        <v>5.3744038772740641</v>
      </c>
      <c r="Z26">
        <v>26.104006063065945</v>
      </c>
      <c r="AA26">
        <v>2.0395590406306727</v>
      </c>
      <c r="AB26">
        <v>31.963518297915659</v>
      </c>
      <c r="AD26">
        <v>4.7450614951993746</v>
      </c>
      <c r="AE26">
        <v>10.668384785101061</v>
      </c>
      <c r="AF26">
        <v>12.720251225222029</v>
      </c>
      <c r="AG26">
        <v>17.313597162123408</v>
      </c>
      <c r="AH26">
        <v>3.6527133091373747</v>
      </c>
      <c r="AI26">
        <v>2.5932026417963789</v>
      </c>
      <c r="AK26">
        <v>42.6340545102071</v>
      </c>
    </row>
    <row r="27" spans="1:37" x14ac:dyDescent="0.2">
      <c r="A27">
        <v>26</v>
      </c>
      <c r="B27">
        <v>748</v>
      </c>
      <c r="C27">
        <v>290</v>
      </c>
      <c r="D27">
        <v>0.27972433041179201</v>
      </c>
      <c r="E27">
        <v>208.36938868840042</v>
      </c>
      <c r="F27">
        <v>52.964127689260422</v>
      </c>
      <c r="G27">
        <v>70.132474085502437</v>
      </c>
      <c r="H27">
        <v>65.512378939648741</v>
      </c>
      <c r="J27">
        <v>44.838531049723038</v>
      </c>
      <c r="L27">
        <v>3.001926263735855</v>
      </c>
      <c r="M27">
        <v>12.89250025455309</v>
      </c>
      <c r="N27">
        <v>2.6492567897461603</v>
      </c>
      <c r="O27">
        <v>11.76598134451671</v>
      </c>
      <c r="P27">
        <v>8.8756804363324253</v>
      </c>
      <c r="Q27">
        <v>0.73828672956408359</v>
      </c>
      <c r="R27">
        <v>9.0196088124437335</v>
      </c>
      <c r="S27">
        <v>31.666318446117423</v>
      </c>
      <c r="U27">
        <v>1.5456955932625782</v>
      </c>
      <c r="V27">
        <v>45.945257963815067</v>
      </c>
      <c r="W27">
        <v>19.356785933967394</v>
      </c>
      <c r="X27">
        <v>48.444730232075059</v>
      </c>
      <c r="Y27">
        <v>5.1995938473331629</v>
      </c>
      <c r="Z27">
        <v>25.687853726393634</v>
      </c>
      <c r="AA27">
        <v>1.8718354586426285</v>
      </c>
      <c r="AB27">
        <v>31.639004094007973</v>
      </c>
      <c r="AD27">
        <v>4.5045705557065014</v>
      </c>
      <c r="AE27">
        <v>10.482823886208829</v>
      </c>
      <c r="AF27">
        <v>12.564442686857547</v>
      </c>
      <c r="AG27">
        <v>16.959093334569001</v>
      </c>
      <c r="AH27">
        <v>3.3785217864125596</v>
      </c>
      <c r="AI27">
        <v>2.5965565061973659</v>
      </c>
      <c r="AK27">
        <v>42.632831698524946</v>
      </c>
    </row>
    <row r="28" spans="1:37" x14ac:dyDescent="0.2">
      <c r="A28">
        <v>27</v>
      </c>
      <c r="B28">
        <v>746</v>
      </c>
      <c r="C28">
        <v>290</v>
      </c>
      <c r="D28">
        <v>0.27817347789824898</v>
      </c>
      <c r="E28">
        <v>208.12394443563201</v>
      </c>
      <c r="F28">
        <v>52.21094934094198</v>
      </c>
      <c r="G28">
        <v>70.007866478240942</v>
      </c>
      <c r="H28">
        <v>65.383244124346305</v>
      </c>
      <c r="J28">
        <v>44.704654849438086</v>
      </c>
      <c r="L28">
        <v>2.8401266651796431</v>
      </c>
      <c r="M28">
        <v>12.739511194624749</v>
      </c>
      <c r="N28">
        <v>2.6531982762265636</v>
      </c>
      <c r="O28">
        <v>11.028559536808309</v>
      </c>
      <c r="P28">
        <v>8.6735456311383476</v>
      </c>
      <c r="Q28">
        <v>0.60027796044177373</v>
      </c>
      <c r="R28">
        <v>8.5846186529312121</v>
      </c>
      <c r="S28">
        <v>30.726383915496392</v>
      </c>
      <c r="U28">
        <v>1.3703826328271449</v>
      </c>
      <c r="V28">
        <v>45.694799867918654</v>
      </c>
      <c r="W28">
        <v>18.919069711024765</v>
      </c>
      <c r="X28">
        <v>47.982389083898987</v>
      </c>
      <c r="Y28">
        <v>5.0253971860333868</v>
      </c>
      <c r="Z28">
        <v>25.27286854059022</v>
      </c>
      <c r="AA28">
        <v>1.7047813733220392</v>
      </c>
      <c r="AB28">
        <v>31.315575493231034</v>
      </c>
      <c r="AD28">
        <v>4.2645744770167813</v>
      </c>
      <c r="AE28">
        <v>10.29775256227412</v>
      </c>
      <c r="AF28">
        <v>12.409221800919044</v>
      </c>
      <c r="AG28">
        <v>16.605684893229618</v>
      </c>
      <c r="AH28">
        <v>3.1052589740685086</v>
      </c>
      <c r="AI28">
        <v>2.5999064938413592</v>
      </c>
      <c r="AK28">
        <v>42.632900004978481</v>
      </c>
    </row>
    <row r="29" spans="1:37" x14ac:dyDescent="0.2">
      <c r="A29">
        <v>28</v>
      </c>
      <c r="B29">
        <v>744</v>
      </c>
      <c r="C29">
        <v>290</v>
      </c>
      <c r="D29">
        <v>0.27661652656933799</v>
      </c>
      <c r="E29">
        <v>207.87913086221533</v>
      </c>
      <c r="F29">
        <v>51.460555037313505</v>
      </c>
      <c r="G29">
        <v>69.883595314585151</v>
      </c>
      <c r="H29">
        <v>65.254498712000469</v>
      </c>
      <c r="J29">
        <v>44.573220915394749</v>
      </c>
      <c r="L29">
        <v>2.6789386001122875</v>
      </c>
      <c r="M29">
        <v>12.587105154624481</v>
      </c>
      <c r="N29">
        <v>2.6571392730518992</v>
      </c>
      <c r="O29">
        <v>10.293595256280161</v>
      </c>
      <c r="P29">
        <v>8.4721151439470681</v>
      </c>
      <c r="Q29">
        <v>0.4627181477565564</v>
      </c>
      <c r="R29">
        <v>8.1510518411478827</v>
      </c>
      <c r="S29">
        <v>29.790165143044515</v>
      </c>
      <c r="U29">
        <v>1.1953671123203862</v>
      </c>
      <c r="V29">
        <v>45.44518060161807</v>
      </c>
      <c r="W29">
        <v>18.482463930204517</v>
      </c>
      <c r="X29">
        <v>47.521783135854363</v>
      </c>
      <c r="Y29">
        <v>4.8518107184516293</v>
      </c>
      <c r="Z29">
        <v>24.859042406999933</v>
      </c>
      <c r="AA29">
        <v>1.538393570690292</v>
      </c>
      <c r="AB29">
        <v>30.993224904198748</v>
      </c>
      <c r="AD29">
        <v>4.0250716048265351</v>
      </c>
      <c r="AE29">
        <v>10.113166928146397</v>
      </c>
      <c r="AF29">
        <v>12.254584844417986</v>
      </c>
      <c r="AG29">
        <v>16.25336430010141</v>
      </c>
      <c r="AH29">
        <v>2.8329217323432609</v>
      </c>
      <c r="AI29">
        <v>2.6032525946302623</v>
      </c>
      <c r="AK29">
        <v>42.634258977492529</v>
      </c>
    </row>
    <row r="30" spans="1:37" x14ac:dyDescent="0.2">
      <c r="A30">
        <v>29</v>
      </c>
      <c r="B30">
        <v>742</v>
      </c>
      <c r="C30">
        <v>290</v>
      </c>
      <c r="D30">
        <v>0.27505344037826801</v>
      </c>
      <c r="E30">
        <v>207.63494489225261</v>
      </c>
      <c r="F30">
        <v>50.712931501151417</v>
      </c>
      <c r="G30">
        <v>69.759659406256546</v>
      </c>
      <c r="H30">
        <v>65.126141684498322</v>
      </c>
      <c r="J30">
        <v>44.444226025697603</v>
      </c>
      <c r="L30">
        <v>2.5184162537613664</v>
      </c>
      <c r="M30">
        <v>12.435278429202773</v>
      </c>
      <c r="N30">
        <v>2.6610797848109109</v>
      </c>
      <c r="O30">
        <v>9.5610781603661721</v>
      </c>
      <c r="P30">
        <v>8.2713867898695401</v>
      </c>
      <c r="Q30">
        <v>0.325697428139405</v>
      </c>
      <c r="R30">
        <v>7.7188995632124753</v>
      </c>
      <c r="S30">
        <v>28.857640406831582</v>
      </c>
      <c r="U30">
        <v>1.0206463170399429</v>
      </c>
      <c r="V30">
        <v>45.196394102127499</v>
      </c>
      <c r="W30">
        <v>18.04696105463367</v>
      </c>
      <c r="X30">
        <v>47.062901097082332</v>
      </c>
      <c r="Y30">
        <v>4.6788313584665451</v>
      </c>
      <c r="Z30">
        <v>24.446367358769137</v>
      </c>
      <c r="AA30">
        <v>1.3726689012598507</v>
      </c>
      <c r="AB30">
        <v>30.67194485876438</v>
      </c>
      <c r="AD30">
        <v>3.7860603331767515</v>
      </c>
      <c r="AE30">
        <v>9.9290631542106986</v>
      </c>
      <c r="AF30">
        <v>12.100528162557744</v>
      </c>
      <c r="AG30">
        <v>15.902124140703002</v>
      </c>
      <c r="AH30">
        <v>2.5615070414858221</v>
      </c>
      <c r="AI30">
        <v>2.6065947984298878</v>
      </c>
      <c r="AK30">
        <v>42.636908249428693</v>
      </c>
    </row>
    <row r="31" spans="1:37" x14ac:dyDescent="0.2">
      <c r="A31">
        <v>30</v>
      </c>
      <c r="B31">
        <v>740</v>
      </c>
      <c r="C31">
        <v>290</v>
      </c>
      <c r="D31">
        <v>0.27348418299363703</v>
      </c>
      <c r="E31">
        <v>207.3913835280396</v>
      </c>
      <c r="F31">
        <v>49.968065785841212</v>
      </c>
      <c r="G31">
        <v>69.636057604516438</v>
      </c>
      <c r="H31">
        <v>64.998172063937929</v>
      </c>
      <c r="J31">
        <v>44.317667121041453</v>
      </c>
      <c r="L31">
        <v>2.3585936095864346</v>
      </c>
      <c r="M31">
        <v>12.284027379518642</v>
      </c>
      <c r="N31">
        <v>2.6650198161419336</v>
      </c>
      <c r="O31">
        <v>8.8309981652580252</v>
      </c>
      <c r="P31">
        <v>8.0713584641938123</v>
      </c>
      <c r="Q31">
        <v>0.18916867824038308</v>
      </c>
      <c r="R31">
        <v>7.2881531982223047</v>
      </c>
      <c r="S31">
        <v>27.928788390142273</v>
      </c>
      <c r="U31">
        <v>0.84621760634749765</v>
      </c>
      <c r="V31">
        <v>44.948434283127106</v>
      </c>
      <c r="W31">
        <v>17.612553677407565</v>
      </c>
      <c r="X31">
        <v>46.605731890449029</v>
      </c>
      <c r="Y31">
        <v>4.5064561078093526</v>
      </c>
      <c r="Z31">
        <v>24.034835557202033</v>
      </c>
      <c r="AA31">
        <v>1.2076042825509867</v>
      </c>
      <c r="AB31">
        <v>30.351728008653819</v>
      </c>
      <c r="AD31">
        <v>3.5475391034430439</v>
      </c>
      <c r="AE31">
        <v>9.745437464568079</v>
      </c>
      <c r="AF31">
        <v>11.947048167302848</v>
      </c>
      <c r="AG31">
        <v>15.551957120782815</v>
      </c>
      <c r="AH31">
        <v>2.2910119849831436</v>
      </c>
      <c r="AI31">
        <v>2.6099330951535462</v>
      </c>
      <c r="AK31">
        <v>42.640847538739642</v>
      </c>
    </row>
    <row r="32" spans="1:37" x14ac:dyDescent="0.2">
      <c r="A32">
        <v>31</v>
      </c>
      <c r="B32">
        <v>738</v>
      </c>
      <c r="C32">
        <v>290</v>
      </c>
      <c r="D32">
        <v>0.27190871779657</v>
      </c>
      <c r="E32">
        <v>207.14844384900843</v>
      </c>
      <c r="F32">
        <v>49.225945270235776</v>
      </c>
      <c r="G32">
        <v>69.512788799684444</v>
      </c>
      <c r="H32">
        <v>64.870588912148435</v>
      </c>
      <c r="J32">
        <v>44.193541302792411</v>
      </c>
      <c r="L32">
        <v>2.199379161584555</v>
      </c>
      <c r="M32">
        <v>12.133348432068047</v>
      </c>
      <c r="N32">
        <v>2.6689593716588558</v>
      </c>
      <c r="O32">
        <v>8.1033454419189876</v>
      </c>
      <c r="P32">
        <v>7.872028141354984</v>
      </c>
      <c r="Q32">
        <v>5.3073724109283828E-2</v>
      </c>
      <c r="R32">
        <v>6.8588043155848766</v>
      </c>
      <c r="S32">
        <v>27.003588174779473</v>
      </c>
      <c r="U32">
        <v>0.67207841271521107</v>
      </c>
      <c r="V32">
        <v>44.701295025003134</v>
      </c>
      <c r="W32">
        <v>17.17923451911717</v>
      </c>
      <c r="X32">
        <v>46.150264649569174</v>
      </c>
      <c r="Y32">
        <v>4.3346820552203864</v>
      </c>
      <c r="Z32">
        <v>23.624439288825862</v>
      </c>
      <c r="AA32">
        <v>1.0431967034974077</v>
      </c>
      <c r="AB32">
        <v>30.032567122875797</v>
      </c>
      <c r="AD32">
        <v>3.3095064036775175</v>
      </c>
      <c r="AE32">
        <v>9.5622861355663176</v>
      </c>
      <c r="AF32">
        <v>11.79414133614056</v>
      </c>
      <c r="AG32">
        <v>15.202856063672694</v>
      </c>
      <c r="AH32">
        <v>2.0214337521609052</v>
      </c>
      <c r="AI32">
        <v>2.6132674746911495</v>
      </c>
      <c r="AK32">
        <v>42.646076647029453</v>
      </c>
    </row>
    <row r="33" spans="1:37" x14ac:dyDescent="0.2">
      <c r="A33">
        <v>32</v>
      </c>
      <c r="B33">
        <v>736</v>
      </c>
      <c r="C33">
        <v>290</v>
      </c>
      <c r="D33">
        <v>0.27032700787792002</v>
      </c>
      <c r="E33">
        <v>207.11566348551798</v>
      </c>
      <c r="F33">
        <v>46.178304252455604</v>
      </c>
      <c r="G33">
        <v>69.343031163088241</v>
      </c>
      <c r="H33">
        <v>64.696570572646522</v>
      </c>
      <c r="J33">
        <v>35.484645863711982</v>
      </c>
      <c r="L33">
        <v>1.6582952448030845</v>
      </c>
      <c r="M33">
        <v>11.404678090144442</v>
      </c>
      <c r="N33">
        <v>2.6729271301865696</v>
      </c>
      <c r="O33">
        <v>5.4185446552780219</v>
      </c>
      <c r="P33">
        <v>7.5797810330832007</v>
      </c>
      <c r="R33">
        <v>5.786869079839053</v>
      </c>
      <c r="S33">
        <v>26.727880506214234</v>
      </c>
      <c r="U33">
        <v>0.4663056871237618</v>
      </c>
      <c r="V33">
        <v>45.72895940898178</v>
      </c>
      <c r="W33">
        <v>16.308717953236901</v>
      </c>
      <c r="X33">
        <v>45.615374905449521</v>
      </c>
      <c r="Y33">
        <v>3.7975953055350908</v>
      </c>
      <c r="Z33">
        <v>18.527473205116014</v>
      </c>
      <c r="AB33">
        <v>28.276291577993277</v>
      </c>
      <c r="AD33">
        <v>0.71255715911290296</v>
      </c>
      <c r="AE33">
        <v>6.7926760676907296</v>
      </c>
      <c r="AF33">
        <v>11.063272897774684</v>
      </c>
      <c r="AG33">
        <v>13.416679074788584</v>
      </c>
      <c r="AI33">
        <v>2.6166266011443109</v>
      </c>
      <c r="AK33">
        <v>36.544863949235747</v>
      </c>
    </row>
    <row r="34" spans="1:37" x14ac:dyDescent="0.2">
      <c r="A34">
        <v>33</v>
      </c>
      <c r="B34">
        <v>734</v>
      </c>
      <c r="C34">
        <v>290</v>
      </c>
      <c r="D34">
        <v>0.268739016035347</v>
      </c>
      <c r="E34">
        <v>207.59503023572222</v>
      </c>
      <c r="F34">
        <v>47.087869630700567</v>
      </c>
      <c r="G34">
        <v>69.350039798284385</v>
      </c>
      <c r="H34">
        <v>64.699372321861304</v>
      </c>
      <c r="J34">
        <v>27.683875067650575</v>
      </c>
      <c r="L34">
        <v>1.713324007249601</v>
      </c>
      <c r="M34">
        <v>10.243462937378808</v>
      </c>
      <c r="N34">
        <v>2.6769174721229141</v>
      </c>
      <c r="O34">
        <v>5.3507576877589891</v>
      </c>
      <c r="P34">
        <v>7.6411219182090182</v>
      </c>
      <c r="R34">
        <v>5.0542002474306855</v>
      </c>
      <c r="S34">
        <v>28.22496128061697</v>
      </c>
      <c r="U34">
        <v>0.37876478816778214</v>
      </c>
      <c r="V34">
        <v>47.478154316182298</v>
      </c>
      <c r="W34">
        <v>15.022430509292763</v>
      </c>
      <c r="X34">
        <v>45.431791069497415</v>
      </c>
      <c r="Y34">
        <v>3.7309527121187323</v>
      </c>
      <c r="Z34">
        <v>17.931232391524976</v>
      </c>
      <c r="AB34">
        <v>29.251172170500123</v>
      </c>
      <c r="AE34">
        <v>6.4256042242549753</v>
      </c>
      <c r="AF34">
        <v>9.899883863032418</v>
      </c>
      <c r="AG34">
        <v>14.361691381373092</v>
      </c>
      <c r="AI34">
        <v>2.6200048401887548</v>
      </c>
      <c r="AK34">
        <v>30.939383446330439</v>
      </c>
    </row>
    <row r="35" spans="1:37" x14ac:dyDescent="0.2">
      <c r="A35">
        <v>34</v>
      </c>
      <c r="B35">
        <v>732</v>
      </c>
      <c r="C35">
        <v>290</v>
      </c>
      <c r="D35">
        <v>0.267144704770434</v>
      </c>
      <c r="E35">
        <v>207.91919225360152</v>
      </c>
      <c r="F35">
        <v>47.972994798343983</v>
      </c>
      <c r="G35">
        <v>69.314466355881862</v>
      </c>
      <c r="H35">
        <v>64.659645983959294</v>
      </c>
      <c r="J35">
        <v>24.240793242972494</v>
      </c>
      <c r="L35">
        <v>1.7460076899920969</v>
      </c>
      <c r="M35">
        <v>9.3745281191708187</v>
      </c>
      <c r="N35">
        <v>2.6808905628911139</v>
      </c>
      <c r="O35">
        <v>5.3492381028197107</v>
      </c>
      <c r="P35">
        <v>7.6173144557703303</v>
      </c>
      <c r="R35">
        <v>4.4179751448098585</v>
      </c>
      <c r="S35">
        <v>29.159591755442019</v>
      </c>
      <c r="U35">
        <v>0.3241657410447899</v>
      </c>
      <c r="V35">
        <v>48.676713317421409</v>
      </c>
      <c r="W35">
        <v>14.012536368759941</v>
      </c>
      <c r="X35">
        <v>45.343679930659903</v>
      </c>
      <c r="Y35">
        <v>3.6617729560838095</v>
      </c>
      <c r="Z35">
        <v>18.038697342743376</v>
      </c>
      <c r="AB35">
        <v>30.184796754525593</v>
      </c>
      <c r="AE35">
        <v>6.4722521390114141</v>
      </c>
      <c r="AF35">
        <v>9.0287595897424815</v>
      </c>
      <c r="AG35">
        <v>15.265441053654877</v>
      </c>
      <c r="AI35">
        <v>2.6233623425267556</v>
      </c>
      <c r="AK35">
        <v>28.390556423243378</v>
      </c>
    </row>
    <row r="36" spans="1:37" x14ac:dyDescent="0.2">
      <c r="A36">
        <v>35</v>
      </c>
      <c r="B36">
        <v>730</v>
      </c>
      <c r="C36">
        <v>290</v>
      </c>
      <c r="D36">
        <v>0.265544036285703</v>
      </c>
      <c r="E36">
        <v>208.17633718977149</v>
      </c>
      <c r="F36">
        <v>48.709952039015604</v>
      </c>
      <c r="G36">
        <v>69.2782517380641</v>
      </c>
      <c r="H36">
        <v>64.61933263537297</v>
      </c>
      <c r="J36">
        <v>22.12183728192197</v>
      </c>
      <c r="L36">
        <v>1.7719680794456254</v>
      </c>
      <c r="M36">
        <v>8.6510355830779364</v>
      </c>
      <c r="N36">
        <v>2.6848565608459349</v>
      </c>
      <c r="O36">
        <v>5.3367501412958491</v>
      </c>
      <c r="P36">
        <v>7.5922508019787944</v>
      </c>
      <c r="R36">
        <v>3.8687287501326604</v>
      </c>
      <c r="S36">
        <v>29.886757808314812</v>
      </c>
      <c r="U36">
        <v>0.27557279978996757</v>
      </c>
      <c r="V36">
        <v>49.642230328213351</v>
      </c>
      <c r="W36">
        <v>13.145115688811007</v>
      </c>
      <c r="X36">
        <v>45.273624973430039</v>
      </c>
      <c r="Y36">
        <v>3.607827691103235</v>
      </c>
      <c r="Z36">
        <v>18.123032855116779</v>
      </c>
      <c r="AB36">
        <v>30.929750771794318</v>
      </c>
      <c r="AE36">
        <v>6.5066735002495282</v>
      </c>
      <c r="AF36">
        <v>8.3030722310341201</v>
      </c>
      <c r="AG36">
        <v>15.980523742720596</v>
      </c>
      <c r="AI36">
        <v>2.6267092517958543</v>
      </c>
      <c r="AK36">
        <v>26.783160730184306</v>
      </c>
    </row>
    <row r="37" spans="1:37" x14ac:dyDescent="0.2">
      <c r="A37">
        <v>36</v>
      </c>
      <c r="B37">
        <v>728</v>
      </c>
      <c r="C37">
        <v>290</v>
      </c>
      <c r="D37">
        <v>0.26393697248164799</v>
      </c>
      <c r="E37">
        <v>208.39108270223394</v>
      </c>
      <c r="F37">
        <v>49.353305255195949</v>
      </c>
      <c r="G37">
        <v>69.241548497898151</v>
      </c>
      <c r="H37">
        <v>64.578585004112327</v>
      </c>
      <c r="J37">
        <v>20.627431366660694</v>
      </c>
      <c r="L37">
        <v>1.7941800588336483</v>
      </c>
      <c r="M37">
        <v>8.0162024775678304</v>
      </c>
      <c r="N37">
        <v>2.6888178608715023</v>
      </c>
      <c r="O37">
        <v>5.317993433603581</v>
      </c>
      <c r="P37">
        <v>7.5662386524306573</v>
      </c>
      <c r="R37">
        <v>3.3755562453116843</v>
      </c>
      <c r="S37">
        <v>30.500960343000788</v>
      </c>
      <c r="U37">
        <v>0.2290956077133568</v>
      </c>
      <c r="V37">
        <v>50.470960395550478</v>
      </c>
      <c r="W37">
        <v>12.365287825509858</v>
      </c>
      <c r="X37">
        <v>45.210438590340686</v>
      </c>
      <c r="Y37">
        <v>3.5629838811144383</v>
      </c>
      <c r="Z37">
        <v>18.19331917904654</v>
      </c>
      <c r="AB37">
        <v>31.567209967399798</v>
      </c>
      <c r="AE37">
        <v>6.5337341727339835</v>
      </c>
      <c r="AF37">
        <v>7.6660413776909175</v>
      </c>
      <c r="AG37">
        <v>16.588117639883762</v>
      </c>
      <c r="AI37">
        <v>2.6300479481658621</v>
      </c>
      <c r="AK37">
        <v>25.625375621359119</v>
      </c>
    </row>
    <row r="38" spans="1:37" x14ac:dyDescent="0.2">
      <c r="A38">
        <v>37</v>
      </c>
      <c r="B38">
        <v>726</v>
      </c>
      <c r="C38">
        <v>290</v>
      </c>
      <c r="D38">
        <v>0.26232347495371</v>
      </c>
      <c r="E38">
        <v>208.57603194320379</v>
      </c>
      <c r="F38">
        <v>49.93098611908372</v>
      </c>
      <c r="G38">
        <v>69.20448912695376</v>
      </c>
      <c r="H38">
        <v>64.537535757389861</v>
      </c>
      <c r="J38">
        <v>19.493962232289547</v>
      </c>
      <c r="L38">
        <v>1.8139803800646477</v>
      </c>
      <c r="M38">
        <v>7.4427349340093762</v>
      </c>
      <c r="N38">
        <v>2.6927756283543394</v>
      </c>
      <c r="O38">
        <v>5.2955734325725068</v>
      </c>
      <c r="P38">
        <v>7.5395443513351195</v>
      </c>
      <c r="R38">
        <v>2.9224980799412341</v>
      </c>
      <c r="S38">
        <v>31.041589766978898</v>
      </c>
      <c r="U38">
        <v>0.18356984367062273</v>
      </c>
      <c r="V38">
        <v>51.206534594590366</v>
      </c>
      <c r="W38">
        <v>11.646335477250814</v>
      </c>
      <c r="X38">
        <v>45.150769102283078</v>
      </c>
      <c r="Y38">
        <v>3.5243769471972302</v>
      </c>
      <c r="Z38">
        <v>18.253965318864356</v>
      </c>
      <c r="AB38">
        <v>32.132709690233312</v>
      </c>
      <c r="AE38">
        <v>6.5557594440940479</v>
      </c>
      <c r="AF38">
        <v>7.0903743741126375</v>
      </c>
      <c r="AG38">
        <v>17.123759311093359</v>
      </c>
      <c r="AI38">
        <v>2.6333795823121298</v>
      </c>
      <c r="AK38">
        <v>24.730389067176059</v>
      </c>
    </row>
    <row r="39" spans="1:37" x14ac:dyDescent="0.2">
      <c r="A39">
        <v>38</v>
      </c>
      <c r="B39">
        <v>724</v>
      </c>
      <c r="C39">
        <v>290</v>
      </c>
      <c r="D39">
        <v>0.26070350498922301</v>
      </c>
      <c r="E39">
        <v>208.73859674762519</v>
      </c>
      <c r="F39">
        <v>50.459412239804522</v>
      </c>
      <c r="G39">
        <v>69.16716526794481</v>
      </c>
      <c r="H39">
        <v>64.496276714265363</v>
      </c>
      <c r="J39">
        <v>18.594565381202617</v>
      </c>
      <c r="L39">
        <v>1.8320268599470437</v>
      </c>
      <c r="M39">
        <v>6.915037179078201</v>
      </c>
      <c r="N39">
        <v>2.6967305447800776</v>
      </c>
      <c r="O39">
        <v>5.2710695936644241</v>
      </c>
      <c r="P39">
        <v>7.5123520624004216</v>
      </c>
      <c r="R39">
        <v>2.5001044121466895</v>
      </c>
      <c r="S39">
        <v>31.52949129666117</v>
      </c>
      <c r="U39">
        <v>0.13852350804100499</v>
      </c>
      <c r="V39">
        <v>51.873150347813485</v>
      </c>
      <c r="W39">
        <v>10.972900398787472</v>
      </c>
      <c r="X39">
        <v>45.09325556630413</v>
      </c>
      <c r="Y39">
        <v>3.4903951550012544</v>
      </c>
      <c r="Z39">
        <v>18.307488613377764</v>
      </c>
      <c r="AB39">
        <v>32.645591341437623</v>
      </c>
      <c r="AE39">
        <v>6.5740666858902141</v>
      </c>
      <c r="AF39">
        <v>6.5604761763171338</v>
      </c>
      <c r="AG39">
        <v>17.606790890984811</v>
      </c>
      <c r="AI39">
        <v>2.6367048210150554</v>
      </c>
      <c r="AK39">
        <v>24.007617053214727</v>
      </c>
    </row>
    <row r="40" spans="1:37" x14ac:dyDescent="0.2">
      <c r="A40">
        <v>39</v>
      </c>
      <c r="B40">
        <v>760</v>
      </c>
      <c r="C40">
        <v>280</v>
      </c>
      <c r="D40">
        <v>0.29955040410395301</v>
      </c>
      <c r="E40">
        <v>203.99671861397863</v>
      </c>
      <c r="F40">
        <v>57.259362249293517</v>
      </c>
      <c r="G40">
        <v>70.875329514527721</v>
      </c>
      <c r="H40">
        <v>66.28304194990362</v>
      </c>
      <c r="J40">
        <v>45.455286354957465</v>
      </c>
      <c r="L40">
        <v>3.9386214450898258</v>
      </c>
      <c r="M40">
        <v>13.773923767919248</v>
      </c>
      <c r="N40">
        <v>2.6016296295325763</v>
      </c>
      <c r="O40">
        <v>16.251291009531943</v>
      </c>
      <c r="P40">
        <v>9.9991301858027146</v>
      </c>
      <c r="Q40">
        <v>1.4563905499240126</v>
      </c>
      <c r="R40">
        <v>11.618350161943521</v>
      </c>
      <c r="S40">
        <v>37.010572902932921</v>
      </c>
      <c r="U40">
        <v>2.5082200906617844</v>
      </c>
      <c r="V40">
        <v>47.194339038198891</v>
      </c>
      <c r="W40">
        <v>22.137658247466319</v>
      </c>
      <c r="X40">
        <v>50.553137831787815</v>
      </c>
      <c r="Y40">
        <v>6.1613593743715001</v>
      </c>
      <c r="Z40">
        <v>28.145171400810835</v>
      </c>
      <c r="AA40">
        <v>2.8505635602557451</v>
      </c>
      <c r="AB40">
        <v>33.548414992476197</v>
      </c>
      <c r="AC40">
        <v>1.2293056548226398E-2</v>
      </c>
      <c r="AD40">
        <v>5.912849239115646</v>
      </c>
      <c r="AE40">
        <v>11.655666289615338</v>
      </c>
      <c r="AF40">
        <v>13.466136993160619</v>
      </c>
      <c r="AG40">
        <v>19.067803708415333</v>
      </c>
      <c r="AH40">
        <v>4.8025211344008509</v>
      </c>
      <c r="AI40">
        <v>2.5511017072201967</v>
      </c>
      <c r="AK40">
        <v>42.498644597912374</v>
      </c>
    </row>
    <row r="41" spans="1:37" x14ac:dyDescent="0.2">
      <c r="A41">
        <v>40</v>
      </c>
      <c r="B41">
        <v>758</v>
      </c>
      <c r="C41">
        <v>280</v>
      </c>
      <c r="D41">
        <v>0.29805605392037998</v>
      </c>
      <c r="E41">
        <v>203.77724173579148</v>
      </c>
      <c r="F41">
        <v>56.592332319495412</v>
      </c>
      <c r="G41">
        <v>70.763822819227514</v>
      </c>
      <c r="H41">
        <v>66.166685689712097</v>
      </c>
      <c r="J41">
        <v>45.361379086636354</v>
      </c>
      <c r="L41">
        <v>3.7896807014422773</v>
      </c>
      <c r="M41">
        <v>13.659842767376512</v>
      </c>
      <c r="N41">
        <v>2.5929181349737256</v>
      </c>
      <c r="O41">
        <v>15.543788743870815</v>
      </c>
      <c r="P41">
        <v>9.8103486983068695</v>
      </c>
      <c r="Q41">
        <v>1.3480594959024865</v>
      </c>
      <c r="R41">
        <v>11.243045221392372</v>
      </c>
      <c r="S41">
        <v>36.257773858008008</v>
      </c>
      <c r="U41">
        <v>2.366722424228799</v>
      </c>
      <c r="V41">
        <v>47.007797243011069</v>
      </c>
      <c r="W41">
        <v>21.772357390029068</v>
      </c>
      <c r="X41">
        <v>50.203122639583697</v>
      </c>
      <c r="Y41">
        <v>6.0064628902782768</v>
      </c>
      <c r="Z41">
        <v>27.783313610944404</v>
      </c>
      <c r="AA41">
        <v>2.6962033244951598</v>
      </c>
      <c r="AB41">
        <v>33.292185038480987</v>
      </c>
      <c r="AD41">
        <v>5.7087025724619478</v>
      </c>
      <c r="AE41">
        <v>11.491047911224314</v>
      </c>
      <c r="AF41">
        <v>13.337160926495356</v>
      </c>
      <c r="AG41">
        <v>18.768906295658415</v>
      </c>
      <c r="AH41">
        <v>4.5718673276139699</v>
      </c>
      <c r="AI41">
        <v>2.5418196901389085</v>
      </c>
      <c r="AK41">
        <v>42.510873213077133</v>
      </c>
    </row>
    <row r="42" spans="1:37" x14ac:dyDescent="0.2">
      <c r="A42">
        <v>41</v>
      </c>
      <c r="B42">
        <v>756</v>
      </c>
      <c r="C42">
        <v>280</v>
      </c>
      <c r="D42">
        <v>0.29655589564203599</v>
      </c>
      <c r="E42">
        <v>203.52875941298544</v>
      </c>
      <c r="F42">
        <v>55.826440596460046</v>
      </c>
      <c r="G42">
        <v>70.637604357854286</v>
      </c>
      <c r="H42">
        <v>66.035669619456229</v>
      </c>
      <c r="J42">
        <v>45.214841826374908</v>
      </c>
      <c r="L42">
        <v>3.6248044030305535</v>
      </c>
      <c r="M42">
        <v>13.504380481564032</v>
      </c>
      <c r="N42">
        <v>2.5968640493597888</v>
      </c>
      <c r="O42">
        <v>14.794553842566277</v>
      </c>
      <c r="P42">
        <v>9.6048319023003064</v>
      </c>
      <c r="Q42">
        <v>1.208337957657448</v>
      </c>
      <c r="R42">
        <v>10.801688980423307</v>
      </c>
      <c r="S42">
        <v>35.300711723031945</v>
      </c>
      <c r="U42">
        <v>2.1898388474875925</v>
      </c>
      <c r="V42">
        <v>46.75369440725261</v>
      </c>
      <c r="W42">
        <v>21.329641094478841</v>
      </c>
      <c r="X42">
        <v>49.733103874487135</v>
      </c>
      <c r="Y42">
        <v>5.8293616169681171</v>
      </c>
      <c r="Z42">
        <v>27.364347736751203</v>
      </c>
      <c r="AA42">
        <v>2.5261354581849371</v>
      </c>
      <c r="AB42">
        <v>32.96458284081713</v>
      </c>
      <c r="AD42">
        <v>5.4673436451217308</v>
      </c>
      <c r="AE42">
        <v>11.304371972935632</v>
      </c>
      <c r="AF42">
        <v>13.179462120859558</v>
      </c>
      <c r="AG42">
        <v>18.411304086351628</v>
      </c>
      <c r="AH42">
        <v>4.2943535958488992</v>
      </c>
      <c r="AI42">
        <v>2.5451917730984097</v>
      </c>
      <c r="AK42">
        <v>42.504310467088771</v>
      </c>
    </row>
    <row r="43" spans="1:37" x14ac:dyDescent="0.2">
      <c r="A43">
        <v>42</v>
      </c>
      <c r="B43">
        <v>754</v>
      </c>
      <c r="C43">
        <v>280</v>
      </c>
      <c r="D43">
        <v>0.29504989534147702</v>
      </c>
      <c r="E43">
        <v>203.28091284953155</v>
      </c>
      <c r="F43">
        <v>55.063370067306941</v>
      </c>
      <c r="G43">
        <v>70.511724326690725</v>
      </c>
      <c r="H43">
        <v>65.905044101642986</v>
      </c>
      <c r="J43">
        <v>45.070739261030511</v>
      </c>
      <c r="L43">
        <v>3.4606401238182696</v>
      </c>
      <c r="M43">
        <v>13.349513760977713</v>
      </c>
      <c r="N43">
        <v>2.6008094535695574</v>
      </c>
      <c r="O43">
        <v>14.047807225260586</v>
      </c>
      <c r="P43">
        <v>9.4000224521694218</v>
      </c>
      <c r="Q43">
        <v>1.0691867969330016</v>
      </c>
      <c r="R43">
        <v>10.361782837046475</v>
      </c>
      <c r="S43">
        <v>34.347432260122311</v>
      </c>
      <c r="U43">
        <v>2.013255252013975</v>
      </c>
      <c r="V43">
        <v>46.500446684079201</v>
      </c>
      <c r="W43">
        <v>20.888065619970327</v>
      </c>
      <c r="X43">
        <v>49.264849217124883</v>
      </c>
      <c r="Y43">
        <v>5.6528778204883654</v>
      </c>
      <c r="Z43">
        <v>26.946582905567499</v>
      </c>
      <c r="AA43">
        <v>2.356742697611713</v>
      </c>
      <c r="AB43">
        <v>32.638093110049226</v>
      </c>
      <c r="AD43">
        <v>5.2264825969904001</v>
      </c>
      <c r="AE43">
        <v>11.118204053948759</v>
      </c>
      <c r="AF43">
        <v>13.022359552364001</v>
      </c>
      <c r="AG43">
        <v>18.054823919170403</v>
      </c>
      <c r="AH43">
        <v>4.017770814745214</v>
      </c>
      <c r="AI43">
        <v>2.5485600222694638</v>
      </c>
      <c r="AK43">
        <v>42.499026100970049</v>
      </c>
    </row>
    <row r="44" spans="1:37" x14ac:dyDescent="0.2">
      <c r="A44">
        <v>43</v>
      </c>
      <c r="B44">
        <v>752</v>
      </c>
      <c r="C44">
        <v>280</v>
      </c>
      <c r="D44">
        <v>0.29353801882651298</v>
      </c>
      <c r="E44">
        <v>203.03369855491727</v>
      </c>
      <c r="F44">
        <v>54.303106003485063</v>
      </c>
      <c r="G44">
        <v>70.386181343759716</v>
      </c>
      <c r="H44">
        <v>65.774807921167309</v>
      </c>
      <c r="J44">
        <v>44.929067226669488</v>
      </c>
      <c r="L44">
        <v>3.2971460997034336</v>
      </c>
      <c r="M44">
        <v>13.19523863240779</v>
      </c>
      <c r="N44">
        <v>2.6047543521647656</v>
      </c>
      <c r="O44">
        <v>13.303537455962077</v>
      </c>
      <c r="P44">
        <v>9.1959177704738693</v>
      </c>
      <c r="Q44">
        <v>0.93056032393239552</v>
      </c>
      <c r="R44">
        <v>9.9233171223720813</v>
      </c>
      <c r="S44">
        <v>33.397911979563453</v>
      </c>
      <c r="U44">
        <v>1.8369685756158345</v>
      </c>
      <c r="V44">
        <v>46.248048050470857</v>
      </c>
      <c r="W44">
        <v>20.447623006229293</v>
      </c>
      <c r="X44">
        <v>48.798346327132627</v>
      </c>
      <c r="Y44">
        <v>5.4770079962943798</v>
      </c>
      <c r="Z44">
        <v>26.530010953601945</v>
      </c>
      <c r="AA44">
        <v>2.1880216327015951</v>
      </c>
      <c r="AB44">
        <v>32.312708075193534</v>
      </c>
      <c r="AD44">
        <v>4.9861178720994985</v>
      </c>
      <c r="AE44">
        <v>10.932540292477713</v>
      </c>
      <c r="AF44">
        <v>12.865849297298483</v>
      </c>
      <c r="AG44">
        <v>17.69945807522452</v>
      </c>
      <c r="AH44">
        <v>3.7421154708175783</v>
      </c>
      <c r="AI44">
        <v>2.5519244275021684</v>
      </c>
      <c r="AK44">
        <v>42.495019214463596</v>
      </c>
    </row>
    <row r="45" spans="1:37" x14ac:dyDescent="0.2">
      <c r="A45">
        <v>44</v>
      </c>
      <c r="B45">
        <v>750</v>
      </c>
      <c r="C45">
        <v>280</v>
      </c>
      <c r="D45">
        <v>0.292020231637589</v>
      </c>
      <c r="E45">
        <v>202.78711311767137</v>
      </c>
      <c r="F45">
        <v>53.545634022058593</v>
      </c>
      <c r="G45">
        <v>70.26097406742754</v>
      </c>
      <c r="H45">
        <v>65.644959903917126</v>
      </c>
      <c r="J45">
        <v>44.789821720659674</v>
      </c>
      <c r="L45">
        <v>3.1342716918188707</v>
      </c>
      <c r="M45">
        <v>13.041551193664597</v>
      </c>
      <c r="N45">
        <v>2.6086987497951588</v>
      </c>
      <c r="O45">
        <v>12.561733369684617</v>
      </c>
      <c r="P45">
        <v>8.9925153615566948</v>
      </c>
      <c r="Q45">
        <v>0.79239366089554275</v>
      </c>
      <c r="R45">
        <v>9.4862823677064316</v>
      </c>
      <c r="S45">
        <v>32.452127817726733</v>
      </c>
      <c r="U45">
        <v>1.6609758318326269</v>
      </c>
      <c r="V45">
        <v>45.996492497803509</v>
      </c>
      <c r="W45">
        <v>20.008305435146209</v>
      </c>
      <c r="X45">
        <v>48.333583085339775</v>
      </c>
      <c r="Y45">
        <v>5.3017487287452667</v>
      </c>
      <c r="Z45">
        <v>26.114623865201388</v>
      </c>
      <c r="AA45">
        <v>2.019968919100851</v>
      </c>
      <c r="AB45">
        <v>31.988420100343262</v>
      </c>
      <c r="AD45">
        <v>4.7462479646072033</v>
      </c>
      <c r="AE45">
        <v>10.747376891330129</v>
      </c>
      <c r="AF45">
        <v>12.709927503265105</v>
      </c>
      <c r="AG45">
        <v>17.345198971091872</v>
      </c>
      <c r="AH45">
        <v>3.4673841646638497</v>
      </c>
      <c r="AI45">
        <v>2.5552849787314873</v>
      </c>
      <c r="AK45">
        <v>42.492288989586008</v>
      </c>
    </row>
    <row r="46" spans="1:37" x14ac:dyDescent="0.2">
      <c r="A46">
        <v>45</v>
      </c>
      <c r="B46">
        <v>748</v>
      </c>
      <c r="C46">
        <v>280</v>
      </c>
      <c r="D46">
        <v>0.29049649904519698</v>
      </c>
      <c r="E46">
        <v>202.54115320408849</v>
      </c>
      <c r="F46">
        <v>52.790940079996034</v>
      </c>
      <c r="G46">
        <v>70.136101195854593</v>
      </c>
      <c r="H46">
        <v>65.515498916231081</v>
      </c>
      <c r="J46">
        <v>44.652998899218396</v>
      </c>
      <c r="L46">
        <v>2.9720993251956895</v>
      </c>
      <c r="M46">
        <v>12.888447612431646</v>
      </c>
      <c r="N46">
        <v>2.6126426510487799</v>
      </c>
      <c r="O46">
        <v>11.822384067953303</v>
      </c>
      <c r="P46">
        <v>8.7898128103121937</v>
      </c>
      <c r="Q46">
        <v>0.65478937683508043</v>
      </c>
      <c r="R46">
        <v>9.0506693016510216</v>
      </c>
      <c r="S46">
        <v>31.510057130097071</v>
      </c>
      <c r="U46">
        <v>1.4852741089322044</v>
      </c>
      <c r="V46">
        <v>45.745774024607933</v>
      </c>
      <c r="W46">
        <v>19.570105228547131</v>
      </c>
      <c r="X46">
        <v>47.870547589905463</v>
      </c>
      <c r="Y46">
        <v>5.1270966901068302</v>
      </c>
      <c r="Z46">
        <v>25.700413770360015</v>
      </c>
      <c r="AA46">
        <v>1.8524960004861715</v>
      </c>
      <c r="AB46">
        <v>31.665221682401921</v>
      </c>
      <c r="AD46">
        <v>4.5068714187477017</v>
      </c>
      <c r="AE46">
        <v>10.562710116684913</v>
      </c>
      <c r="AF46">
        <v>12.554590387879763</v>
      </c>
      <c r="AG46">
        <v>16.992039156403965</v>
      </c>
      <c r="AH46">
        <v>3.1935736098912377</v>
      </c>
      <c r="AI46">
        <v>2.5586416658269591</v>
      </c>
      <c r="AK46">
        <v>42.490834689306276</v>
      </c>
    </row>
    <row r="47" spans="1:37" x14ac:dyDescent="0.2">
      <c r="A47">
        <v>46</v>
      </c>
      <c r="B47">
        <v>746</v>
      </c>
      <c r="C47">
        <v>280</v>
      </c>
      <c r="D47">
        <v>0.288966786047197</v>
      </c>
      <c r="E47">
        <v>202.29581555690595</v>
      </c>
      <c r="F47">
        <v>52.039010467967849</v>
      </c>
      <c r="G47">
        <v>70.011561466315641</v>
      </c>
      <c r="H47">
        <v>65.386423864220163</v>
      </c>
      <c r="J47">
        <v>44.518595074787413</v>
      </c>
      <c r="L47">
        <v>2.8105922756910586</v>
      </c>
      <c r="M47">
        <v>12.735924124565718</v>
      </c>
      <c r="N47">
        <v>2.6165860605973768</v>
      </c>
      <c r="O47">
        <v>11.085478914248094</v>
      </c>
      <c r="P47">
        <v>8.5878077809717119</v>
      </c>
      <c r="Q47">
        <v>0.51763719147307807</v>
      </c>
      <c r="R47">
        <v>8.6164688467129285</v>
      </c>
      <c r="S47">
        <v>30.571677681792398</v>
      </c>
      <c r="U47">
        <v>1.3098605684348461</v>
      </c>
      <c r="V47">
        <v>45.495886628222671</v>
      </c>
      <c r="W47">
        <v>19.133014844591738</v>
      </c>
      <c r="X47">
        <v>47.409228151641962</v>
      </c>
      <c r="Y47">
        <v>4.9530486394284488</v>
      </c>
      <c r="Z47">
        <v>25.287372941032046</v>
      </c>
      <c r="AA47">
        <v>1.6857696870556174</v>
      </c>
      <c r="AB47">
        <v>31.343105447493343</v>
      </c>
      <c r="AD47">
        <v>4.2679868280206099</v>
      </c>
      <c r="AE47">
        <v>10.378536296287447</v>
      </c>
      <c r="AF47">
        <v>12.399834237221052</v>
      </c>
      <c r="AG47">
        <v>16.639971310406565</v>
      </c>
      <c r="AH47">
        <v>2.9206806348225531</v>
      </c>
      <c r="AI47">
        <v>2.5619944787398463</v>
      </c>
      <c r="AK47">
        <v>42.490655656412436</v>
      </c>
    </row>
    <row r="48" spans="1:37" x14ac:dyDescent="0.2">
      <c r="A48">
        <v>47</v>
      </c>
      <c r="B48">
        <v>744</v>
      </c>
      <c r="C48">
        <v>280</v>
      </c>
      <c r="D48">
        <v>0.28743105736617303</v>
      </c>
      <c r="E48">
        <v>202.05109699427956</v>
      </c>
      <c r="F48">
        <v>51.289831805453765</v>
      </c>
      <c r="G48">
        <v>69.887353654737481</v>
      </c>
      <c r="H48">
        <v>65.257733693309035</v>
      </c>
      <c r="J48">
        <v>44.386606714056278</v>
      </c>
      <c r="L48">
        <v>2.649684076002468</v>
      </c>
      <c r="M48">
        <v>12.583977033104556</v>
      </c>
      <c r="N48">
        <v>2.6205289830634522</v>
      </c>
      <c r="O48">
        <v>10.351007530003406</v>
      </c>
      <c r="P48">
        <v>8.3864980160565921</v>
      </c>
      <c r="Q48">
        <v>0.38103849857671684</v>
      </c>
      <c r="R48">
        <v>8.1836721168418585</v>
      </c>
      <c r="S48">
        <v>29.636967641495861</v>
      </c>
      <c r="U48">
        <v>1.134732444256195</v>
      </c>
      <c r="V48">
        <v>45.246824296969208</v>
      </c>
      <c r="W48">
        <v>18.697026875695279</v>
      </c>
      <c r="X48">
        <v>46.949613291269415</v>
      </c>
      <c r="Y48">
        <v>4.7796014217160483</v>
      </c>
      <c r="Z48">
        <v>24.875493788712063</v>
      </c>
      <c r="AA48">
        <v>1.5197021648933806</v>
      </c>
      <c r="AB48">
        <v>31.022064148818924</v>
      </c>
      <c r="AD48">
        <v>4.0295928350724148</v>
      </c>
      <c r="AE48">
        <v>10.194851818214415</v>
      </c>
      <c r="AF48">
        <v>12.245655404703577</v>
      </c>
      <c r="AG48">
        <v>16.28898823968332</v>
      </c>
      <c r="AH48">
        <v>2.6487021737778753</v>
      </c>
      <c r="AI48">
        <v>2.5653434073701882</v>
      </c>
      <c r="AK48">
        <v>42.491751312493534</v>
      </c>
    </row>
    <row r="49" spans="1:37" x14ac:dyDescent="0.2">
      <c r="A49">
        <v>48</v>
      </c>
      <c r="B49">
        <v>742</v>
      </c>
      <c r="C49">
        <v>280</v>
      </c>
      <c r="D49">
        <v>0.28588927744668102</v>
      </c>
      <c r="E49">
        <v>201.80699440861974</v>
      </c>
      <c r="F49">
        <v>50.543391035229561</v>
      </c>
      <c r="G49">
        <v>69.763476575123292</v>
      </c>
      <c r="H49">
        <v>65.129427387667491</v>
      </c>
      <c r="J49">
        <v>44.25703043564031</v>
      </c>
      <c r="L49">
        <v>2.4894340357229665</v>
      </c>
      <c r="M49">
        <v>12.43260270687639</v>
      </c>
      <c r="N49">
        <v>2.6244714230639214</v>
      </c>
      <c r="O49">
        <v>9.618959790434662</v>
      </c>
      <c r="P49">
        <v>8.1858813352789852</v>
      </c>
      <c r="Q49">
        <v>0.24487901474477713</v>
      </c>
      <c r="R49">
        <v>7.7522704145041033</v>
      </c>
      <c r="S49">
        <v>28.705905573574718</v>
      </c>
      <c r="U49">
        <v>0.95988704150746562</v>
      </c>
      <c r="V49">
        <v>44.998581001235138</v>
      </c>
      <c r="W49">
        <v>18.262134045636813</v>
      </c>
      <c r="X49">
        <v>46.491691735522643</v>
      </c>
      <c r="Y49">
        <v>4.6067519669656836</v>
      </c>
      <c r="Z49">
        <v>24.464768861318952</v>
      </c>
      <c r="AA49">
        <v>1.3542903536209996</v>
      </c>
      <c r="AB49">
        <v>30.702090663706038</v>
      </c>
      <c r="AD49">
        <v>3.7916881310859156</v>
      </c>
      <c r="AE49">
        <v>10.011653129334691</v>
      </c>
      <c r="AF49">
        <v>12.092050309737095</v>
      </c>
      <c r="AG49">
        <v>15.939082875253282</v>
      </c>
      <c r="AH49">
        <v>2.3776352707372541</v>
      </c>
      <c r="AI49">
        <v>2.5686884416117386</v>
      </c>
      <c r="AK49">
        <v>42.49412115687803</v>
      </c>
    </row>
    <row r="50" spans="1:37" x14ac:dyDescent="0.2">
      <c r="A50">
        <v>49</v>
      </c>
      <c r="B50">
        <v>740</v>
      </c>
      <c r="C50">
        <v>280</v>
      </c>
      <c r="D50">
        <v>0.28434141045255101</v>
      </c>
      <c r="E50">
        <v>201.56350476526251</v>
      </c>
      <c r="F50">
        <v>49.79967541743455</v>
      </c>
      <c r="G50">
        <v>69.639929078919863</v>
      </c>
      <c r="H50">
        <v>65.001503969578124</v>
      </c>
      <c r="J50">
        <v>44.129863007548877</v>
      </c>
      <c r="L50">
        <v>2.3298795808465473</v>
      </c>
      <c r="M50">
        <v>12.281797578953244</v>
      </c>
      <c r="N50">
        <v>2.6284133852874114</v>
      </c>
      <c r="O50">
        <v>8.8893258202706971</v>
      </c>
      <c r="P50">
        <v>7.9859556343593088</v>
      </c>
      <c r="Q50">
        <v>0.10921384407646019</v>
      </c>
      <c r="R50">
        <v>7.3222552274607304</v>
      </c>
      <c r="S50">
        <v>27.778470429433494</v>
      </c>
      <c r="U50">
        <v>0.78532173517751191</v>
      </c>
      <c r="V50">
        <v>44.751150683741642</v>
      </c>
      <c r="W50">
        <v>17.828329206393573</v>
      </c>
      <c r="X50">
        <v>46.035452411806538</v>
      </c>
      <c r="Y50">
        <v>4.4344972891086281</v>
      </c>
      <c r="Z50">
        <v>24.055190839996506</v>
      </c>
      <c r="AA50">
        <v>1.1895312384246937</v>
      </c>
      <c r="AB50">
        <v>30.38317799047552</v>
      </c>
      <c r="AD50">
        <v>3.5542714550410217</v>
      </c>
      <c r="AE50">
        <v>9.8289367337648414</v>
      </c>
      <c r="AF50">
        <v>11.939015436249198</v>
      </c>
      <c r="AG50">
        <v>15.590248269511504</v>
      </c>
      <c r="AH50">
        <v>2.1074770729519052</v>
      </c>
      <c r="AI50">
        <v>2.5720295714284478</v>
      </c>
      <c r="AK50">
        <v>42.497764765463032</v>
      </c>
    </row>
    <row r="51" spans="1:37" x14ac:dyDescent="0.2">
      <c r="A51">
        <v>50</v>
      </c>
      <c r="B51">
        <v>738</v>
      </c>
      <c r="C51">
        <v>280</v>
      </c>
      <c r="D51">
        <v>0.28278742026405701</v>
      </c>
      <c r="E51">
        <v>201.32062510157229</v>
      </c>
      <c r="F51">
        <v>49.058672525091453</v>
      </c>
      <c r="G51">
        <v>69.516710054586241</v>
      </c>
      <c r="H51">
        <v>64.873962499010418</v>
      </c>
      <c r="J51">
        <v>44.005101345400242</v>
      </c>
      <c r="L51">
        <v>2.1709212751168927</v>
      </c>
      <c r="M51">
        <v>12.131558145642314</v>
      </c>
      <c r="N51">
        <v>2.6323548744334926</v>
      </c>
      <c r="O51">
        <v>8.1620959901113945</v>
      </c>
      <c r="P51">
        <v>7.7867188841079535</v>
      </c>
      <c r="Q51">
        <v>9.8600107728723518E-2</v>
      </c>
      <c r="R51">
        <v>6.8936182264876926</v>
      </c>
      <c r="S51">
        <v>26.854641540540275</v>
      </c>
      <c r="U51">
        <v>0.61103396926547893</v>
      </c>
      <c r="V51">
        <v>44.504527250136455</v>
      </c>
      <c r="W51">
        <v>17.395605335959765</v>
      </c>
      <c r="X51">
        <v>45.580884446542889</v>
      </c>
      <c r="Y51">
        <v>4.2628344852687734</v>
      </c>
      <c r="Z51">
        <v>23.646752536577516</v>
      </c>
      <c r="AA51">
        <v>1.0254218743477685</v>
      </c>
      <c r="AB51">
        <v>30.065319246166471</v>
      </c>
      <c r="AD51">
        <v>3.3173415933500912</v>
      </c>
      <c r="AE51">
        <v>9.6466991915678495</v>
      </c>
      <c r="AF51">
        <v>11.786547331624305</v>
      </c>
      <c r="AG51">
        <v>15.242477593906111</v>
      </c>
      <c r="AH51">
        <v>1.8382248352242931</v>
      </c>
      <c r="AI51">
        <v>2.5753667867957932</v>
      </c>
      <c r="AK51">
        <v>42.502681789866848</v>
      </c>
    </row>
    <row r="52" spans="1:37" x14ac:dyDescent="0.2">
      <c r="A52">
        <v>51</v>
      </c>
      <c r="B52">
        <v>736</v>
      </c>
      <c r="C52">
        <v>280</v>
      </c>
      <c r="D52">
        <v>0.281227270475152</v>
      </c>
      <c r="E52">
        <v>201.8874253920913</v>
      </c>
      <c r="F52">
        <v>47.090497274822908</v>
      </c>
      <c r="G52">
        <v>69.463048794190115</v>
      </c>
      <c r="H52">
        <v>64.816032440221122</v>
      </c>
      <c r="J52">
        <v>28.90553092914724</v>
      </c>
      <c r="L52">
        <v>1.6935131731550028</v>
      </c>
      <c r="M52">
        <v>10.668815170141659</v>
      </c>
      <c r="N52">
        <v>2.6363629558492669</v>
      </c>
      <c r="O52">
        <v>5.4209789599509772</v>
      </c>
      <c r="P52">
        <v>7.7266969242662578</v>
      </c>
      <c r="R52">
        <v>5.5493035862084312</v>
      </c>
      <c r="S52">
        <v>28.251994050917023</v>
      </c>
      <c r="U52">
        <v>0.52099269638032264</v>
      </c>
      <c r="V52">
        <v>47.094073784242781</v>
      </c>
      <c r="W52">
        <v>15.842418550516662</v>
      </c>
      <c r="X52">
        <v>45.403078788950396</v>
      </c>
      <c r="Y52">
        <v>3.7450724096411823</v>
      </c>
      <c r="Z52">
        <v>17.844780570407799</v>
      </c>
      <c r="AB52">
        <v>28.983408936101327</v>
      </c>
      <c r="AE52">
        <v>6.4090931981008197</v>
      </c>
      <c r="AF52">
        <v>10.321643870993379</v>
      </c>
      <c r="AG52">
        <v>14.130732469133212</v>
      </c>
      <c r="AI52">
        <v>2.5787671383377151</v>
      </c>
      <c r="AK52">
        <v>31.760460151585043</v>
      </c>
    </row>
    <row r="53" spans="1:37" x14ac:dyDescent="0.2">
      <c r="A53">
        <v>52</v>
      </c>
      <c r="B53">
        <v>734</v>
      </c>
      <c r="C53">
        <v>280</v>
      </c>
      <c r="D53">
        <v>0.27966092439060802</v>
      </c>
      <c r="E53">
        <v>202.24014248265317</v>
      </c>
      <c r="F53">
        <v>48.038963185870678</v>
      </c>
      <c r="G53">
        <v>69.427756082134167</v>
      </c>
      <c r="H53">
        <v>64.776524750484469</v>
      </c>
      <c r="J53">
        <v>24.852757857282853</v>
      </c>
      <c r="L53">
        <v>1.7283962908658941</v>
      </c>
      <c r="M53">
        <v>9.7433843822018424</v>
      </c>
      <c r="N53">
        <v>2.6403398882429934</v>
      </c>
      <c r="O53">
        <v>5.4181773227349463</v>
      </c>
      <c r="P53">
        <v>7.7034137736781156</v>
      </c>
      <c r="R53">
        <v>4.8748565153470276</v>
      </c>
      <c r="S53">
        <v>29.240341422840331</v>
      </c>
      <c r="U53">
        <v>0.4663380343648964</v>
      </c>
      <c r="V53">
        <v>48.374892554538889</v>
      </c>
      <c r="W53">
        <v>14.775181537074687</v>
      </c>
      <c r="X53">
        <v>45.315241901013934</v>
      </c>
      <c r="Y53">
        <v>3.6684468287175376</v>
      </c>
      <c r="Z53">
        <v>17.962547826220053</v>
      </c>
      <c r="AB53">
        <v>29.977624942998485</v>
      </c>
      <c r="AE53">
        <v>6.4612214431991033</v>
      </c>
      <c r="AF53">
        <v>9.3940230896131531</v>
      </c>
      <c r="AG53">
        <v>15.095093086971778</v>
      </c>
      <c r="AI53">
        <v>2.582132870040124</v>
      </c>
      <c r="AK53">
        <v>28.787178657369925</v>
      </c>
    </row>
    <row r="54" spans="1:37" x14ac:dyDescent="0.2">
      <c r="A54">
        <v>53</v>
      </c>
      <c r="B54">
        <v>732</v>
      </c>
      <c r="C54">
        <v>280</v>
      </c>
      <c r="D54">
        <v>0.27808834502313201</v>
      </c>
      <c r="E54">
        <v>202.51329752423968</v>
      </c>
      <c r="F54">
        <v>48.811278301072427</v>
      </c>
      <c r="G54">
        <v>69.391664428508818</v>
      </c>
      <c r="H54">
        <v>64.736272113448919</v>
      </c>
      <c r="J54">
        <v>22.496125579513585</v>
      </c>
      <c r="L54">
        <v>1.7553177158161233</v>
      </c>
      <c r="M54">
        <v>8.9889682107337414</v>
      </c>
      <c r="N54">
        <v>2.6443089018852706</v>
      </c>
      <c r="O54">
        <v>5.4023492697747653</v>
      </c>
      <c r="P54">
        <v>7.6785578752035608</v>
      </c>
      <c r="R54">
        <v>4.303267320577091</v>
      </c>
      <c r="S54">
        <v>29.990894841155949</v>
      </c>
      <c r="U54">
        <v>0.4180800738851892</v>
      </c>
      <c r="V54">
        <v>49.384052868318307</v>
      </c>
      <c r="W54">
        <v>13.875756086895427</v>
      </c>
      <c r="X54">
        <v>45.246591850674257</v>
      </c>
      <c r="Y54">
        <v>3.6100850093231256</v>
      </c>
      <c r="Z54">
        <v>18.052583184987988</v>
      </c>
      <c r="AB54">
        <v>30.753184553497089</v>
      </c>
      <c r="AE54">
        <v>6.4987054079397515</v>
      </c>
      <c r="AF54">
        <v>8.6374106936702351</v>
      </c>
      <c r="AG54">
        <v>15.840800015006554</v>
      </c>
      <c r="AI54">
        <v>2.5854871974527858</v>
      </c>
      <c r="AK54">
        <v>27.012527151503843</v>
      </c>
    </row>
    <row r="55" spans="1:37" x14ac:dyDescent="0.2">
      <c r="A55">
        <v>54</v>
      </c>
      <c r="B55">
        <v>730</v>
      </c>
      <c r="C55">
        <v>280</v>
      </c>
      <c r="D55">
        <v>0.27650949509046802</v>
      </c>
      <c r="E55">
        <v>202.73859161926507</v>
      </c>
      <c r="F55">
        <v>49.477792262874438</v>
      </c>
      <c r="G55">
        <v>69.354997039093732</v>
      </c>
      <c r="H55">
        <v>64.695497909142262</v>
      </c>
      <c r="J55">
        <v>20.876231279248348</v>
      </c>
      <c r="L55">
        <v>1.7779871050007932</v>
      </c>
      <c r="M55">
        <v>8.3337042521024198</v>
      </c>
      <c r="N55">
        <v>2.6482729064752037</v>
      </c>
      <c r="O55">
        <v>5.3793687999398703</v>
      </c>
      <c r="P55">
        <v>7.6525787435985704</v>
      </c>
      <c r="R55">
        <v>3.7947179443336907</v>
      </c>
      <c r="S55">
        <v>30.618629481738147</v>
      </c>
      <c r="U55">
        <v>0.37180728492694809</v>
      </c>
      <c r="V55">
        <v>50.241619622850351</v>
      </c>
      <c r="W55">
        <v>13.074462965122143</v>
      </c>
      <c r="X55">
        <v>45.184443201978695</v>
      </c>
      <c r="Y55">
        <v>3.5620879517484654</v>
      </c>
      <c r="Z55">
        <v>18.126619208797017</v>
      </c>
      <c r="AB55">
        <v>31.410373316099719</v>
      </c>
      <c r="AE55">
        <v>6.5278168223559785</v>
      </c>
      <c r="AF55">
        <v>7.9799472364471997</v>
      </c>
      <c r="AG55">
        <v>16.468141762447416</v>
      </c>
      <c r="AI55">
        <v>2.5888330155576971</v>
      </c>
      <c r="AK55">
        <v>25.765565401666116</v>
      </c>
    </row>
    <row r="56" spans="1:37" x14ac:dyDescent="0.2">
      <c r="A56">
        <v>55</v>
      </c>
      <c r="B56">
        <v>728</v>
      </c>
      <c r="C56">
        <v>280</v>
      </c>
      <c r="D56">
        <v>0.27492433701243602</v>
      </c>
      <c r="E56">
        <v>202.93115645372848</v>
      </c>
      <c r="F56">
        <v>50.072080110042243</v>
      </c>
      <c r="G56">
        <v>69.317923748615996</v>
      </c>
      <c r="H56">
        <v>64.65437214723589</v>
      </c>
      <c r="J56">
        <v>19.665186842993517</v>
      </c>
      <c r="L56">
        <v>1.7980813244394158</v>
      </c>
      <c r="M56">
        <v>7.745318781707903</v>
      </c>
      <c r="N56">
        <v>2.652233224485494</v>
      </c>
      <c r="O56">
        <v>5.3522743711235581</v>
      </c>
      <c r="P56">
        <v>7.6258175653805305</v>
      </c>
      <c r="R56">
        <v>3.3300487074890963</v>
      </c>
      <c r="S56">
        <v>31.168155107214321</v>
      </c>
      <c r="U56">
        <v>0.32635700040618576</v>
      </c>
      <c r="V56">
        <v>50.998447299029806</v>
      </c>
      <c r="W56">
        <v>12.339611685709164</v>
      </c>
      <c r="X56">
        <v>45.125448790279812</v>
      </c>
      <c r="Y56">
        <v>3.521008358271184</v>
      </c>
      <c r="Z56">
        <v>18.18997461199157</v>
      </c>
      <c r="AB56">
        <v>31.990173456133657</v>
      </c>
      <c r="AE56">
        <v>6.5513549313406854</v>
      </c>
      <c r="AF56">
        <v>7.3893603632476355</v>
      </c>
      <c r="AG56">
        <v>17.018101928429317</v>
      </c>
      <c r="AI56">
        <v>2.5921716321127777</v>
      </c>
      <c r="AK56">
        <v>24.814973784149878</v>
      </c>
    </row>
    <row r="57" spans="1:37" x14ac:dyDescent="0.2">
      <c r="A57">
        <v>56</v>
      </c>
      <c r="B57">
        <v>726</v>
      </c>
      <c r="C57">
        <v>280</v>
      </c>
      <c r="D57">
        <v>0.273332832907971</v>
      </c>
      <c r="E57">
        <v>203.09954716723533</v>
      </c>
      <c r="F57">
        <v>50.613112595062823</v>
      </c>
      <c r="G57">
        <v>69.280554844728087</v>
      </c>
      <c r="H57">
        <v>64.613005291025047</v>
      </c>
      <c r="J57">
        <v>18.712875454801196</v>
      </c>
      <c r="L57">
        <v>1.8163706517013962</v>
      </c>
      <c r="M57">
        <v>7.2060289641900424</v>
      </c>
      <c r="N57">
        <v>2.6561906027955193</v>
      </c>
      <c r="O57">
        <v>5.3228322588204282</v>
      </c>
      <c r="P57">
        <v>7.5984958584275581</v>
      </c>
      <c r="R57">
        <v>2.8983558232519746</v>
      </c>
      <c r="S57">
        <v>31.662328868105863</v>
      </c>
      <c r="U57">
        <v>0.28128825691308196</v>
      </c>
      <c r="V57">
        <v>51.681800312069008</v>
      </c>
      <c r="W57">
        <v>11.653644558622455</v>
      </c>
      <c r="X57">
        <v>45.068336685388168</v>
      </c>
      <c r="Y57">
        <v>3.4849746822590073</v>
      </c>
      <c r="Z57">
        <v>18.245573009341889</v>
      </c>
      <c r="AB57">
        <v>32.514165448584677</v>
      </c>
      <c r="AE57">
        <v>6.5708475768001691</v>
      </c>
      <c r="AF57">
        <v>6.8478680332352511</v>
      </c>
      <c r="AG57">
        <v>17.512261786490086</v>
      </c>
      <c r="AI57">
        <v>2.5955037792869335</v>
      </c>
      <c r="AK57">
        <v>24.053990513005552</v>
      </c>
    </row>
    <row r="58" spans="1:37" x14ac:dyDescent="0.2">
      <c r="A58">
        <v>57</v>
      </c>
      <c r="B58">
        <v>760</v>
      </c>
      <c r="C58">
        <v>270</v>
      </c>
      <c r="D58">
        <v>0.31019745438706797</v>
      </c>
      <c r="E58">
        <v>198.16686688377629</v>
      </c>
      <c r="F58">
        <v>57.075434951280862</v>
      </c>
      <c r="G58">
        <v>70.878256893537497</v>
      </c>
      <c r="H58">
        <v>66.285512643355446</v>
      </c>
      <c r="J58">
        <v>45.274338512861576</v>
      </c>
      <c r="L58">
        <v>3.9061352759728836</v>
      </c>
      <c r="M58">
        <v>13.766240037609887</v>
      </c>
      <c r="N58">
        <v>2.5650643498473928</v>
      </c>
      <c r="O58">
        <v>16.307599054657796</v>
      </c>
      <c r="P58">
        <v>9.9119589409953957</v>
      </c>
      <c r="Q58">
        <v>1.3645699898091179</v>
      </c>
      <c r="R58">
        <v>11.642573628401239</v>
      </c>
      <c r="S58">
        <v>36.844831888675003</v>
      </c>
      <c r="U58">
        <v>2.4518369348625879</v>
      </c>
      <c r="V58">
        <v>46.989253223508882</v>
      </c>
      <c r="W58">
        <v>22.351148578092694</v>
      </c>
      <c r="X58">
        <v>49.968901836386735</v>
      </c>
      <c r="Y58">
        <v>6.0871734626684182</v>
      </c>
      <c r="Z58">
        <v>28.143662784487852</v>
      </c>
      <c r="AA58">
        <v>2.8284609636648312</v>
      </c>
      <c r="AB58">
        <v>33.564980572655642</v>
      </c>
      <c r="AC58">
        <v>1.2358864927211326E-2</v>
      </c>
      <c r="AD58">
        <v>5.9071070732478095</v>
      </c>
      <c r="AE58">
        <v>11.729545676719406</v>
      </c>
      <c r="AF58">
        <v>13.452720683588796</v>
      </c>
      <c r="AG58">
        <v>19.090984893222426</v>
      </c>
      <c r="AH58">
        <v>4.6138843138160928</v>
      </c>
      <c r="AI58">
        <v>2.5132398152363149</v>
      </c>
      <c r="AK58">
        <v>42.357415346954177</v>
      </c>
    </row>
    <row r="59" spans="1:37" x14ac:dyDescent="0.2">
      <c r="A59">
        <v>58</v>
      </c>
      <c r="B59">
        <v>758</v>
      </c>
      <c r="C59">
        <v>270</v>
      </c>
      <c r="D59">
        <v>0.30872375503079302</v>
      </c>
      <c r="E59">
        <v>197.94788395277402</v>
      </c>
      <c r="F59">
        <v>56.410403211490397</v>
      </c>
      <c r="G59">
        <v>70.766938611591144</v>
      </c>
      <c r="H59">
        <v>66.169336659354542</v>
      </c>
      <c r="J59">
        <v>45.180706969294903</v>
      </c>
      <c r="L59">
        <v>3.7575939003694914</v>
      </c>
      <c r="M59">
        <v>13.652881142840549</v>
      </c>
      <c r="N59">
        <v>2.55629466921522</v>
      </c>
      <c r="O59">
        <v>15.600751571545457</v>
      </c>
      <c r="P59">
        <v>9.7234882374629663</v>
      </c>
      <c r="Q59">
        <v>1.2571292260983027</v>
      </c>
      <c r="R59">
        <v>11.268551668338535</v>
      </c>
      <c r="S59">
        <v>36.094906100242852</v>
      </c>
      <c r="U59">
        <v>2.3106250773181176</v>
      </c>
      <c r="V59">
        <v>46.803885299601255</v>
      </c>
      <c r="W59">
        <v>21.986806079362406</v>
      </c>
      <c r="X59">
        <v>49.621150674690305</v>
      </c>
      <c r="Y59">
        <v>5.9325818016382499</v>
      </c>
      <c r="Z59">
        <v>27.783379757066307</v>
      </c>
      <c r="AA59">
        <v>2.6745270181650267</v>
      </c>
      <c r="AB59">
        <v>33.310083534219849</v>
      </c>
      <c r="AD59">
        <v>5.703977770231667</v>
      </c>
      <c r="AE59">
        <v>11.565558265887908</v>
      </c>
      <c r="AF59">
        <v>13.324405718843366</v>
      </c>
      <c r="AG59">
        <v>18.793388516358423</v>
      </c>
      <c r="AH59">
        <v>4.3838519940488956</v>
      </c>
      <c r="AI59">
        <v>2.5039005142824045</v>
      </c>
      <c r="AK59">
        <v>42.36985067590436</v>
      </c>
    </row>
    <row r="60" spans="1:37" x14ac:dyDescent="0.2">
      <c r="A60">
        <v>59</v>
      </c>
      <c r="B60">
        <v>756</v>
      </c>
      <c r="C60">
        <v>270</v>
      </c>
      <c r="D60">
        <v>0.30724432784336703</v>
      </c>
      <c r="E60">
        <v>197.69963506434465</v>
      </c>
      <c r="F60">
        <v>55.646100511447436</v>
      </c>
      <c r="G60">
        <v>70.640832335614874</v>
      </c>
      <c r="H60">
        <v>66.038424641121452</v>
      </c>
      <c r="J60">
        <v>45.033899557635564</v>
      </c>
      <c r="L60">
        <v>3.5930823658731934</v>
      </c>
      <c r="M60">
        <v>13.497957884296367</v>
      </c>
      <c r="N60">
        <v>2.5602424974355298</v>
      </c>
      <c r="O60">
        <v>14.852221759773135</v>
      </c>
      <c r="P60">
        <v>9.5181898644762661</v>
      </c>
      <c r="Q60">
        <v>1.1183541968621029</v>
      </c>
      <c r="R60">
        <v>10.828185222346352</v>
      </c>
      <c r="S60">
        <v>35.139839129657666</v>
      </c>
      <c r="U60">
        <v>2.1337515248028622</v>
      </c>
      <c r="V60">
        <v>46.550516816996719</v>
      </c>
      <c r="W60">
        <v>21.544785416617295</v>
      </c>
      <c r="X60">
        <v>49.152508830213421</v>
      </c>
      <c r="Y60">
        <v>5.7557141611277673</v>
      </c>
      <c r="Z60">
        <v>27.366320019731099</v>
      </c>
      <c r="AA60">
        <v>2.5047745070764287</v>
      </c>
      <c r="AB60">
        <v>32.983818830788216</v>
      </c>
      <c r="AD60">
        <v>5.4637485561436145</v>
      </c>
      <c r="AE60">
        <v>11.379733624128633</v>
      </c>
      <c r="AF60">
        <v>13.167245046184307</v>
      </c>
      <c r="AG60">
        <v>18.437152021524355</v>
      </c>
      <c r="AH60">
        <v>4.1068121990229036</v>
      </c>
      <c r="AI60">
        <v>2.5072754132766195</v>
      </c>
      <c r="AK60">
        <v>42.363202299051153</v>
      </c>
    </row>
    <row r="61" spans="1:37" x14ac:dyDescent="0.2">
      <c r="A61">
        <v>60</v>
      </c>
      <c r="B61">
        <v>754</v>
      </c>
      <c r="C61">
        <v>270</v>
      </c>
      <c r="D61">
        <v>0.30575913936620902</v>
      </c>
      <c r="E61">
        <v>197.45201079339142</v>
      </c>
      <c r="F61">
        <v>54.884584417455976</v>
      </c>
      <c r="G61">
        <v>70.515060015276475</v>
      </c>
      <c r="H61">
        <v>65.907898704547847</v>
      </c>
      <c r="J61">
        <v>44.889501899956258</v>
      </c>
      <c r="L61">
        <v>3.4292781740398279</v>
      </c>
      <c r="M61">
        <v>13.343622984321611</v>
      </c>
      <c r="N61">
        <v>2.5641898178058726</v>
      </c>
      <c r="O61">
        <v>14.106154703540772</v>
      </c>
      <c r="P61">
        <v>9.3135898856209458</v>
      </c>
      <c r="Q61">
        <v>0.9801561493294112</v>
      </c>
      <c r="R61">
        <v>10.389248504073619</v>
      </c>
      <c r="S61">
        <v>34.188506290781234</v>
      </c>
      <c r="U61">
        <v>1.9571658246791064</v>
      </c>
      <c r="V61">
        <v>46.297989581473537</v>
      </c>
      <c r="W61">
        <v>21.103895402992148</v>
      </c>
      <c r="X61">
        <v>48.685600742232843</v>
      </c>
      <c r="Y61">
        <v>5.5794545903347696</v>
      </c>
      <c r="Z61">
        <v>26.950459290617115</v>
      </c>
      <c r="AA61">
        <v>2.3357738441601321</v>
      </c>
      <c r="AB61">
        <v>32.658660433201433</v>
      </c>
      <c r="AD61">
        <v>5.2240118710830465</v>
      </c>
      <c r="AE61">
        <v>11.194418102972335</v>
      </c>
      <c r="AF61">
        <v>13.010673415990219</v>
      </c>
      <c r="AG61">
        <v>18.082031410090487</v>
      </c>
      <c r="AH61">
        <v>3.8306917464248667</v>
      </c>
      <c r="AI61">
        <v>2.5106464808089477</v>
      </c>
      <c r="AK61">
        <v>42.357817755080006</v>
      </c>
    </row>
    <row r="62" spans="1:37" x14ac:dyDescent="0.2">
      <c r="A62">
        <v>61</v>
      </c>
      <c r="B62">
        <v>752</v>
      </c>
      <c r="C62">
        <v>270</v>
      </c>
      <c r="D62">
        <v>0.30426815587962902</v>
      </c>
      <c r="E62">
        <v>197.20500766140947</v>
      </c>
      <c r="F62">
        <v>54.125840520827239</v>
      </c>
      <c r="G62">
        <v>70.389620287687364</v>
      </c>
      <c r="H62">
        <v>65.777757653616675</v>
      </c>
      <c r="J62">
        <v>44.74750978583598</v>
      </c>
      <c r="L62">
        <v>3.266136113935532</v>
      </c>
      <c r="M62">
        <v>13.189872559437347</v>
      </c>
      <c r="N62">
        <v>2.5681366349443278</v>
      </c>
      <c r="O62">
        <v>13.362539250769254</v>
      </c>
      <c r="P62">
        <v>9.1096857617007228</v>
      </c>
      <c r="Q62">
        <v>0.84242514996624418</v>
      </c>
      <c r="R62">
        <v>9.9517320195587988</v>
      </c>
      <c r="S62">
        <v>33.240884513626121</v>
      </c>
      <c r="U62">
        <v>1.7808649707151853</v>
      </c>
      <c r="V62">
        <v>46.046297640175816</v>
      </c>
      <c r="W62">
        <v>20.66412834649935</v>
      </c>
      <c r="X62">
        <v>48.220414189943746</v>
      </c>
      <c r="Y62">
        <v>5.4037996319258239</v>
      </c>
      <c r="Z62">
        <v>26.535789860360087</v>
      </c>
      <c r="AA62">
        <v>2.1674370197816462</v>
      </c>
      <c r="AB62">
        <v>32.334600894629567</v>
      </c>
      <c r="AD62">
        <v>4.9847664458080221</v>
      </c>
      <c r="AE62">
        <v>11.009608079096777</v>
      </c>
      <c r="AF62">
        <v>12.854686994337845</v>
      </c>
      <c r="AG62">
        <v>17.72801928737746</v>
      </c>
      <c r="AH62">
        <v>3.5554872241527629</v>
      </c>
      <c r="AI62">
        <v>2.514013706785482</v>
      </c>
      <c r="AK62">
        <v>42.353696078985173</v>
      </c>
    </row>
    <row r="63" spans="1:37" x14ac:dyDescent="0.2">
      <c r="A63">
        <v>62</v>
      </c>
      <c r="B63">
        <v>750</v>
      </c>
      <c r="C63">
        <v>270</v>
      </c>
      <c r="D63">
        <v>0.302771343400284</v>
      </c>
      <c r="E63">
        <v>196.95862226437035</v>
      </c>
      <c r="F63">
        <v>53.369854745295271</v>
      </c>
      <c r="G63">
        <v>70.26451182843509</v>
      </c>
      <c r="H63">
        <v>65.648000331438581</v>
      </c>
      <c r="J63">
        <v>44.607919155286915</v>
      </c>
      <c r="L63">
        <v>3.1036012517950438</v>
      </c>
      <c r="M63">
        <v>13.036702794789621</v>
      </c>
      <c r="N63">
        <v>2.5720829535125138</v>
      </c>
      <c r="O63">
        <v>12.621364510775219</v>
      </c>
      <c r="P63">
        <v>8.9064750315245611</v>
      </c>
      <c r="Q63">
        <v>0.80029202349976714</v>
      </c>
      <c r="R63">
        <v>9.5156264675154496</v>
      </c>
      <c r="S63">
        <v>32.296951136586131</v>
      </c>
      <c r="U63">
        <v>1.6048460287133788</v>
      </c>
      <c r="V63">
        <v>45.795435050712669</v>
      </c>
      <c r="W63">
        <v>20.225476694534244</v>
      </c>
      <c r="X63">
        <v>47.756937162214129</v>
      </c>
      <c r="Y63">
        <v>5.2287459139007284</v>
      </c>
      <c r="Z63">
        <v>26.122304169394276</v>
      </c>
      <c r="AA63">
        <v>1.9997607709207077</v>
      </c>
      <c r="AB63">
        <v>32.01163290250193</v>
      </c>
      <c r="AD63">
        <v>4.7460110593648279</v>
      </c>
      <c r="AE63">
        <v>10.825299995406077</v>
      </c>
      <c r="AF63">
        <v>12.699282016176628</v>
      </c>
      <c r="AG63">
        <v>17.375108393311368</v>
      </c>
      <c r="AH63">
        <v>3.2811953317572784</v>
      </c>
      <c r="AI63">
        <v>2.5173770811531777</v>
      </c>
      <c r="AK63">
        <v>42.350836381546394</v>
      </c>
    </row>
    <row r="64" spans="1:37" x14ac:dyDescent="0.2">
      <c r="A64">
        <v>63</v>
      </c>
      <c r="B64">
        <v>748</v>
      </c>
      <c r="C64">
        <v>270</v>
      </c>
      <c r="D64">
        <v>0.301268667678598</v>
      </c>
      <c r="E64">
        <v>196.71285127170805</v>
      </c>
      <c r="F64">
        <v>52.616613342117191</v>
      </c>
      <c r="G64">
        <v>70.139733351093241</v>
      </c>
      <c r="H64">
        <v>65.518625619763498</v>
      </c>
      <c r="J64">
        <v>44.470726096646573</v>
      </c>
      <c r="L64">
        <v>2.9417640924610713</v>
      </c>
      <c r="M64">
        <v>12.884109943091916</v>
      </c>
      <c r="N64">
        <v>2.5760287781385225</v>
      </c>
      <c r="O64">
        <v>11.882619850189299</v>
      </c>
      <c r="P64">
        <v>8.7039553108612733</v>
      </c>
      <c r="Q64">
        <v>0.5685244255500902</v>
      </c>
      <c r="R64">
        <v>9.0809227368175343</v>
      </c>
      <c r="S64">
        <v>31.356683898834284</v>
      </c>
      <c r="U64">
        <v>1.4291061355505468</v>
      </c>
      <c r="V64">
        <v>45.545395874254318</v>
      </c>
      <c r="W64">
        <v>19.787933031639088</v>
      </c>
      <c r="X64">
        <v>47.295157854449961</v>
      </c>
      <c r="Y64">
        <v>5.0542901487328171</v>
      </c>
      <c r="Z64">
        <v>25.709994805497949</v>
      </c>
      <c r="AA64">
        <v>1.8327418974473912</v>
      </c>
      <c r="AB64">
        <v>31.689749276244161</v>
      </c>
      <c r="AD64">
        <v>4.5077445392045181</v>
      </c>
      <c r="AE64">
        <v>10.64149035977352</v>
      </c>
      <c r="AF64">
        <v>12.544454784193203</v>
      </c>
      <c r="AG64">
        <v>17.023291600085201</v>
      </c>
      <c r="AH64">
        <v>3.0078128778286288</v>
      </c>
      <c r="AI64">
        <v>2.5207365938217361</v>
      </c>
      <c r="AK64">
        <v>42.349237848295083</v>
      </c>
    </row>
    <row r="65" spans="1:37" x14ac:dyDescent="0.2">
      <c r="A65">
        <v>64</v>
      </c>
      <c r="B65">
        <v>746</v>
      </c>
      <c r="C65">
        <v>270</v>
      </c>
      <c r="D65">
        <v>0.29976009419614502</v>
      </c>
      <c r="E65">
        <v>196.4676914249128</v>
      </c>
      <c r="F65">
        <v>51.866102883913221</v>
      </c>
      <c r="G65">
        <v>70.015283606542511</v>
      </c>
      <c r="H65">
        <v>65.389632438309249</v>
      </c>
      <c r="J65">
        <v>44.335926843767837</v>
      </c>
      <c r="L65">
        <v>2.7805329870553361</v>
      </c>
      <c r="M65">
        <v>12.732090323041005</v>
      </c>
      <c r="N65">
        <v>2.5799741135093499</v>
      </c>
      <c r="O65">
        <v>11.146294888511544</v>
      </c>
      <c r="P65">
        <v>8.5021242911810493</v>
      </c>
      <c r="Q65">
        <v>0.43229129446750264</v>
      </c>
      <c r="R65">
        <v>8.6476119031906933</v>
      </c>
      <c r="S65">
        <v>30.420060935956048</v>
      </c>
      <c r="U65">
        <v>1.2536424977760563</v>
      </c>
      <c r="V65">
        <v>45.296174167276902</v>
      </c>
      <c r="W65">
        <v>19.351490076291206</v>
      </c>
      <c r="X65">
        <v>46.835064663988099</v>
      </c>
      <c r="Y65">
        <v>4.8804291322367588</v>
      </c>
      <c r="Z65">
        <v>25.298854500660958</v>
      </c>
      <c r="AA65">
        <v>1.6663772612778993</v>
      </c>
      <c r="AB65">
        <v>31.368942964130166</v>
      </c>
      <c r="AD65">
        <v>4.2699657607677617</v>
      </c>
      <c r="AE65">
        <v>10.45817574353913</v>
      </c>
      <c r="AF65">
        <v>12.390201667320573</v>
      </c>
      <c r="AG65">
        <v>16.672561909110858</v>
      </c>
      <c r="AH65">
        <v>2.7353367753988458</v>
      </c>
      <c r="AI65">
        <v>2.5240922347573216</v>
      </c>
      <c r="AK65">
        <v>42.348899738183427</v>
      </c>
    </row>
    <row r="66" spans="1:37" x14ac:dyDescent="0.2">
      <c r="A66">
        <v>65</v>
      </c>
      <c r="B66">
        <v>744</v>
      </c>
      <c r="C66">
        <v>270</v>
      </c>
      <c r="D66">
        <v>0.298245588163005</v>
      </c>
      <c r="E66">
        <v>196.22313953649174</v>
      </c>
      <c r="F66">
        <v>51.118310259877369</v>
      </c>
      <c r="G66">
        <v>69.891161382497998</v>
      </c>
      <c r="H66">
        <v>65.261019744289356</v>
      </c>
      <c r="J66">
        <v>44.203517773926691</v>
      </c>
      <c r="L66">
        <v>2.6199910486665687</v>
      </c>
      <c r="M66">
        <v>12.580640318309467</v>
      </c>
      <c r="N66">
        <v>2.5839189642699685</v>
      </c>
      <c r="O66">
        <v>10.412379494190333</v>
      </c>
      <c r="P66">
        <v>8.3009797386161281</v>
      </c>
      <c r="Q66">
        <v>0.29659429048086533</v>
      </c>
      <c r="R66">
        <v>8.2156852267548874</v>
      </c>
      <c r="S66">
        <v>29.487060766608749</v>
      </c>
      <c r="U66">
        <v>1.0784523907069197</v>
      </c>
      <c r="V66">
        <v>45.047763973739336</v>
      </c>
      <c r="W66">
        <v>18.916140678823119</v>
      </c>
      <c r="X66">
        <v>46.376646187268264</v>
      </c>
      <c r="Y66">
        <v>4.7071597427328262</v>
      </c>
      <c r="Z66">
        <v>24.888876128856534</v>
      </c>
      <c r="AA66">
        <v>1.5006637867312091</v>
      </c>
      <c r="AB66">
        <v>31.04920704121151</v>
      </c>
      <c r="AD66">
        <v>4.0326736475553435</v>
      </c>
      <c r="AE66">
        <v>10.275352780379016</v>
      </c>
      <c r="AF66">
        <v>12.2365190996317</v>
      </c>
      <c r="AG66">
        <v>16.32291244884405</v>
      </c>
      <c r="AH66">
        <v>2.4637640456493495</v>
      </c>
      <c r="AI66">
        <v>2.5274439938827902</v>
      </c>
      <c r="AK66">
        <v>42.349821382513461</v>
      </c>
    </row>
    <row r="67" spans="1:37" x14ac:dyDescent="0.2">
      <c r="A67">
        <v>66</v>
      </c>
      <c r="B67">
        <v>742</v>
      </c>
      <c r="C67">
        <v>270</v>
      </c>
      <c r="D67">
        <v>0.29672511451509398</v>
      </c>
      <c r="E67">
        <v>195.97919248865756</v>
      </c>
      <c r="F67">
        <v>50.373222669965017</v>
      </c>
      <c r="G67">
        <v>69.767365502866014</v>
      </c>
      <c r="H67">
        <v>65.132786531776688</v>
      </c>
      <c r="J67">
        <v>44.073495405157885</v>
      </c>
      <c r="L67">
        <v>2.4600480358209387</v>
      </c>
      <c r="M67">
        <v>12.429756376020418</v>
      </c>
      <c r="N67">
        <v>2.5878633351292617</v>
      </c>
      <c r="O67">
        <v>9.6808637804151587</v>
      </c>
      <c r="P67">
        <v>8.1005194927854483</v>
      </c>
      <c r="Q67">
        <v>0.25375828337117717</v>
      </c>
      <c r="R67">
        <v>7.7851341488857981</v>
      </c>
      <c r="S67">
        <v>28.557662288803741</v>
      </c>
      <c r="U67">
        <v>0.90353315708518445</v>
      </c>
      <c r="V67">
        <v>44.800159315960492</v>
      </c>
      <c r="W67">
        <v>18.481877818338404</v>
      </c>
      <c r="X67">
        <v>45.919891214762224</v>
      </c>
      <c r="Y67">
        <v>4.5344789399850223</v>
      </c>
      <c r="Z67">
        <v>24.480052703001689</v>
      </c>
      <c r="AA67">
        <v>1.3355984620039016</v>
      </c>
      <c r="AB67">
        <v>30.730534706258766</v>
      </c>
      <c r="AD67">
        <v>3.7958671706149238</v>
      </c>
      <c r="AE67">
        <v>10.093018164844032</v>
      </c>
      <c r="AF67">
        <v>12.083403578922036</v>
      </c>
      <c r="AG67">
        <v>15.974336471838756</v>
      </c>
      <c r="AH67">
        <v>2.1930918100418753</v>
      </c>
      <c r="AI67">
        <v>2.5307918611837472</v>
      </c>
      <c r="AK67">
        <v>42.352002183704826</v>
      </c>
    </row>
    <row r="68" spans="1:37" x14ac:dyDescent="0.2">
      <c r="A68">
        <v>67</v>
      </c>
      <c r="B68">
        <v>740</v>
      </c>
      <c r="C68">
        <v>270</v>
      </c>
      <c r="D68">
        <v>0.295198637911468</v>
      </c>
      <c r="E68">
        <v>195.73584723220245</v>
      </c>
      <c r="F68">
        <v>49.630827619944121</v>
      </c>
      <c r="G68">
        <v>69.643894827252396</v>
      </c>
      <c r="H68">
        <v>65.004931831211479</v>
      </c>
      <c r="J68">
        <v>43.945856394042728</v>
      </c>
      <c r="L68">
        <v>2.3007486906887245</v>
      </c>
      <c r="M68">
        <v>12.279435005667658</v>
      </c>
      <c r="N68">
        <v>2.5918072307795805</v>
      </c>
      <c r="O68">
        <v>8.9517381012650752</v>
      </c>
      <c r="P68">
        <v>7.9007414657422617</v>
      </c>
      <c r="Q68">
        <v>0.11806013260204827</v>
      </c>
      <c r="R68">
        <v>7.3559502896542925</v>
      </c>
      <c r="S68">
        <v>27.631844772202104</v>
      </c>
      <c r="U68">
        <v>0.72888220612034749</v>
      </c>
      <c r="V68">
        <v>44.553354185600782</v>
      </c>
      <c r="W68">
        <v>18.04869460056554</v>
      </c>
      <c r="X68">
        <v>45.464788727991213</v>
      </c>
      <c r="Y68">
        <v>4.3623837643389489</v>
      </c>
      <c r="Z68">
        <v>24.072377372783741</v>
      </c>
      <c r="AA68">
        <v>1.1711783422253284</v>
      </c>
      <c r="AB68">
        <v>30.412919279667168</v>
      </c>
      <c r="AD68">
        <v>3.5595453484816049</v>
      </c>
      <c r="AE68">
        <v>9.9111686512843136</v>
      </c>
      <c r="AF68">
        <v>11.930851665545134</v>
      </c>
      <c r="AG68">
        <v>15.62682735256932</v>
      </c>
      <c r="AH68">
        <v>1.9233172950849509</v>
      </c>
      <c r="AI68">
        <v>2.5341358266279852</v>
      </c>
      <c r="AK68">
        <v>42.355441614134428</v>
      </c>
    </row>
    <row r="69" spans="1:37" x14ac:dyDescent="0.2">
      <c r="A69">
        <v>68</v>
      </c>
      <c r="B69">
        <v>738</v>
      </c>
      <c r="C69">
        <v>270</v>
      </c>
      <c r="D69">
        <v>0.29366612273154402</v>
      </c>
      <c r="E69">
        <v>196.18323964232641</v>
      </c>
      <c r="F69">
        <v>46.967157365583709</v>
      </c>
      <c r="G69">
        <v>69.594642816027203</v>
      </c>
      <c r="H69">
        <v>64.951349274475646</v>
      </c>
      <c r="J69">
        <v>30.50711119689333</v>
      </c>
      <c r="L69">
        <v>1.6748796882702373</v>
      </c>
      <c r="M69">
        <v>11.122775443916471</v>
      </c>
      <c r="N69">
        <v>2.5958051074134607</v>
      </c>
      <c r="O69">
        <v>5.4667775378171273</v>
      </c>
      <c r="P69">
        <v>7.8494872236219715</v>
      </c>
      <c r="R69">
        <v>6.0843495430398677</v>
      </c>
      <c r="S69">
        <v>28.255252383726866</v>
      </c>
      <c r="U69">
        <v>0.66720654966412085</v>
      </c>
      <c r="V69">
        <v>46.675224368745589</v>
      </c>
      <c r="W69">
        <v>16.698953377286269</v>
      </c>
      <c r="X69">
        <v>45.37106145898214</v>
      </c>
      <c r="Y69">
        <v>3.7771897930972749</v>
      </c>
      <c r="Z69">
        <v>17.43512273519779</v>
      </c>
      <c r="AB69">
        <v>28.504833915014135</v>
      </c>
      <c r="AD69">
        <v>0.2021290189662675</v>
      </c>
      <c r="AE69">
        <v>6.2037751881189331</v>
      </c>
      <c r="AF69">
        <v>10.772017098736352</v>
      </c>
      <c r="AG69">
        <v>13.68891275051317</v>
      </c>
      <c r="AI69">
        <v>2.5375303316837132</v>
      </c>
      <c r="AK69">
        <v>32.839628314039885</v>
      </c>
    </row>
    <row r="70" spans="1:37" x14ac:dyDescent="0.2">
      <c r="A70">
        <v>69</v>
      </c>
      <c r="B70">
        <v>736</v>
      </c>
      <c r="C70">
        <v>270</v>
      </c>
      <c r="D70">
        <v>0.29212753307238798</v>
      </c>
      <c r="E70">
        <v>196.5565349865449</v>
      </c>
      <c r="F70">
        <v>48.095214211011438</v>
      </c>
      <c r="G70">
        <v>69.541100013092446</v>
      </c>
      <c r="H70">
        <v>64.893529577659734</v>
      </c>
      <c r="J70">
        <v>25.566981899653214</v>
      </c>
      <c r="L70">
        <v>1.7103595282883544</v>
      </c>
      <c r="M70">
        <v>10.121109883582708</v>
      </c>
      <c r="N70">
        <v>2.5997850698161722</v>
      </c>
      <c r="O70">
        <v>5.4993020849309913</v>
      </c>
      <c r="P70">
        <v>7.7896661492833639</v>
      </c>
      <c r="R70">
        <v>5.3384872492068975</v>
      </c>
      <c r="S70">
        <v>29.326038474922431</v>
      </c>
      <c r="U70">
        <v>0.61316108524035629</v>
      </c>
      <c r="V70">
        <v>48.061646633059524</v>
      </c>
      <c r="W70">
        <v>15.554278812968121</v>
      </c>
      <c r="X70">
        <v>45.285451287251185</v>
      </c>
      <c r="Y70">
        <v>3.6762325634678117</v>
      </c>
      <c r="Z70">
        <v>17.884681977313296</v>
      </c>
      <c r="AB70">
        <v>29.763888308822722</v>
      </c>
      <c r="AE70">
        <v>6.4491814378843566</v>
      </c>
      <c r="AF70">
        <v>9.7681602226827291</v>
      </c>
      <c r="AG70">
        <v>14.918130517007191</v>
      </c>
      <c r="AI70">
        <v>2.5409034664131553</v>
      </c>
      <c r="AK70">
        <v>29.251312849181001</v>
      </c>
    </row>
    <row r="71" spans="1:37" x14ac:dyDescent="0.2">
      <c r="A71">
        <v>70</v>
      </c>
      <c r="B71">
        <v>734</v>
      </c>
      <c r="C71">
        <v>270</v>
      </c>
      <c r="D71">
        <v>0.29058283274586499</v>
      </c>
      <c r="E71">
        <v>196.84784436208477</v>
      </c>
      <c r="F71">
        <v>48.907713739966638</v>
      </c>
      <c r="G71">
        <v>69.505177013917319</v>
      </c>
      <c r="H71">
        <v>64.853383509104546</v>
      </c>
      <c r="J71">
        <v>22.923405659006214</v>
      </c>
      <c r="L71">
        <v>1.7383610688334956</v>
      </c>
      <c r="M71">
        <v>9.3321439653581635</v>
      </c>
      <c r="N71">
        <v>2.6037571857213031</v>
      </c>
      <c r="O71">
        <v>5.4804613428717257</v>
      </c>
      <c r="P71">
        <v>7.7651096927398795</v>
      </c>
      <c r="R71">
        <v>4.7418613860812737</v>
      </c>
      <c r="S71">
        <v>30.101236189523885</v>
      </c>
      <c r="U71">
        <v>0.56550754283665261</v>
      </c>
      <c r="V71">
        <v>49.118732554069766</v>
      </c>
      <c r="W71">
        <v>14.619041091795321</v>
      </c>
      <c r="X71">
        <v>45.219018705249965</v>
      </c>
      <c r="Y71">
        <v>3.6129805507701511</v>
      </c>
      <c r="Z71">
        <v>17.981201465362741</v>
      </c>
      <c r="AB71">
        <v>30.572697375221491</v>
      </c>
      <c r="AE71">
        <v>6.4901286008752814</v>
      </c>
      <c r="AF71">
        <v>8.976996792607558</v>
      </c>
      <c r="AG71">
        <v>15.697105684264434</v>
      </c>
      <c r="AI71">
        <v>2.5442652838275523</v>
      </c>
      <c r="AK71">
        <v>27.2758259498023</v>
      </c>
    </row>
    <row r="72" spans="1:37" x14ac:dyDescent="0.2">
      <c r="A72">
        <v>71</v>
      </c>
      <c r="B72">
        <v>732</v>
      </c>
      <c r="C72">
        <v>270</v>
      </c>
      <c r="D72">
        <v>0.28903198527583002</v>
      </c>
      <c r="E72">
        <v>197.08465976665894</v>
      </c>
      <c r="F72">
        <v>49.599586128616373</v>
      </c>
      <c r="G72">
        <v>69.468566607627508</v>
      </c>
      <c r="H72">
        <v>64.81260403149291</v>
      </c>
      <c r="J72">
        <v>21.160202128665905</v>
      </c>
      <c r="L72">
        <v>1.7616537541278194</v>
      </c>
      <c r="M72">
        <v>8.6548449783313668</v>
      </c>
      <c r="N72">
        <v>2.6077239326246673</v>
      </c>
      <c r="O72">
        <v>5.4533866548787211</v>
      </c>
      <c r="P72">
        <v>7.739206102156424</v>
      </c>
      <c r="R72">
        <v>4.2167186438093687</v>
      </c>
      <c r="S72">
        <v>30.742833440250848</v>
      </c>
      <c r="U72">
        <v>0.51957364283622198</v>
      </c>
      <c r="V72">
        <v>50.006980705945693</v>
      </c>
      <c r="W72">
        <v>13.794565277643569</v>
      </c>
      <c r="X72">
        <v>45.158333517579557</v>
      </c>
      <c r="Y72">
        <v>3.5616066615839652</v>
      </c>
      <c r="Z72">
        <v>18.059355526538457</v>
      </c>
      <c r="AB72">
        <v>31.250699935034461</v>
      </c>
      <c r="AE72">
        <v>6.5214792664816068</v>
      </c>
      <c r="AF72">
        <v>8.2974966221005495</v>
      </c>
      <c r="AG72">
        <v>16.345279601280915</v>
      </c>
      <c r="AI72">
        <v>2.5476182467018842</v>
      </c>
      <c r="AK72">
        <v>25.927521699958724</v>
      </c>
    </row>
    <row r="73" spans="1:37" x14ac:dyDescent="0.2">
      <c r="A73">
        <v>72</v>
      </c>
      <c r="B73">
        <v>730</v>
      </c>
      <c r="C73">
        <v>270</v>
      </c>
      <c r="D73">
        <v>0.28747495389523398</v>
      </c>
      <c r="E73">
        <v>197.28536300016501</v>
      </c>
      <c r="F73">
        <v>50.211667840099793</v>
      </c>
      <c r="G73">
        <v>69.431491148329783</v>
      </c>
      <c r="H73">
        <v>64.771413673182451</v>
      </c>
      <c r="J73">
        <v>19.863317909818438</v>
      </c>
      <c r="L73">
        <v>1.7819993887775782</v>
      </c>
      <c r="M73">
        <v>8.0506972002314932</v>
      </c>
      <c r="N73">
        <v>2.6116868226207814</v>
      </c>
      <c r="O73">
        <v>5.4216800249058084</v>
      </c>
      <c r="P73">
        <v>7.7124017913510476</v>
      </c>
      <c r="R73">
        <v>3.7397913009101225</v>
      </c>
      <c r="S73">
        <v>31.301327064907174</v>
      </c>
      <c r="U73">
        <v>0.47427308686194714</v>
      </c>
      <c r="V73">
        <v>50.786020630087499</v>
      </c>
      <c r="W73">
        <v>13.042888748028616</v>
      </c>
      <c r="X73">
        <v>45.100267544882783</v>
      </c>
      <c r="Y73">
        <v>3.5179300517731358</v>
      </c>
      <c r="Z73">
        <v>18.125626494307955</v>
      </c>
      <c r="AB73">
        <v>31.84534367014103</v>
      </c>
      <c r="AE73">
        <v>6.5466359406853023</v>
      </c>
      <c r="AF73">
        <v>7.6911455482030986</v>
      </c>
      <c r="AG73">
        <v>16.910101513037326</v>
      </c>
      <c r="AI73">
        <v>2.5509638524135601</v>
      </c>
      <c r="AK73">
        <v>24.915682820345527</v>
      </c>
    </row>
    <row r="74" spans="1:37" x14ac:dyDescent="0.2">
      <c r="A74">
        <v>73</v>
      </c>
      <c r="B74">
        <v>728</v>
      </c>
      <c r="C74">
        <v>270</v>
      </c>
      <c r="D74">
        <v>0.28591170154322698</v>
      </c>
      <c r="E74">
        <v>197.45989103929375</v>
      </c>
      <c r="F74">
        <v>50.766018420891967</v>
      </c>
      <c r="G74">
        <v>69.394084806095321</v>
      </c>
      <c r="H74">
        <v>64.729946779185411</v>
      </c>
      <c r="J74">
        <v>18.853660002440655</v>
      </c>
      <c r="L74">
        <v>1.8004612020866042</v>
      </c>
      <c r="M74">
        <v>7.4993249041112158</v>
      </c>
      <c r="N74">
        <v>2.6156466773962292</v>
      </c>
      <c r="O74">
        <v>5.3873339550243191</v>
      </c>
      <c r="P74">
        <v>7.6849661167505321</v>
      </c>
      <c r="R74">
        <v>3.2984208164638615</v>
      </c>
      <c r="S74">
        <v>31.801743610849542</v>
      </c>
      <c r="U74">
        <v>0.42922605982248208</v>
      </c>
      <c r="V74">
        <v>51.486660569415186</v>
      </c>
      <c r="W74">
        <v>12.34383328634193</v>
      </c>
      <c r="X74">
        <v>45.043724305150832</v>
      </c>
      <c r="Y74">
        <v>3.4797691753889755</v>
      </c>
      <c r="Z74">
        <v>18.18342861913251</v>
      </c>
      <c r="AB74">
        <v>32.380745886064446</v>
      </c>
      <c r="AE74">
        <v>6.567379790253721</v>
      </c>
      <c r="AF74">
        <v>7.1375687130862548</v>
      </c>
      <c r="AG74">
        <v>17.415689598079872</v>
      </c>
      <c r="AI74">
        <v>2.5543029079344977</v>
      </c>
      <c r="AK74">
        <v>24.113468872222374</v>
      </c>
    </row>
    <row r="75" spans="1:37" x14ac:dyDescent="0.2">
      <c r="A75">
        <v>74</v>
      </c>
      <c r="B75">
        <v>760</v>
      </c>
      <c r="C75">
        <v>260</v>
      </c>
      <c r="D75">
        <v>0.320844504670183</v>
      </c>
      <c r="E75">
        <v>192.33658700717081</v>
      </c>
      <c r="F75">
        <v>56.889882622563199</v>
      </c>
      <c r="G75">
        <v>70.881192130221763</v>
      </c>
      <c r="H75">
        <v>66.287992878250563</v>
      </c>
      <c r="J75">
        <v>45.096224641823241</v>
      </c>
      <c r="L75">
        <v>3.8729442237801122</v>
      </c>
      <c r="M75">
        <v>13.758512632693462</v>
      </c>
      <c r="N75">
        <v>2.5282489257899807</v>
      </c>
      <c r="O75">
        <v>16.367764643382976</v>
      </c>
      <c r="P75">
        <v>9.8245529503307694</v>
      </c>
      <c r="Q75">
        <v>1.3420550138347562</v>
      </c>
      <c r="R75">
        <v>11.665854379219804</v>
      </c>
      <c r="S75">
        <v>36.683261332449206</v>
      </c>
      <c r="U75">
        <v>2.399964548955499</v>
      </c>
      <c r="V75">
        <v>46.783271233595954</v>
      </c>
      <c r="W75">
        <v>22.570405411714169</v>
      </c>
      <c r="X75">
        <v>49.383017356913548</v>
      </c>
      <c r="Y75">
        <v>6.0125913568463822</v>
      </c>
      <c r="Z75">
        <v>28.140446399653207</v>
      </c>
      <c r="AA75">
        <v>2.8055946906139217</v>
      </c>
      <c r="AB75">
        <v>33.581018961842716</v>
      </c>
      <c r="AC75">
        <v>1.2174493332299651E-2</v>
      </c>
      <c r="AD75">
        <v>5.9005476526065754</v>
      </c>
      <c r="AE75">
        <v>11.803048885217875</v>
      </c>
      <c r="AF75">
        <v>13.439012043899542</v>
      </c>
      <c r="AG75">
        <v>19.113385123498126</v>
      </c>
      <c r="AH75">
        <v>4.4246570932855214</v>
      </c>
      <c r="AI75">
        <v>2.4751372912337763</v>
      </c>
      <c r="AK75">
        <v>42.215911928005674</v>
      </c>
    </row>
    <row r="76" spans="1:37" x14ac:dyDescent="0.2">
      <c r="A76">
        <v>75</v>
      </c>
      <c r="B76">
        <v>758</v>
      </c>
      <c r="C76">
        <v>260</v>
      </c>
      <c r="D76">
        <v>0.31939145614120401</v>
      </c>
      <c r="E76">
        <v>192.11757398724862</v>
      </c>
      <c r="F76">
        <v>56.225011458003351</v>
      </c>
      <c r="G76">
        <v>70.76978512188272</v>
      </c>
      <c r="H76">
        <v>66.171720030694175</v>
      </c>
      <c r="J76">
        <v>45.001884367589376</v>
      </c>
      <c r="L76">
        <v>3.7245123780178764</v>
      </c>
      <c r="M76">
        <v>13.645086419521194</v>
      </c>
      <c r="N76">
        <v>2.5196714192336778</v>
      </c>
      <c r="O76">
        <v>15.660772889305832</v>
      </c>
      <c r="P76">
        <v>9.6360891280416574</v>
      </c>
      <c r="Q76">
        <v>1.162771922752829</v>
      </c>
      <c r="R76">
        <v>11.291882354347603</v>
      </c>
      <c r="S76">
        <v>35.932301370627854</v>
      </c>
      <c r="U76">
        <v>2.2583764203086671</v>
      </c>
      <c r="V76">
        <v>46.597813142828954</v>
      </c>
      <c r="W76">
        <v>22.205499206018057</v>
      </c>
      <c r="X76">
        <v>49.035308933175735</v>
      </c>
      <c r="Y76">
        <v>5.8578922069463912</v>
      </c>
      <c r="Z76">
        <v>27.780589494573697</v>
      </c>
      <c r="AA76">
        <v>2.6517988474928424</v>
      </c>
      <c r="AB76">
        <v>33.326046885357549</v>
      </c>
      <c r="AD76">
        <v>5.6977090779442303</v>
      </c>
      <c r="AE76">
        <v>11.63923359831831</v>
      </c>
      <c r="AF76">
        <v>13.310819117046806</v>
      </c>
      <c r="AG76">
        <v>18.81593218906605</v>
      </c>
      <c r="AH76">
        <v>4.1943534843692021</v>
      </c>
      <c r="AI76">
        <v>2.4659910665563194</v>
      </c>
      <c r="AK76">
        <v>42.228227408617904</v>
      </c>
    </row>
    <row r="77" spans="1:37" x14ac:dyDescent="0.2">
      <c r="A77">
        <v>76</v>
      </c>
      <c r="B77">
        <v>756</v>
      </c>
      <c r="C77">
        <v>260</v>
      </c>
      <c r="D77">
        <v>0.317932760044698</v>
      </c>
      <c r="E77">
        <v>191.8696292014518</v>
      </c>
      <c r="F77">
        <v>55.46247787837536</v>
      </c>
      <c r="G77">
        <v>70.643813148989622</v>
      </c>
      <c r="H77">
        <v>66.040934182170119</v>
      </c>
      <c r="J77">
        <v>44.854931156099717</v>
      </c>
      <c r="L77">
        <v>3.5604024961425855</v>
      </c>
      <c r="M77">
        <v>13.49074406308128</v>
      </c>
      <c r="N77">
        <v>2.5236211645833699</v>
      </c>
      <c r="O77">
        <v>14.913018739840593</v>
      </c>
      <c r="P77">
        <v>9.4310534333512628</v>
      </c>
      <c r="Q77">
        <v>1.0249234793534032</v>
      </c>
      <c r="R77">
        <v>10.852610950677612</v>
      </c>
      <c r="S77">
        <v>34.97944392483631</v>
      </c>
      <c r="U77">
        <v>2.0815636239953976</v>
      </c>
      <c r="V77">
        <v>46.345277050647773</v>
      </c>
      <c r="W77">
        <v>21.764203508825801</v>
      </c>
      <c r="X77">
        <v>48.568252509979231</v>
      </c>
      <c r="Y77">
        <v>5.6812976383055229</v>
      </c>
      <c r="Z77">
        <v>27.365412489105562</v>
      </c>
      <c r="AA77">
        <v>2.4825677274628033</v>
      </c>
      <c r="AB77">
        <v>33.001131170024941</v>
      </c>
      <c r="AD77">
        <v>5.4586159351804131</v>
      </c>
      <c r="AE77">
        <v>11.454232654353032</v>
      </c>
      <c r="AF77">
        <v>13.154238455495941</v>
      </c>
      <c r="AG77">
        <v>18.461072905866519</v>
      </c>
      <c r="AH77">
        <v>3.9178384501488721</v>
      </c>
      <c r="AI77">
        <v>2.4693687848806167</v>
      </c>
      <c r="AK77">
        <v>42.221576613581909</v>
      </c>
    </row>
    <row r="78" spans="1:37" x14ac:dyDescent="0.2">
      <c r="A78">
        <v>77</v>
      </c>
      <c r="B78">
        <v>754</v>
      </c>
      <c r="C78">
        <v>260</v>
      </c>
      <c r="D78">
        <v>0.31646838339093702</v>
      </c>
      <c r="E78">
        <v>191.62229818051242</v>
      </c>
      <c r="F78">
        <v>54.702695941965708</v>
      </c>
      <c r="G78">
        <v>70.518170720642374</v>
      </c>
      <c r="H78">
        <v>65.910530008002127</v>
      </c>
      <c r="J78">
        <v>44.710363808996483</v>
      </c>
      <c r="L78">
        <v>3.3969956043978309</v>
      </c>
      <c r="M78">
        <v>13.336982650694729</v>
      </c>
      <c r="N78">
        <v>2.5275704043704237</v>
      </c>
      <c r="O78">
        <v>14.167701178882819</v>
      </c>
      <c r="P78">
        <v>9.2267073079564828</v>
      </c>
      <c r="Q78">
        <v>0.95521262467196744</v>
      </c>
      <c r="R78">
        <v>10.414748754179504</v>
      </c>
      <c r="S78">
        <v>34.030271359142091</v>
      </c>
      <c r="U78">
        <v>1.9050265192139069</v>
      </c>
      <c r="V78">
        <v>46.093568380413622</v>
      </c>
      <c r="W78">
        <v>21.324027456940041</v>
      </c>
      <c r="X78">
        <v>48.102899837509064</v>
      </c>
      <c r="Y78">
        <v>5.5053017752567017</v>
      </c>
      <c r="Z78">
        <v>26.951430426525718</v>
      </c>
      <c r="AA78">
        <v>2.3139956727375903</v>
      </c>
      <c r="AB78">
        <v>32.677314271049191</v>
      </c>
      <c r="AD78">
        <v>5.2200087399703845</v>
      </c>
      <c r="AE78">
        <v>11.269740788405654</v>
      </c>
      <c r="AF78">
        <v>12.998239433836099</v>
      </c>
      <c r="AG78">
        <v>18.107322018866288</v>
      </c>
      <c r="AH78">
        <v>3.6422309586666937</v>
      </c>
      <c r="AI78">
        <v>2.472742674030239</v>
      </c>
      <c r="AK78">
        <v>42.216175855373201</v>
      </c>
    </row>
    <row r="79" spans="1:37" x14ac:dyDescent="0.2">
      <c r="A79">
        <v>78</v>
      </c>
      <c r="B79">
        <v>752</v>
      </c>
      <c r="C79">
        <v>260</v>
      </c>
      <c r="D79">
        <v>0.31499829293274201</v>
      </c>
      <c r="E79">
        <v>191.3755774739123</v>
      </c>
      <c r="F79">
        <v>53.945651590021008</v>
      </c>
      <c r="G79">
        <v>70.392856498943488</v>
      </c>
      <c r="H79">
        <v>65.780506337164269</v>
      </c>
      <c r="J79">
        <v>44.568178113392321</v>
      </c>
      <c r="L79">
        <v>3.2342426877429569</v>
      </c>
      <c r="M79">
        <v>13.183798392374124</v>
      </c>
      <c r="N79">
        <v>2.5315191432329409</v>
      </c>
      <c r="O79">
        <v>13.424809356577892</v>
      </c>
      <c r="P79">
        <v>9.0230482626711961</v>
      </c>
      <c r="Q79">
        <v>0.8171898638273799</v>
      </c>
      <c r="R79">
        <v>9.978286464300961</v>
      </c>
      <c r="S79">
        <v>33.084761063122727</v>
      </c>
      <c r="U79">
        <v>1.7287621698781721</v>
      </c>
      <c r="V79">
        <v>45.842681263532526</v>
      </c>
      <c r="W79">
        <v>20.884963625190782</v>
      </c>
      <c r="X79">
        <v>47.639238849675252</v>
      </c>
      <c r="Y79">
        <v>5.3299012185479775</v>
      </c>
      <c r="Z79">
        <v>26.538636018002794</v>
      </c>
      <c r="AA79">
        <v>2.1460794345315954</v>
      </c>
      <c r="AB79">
        <v>32.35458905056732</v>
      </c>
      <c r="AD79">
        <v>4.9818865016050431</v>
      </c>
      <c r="AE79">
        <v>11.085754596110792</v>
      </c>
      <c r="AF79">
        <v>12.84281831165603</v>
      </c>
      <c r="AG79">
        <v>17.754672442374151</v>
      </c>
      <c r="AH79">
        <v>3.3675277370088508</v>
      </c>
      <c r="AI79">
        <v>2.4761127239314193</v>
      </c>
      <c r="AK79">
        <v>42.212024131470535</v>
      </c>
    </row>
    <row r="80" spans="1:37" x14ac:dyDescent="0.2">
      <c r="A80">
        <v>79</v>
      </c>
      <c r="B80">
        <v>750</v>
      </c>
      <c r="C80">
        <v>260</v>
      </c>
      <c r="D80">
        <v>0.313522455162978</v>
      </c>
      <c r="E80">
        <v>191.12946370176763</v>
      </c>
      <c r="F80">
        <v>53.191331084291591</v>
      </c>
      <c r="G80">
        <v>70.267869182819467</v>
      </c>
      <c r="H80">
        <v>65.650862036105678</v>
      </c>
      <c r="J80">
        <v>44.428369997665115</v>
      </c>
      <c r="L80">
        <v>3.0720840392348183</v>
      </c>
      <c r="M80">
        <v>13.031187564498099</v>
      </c>
      <c r="N80">
        <v>2.5354673858420873</v>
      </c>
      <c r="O80">
        <v>12.684332675357421</v>
      </c>
      <c r="P80">
        <v>8.8200738830013474</v>
      </c>
      <c r="Q80">
        <v>0.67943680942181683</v>
      </c>
      <c r="R80">
        <v>9.5432149663532542</v>
      </c>
      <c r="S80">
        <v>32.142890818379108</v>
      </c>
      <c r="U80">
        <v>1.5527677086360074</v>
      </c>
      <c r="V80">
        <v>45.592609838661339</v>
      </c>
      <c r="W80">
        <v>20.447004724702509</v>
      </c>
      <c r="X80">
        <v>47.17725768025629</v>
      </c>
      <c r="Y80">
        <v>5.1550926510853134</v>
      </c>
      <c r="Z80">
        <v>26.127022124692925</v>
      </c>
      <c r="AA80">
        <v>1.9788158269569613</v>
      </c>
      <c r="AB80">
        <v>32.032948503390735</v>
      </c>
      <c r="AD80">
        <v>4.744248274887731</v>
      </c>
      <c r="AE80">
        <v>10.90227074006131</v>
      </c>
      <c r="AF80">
        <v>12.68797141514662</v>
      </c>
      <c r="AG80">
        <v>17.403117223705262</v>
      </c>
      <c r="AH80">
        <v>3.0937255645502342</v>
      </c>
      <c r="AI80">
        <v>2.4794789245407745</v>
      </c>
      <c r="AK80">
        <v>42.209120509800677</v>
      </c>
    </row>
    <row r="81" spans="1:37" x14ac:dyDescent="0.2">
      <c r="A81">
        <v>80</v>
      </c>
      <c r="B81">
        <v>748</v>
      </c>
      <c r="C81">
        <v>260</v>
      </c>
      <c r="D81">
        <v>0.31204083631200402</v>
      </c>
      <c r="E81">
        <v>190.88395355363392</v>
      </c>
      <c r="F81">
        <v>52.43972100169924</v>
      </c>
      <c r="G81">
        <v>70.143207507454775</v>
      </c>
      <c r="H81">
        <v>65.52159600818807</v>
      </c>
      <c r="J81">
        <v>44.290935528976959</v>
      </c>
      <c r="L81">
        <v>2.9106191535621582</v>
      </c>
      <c r="M81">
        <v>12.879146508578028</v>
      </c>
      <c r="N81">
        <v>2.5394151368914955</v>
      </c>
      <c r="O81">
        <v>11.946260785777426</v>
      </c>
      <c r="P81">
        <v>8.6177818280164225</v>
      </c>
      <c r="Q81">
        <v>0.54193298308760085</v>
      </c>
      <c r="R81">
        <v>9.1095253287167317</v>
      </c>
      <c r="S81">
        <v>31.20463879115621</v>
      </c>
      <c r="U81">
        <v>1.3770403357514414</v>
      </c>
      <c r="V81">
        <v>45.343348244487238</v>
      </c>
      <c r="W81">
        <v>20.010143600397107</v>
      </c>
      <c r="X81">
        <v>46.716944659072766</v>
      </c>
      <c r="Y81">
        <v>4.9808728369612059</v>
      </c>
      <c r="Z81">
        <v>25.716581755267804</v>
      </c>
      <c r="AA81">
        <v>1.8122017260085341</v>
      </c>
      <c r="AB81">
        <v>31.712385754545998</v>
      </c>
      <c r="AD81">
        <v>4.5070931603406335</v>
      </c>
      <c r="AE81">
        <v>10.719285948587126</v>
      </c>
      <c r="AF81">
        <v>12.533695135858039</v>
      </c>
      <c r="AG81">
        <v>17.052649540721539</v>
      </c>
      <c r="AH81">
        <v>2.8208213603567942</v>
      </c>
      <c r="AI81">
        <v>2.4828412658332</v>
      </c>
      <c r="AK81">
        <v>42.207464127527729</v>
      </c>
    </row>
    <row r="82" spans="1:37" x14ac:dyDescent="0.2">
      <c r="A82">
        <v>81</v>
      </c>
      <c r="B82">
        <v>746</v>
      </c>
      <c r="C82">
        <v>260</v>
      </c>
      <c r="D82">
        <v>0.31055340234509199</v>
      </c>
      <c r="E82">
        <v>190.6390437873182</v>
      </c>
      <c r="F82">
        <v>51.690808229155977</v>
      </c>
      <c r="G82">
        <v>70.018870243755501</v>
      </c>
      <c r="H82">
        <v>65.392707193154251</v>
      </c>
      <c r="J82">
        <v>44.155870910835887</v>
      </c>
      <c r="L82">
        <v>2.7497479130864777</v>
      </c>
      <c r="M82">
        <v>12.727671630125075</v>
      </c>
      <c r="N82">
        <v>2.5433624010387095</v>
      </c>
      <c r="O82">
        <v>11.210583582499527</v>
      </c>
      <c r="P82">
        <v>8.416169829217889</v>
      </c>
      <c r="Q82">
        <v>0.20920658109100265</v>
      </c>
      <c r="R82">
        <v>8.6772088001757073</v>
      </c>
      <c r="S82">
        <v>30.269983525470106</v>
      </c>
      <c r="U82">
        <v>1.2015773180638287</v>
      </c>
      <c r="V82">
        <v>45.094890612171817</v>
      </c>
      <c r="W82">
        <v>19.574373228740008</v>
      </c>
      <c r="X82">
        <v>46.258288308466341</v>
      </c>
      <c r="Y82">
        <v>4.8072386205217388</v>
      </c>
      <c r="Z82">
        <v>25.307308063702099</v>
      </c>
      <c r="AA82">
        <v>1.6462340693840596</v>
      </c>
      <c r="AB82">
        <v>31.392894057093734</v>
      </c>
      <c r="AD82">
        <v>4.2704203044633919</v>
      </c>
      <c r="AE82">
        <v>10.536797014667197</v>
      </c>
      <c r="AF82">
        <v>12.379985929508587</v>
      </c>
      <c r="AG82">
        <v>16.703262699591335</v>
      </c>
      <c r="AH82">
        <v>2.548812139312246</v>
      </c>
      <c r="AI82">
        <v>2.4861997377457548</v>
      </c>
      <c r="AK82">
        <v>42.207054189764143</v>
      </c>
    </row>
    <row r="83" spans="1:37" x14ac:dyDescent="0.2">
      <c r="A83">
        <v>82</v>
      </c>
      <c r="B83">
        <v>744</v>
      </c>
      <c r="C83">
        <v>260</v>
      </c>
      <c r="D83">
        <v>0.30906011895984098</v>
      </c>
      <c r="E83">
        <v>190.3947312274579</v>
      </c>
      <c r="F83">
        <v>50.94457995759732</v>
      </c>
      <c r="G83">
        <v>69.894856197671729</v>
      </c>
      <c r="H83">
        <v>65.264194566452659</v>
      </c>
      <c r="J83">
        <v>44.023172480242295</v>
      </c>
      <c r="L83">
        <v>2.5895619283326412</v>
      </c>
      <c r="M83">
        <v>12.576759397068104</v>
      </c>
      <c r="N83">
        <v>2.5473091830209018</v>
      </c>
      <c r="O83">
        <v>10.477291199992877</v>
      </c>
      <c r="P83">
        <v>8.215235689308459</v>
      </c>
      <c r="Q83">
        <v>5.952028932889749E-2</v>
      </c>
      <c r="R83">
        <v>8.2462568066256487</v>
      </c>
      <c r="S83">
        <v>29.338903934133363</v>
      </c>
      <c r="U83">
        <v>1.0263759875900298</v>
      </c>
      <c r="V83">
        <v>44.847231056658522</v>
      </c>
      <c r="W83">
        <v>19.139686714605492</v>
      </c>
      <c r="X83">
        <v>45.8012773387956</v>
      </c>
      <c r="Y83">
        <v>4.6341869252424193</v>
      </c>
      <c r="Z83">
        <v>24.899194346404954</v>
      </c>
      <c r="AA83">
        <v>1.4809098572352741</v>
      </c>
      <c r="AB83">
        <v>31.074466789117398</v>
      </c>
      <c r="AD83">
        <v>4.0342288994858366</v>
      </c>
      <c r="AE83">
        <v>10.354800794573627</v>
      </c>
      <c r="AF83">
        <v>12.22684031452018</v>
      </c>
      <c r="AG83">
        <v>16.354950131894661</v>
      </c>
      <c r="AH83">
        <v>2.2776950144427581</v>
      </c>
      <c r="AI83">
        <v>2.4895543302933807</v>
      </c>
      <c r="AK83">
        <v>42.207889968244544</v>
      </c>
    </row>
    <row r="84" spans="1:37" x14ac:dyDescent="0.2">
      <c r="A84">
        <v>83</v>
      </c>
      <c r="B84">
        <v>742</v>
      </c>
      <c r="C84">
        <v>260</v>
      </c>
      <c r="D84">
        <v>0.30756095158350699</v>
      </c>
      <c r="E84">
        <v>190.05257187751567</v>
      </c>
      <c r="F84">
        <v>49.551435168548387</v>
      </c>
      <c r="G84">
        <v>69.655856872609831</v>
      </c>
      <c r="H84">
        <v>65.020749801655796</v>
      </c>
      <c r="J84">
        <v>43.786827319248495</v>
      </c>
      <c r="L84">
        <v>2.2386286548042515</v>
      </c>
      <c r="M84">
        <v>12.518761414333987</v>
      </c>
      <c r="N84">
        <v>2.5512457607024603</v>
      </c>
      <c r="O84">
        <v>8.9988264259151958</v>
      </c>
      <c r="P84">
        <v>7.7843528800765025</v>
      </c>
      <c r="R84">
        <v>7.6944803571820692</v>
      </c>
      <c r="S84">
        <v>28.643734457518832</v>
      </c>
      <c r="U84">
        <v>0.91347443073453283</v>
      </c>
      <c r="V84">
        <v>44.824565927170909</v>
      </c>
      <c r="W84">
        <v>18.695003617084591</v>
      </c>
      <c r="X84">
        <v>45.54016996456226</v>
      </c>
      <c r="Y84">
        <v>4.2381610108440357</v>
      </c>
      <c r="Z84">
        <v>24.161345151688355</v>
      </c>
      <c r="AA84">
        <v>1.1130557120947124</v>
      </c>
      <c r="AB84">
        <v>30.904137095745504</v>
      </c>
      <c r="AD84">
        <v>3.5887568433132504</v>
      </c>
      <c r="AE84">
        <v>10.066528937113249</v>
      </c>
      <c r="AF84">
        <v>12.166600219646355</v>
      </c>
      <c r="AG84">
        <v>16.154735309698264</v>
      </c>
      <c r="AH84">
        <v>1.6795718082877487</v>
      </c>
      <c r="AI84">
        <v>2.492895306617303</v>
      </c>
      <c r="AK84">
        <v>42.054699480375461</v>
      </c>
    </row>
    <row r="85" spans="1:37" x14ac:dyDescent="0.2">
      <c r="A85">
        <v>84</v>
      </c>
      <c r="B85">
        <v>740</v>
      </c>
      <c r="C85">
        <v>260</v>
      </c>
      <c r="D85">
        <v>0.30605586537038199</v>
      </c>
      <c r="E85">
        <v>190.40274332336537</v>
      </c>
      <c r="F85">
        <v>47.287546376855246</v>
      </c>
      <c r="G85">
        <v>69.64217514593669</v>
      </c>
      <c r="H85">
        <v>65.002675946966306</v>
      </c>
      <c r="J85">
        <v>32.316982612559229</v>
      </c>
      <c r="L85">
        <v>1.6464552890006234</v>
      </c>
      <c r="M85">
        <v>11.559964749084122</v>
      </c>
      <c r="N85">
        <v>2.5552377315977743</v>
      </c>
      <c r="O85">
        <v>5.6825227289713887</v>
      </c>
      <c r="P85">
        <v>7.804192941926436</v>
      </c>
      <c r="R85">
        <v>6.5214900866536443</v>
      </c>
      <c r="S85">
        <v>28.357853711805877</v>
      </c>
      <c r="U85">
        <v>0.81805002111912695</v>
      </c>
      <c r="V85">
        <v>46.270646006997524</v>
      </c>
      <c r="W85">
        <v>17.547238665501069</v>
      </c>
      <c r="X85">
        <v>45.336405871206118</v>
      </c>
      <c r="Y85">
        <v>3.7425716045382735</v>
      </c>
      <c r="Z85">
        <v>18.474034612719084</v>
      </c>
      <c r="AB85">
        <v>28.897045390223234</v>
      </c>
      <c r="AD85">
        <v>0.72430122474969549</v>
      </c>
      <c r="AE85">
        <v>6.8467586966238594</v>
      </c>
      <c r="AF85">
        <v>11.205618355730891</v>
      </c>
      <c r="AG85">
        <v>14.117824293149042</v>
      </c>
      <c r="AI85">
        <v>2.4962882495071193</v>
      </c>
      <c r="AK85">
        <v>34.047438482839823</v>
      </c>
    </row>
    <row r="86" spans="1:37" x14ac:dyDescent="0.2">
      <c r="A86">
        <v>85</v>
      </c>
      <c r="B86">
        <v>738</v>
      </c>
      <c r="C86">
        <v>260</v>
      </c>
      <c r="D86">
        <v>0.30454482519902998</v>
      </c>
      <c r="E86">
        <v>190.86919693817177</v>
      </c>
      <c r="F86">
        <v>48.143492204472324</v>
      </c>
      <c r="G86">
        <v>69.654489917991839</v>
      </c>
      <c r="H86">
        <v>65.010652074233789</v>
      </c>
      <c r="J86">
        <v>26.389640394232472</v>
      </c>
      <c r="L86">
        <v>1.6920427955410342</v>
      </c>
      <c r="M86">
        <v>10.505488112921855</v>
      </c>
      <c r="N86">
        <v>2.5592261902581952</v>
      </c>
      <c r="O86">
        <v>5.5935581542623867</v>
      </c>
      <c r="P86">
        <v>7.8760549593041995</v>
      </c>
      <c r="R86">
        <v>5.8074868618750122</v>
      </c>
      <c r="S86">
        <v>29.422176971175507</v>
      </c>
      <c r="U86">
        <v>0.76478560121249362</v>
      </c>
      <c r="V86">
        <v>47.740982334725388</v>
      </c>
      <c r="W86">
        <v>16.34834674857057</v>
      </c>
      <c r="X86">
        <v>45.253531816894906</v>
      </c>
      <c r="Y86">
        <v>3.6849575612439782</v>
      </c>
      <c r="Z86">
        <v>17.805300808520624</v>
      </c>
      <c r="AB86">
        <v>29.547242676535237</v>
      </c>
      <c r="AE86">
        <v>6.43624679515524</v>
      </c>
      <c r="AF86">
        <v>10.148954575306837</v>
      </c>
      <c r="AG86">
        <v>14.738209230490366</v>
      </c>
      <c r="AI86">
        <v>2.4996742387899715</v>
      </c>
      <c r="AK86">
        <v>29.785697090038322</v>
      </c>
    </row>
    <row r="87" spans="1:37" x14ac:dyDescent="0.2">
      <c r="A87">
        <v>86</v>
      </c>
      <c r="B87">
        <v>736</v>
      </c>
      <c r="C87">
        <v>260</v>
      </c>
      <c r="D87">
        <v>0.30302779566962401</v>
      </c>
      <c r="E87">
        <v>191.18103348176953</v>
      </c>
      <c r="F87">
        <v>49.001531273238257</v>
      </c>
      <c r="G87">
        <v>69.618792983015922</v>
      </c>
      <c r="H87">
        <v>64.970670149888775</v>
      </c>
      <c r="J87">
        <v>23.39974612897722</v>
      </c>
      <c r="L87">
        <v>1.7212436403339124</v>
      </c>
      <c r="M87">
        <v>9.6782139783269017</v>
      </c>
      <c r="N87">
        <v>2.5632014814355828</v>
      </c>
      <c r="O87">
        <v>5.5720849984193892</v>
      </c>
      <c r="P87">
        <v>7.8519130557231218</v>
      </c>
      <c r="R87">
        <v>5.1828671176636796</v>
      </c>
      <c r="S87">
        <v>30.222090267958809</v>
      </c>
      <c r="U87">
        <v>0.71815367111712125</v>
      </c>
      <c r="V87">
        <v>48.849909756143774</v>
      </c>
      <c r="W87">
        <v>15.373272970179627</v>
      </c>
      <c r="X87">
        <v>45.190557364856595</v>
      </c>
      <c r="Y87">
        <v>3.6163122936092709</v>
      </c>
      <c r="Z87">
        <v>17.909168435565913</v>
      </c>
      <c r="AB87">
        <v>30.391363011972594</v>
      </c>
      <c r="AE87">
        <v>6.4810939973665089</v>
      </c>
      <c r="AF87">
        <v>9.3194817421900549</v>
      </c>
      <c r="AG87">
        <v>15.552514573794193</v>
      </c>
      <c r="AI87">
        <v>2.5030436044946733</v>
      </c>
      <c r="AK87">
        <v>27.569264948167138</v>
      </c>
    </row>
    <row r="88" spans="1:37" x14ac:dyDescent="0.2">
      <c r="A88">
        <v>87</v>
      </c>
      <c r="B88">
        <v>734</v>
      </c>
      <c r="C88">
        <v>260</v>
      </c>
      <c r="D88">
        <v>0.30150474110112602</v>
      </c>
      <c r="E88">
        <v>191.43031686247224</v>
      </c>
      <c r="F88">
        <v>49.72091032196245</v>
      </c>
      <c r="G88">
        <v>69.582262363477781</v>
      </c>
      <c r="H88">
        <v>64.929908369270791</v>
      </c>
      <c r="J88">
        <v>21.474338676182324</v>
      </c>
      <c r="L88">
        <v>1.745129824566473</v>
      </c>
      <c r="M88">
        <v>8.9774330619136027</v>
      </c>
      <c r="N88">
        <v>2.5671709948642034</v>
      </c>
      <c r="O88">
        <v>5.5410436318556666</v>
      </c>
      <c r="P88">
        <v>7.8261308572046282</v>
      </c>
      <c r="R88">
        <v>4.6399641004679513</v>
      </c>
      <c r="S88">
        <v>30.877269028815721</v>
      </c>
      <c r="U88">
        <v>0.67274208199330887</v>
      </c>
      <c r="V88">
        <v>49.770270709744658</v>
      </c>
      <c r="W88">
        <v>14.524022506487272</v>
      </c>
      <c r="X88">
        <v>45.131905775280899</v>
      </c>
      <c r="Y88">
        <v>3.5613450360520993</v>
      </c>
      <c r="Z88">
        <v>17.991806509513371</v>
      </c>
      <c r="AB88">
        <v>31.090851293565784</v>
      </c>
      <c r="AE88">
        <v>6.5148701114496372</v>
      </c>
      <c r="AF88">
        <v>8.616498009528117</v>
      </c>
      <c r="AG88">
        <v>16.222192660175132</v>
      </c>
      <c r="AI88">
        <v>2.5064037216331432</v>
      </c>
      <c r="AK88">
        <v>26.106874350947567</v>
      </c>
    </row>
    <row r="89" spans="1:37" x14ac:dyDescent="0.2">
      <c r="A89">
        <v>88</v>
      </c>
      <c r="B89">
        <v>732</v>
      </c>
      <c r="C89">
        <v>260</v>
      </c>
      <c r="D89">
        <v>0.29997562552852802</v>
      </c>
      <c r="E89">
        <v>191.63961557980082</v>
      </c>
      <c r="F89">
        <v>50.351831265137896</v>
      </c>
      <c r="G89">
        <v>69.54519591920166</v>
      </c>
      <c r="H89">
        <v>64.888664765763053</v>
      </c>
      <c r="J89">
        <v>20.083585600492547</v>
      </c>
      <c r="L89">
        <v>1.7658665725716747</v>
      </c>
      <c r="M89">
        <v>8.3568535147351319</v>
      </c>
      <c r="N89">
        <v>2.5711364676392394</v>
      </c>
      <c r="O89">
        <v>5.5047786606495661</v>
      </c>
      <c r="P89">
        <v>7.7993060129227612</v>
      </c>
      <c r="R89">
        <v>4.1502279140419898</v>
      </c>
      <c r="S89">
        <v>31.444425134208061</v>
      </c>
      <c r="U89">
        <v>0.62768612388186251</v>
      </c>
      <c r="V89">
        <v>50.572148298847374</v>
      </c>
      <c r="W89">
        <v>13.754752856464368</v>
      </c>
      <c r="X89">
        <v>45.075084785052923</v>
      </c>
      <c r="Y89">
        <v>3.5149585809248842</v>
      </c>
      <c r="Z89">
        <v>18.061183384498378</v>
      </c>
      <c r="AB89">
        <v>31.700588071918659</v>
      </c>
      <c r="AE89">
        <v>6.5417427302077575</v>
      </c>
      <c r="AF89">
        <v>7.9937133124743891</v>
      </c>
      <c r="AG89">
        <v>16.80212582800943</v>
      </c>
      <c r="AI89">
        <v>2.5097563125798468</v>
      </c>
      <c r="AK89">
        <v>25.028399321684859</v>
      </c>
    </row>
    <row r="90" spans="1:37" x14ac:dyDescent="0.2">
      <c r="A90">
        <v>89</v>
      </c>
      <c r="B90">
        <v>730</v>
      </c>
      <c r="C90">
        <v>260</v>
      </c>
      <c r="D90">
        <v>0.29844041269999899</v>
      </c>
      <c r="E90">
        <v>191.82052543954788</v>
      </c>
      <c r="F90">
        <v>50.92006579470042</v>
      </c>
      <c r="G90">
        <v>69.507758596486497</v>
      </c>
      <c r="H90">
        <v>64.847104459912131</v>
      </c>
      <c r="J90">
        <v>19.012570103961746</v>
      </c>
      <c r="L90">
        <v>1.7844348540809152</v>
      </c>
      <c r="M90">
        <v>7.7930628704475309</v>
      </c>
      <c r="N90">
        <v>2.5750988048113541</v>
      </c>
      <c r="O90">
        <v>5.4655559965674581</v>
      </c>
      <c r="P90">
        <v>7.7717695140441645</v>
      </c>
      <c r="R90">
        <v>3.6988974149541547</v>
      </c>
      <c r="S90">
        <v>31.950794624956256</v>
      </c>
      <c r="U90">
        <v>0.5827148540523629</v>
      </c>
      <c r="V90">
        <v>51.290360352586291</v>
      </c>
      <c r="W90">
        <v>13.042196762202492</v>
      </c>
      <c r="X90">
        <v>45.019310359400031</v>
      </c>
      <c r="Y90">
        <v>3.4746058653729719</v>
      </c>
      <c r="Z90">
        <v>18.121300841924235</v>
      </c>
      <c r="AB90">
        <v>32.247480170072372</v>
      </c>
      <c r="AE90">
        <v>6.5637950141459172</v>
      </c>
      <c r="AF90">
        <v>7.4277161369540963</v>
      </c>
      <c r="AG90">
        <v>17.319221856395348</v>
      </c>
      <c r="AI90">
        <v>2.5131022676679895</v>
      </c>
      <c r="AK90">
        <v>24.182287682642475</v>
      </c>
    </row>
    <row r="91" spans="1:37" x14ac:dyDescent="0.2">
      <c r="A91">
        <v>90</v>
      </c>
      <c r="B91">
        <v>728</v>
      </c>
      <c r="C91">
        <v>260</v>
      </c>
      <c r="D91">
        <v>0.29689906607401501</v>
      </c>
      <c r="E91">
        <v>191.97993639826103</v>
      </c>
      <c r="F91">
        <v>51.440912788585891</v>
      </c>
      <c r="G91">
        <v>69.470051742917249</v>
      </c>
      <c r="H91">
        <v>64.805328974247288</v>
      </c>
      <c r="J91">
        <v>18.153449974381282</v>
      </c>
      <c r="L91">
        <v>1.801585678549054</v>
      </c>
      <c r="M91">
        <v>7.2722629608602753</v>
      </c>
      <c r="N91">
        <v>2.5790585577421381</v>
      </c>
      <c r="O91">
        <v>5.4247321503673822</v>
      </c>
      <c r="P91">
        <v>7.7437248017118758</v>
      </c>
      <c r="R91">
        <v>3.2771501257177351</v>
      </c>
      <c r="S91">
        <v>32.411987156959945</v>
      </c>
      <c r="U91">
        <v>0.5377204321438841</v>
      </c>
      <c r="V91">
        <v>51.945226411099661</v>
      </c>
      <c r="W91">
        <v>12.372616942966365</v>
      </c>
      <c r="X91">
        <v>44.964268123920348</v>
      </c>
      <c r="Y91">
        <v>3.4387977880306075</v>
      </c>
      <c r="Z91">
        <v>18.174496327836792</v>
      </c>
      <c r="AB91">
        <v>32.747119991382895</v>
      </c>
      <c r="AE91">
        <v>6.5822405098802577</v>
      </c>
      <c r="AF91">
        <v>6.9047089135684709</v>
      </c>
      <c r="AG91">
        <v>17.789073751386585</v>
      </c>
      <c r="AI91">
        <v>2.5164421235449637</v>
      </c>
      <c r="AK91">
        <v>23.491852031885902</v>
      </c>
    </row>
    <row r="92" spans="1:37" x14ac:dyDescent="0.2">
      <c r="A92">
        <v>91</v>
      </c>
      <c r="B92">
        <v>760</v>
      </c>
      <c r="C92">
        <v>250</v>
      </c>
      <c r="D92">
        <v>0.33149155495329902</v>
      </c>
      <c r="E92">
        <v>186.50543827220031</v>
      </c>
      <c r="F92">
        <v>56.701552970790686</v>
      </c>
      <c r="G92">
        <v>70.884025656455094</v>
      </c>
      <c r="H92">
        <v>66.290373088169744</v>
      </c>
      <c r="J92">
        <v>44.920403818584163</v>
      </c>
      <c r="L92">
        <v>3.8387766958400862</v>
      </c>
      <c r="M92">
        <v>13.750543047924593</v>
      </c>
      <c r="N92">
        <v>2.4911237602358778</v>
      </c>
      <c r="O92">
        <v>16.431495624310337</v>
      </c>
      <c r="P92">
        <v>9.7366334919866464</v>
      </c>
      <c r="Q92">
        <v>1.2162438954097043</v>
      </c>
      <c r="R92">
        <v>11.687543961283904</v>
      </c>
      <c r="S92">
        <v>36.525060610364569</v>
      </c>
      <c r="U92">
        <v>2.3526242062834957</v>
      </c>
      <c r="V92">
        <v>46.575845213344039</v>
      </c>
      <c r="W92">
        <v>22.79563987717184</v>
      </c>
      <c r="X92">
        <v>48.794255175124881</v>
      </c>
      <c r="Y92">
        <v>5.9373769343041412</v>
      </c>
      <c r="Z92">
        <v>28.135655412708271</v>
      </c>
      <c r="AA92">
        <v>2.7818761932476264</v>
      </c>
      <c r="AB92">
        <v>33.596567904275688</v>
      </c>
      <c r="AC92">
        <v>1.1680371500817128E-2</v>
      </c>
      <c r="AD92">
        <v>5.8931747358983166</v>
      </c>
      <c r="AE92">
        <v>11.876352877546692</v>
      </c>
      <c r="AF92">
        <v>13.424753003863538</v>
      </c>
      <c r="AG92">
        <v>19.134982576576611</v>
      </c>
      <c r="AH92">
        <v>4.2345771245704871</v>
      </c>
      <c r="AI92">
        <v>2.4367345478638636</v>
      </c>
      <c r="AK92">
        <v>42.07362149352317</v>
      </c>
    </row>
    <row r="93" spans="1:37" x14ac:dyDescent="0.2">
      <c r="A93">
        <v>92</v>
      </c>
      <c r="B93">
        <v>758</v>
      </c>
      <c r="C93">
        <v>250</v>
      </c>
      <c r="D93">
        <v>0.330059157251614</v>
      </c>
      <c r="E93">
        <v>186.28572622900506</v>
      </c>
      <c r="F93">
        <v>56.034544320234481</v>
      </c>
      <c r="G93">
        <v>70.772182723630834</v>
      </c>
      <c r="H93">
        <v>66.173656178965373</v>
      </c>
      <c r="J93">
        <v>44.824093387227066</v>
      </c>
      <c r="L93">
        <v>3.6900410345519377</v>
      </c>
      <c r="M93">
        <v>13.636067149245942</v>
      </c>
      <c r="N93">
        <v>2.4830483497414026</v>
      </c>
      <c r="O93">
        <v>15.723377100858922</v>
      </c>
      <c r="P93">
        <v>9.5477920933831548</v>
      </c>
      <c r="Q93">
        <v>0.95356014763726715</v>
      </c>
      <c r="R93">
        <v>11.312080423440205</v>
      </c>
      <c r="S93">
        <v>35.768203128298403</v>
      </c>
      <c r="U93">
        <v>2.2098242536456567</v>
      </c>
      <c r="V93">
        <v>46.388708420427569</v>
      </c>
      <c r="W93">
        <v>22.428289939615819</v>
      </c>
      <c r="X93">
        <v>48.443784399314545</v>
      </c>
      <c r="Y93">
        <v>5.7820557139422357</v>
      </c>
      <c r="Z93">
        <v>27.774852522768068</v>
      </c>
      <c r="AA93">
        <v>2.627860982103535</v>
      </c>
      <c r="AB93">
        <v>33.339803070576011</v>
      </c>
      <c r="AD93">
        <v>5.6897489706837696</v>
      </c>
      <c r="AE93">
        <v>11.712171272365383</v>
      </c>
      <c r="AF93">
        <v>13.29600966978577</v>
      </c>
      <c r="AG93">
        <v>18.836265287397751</v>
      </c>
      <c r="AH93">
        <v>4.0028943183415135</v>
      </c>
      <c r="AI93">
        <v>2.4280913214488171</v>
      </c>
      <c r="AK93">
        <v>42.085383994101704</v>
      </c>
    </row>
    <row r="94" spans="1:37" x14ac:dyDescent="0.2">
      <c r="A94">
        <v>93</v>
      </c>
      <c r="B94">
        <v>756</v>
      </c>
      <c r="C94">
        <v>250</v>
      </c>
      <c r="D94">
        <v>0.32862119224602798</v>
      </c>
      <c r="E94">
        <v>186.03815828661925</v>
      </c>
      <c r="F94">
        <v>55.273970590959678</v>
      </c>
      <c r="G94">
        <v>70.646367897533395</v>
      </c>
      <c r="H94">
        <v>66.043019343862824</v>
      </c>
      <c r="J94">
        <v>44.677118509446792</v>
      </c>
      <c r="L94">
        <v>3.5264239898908492</v>
      </c>
      <c r="M94">
        <v>13.482350668994538</v>
      </c>
      <c r="N94">
        <v>2.4870000157602017</v>
      </c>
      <c r="O94">
        <v>14.976474228625531</v>
      </c>
      <c r="P94">
        <v>9.3430647845834347</v>
      </c>
      <c r="Q94">
        <v>0.80225911683999118</v>
      </c>
      <c r="R94">
        <v>10.874015474721631</v>
      </c>
      <c r="S94">
        <v>34.817782237364327</v>
      </c>
      <c r="U94">
        <v>2.0331239962218994</v>
      </c>
      <c r="V94">
        <v>46.137107412854299</v>
      </c>
      <c r="W94">
        <v>21.987752386081038</v>
      </c>
      <c r="X94">
        <v>47.978530672083942</v>
      </c>
      <c r="Y94">
        <v>5.6057755768057023</v>
      </c>
      <c r="Z94">
        <v>27.361544160636981</v>
      </c>
      <c r="AA94">
        <v>2.4591049258398199</v>
      </c>
      <c r="AB94">
        <v>33.016255014592865</v>
      </c>
      <c r="AD94">
        <v>5.4518041266071977</v>
      </c>
      <c r="AE94">
        <v>11.527970736355414</v>
      </c>
      <c r="AF94">
        <v>13.140053996966831</v>
      </c>
      <c r="AG94">
        <v>18.482801890622682</v>
      </c>
      <c r="AH94">
        <v>3.7269585090691915</v>
      </c>
      <c r="AI94">
        <v>2.4314718626428049</v>
      </c>
      <c r="AK94">
        <v>42.078814246184358</v>
      </c>
    </row>
    <row r="95" spans="1:37" x14ac:dyDescent="0.2">
      <c r="A95">
        <v>94</v>
      </c>
      <c r="B95">
        <v>754</v>
      </c>
      <c r="C95">
        <v>250</v>
      </c>
      <c r="D95">
        <v>0.32717762741566497</v>
      </c>
      <c r="E95">
        <v>185.79119347624064</v>
      </c>
      <c r="F95">
        <v>54.516113007149336</v>
      </c>
      <c r="G95">
        <v>70.52087824239284</v>
      </c>
      <c r="H95">
        <v>65.912759813315972</v>
      </c>
      <c r="J95">
        <v>44.532506482443566</v>
      </c>
      <c r="L95">
        <v>3.3634540387126473</v>
      </c>
      <c r="M95">
        <v>13.32920748419204</v>
      </c>
      <c r="N95">
        <v>2.4909511784397784</v>
      </c>
      <c r="O95">
        <v>14.23198104647366</v>
      </c>
      <c r="P95">
        <v>9.1390182951682366</v>
      </c>
      <c r="Q95">
        <v>0.65123789809788035</v>
      </c>
      <c r="R95">
        <v>10.437338974302035</v>
      </c>
      <c r="S95">
        <v>33.870996063883744</v>
      </c>
      <c r="U95">
        <v>1.8566871552338706</v>
      </c>
      <c r="V95">
        <v>45.886319970019237</v>
      </c>
      <c r="W95">
        <v>21.548322620183232</v>
      </c>
      <c r="X95">
        <v>47.514950867711676</v>
      </c>
      <c r="Y95">
        <v>5.4300847804824386</v>
      </c>
      <c r="Z95">
        <v>26.949424743691772</v>
      </c>
      <c r="AA95">
        <v>2.2909996779813664</v>
      </c>
      <c r="AB95">
        <v>32.693796986596737</v>
      </c>
      <c r="AD95">
        <v>5.214337427519018</v>
      </c>
      <c r="AE95">
        <v>11.344278148945429</v>
      </c>
      <c r="AF95">
        <v>12.984672327313248</v>
      </c>
      <c r="AG95">
        <v>18.130438103900616</v>
      </c>
      <c r="AH95">
        <v>3.4519182350284985</v>
      </c>
      <c r="AI95">
        <v>2.4348485768855337</v>
      </c>
      <c r="AK95">
        <v>42.073481384041884</v>
      </c>
    </row>
    <row r="96" spans="1:37" x14ac:dyDescent="0.2">
      <c r="A96">
        <v>95</v>
      </c>
      <c r="B96">
        <v>752</v>
      </c>
      <c r="C96">
        <v>250</v>
      </c>
      <c r="D96">
        <v>0.32572842998585799</v>
      </c>
      <c r="E96">
        <v>185.54482838934942</v>
      </c>
      <c r="F96">
        <v>53.760957887488566</v>
      </c>
      <c r="G96">
        <v>70.395712450576895</v>
      </c>
      <c r="H96">
        <v>65.782876446563691</v>
      </c>
      <c r="J96">
        <v>44.39025312968905</v>
      </c>
      <c r="L96">
        <v>3.2010802182716906</v>
      </c>
      <c r="M96">
        <v>13.176633901835942</v>
      </c>
      <c r="N96">
        <v>2.4949018424339511</v>
      </c>
      <c r="O96">
        <v>13.489887024714381</v>
      </c>
      <c r="P96">
        <v>8.9356501965097515</v>
      </c>
      <c r="Q96">
        <v>0.68952898775217519</v>
      </c>
      <c r="R96">
        <v>10.002041832035591</v>
      </c>
      <c r="S96">
        <v>32.927822493964861</v>
      </c>
      <c r="U96">
        <v>1.6805108775779156</v>
      </c>
      <c r="V96">
        <v>45.636340319823404</v>
      </c>
      <c r="W96">
        <v>21.10999348315044</v>
      </c>
      <c r="X96">
        <v>47.053033105512561</v>
      </c>
      <c r="Y96">
        <v>5.2549799937547155</v>
      </c>
      <c r="Z96">
        <v>26.538487375031686</v>
      </c>
      <c r="AA96">
        <v>2.1235420749053957</v>
      </c>
      <c r="AB96">
        <v>32.372422145344864</v>
      </c>
      <c r="AD96">
        <v>4.9773481563781967</v>
      </c>
      <c r="AE96">
        <v>11.16109030838428</v>
      </c>
      <c r="AF96">
        <v>12.829861017412878</v>
      </c>
      <c r="AG96">
        <v>17.7791671381759</v>
      </c>
      <c r="AH96">
        <v>3.1777703160057373</v>
      </c>
      <c r="AI96">
        <v>2.438221454119069</v>
      </c>
      <c r="AK96">
        <v>42.069384391470052</v>
      </c>
    </row>
    <row r="97" spans="1:37" x14ac:dyDescent="0.2">
      <c r="A97">
        <v>96</v>
      </c>
      <c r="B97">
        <v>750</v>
      </c>
      <c r="C97">
        <v>250</v>
      </c>
      <c r="D97">
        <v>0.324273566925672</v>
      </c>
      <c r="E97">
        <v>185.29905968452516</v>
      </c>
      <c r="F97">
        <v>53.008491859493915</v>
      </c>
      <c r="G97">
        <v>70.270869249716242</v>
      </c>
      <c r="H97">
        <v>65.653368138760172</v>
      </c>
      <c r="J97">
        <v>44.250354407658769</v>
      </c>
      <c r="L97">
        <v>3.0393863710511471</v>
      </c>
      <c r="M97">
        <v>13.024626292977302</v>
      </c>
      <c r="N97">
        <v>2.4988520124446185</v>
      </c>
      <c r="O97">
        <v>12.750181876941141</v>
      </c>
      <c r="P97">
        <v>8.7329581315644251</v>
      </c>
      <c r="Q97">
        <v>0.35024860112111911</v>
      </c>
      <c r="R97">
        <v>9.5681151369873874</v>
      </c>
      <c r="S97">
        <v>31.988239789586679</v>
      </c>
      <c r="U97">
        <v>1.5045923757692117</v>
      </c>
      <c r="V97">
        <v>45.387162694373814</v>
      </c>
      <c r="W97">
        <v>20.672757949002033</v>
      </c>
      <c r="X97">
        <v>46.592765695416873</v>
      </c>
      <c r="Y97">
        <v>5.0804579645562553</v>
      </c>
      <c r="Z97">
        <v>26.128725306715701</v>
      </c>
      <c r="AA97">
        <v>1.9567290146606611</v>
      </c>
      <c r="AB97">
        <v>32.052123779936309</v>
      </c>
      <c r="AD97">
        <v>4.7408356379407133</v>
      </c>
      <c r="AE97">
        <v>10.978404079929819</v>
      </c>
      <c r="AF97">
        <v>12.675616488162097</v>
      </c>
      <c r="AG97">
        <v>17.428982335082818</v>
      </c>
      <c r="AH97">
        <v>2.9045116756575862</v>
      </c>
      <c r="AI97">
        <v>2.4415904843304124</v>
      </c>
      <c r="AK97">
        <v>42.066522318008531</v>
      </c>
    </row>
    <row r="98" spans="1:37" x14ac:dyDescent="0.2">
      <c r="A98">
        <v>97</v>
      </c>
      <c r="B98">
        <v>748</v>
      </c>
      <c r="C98">
        <v>250</v>
      </c>
      <c r="D98">
        <v>0.32281300494540499</v>
      </c>
      <c r="E98">
        <v>185.05388408609284</v>
      </c>
      <c r="F98">
        <v>52.258701853978586</v>
      </c>
      <c r="G98">
        <v>70.146347402124633</v>
      </c>
      <c r="H98">
        <v>65.524233820395978</v>
      </c>
      <c r="J98">
        <v>44.112806403085997</v>
      </c>
      <c r="L98">
        <v>2.8783331695527048</v>
      </c>
      <c r="M98">
        <v>12.873181091519356</v>
      </c>
      <c r="N98">
        <v>2.5028016931533066</v>
      </c>
      <c r="O98">
        <v>12.012855555811004</v>
      </c>
      <c r="P98">
        <v>8.530939813657568</v>
      </c>
      <c r="Q98">
        <v>0.20022344656317489</v>
      </c>
      <c r="R98">
        <v>9.1355501545384055</v>
      </c>
      <c r="S98">
        <v>31.052226581330522</v>
      </c>
      <c r="U98">
        <v>1.3289289268657227</v>
      </c>
      <c r="V98">
        <v>45.138781322721869</v>
      </c>
      <c r="W98">
        <v>20.236609122330268</v>
      </c>
      <c r="X98">
        <v>46.134137133817958</v>
      </c>
      <c r="Y98">
        <v>4.9065155189457856</v>
      </c>
      <c r="Z98">
        <v>25.720131937747425</v>
      </c>
      <c r="AA98">
        <v>1.7905574563378031</v>
      </c>
      <c r="AB98">
        <v>31.732895307704652</v>
      </c>
      <c r="AD98">
        <v>4.5047992393588583</v>
      </c>
      <c r="AE98">
        <v>10.796216394898376</v>
      </c>
      <c r="AF98">
        <v>12.521935223488967</v>
      </c>
      <c r="AG98">
        <v>17.079877164777937</v>
      </c>
      <c r="AH98">
        <v>2.6321393365691348</v>
      </c>
      <c r="AI98">
        <v>2.4449556574828177</v>
      </c>
      <c r="AK98">
        <v>42.064894277467566</v>
      </c>
    </row>
    <row r="99" spans="1:37" x14ac:dyDescent="0.2">
      <c r="A99">
        <v>98</v>
      </c>
      <c r="B99">
        <v>746</v>
      </c>
      <c r="C99">
        <v>250</v>
      </c>
      <c r="D99">
        <v>0.32134671049404001</v>
      </c>
      <c r="E99">
        <v>184.80929838291686</v>
      </c>
      <c r="F99">
        <v>51.511575099781759</v>
      </c>
      <c r="G99">
        <v>70.022145704205712</v>
      </c>
      <c r="H99">
        <v>65.395472456711445</v>
      </c>
      <c r="J99">
        <v>43.977605330414079</v>
      </c>
      <c r="L99">
        <v>2.7178606067232467</v>
      </c>
      <c r="M99">
        <v>12.722294792885707</v>
      </c>
      <c r="N99">
        <v>2.5067508892980022</v>
      </c>
      <c r="O99">
        <v>11.277898249103115</v>
      </c>
      <c r="P99">
        <v>8.3295930253764841</v>
      </c>
      <c r="Q99">
        <v>5.0537834475047248E-2</v>
      </c>
      <c r="R99">
        <v>8.704338323575973</v>
      </c>
      <c r="S99">
        <v>30.119761860562232</v>
      </c>
      <c r="U99">
        <v>1.1535178712406557</v>
      </c>
      <c r="V99">
        <v>44.891190423092254</v>
      </c>
      <c r="W99">
        <v>19.801540235562662</v>
      </c>
      <c r="X99">
        <v>45.677136099646845</v>
      </c>
      <c r="Y99">
        <v>4.7331495601278464</v>
      </c>
      <c r="Z99">
        <v>25.312700811546826</v>
      </c>
      <c r="AA99">
        <v>1.6250244204241462</v>
      </c>
      <c r="AB99">
        <v>31.414730271592116</v>
      </c>
      <c r="AD99">
        <v>4.2692383704070931</v>
      </c>
      <c r="AE99">
        <v>10.614524249430058</v>
      </c>
      <c r="AF99">
        <v>12.36881376910525</v>
      </c>
      <c r="AG99">
        <v>16.7318452233906</v>
      </c>
      <c r="AH99">
        <v>2.3606504216232169</v>
      </c>
      <c r="AI99">
        <v>2.4483169635935536</v>
      </c>
      <c r="AK99">
        <v>42.064499446709824</v>
      </c>
    </row>
    <row r="100" spans="1:37" x14ac:dyDescent="0.2">
      <c r="A100">
        <v>99</v>
      </c>
      <c r="B100">
        <v>744</v>
      </c>
      <c r="C100">
        <v>250</v>
      </c>
      <c r="D100">
        <v>0.31987464975667701</v>
      </c>
      <c r="E100">
        <v>184.45896529099116</v>
      </c>
      <c r="F100">
        <v>50.060954341627088</v>
      </c>
      <c r="G100">
        <v>69.772792696786922</v>
      </c>
      <c r="H100">
        <v>65.141612758032394</v>
      </c>
      <c r="J100">
        <v>43.730750309913155</v>
      </c>
      <c r="L100">
        <v>2.3494700465516178</v>
      </c>
      <c r="M100">
        <v>12.672946351098174</v>
      </c>
      <c r="N100">
        <v>2.5106890904543211</v>
      </c>
      <c r="O100">
        <v>9.730829248500438</v>
      </c>
      <c r="P100">
        <v>7.8779645240292497</v>
      </c>
      <c r="R100">
        <v>8.1409943435531176</v>
      </c>
      <c r="S100">
        <v>29.44367977666796</v>
      </c>
      <c r="U100">
        <v>1.0468614156447</v>
      </c>
      <c r="V100">
        <v>44.888299112951884</v>
      </c>
      <c r="W100">
        <v>19.35500781627518</v>
      </c>
      <c r="X100">
        <v>45.436197183754146</v>
      </c>
      <c r="Y100">
        <v>4.3169804200915589</v>
      </c>
      <c r="Z100">
        <v>24.544791371516943</v>
      </c>
      <c r="AA100">
        <v>1.2388721515010765</v>
      </c>
      <c r="AB100">
        <v>31.25627504374118</v>
      </c>
      <c r="AD100">
        <v>3.805241511847949</v>
      </c>
      <c r="AE100">
        <v>10.316280096563055</v>
      </c>
      <c r="AF100">
        <v>12.317220614364031</v>
      </c>
      <c r="AG100">
        <v>16.543522421399238</v>
      </c>
      <c r="AH100">
        <v>1.7332078658233316</v>
      </c>
      <c r="AI100">
        <v>2.4516638775157729</v>
      </c>
      <c r="AK100">
        <v>41.89744331895578</v>
      </c>
    </row>
    <row r="101" spans="1:37" x14ac:dyDescent="0.2">
      <c r="A101">
        <v>100</v>
      </c>
      <c r="B101">
        <v>742</v>
      </c>
      <c r="C101">
        <v>250</v>
      </c>
      <c r="D101">
        <v>0.318396788651924</v>
      </c>
      <c r="E101">
        <v>184.60411826182369</v>
      </c>
      <c r="F101">
        <v>47.695673058476899</v>
      </c>
      <c r="G101">
        <v>69.678046069817981</v>
      </c>
      <c r="H101">
        <v>65.042412584474675</v>
      </c>
      <c r="J101">
        <v>34.610141122303382</v>
      </c>
      <c r="L101">
        <v>1.6164608614463358</v>
      </c>
      <c r="M101">
        <v>12.004981806125532</v>
      </c>
      <c r="N101">
        <v>2.514665283129609</v>
      </c>
      <c r="O101">
        <v>5.9277749013894718</v>
      </c>
      <c r="P101">
        <v>7.7356188631423137</v>
      </c>
      <c r="R101">
        <v>6.9550664595676546</v>
      </c>
      <c r="S101">
        <v>28.496515752857277</v>
      </c>
      <c r="U101">
        <v>0.97210812994141638</v>
      </c>
      <c r="V101">
        <v>45.86246024198249</v>
      </c>
      <c r="W101">
        <v>18.41347918206035</v>
      </c>
      <c r="X101">
        <v>45.293641705453638</v>
      </c>
      <c r="Y101">
        <v>3.7009618734276528</v>
      </c>
      <c r="Z101">
        <v>19.775116819715528</v>
      </c>
      <c r="AB101">
        <v>29.455194651997495</v>
      </c>
      <c r="AD101">
        <v>1.3697622984819047</v>
      </c>
      <c r="AE101">
        <v>7.6484792095353029</v>
      </c>
      <c r="AF101">
        <v>11.647050831704286</v>
      </c>
      <c r="AG101">
        <v>14.712622822231484</v>
      </c>
      <c r="AI101">
        <v>2.4550453710340086</v>
      </c>
      <c r="AK101">
        <v>35.572086715077255</v>
      </c>
    </row>
    <row r="102" spans="1:37" x14ac:dyDescent="0.2">
      <c r="A102">
        <v>101</v>
      </c>
      <c r="B102">
        <v>740</v>
      </c>
      <c r="C102">
        <v>250</v>
      </c>
      <c r="D102">
        <v>0.31691309282929903</v>
      </c>
      <c r="E102">
        <v>185.21267067629799</v>
      </c>
      <c r="F102">
        <v>47.958719591002342</v>
      </c>
      <c r="G102">
        <v>69.81053910610197</v>
      </c>
      <c r="H102">
        <v>65.170505389676691</v>
      </c>
      <c r="J102">
        <v>27.408862590693726</v>
      </c>
      <c r="L102">
        <v>1.6777971380958734</v>
      </c>
      <c r="M102">
        <v>10.910892965507959</v>
      </c>
      <c r="N102">
        <v>2.5186657188325676</v>
      </c>
      <c r="O102">
        <v>5.6222315442585167</v>
      </c>
      <c r="P102">
        <v>8.0478090479979247</v>
      </c>
      <c r="R102">
        <v>6.3360493050852265</v>
      </c>
      <c r="S102">
        <v>29.488935405475285</v>
      </c>
      <c r="U102">
        <v>0.920818684433648</v>
      </c>
      <c r="V102">
        <v>47.401362306243172</v>
      </c>
      <c r="W102">
        <v>17.172860239740295</v>
      </c>
      <c r="X102">
        <v>45.216962259171517</v>
      </c>
      <c r="Y102">
        <v>3.7278636362932436</v>
      </c>
      <c r="Z102">
        <v>17.00254347140941</v>
      </c>
      <c r="AB102">
        <v>28.895582858834494</v>
      </c>
      <c r="AD102">
        <v>3.4827938840351924E-3</v>
      </c>
      <c r="AE102">
        <v>6.0004105541942563</v>
      </c>
      <c r="AF102">
        <v>10.550782526342772</v>
      </c>
      <c r="AG102">
        <v>14.123226489254606</v>
      </c>
      <c r="AI102">
        <v>2.4584476809320526</v>
      </c>
      <c r="AK102">
        <v>30.45222304682083</v>
      </c>
    </row>
    <row r="103" spans="1:37" x14ac:dyDescent="0.2">
      <c r="A103">
        <v>102</v>
      </c>
      <c r="B103">
        <v>738</v>
      </c>
      <c r="C103">
        <v>250</v>
      </c>
      <c r="D103">
        <v>0.31542352766652099</v>
      </c>
      <c r="E103">
        <v>185.51428226911676</v>
      </c>
      <c r="F103">
        <v>49.095807983759229</v>
      </c>
      <c r="G103">
        <v>69.732522600093887</v>
      </c>
      <c r="H103">
        <v>65.088142139604813</v>
      </c>
      <c r="J103">
        <v>23.91788231540821</v>
      </c>
      <c r="L103">
        <v>1.7040728037747577</v>
      </c>
      <c r="M103">
        <v>10.024105424431646</v>
      </c>
      <c r="N103">
        <v>2.5226418742818444</v>
      </c>
      <c r="O103">
        <v>5.6783232854143861</v>
      </c>
      <c r="P103">
        <v>7.9389883334515812</v>
      </c>
      <c r="R103">
        <v>5.6241322652500383</v>
      </c>
      <c r="S103">
        <v>30.358647340931462</v>
      </c>
      <c r="U103">
        <v>0.8763697616892705</v>
      </c>
      <c r="V103">
        <v>48.582306903785039</v>
      </c>
      <c r="W103">
        <v>16.136121063571082</v>
      </c>
      <c r="X103">
        <v>45.160839938834371</v>
      </c>
      <c r="Y103">
        <v>3.6197983372655962</v>
      </c>
      <c r="Z103">
        <v>17.836883097970645</v>
      </c>
      <c r="AB103">
        <v>30.213073315762063</v>
      </c>
      <c r="AE103">
        <v>6.4718131054303534</v>
      </c>
      <c r="AF103">
        <v>9.6617928165617446</v>
      </c>
      <c r="AG103">
        <v>15.410918600406829</v>
      </c>
      <c r="AI103">
        <v>2.4618222692044607</v>
      </c>
      <c r="AK103">
        <v>27.886549207047786</v>
      </c>
    </row>
    <row r="104" spans="1:37" x14ac:dyDescent="0.2">
      <c r="A104">
        <v>103</v>
      </c>
      <c r="B104">
        <v>736</v>
      </c>
      <c r="C104">
        <v>250</v>
      </c>
      <c r="D104">
        <v>0.31392805826685999</v>
      </c>
      <c r="E104">
        <v>185.77687491903737</v>
      </c>
      <c r="F104">
        <v>49.844617105813136</v>
      </c>
      <c r="G104">
        <v>69.696095804232101</v>
      </c>
      <c r="H104">
        <v>65.047422258885035</v>
      </c>
      <c r="J104">
        <v>21.811478992813619</v>
      </c>
      <c r="L104">
        <v>1.7285716044007386</v>
      </c>
      <c r="M104">
        <v>9.2987311555980927</v>
      </c>
      <c r="N104">
        <v>2.5266141592011842</v>
      </c>
      <c r="O104">
        <v>5.6434306803309022</v>
      </c>
      <c r="P104">
        <v>7.913375824392813</v>
      </c>
      <c r="R104">
        <v>5.0624575912377168</v>
      </c>
      <c r="S104">
        <v>31.02623911560628</v>
      </c>
      <c r="U104">
        <v>0.83172275404857177</v>
      </c>
      <c r="V104">
        <v>49.535499686734461</v>
      </c>
      <c r="W104">
        <v>15.260800697790815</v>
      </c>
      <c r="X104">
        <v>45.104965375977542</v>
      </c>
      <c r="Y104">
        <v>3.56104996170771</v>
      </c>
      <c r="Z104">
        <v>17.92434013479561</v>
      </c>
      <c r="AB104">
        <v>30.934062383745644</v>
      </c>
      <c r="AE104">
        <v>6.5081831327497648</v>
      </c>
      <c r="AF104">
        <v>8.9342141313723733</v>
      </c>
      <c r="AG104">
        <v>16.102115976404495</v>
      </c>
      <c r="AI104">
        <v>2.4651895308516973</v>
      </c>
      <c r="AK104">
        <v>26.297611368517625</v>
      </c>
    </row>
    <row r="105" spans="1:37" x14ac:dyDescent="0.2">
      <c r="A105">
        <v>104</v>
      </c>
      <c r="B105">
        <v>734</v>
      </c>
      <c r="C105">
        <v>250</v>
      </c>
      <c r="D105">
        <v>0.31242664945638698</v>
      </c>
      <c r="E105">
        <v>185.99510702502405</v>
      </c>
      <c r="F105">
        <v>50.495162571615445</v>
      </c>
      <c r="G105">
        <v>69.659048371500745</v>
      </c>
      <c r="H105">
        <v>65.006135573374976</v>
      </c>
      <c r="J105">
        <v>20.319788144474213</v>
      </c>
      <c r="L105">
        <v>1.7496257939536917</v>
      </c>
      <c r="M105">
        <v>8.661334298498014</v>
      </c>
      <c r="N105">
        <v>2.5305822115263621</v>
      </c>
      <c r="O105">
        <v>5.6026452914389164</v>
      </c>
      <c r="P105">
        <v>7.8865506560886889</v>
      </c>
      <c r="R105">
        <v>4.5595294254020633</v>
      </c>
      <c r="S105">
        <v>31.601247753289016</v>
      </c>
      <c r="U105">
        <v>0.78702834776183939</v>
      </c>
      <c r="V105">
        <v>50.360341536268088</v>
      </c>
      <c r="W105">
        <v>14.473435598843563</v>
      </c>
      <c r="X105">
        <v>45.049773720711542</v>
      </c>
      <c r="Y105">
        <v>3.5118659212321379</v>
      </c>
      <c r="Z105">
        <v>17.996978739245368</v>
      </c>
      <c r="AB105">
        <v>31.558721477975915</v>
      </c>
      <c r="AE105">
        <v>6.5368509507345891</v>
      </c>
      <c r="AF105">
        <v>8.2946102949984741</v>
      </c>
      <c r="AG105">
        <v>16.696989720725316</v>
      </c>
      <c r="AI105">
        <v>2.4685490890873085</v>
      </c>
      <c r="AK105">
        <v>25.147886839557678</v>
      </c>
    </row>
    <row r="106" spans="1:37" x14ac:dyDescent="0.2">
      <c r="A106">
        <v>105</v>
      </c>
      <c r="B106">
        <v>732</v>
      </c>
      <c r="C106">
        <v>250</v>
      </c>
      <c r="D106">
        <v>0.31091926578122597</v>
      </c>
      <c r="E106">
        <v>186.18253985601365</v>
      </c>
      <c r="F106">
        <v>51.077620236059552</v>
      </c>
      <c r="G106">
        <v>69.621584908239953</v>
      </c>
      <c r="H106">
        <v>64.964486862970929</v>
      </c>
      <c r="J106">
        <v>19.184262134047405</v>
      </c>
      <c r="L106">
        <v>1.7683621519836743</v>
      </c>
      <c r="M106">
        <v>8.0850157799897833</v>
      </c>
      <c r="N106">
        <v>2.5345470267612344</v>
      </c>
      <c r="O106">
        <v>5.5585611769152639</v>
      </c>
      <c r="P106">
        <v>7.8589232291594024</v>
      </c>
      <c r="R106">
        <v>4.0981014256542574</v>
      </c>
      <c r="S106">
        <v>32.112946768266653</v>
      </c>
      <c r="U106">
        <v>0.74219656303339276</v>
      </c>
      <c r="V106">
        <v>51.096041655811298</v>
      </c>
      <c r="W106">
        <v>13.747181590594417</v>
      </c>
      <c r="X106">
        <v>44.99500036119435</v>
      </c>
      <c r="Y106">
        <v>3.4692766087112386</v>
      </c>
      <c r="Z106">
        <v>18.059493655171394</v>
      </c>
      <c r="AB106">
        <v>32.116885419891993</v>
      </c>
      <c r="AE106">
        <v>6.5602537973955197</v>
      </c>
      <c r="AF106">
        <v>7.7160832768088037</v>
      </c>
      <c r="AG106">
        <v>17.225375700987971</v>
      </c>
      <c r="AI106">
        <v>2.4719019246944316</v>
      </c>
      <c r="AK106">
        <v>24.255878208250053</v>
      </c>
    </row>
    <row r="107" spans="1:37" x14ac:dyDescent="0.2">
      <c r="A107">
        <v>106</v>
      </c>
      <c r="B107">
        <v>730</v>
      </c>
      <c r="C107">
        <v>250</v>
      </c>
      <c r="D107">
        <v>0.30940587150476501</v>
      </c>
      <c r="E107">
        <v>186.34697604287257</v>
      </c>
      <c r="F107">
        <v>51.609334074214466</v>
      </c>
      <c r="G107">
        <v>69.583824729862002</v>
      </c>
      <c r="H107">
        <v>64.922595617335602</v>
      </c>
      <c r="J107">
        <v>18.280141305278381</v>
      </c>
      <c r="L107">
        <v>1.7855816970367959</v>
      </c>
      <c r="M107">
        <v>7.5543562173736358</v>
      </c>
      <c r="N107">
        <v>2.5385091964688611</v>
      </c>
      <c r="O107">
        <v>5.5126721431287073</v>
      </c>
      <c r="P107">
        <v>7.8307329595250632</v>
      </c>
      <c r="R107">
        <v>3.6681913770346308</v>
      </c>
      <c r="S107">
        <v>32.577890522906721</v>
      </c>
      <c r="U107">
        <v>0.69720295666545484</v>
      </c>
      <c r="V107">
        <v>51.764973367850921</v>
      </c>
      <c r="W107">
        <v>13.066638348551825</v>
      </c>
      <c r="X107">
        <v>44.940570236666908</v>
      </c>
      <c r="Y107">
        <v>3.4315912094248322</v>
      </c>
      <c r="Z107">
        <v>18.114545963278864</v>
      </c>
      <c r="AB107">
        <v>32.62551201931209</v>
      </c>
      <c r="AE107">
        <v>6.5797709858531759</v>
      </c>
      <c r="AF107">
        <v>7.1832143328830833</v>
      </c>
      <c r="AG107">
        <v>17.70423236958203</v>
      </c>
      <c r="AI107">
        <v>2.4752486145187858</v>
      </c>
      <c r="AK107">
        <v>23.533219877710813</v>
      </c>
    </row>
    <row r="108" spans="1:37" x14ac:dyDescent="0.2">
      <c r="A108">
        <v>107</v>
      </c>
      <c r="B108">
        <v>760</v>
      </c>
      <c r="C108">
        <v>240</v>
      </c>
      <c r="D108">
        <v>0.34213860523641398</v>
      </c>
      <c r="E108">
        <v>180.672940771453</v>
      </c>
      <c r="F108">
        <v>56.509183846067089</v>
      </c>
      <c r="G108">
        <v>70.886640238532337</v>
      </c>
      <c r="H108">
        <v>66.29253604111355</v>
      </c>
      <c r="J108">
        <v>44.746315188622305</v>
      </c>
      <c r="L108">
        <v>3.8032819843145589</v>
      </c>
      <c r="M108">
        <v>13.74211470647745</v>
      </c>
      <c r="N108">
        <v>2.4536209137033866</v>
      </c>
      <c r="O108">
        <v>16.498491172212319</v>
      </c>
      <c r="P108">
        <v>9.6478981705985198</v>
      </c>
      <c r="Q108">
        <v>0.91366465116209894</v>
      </c>
      <c r="R108">
        <v>11.706930875869825</v>
      </c>
      <c r="S108">
        <v>36.369387423279413</v>
      </c>
      <c r="U108">
        <v>2.3098634609095616</v>
      </c>
      <c r="V108">
        <v>46.366378436833649</v>
      </c>
      <c r="W108">
        <v>23.027109357569191</v>
      </c>
      <c r="X108">
        <v>48.201272861297426</v>
      </c>
      <c r="Y108">
        <v>5.8612721001601464</v>
      </c>
      <c r="Z108">
        <v>28.129418627280625</v>
      </c>
      <c r="AA108">
        <v>2.7569341331650432</v>
      </c>
      <c r="AB108">
        <v>33.611663607755986</v>
      </c>
      <c r="AC108">
        <v>1.0808586813086383E-2</v>
      </c>
      <c r="AD108">
        <v>5.8849849488061805</v>
      </c>
      <c r="AE108">
        <v>11.949642830957782</v>
      </c>
      <c r="AF108">
        <v>13.409659079312036</v>
      </c>
      <c r="AG108">
        <v>19.155745550998336</v>
      </c>
      <c r="AH108">
        <v>4.043358901580957</v>
      </c>
      <c r="AI108">
        <v>2.3979636554206216</v>
      </c>
      <c r="AK108">
        <v>41.929991178154175</v>
      </c>
    </row>
    <row r="109" spans="1:37" x14ac:dyDescent="0.2">
      <c r="A109">
        <v>108</v>
      </c>
      <c r="B109">
        <v>758</v>
      </c>
      <c r="C109">
        <v>240</v>
      </c>
      <c r="D109">
        <v>0.34072685836202499</v>
      </c>
      <c r="E109">
        <v>180.45169544549069</v>
      </c>
      <c r="F109">
        <v>55.837218252443627</v>
      </c>
      <c r="G109">
        <v>70.773934670600468</v>
      </c>
      <c r="H109">
        <v>66.174948359638819</v>
      </c>
      <c r="J109">
        <v>44.646457028448758</v>
      </c>
      <c r="L109">
        <v>3.6538978903590142</v>
      </c>
      <c r="M109">
        <v>13.625387469198154</v>
      </c>
      <c r="N109">
        <v>2.4464254251906272</v>
      </c>
      <c r="O109">
        <v>15.788058503863974</v>
      </c>
      <c r="P109">
        <v>9.4582036170170145</v>
      </c>
      <c r="Q109">
        <v>0.78949926549740024</v>
      </c>
      <c r="R109">
        <v>11.328084444362165</v>
      </c>
      <c r="S109">
        <v>35.600683826641877</v>
      </c>
      <c r="U109">
        <v>2.1648182659305726</v>
      </c>
      <c r="V109">
        <v>46.175604611634888</v>
      </c>
      <c r="W109">
        <v>22.655029289135889</v>
      </c>
      <c r="X109">
        <v>47.844568681251289</v>
      </c>
      <c r="Y109">
        <v>5.7046986251983638</v>
      </c>
      <c r="Z109">
        <v>27.766048035508678</v>
      </c>
      <c r="AA109">
        <v>2.6022621047411159</v>
      </c>
      <c r="AB109">
        <v>33.351038615341146</v>
      </c>
      <c r="AD109">
        <v>5.6799243649618054</v>
      </c>
      <c r="AE109">
        <v>11.784468449439162</v>
      </c>
      <c r="AF109">
        <v>13.279541510834742</v>
      </c>
      <c r="AG109">
        <v>18.854074331492271</v>
      </c>
      <c r="AH109">
        <v>3.8089451319013317</v>
      </c>
      <c r="AI109">
        <v>2.3902012531879913</v>
      </c>
      <c r="AK109">
        <v>41.940645570164705</v>
      </c>
    </row>
    <row r="110" spans="1:37" x14ac:dyDescent="0.2">
      <c r="A110">
        <v>109</v>
      </c>
      <c r="B110">
        <v>756</v>
      </c>
      <c r="C110">
        <v>240</v>
      </c>
      <c r="D110">
        <v>0.33930962444735902</v>
      </c>
      <c r="E110">
        <v>180.20457972593738</v>
      </c>
      <c r="F110">
        <v>55.078807402679608</v>
      </c>
      <c r="G110">
        <v>70.648300746642548</v>
      </c>
      <c r="H110">
        <v>66.044484293301153</v>
      </c>
      <c r="J110">
        <v>44.499585189813168</v>
      </c>
      <c r="L110">
        <v>3.4907687688509177</v>
      </c>
      <c r="M110">
        <v>13.472345335359281</v>
      </c>
      <c r="N110">
        <v>2.4503790156932301</v>
      </c>
      <c r="O110">
        <v>15.042088086402366</v>
      </c>
      <c r="P110">
        <v>9.2538322252552252</v>
      </c>
      <c r="Q110">
        <v>0.63861232748766639</v>
      </c>
      <c r="R110">
        <v>10.891344459410281</v>
      </c>
      <c r="S110">
        <v>34.652940966290004</v>
      </c>
      <c r="U110">
        <v>1.988283746085836</v>
      </c>
      <c r="V110">
        <v>45.925046884492779</v>
      </c>
      <c r="W110">
        <v>22.215287091617128</v>
      </c>
      <c r="X110">
        <v>47.381345437931607</v>
      </c>
      <c r="Y110">
        <v>5.5287765375661015</v>
      </c>
      <c r="Z110">
        <v>27.354603703162038</v>
      </c>
      <c r="AA110">
        <v>2.4340223030385677</v>
      </c>
      <c r="AB110">
        <v>33.028884422254599</v>
      </c>
      <c r="AD110">
        <v>5.4431462284336192</v>
      </c>
      <c r="AE110">
        <v>11.601049318039566</v>
      </c>
      <c r="AF110">
        <v>13.124259300786683</v>
      </c>
      <c r="AG110">
        <v>18.502033028503501</v>
      </c>
      <c r="AH110">
        <v>3.5336471069238296</v>
      </c>
      <c r="AI110">
        <v>2.3935846210662493</v>
      </c>
      <c r="AK110">
        <v>41.934241177983743</v>
      </c>
    </row>
    <row r="111" spans="1:37" x14ac:dyDescent="0.2">
      <c r="A111">
        <v>110</v>
      </c>
      <c r="B111">
        <v>754</v>
      </c>
      <c r="C111">
        <v>240</v>
      </c>
      <c r="D111">
        <v>0.33788687144039198</v>
      </c>
      <c r="E111">
        <v>179.95805666680963</v>
      </c>
      <c r="F111">
        <v>54.323076525543726</v>
      </c>
      <c r="G111">
        <v>70.522987634821021</v>
      </c>
      <c r="H111">
        <v>65.914393176487806</v>
      </c>
      <c r="J111">
        <v>44.355053912938224</v>
      </c>
      <c r="L111">
        <v>3.3282781802699537</v>
      </c>
      <c r="M111">
        <v>13.319868591637411</v>
      </c>
      <c r="N111">
        <v>2.4543321049645428</v>
      </c>
      <c r="O111">
        <v>14.298499640696816</v>
      </c>
      <c r="P111">
        <v>9.050132932375698</v>
      </c>
      <c r="Q111">
        <v>0.48806053843059288</v>
      </c>
      <c r="R111">
        <v>10.455971849298292</v>
      </c>
      <c r="S111">
        <v>33.708781571468812</v>
      </c>
      <c r="U111">
        <v>1.8120001743700336</v>
      </c>
      <c r="V111">
        <v>45.675288773174302</v>
      </c>
      <c r="W111">
        <v>21.776639947116553</v>
      </c>
      <c r="X111">
        <v>46.919766328429318</v>
      </c>
      <c r="Y111">
        <v>5.3534343863376268</v>
      </c>
      <c r="Z111">
        <v>26.944340467086406</v>
      </c>
      <c r="AA111">
        <v>2.2664248684491977</v>
      </c>
      <c r="AB111">
        <v>32.707810191101011</v>
      </c>
      <c r="AD111">
        <v>5.2068372115990904</v>
      </c>
      <c r="AE111">
        <v>11.418135964128197</v>
      </c>
      <c r="AF111">
        <v>12.969543200334446</v>
      </c>
      <c r="AG111">
        <v>18.151081271621724</v>
      </c>
      <c r="AH111">
        <v>3.259232333734432</v>
      </c>
      <c r="AI111">
        <v>2.3969641641012975</v>
      </c>
      <c r="AK111">
        <v>41.929061075494793</v>
      </c>
    </row>
    <row r="112" spans="1:37" x14ac:dyDescent="0.2">
      <c r="A112">
        <v>111</v>
      </c>
      <c r="B112">
        <v>752</v>
      </c>
      <c r="C112">
        <v>240</v>
      </c>
      <c r="D112">
        <v>0.33645856703896998</v>
      </c>
      <c r="E112">
        <v>179.71212291366714</v>
      </c>
      <c r="F112">
        <v>53.570012341590044</v>
      </c>
      <c r="G112">
        <v>70.397994062403967</v>
      </c>
      <c r="H112">
        <v>65.784673903337506</v>
      </c>
      <c r="J112">
        <v>44.212859091655382</v>
      </c>
      <c r="L112">
        <v>3.1663704275820748</v>
      </c>
      <c r="M112">
        <v>13.167953644991211</v>
      </c>
      <c r="N112">
        <v>2.4582846977582684</v>
      </c>
      <c r="O112">
        <v>13.557282974496152</v>
      </c>
      <c r="P112">
        <v>8.8471033796629204</v>
      </c>
      <c r="Q112">
        <v>0.33784194300715947</v>
      </c>
      <c r="R112">
        <v>10.021957749493323</v>
      </c>
      <c r="S112">
        <v>32.768184057889783</v>
      </c>
      <c r="U112">
        <v>1.635964792156382</v>
      </c>
      <c r="V112">
        <v>45.426324612184452</v>
      </c>
      <c r="W112">
        <v>21.339080963270742</v>
      </c>
      <c r="X112">
        <v>46.459819683486494</v>
      </c>
      <c r="Y112">
        <v>5.1786689173199809</v>
      </c>
      <c r="Z112">
        <v>26.535251797779864</v>
      </c>
      <c r="AA112">
        <v>2.099466728633459</v>
      </c>
      <c r="AB112">
        <v>32.387809366826744</v>
      </c>
      <c r="AD112">
        <v>4.9709968691370596</v>
      </c>
      <c r="AE112">
        <v>11.235725374757553</v>
      </c>
      <c r="AF112">
        <v>12.815389666128578</v>
      </c>
      <c r="AG112">
        <v>17.801212558079605</v>
      </c>
      <c r="AH112">
        <v>2.9856977632877042</v>
      </c>
      <c r="AI112">
        <v>2.4003398723350857</v>
      </c>
      <c r="AK112">
        <v>41.925104253563269</v>
      </c>
    </row>
    <row r="113" spans="1:37" x14ac:dyDescent="0.2">
      <c r="A113">
        <v>112</v>
      </c>
      <c r="B113">
        <v>750</v>
      </c>
      <c r="C113">
        <v>240</v>
      </c>
      <c r="D113">
        <v>0.335024678688366</v>
      </c>
      <c r="E113">
        <v>179.46677517575495</v>
      </c>
      <c r="F113">
        <v>52.81960186860119</v>
      </c>
      <c r="G113">
        <v>70.273318790469276</v>
      </c>
      <c r="H113">
        <v>65.655325402451638</v>
      </c>
      <c r="J113">
        <v>44.072996745156878</v>
      </c>
      <c r="L113">
        <v>3.0051383461520089</v>
      </c>
      <c r="M113">
        <v>13.01659696425666</v>
      </c>
      <c r="N113">
        <v>2.4622367987508107</v>
      </c>
      <c r="O113">
        <v>12.818428129778114</v>
      </c>
      <c r="P113">
        <v>8.6447412769525389</v>
      </c>
      <c r="Q113">
        <v>0.18795640108854428</v>
      </c>
      <c r="R113">
        <v>9.5892934681591395</v>
      </c>
      <c r="S113">
        <v>31.831127202002673</v>
      </c>
      <c r="U113">
        <v>1.4601749036599538</v>
      </c>
      <c r="V113">
        <v>45.17814873745251</v>
      </c>
      <c r="W113">
        <v>20.902603377279014</v>
      </c>
      <c r="X113">
        <v>46.001494015715679</v>
      </c>
      <c r="Y113">
        <v>5.0044769525860282</v>
      </c>
      <c r="Z113">
        <v>26.127331313308908</v>
      </c>
      <c r="AA113">
        <v>1.9331448717748718</v>
      </c>
      <c r="AB113">
        <v>32.068875522440145</v>
      </c>
      <c r="AD113">
        <v>4.7356247932283626</v>
      </c>
      <c r="AE113">
        <v>11.05381460383547</v>
      </c>
      <c r="AF113">
        <v>12.661795216822203</v>
      </c>
      <c r="AG113">
        <v>17.452420513396714</v>
      </c>
      <c r="AH113">
        <v>2.7130404434910713</v>
      </c>
      <c r="AI113">
        <v>2.4037117357288871</v>
      </c>
      <c r="AK113">
        <v>41.922369764325381</v>
      </c>
    </row>
    <row r="114" spans="1:37" x14ac:dyDescent="0.2">
      <c r="A114">
        <v>113</v>
      </c>
      <c r="B114">
        <v>748</v>
      </c>
      <c r="C114">
        <v>240</v>
      </c>
      <c r="D114">
        <v>0.33358517357881101</v>
      </c>
      <c r="E114">
        <v>179.22201022472072</v>
      </c>
      <c r="F114">
        <v>52.071832416103824</v>
      </c>
      <c r="G114">
        <v>70.148960613257344</v>
      </c>
      <c r="H114">
        <v>65.526346636247439</v>
      </c>
      <c r="J114">
        <v>43.935463015245389</v>
      </c>
      <c r="L114">
        <v>2.8445389542325463</v>
      </c>
      <c r="M114">
        <v>12.865795078664139</v>
      </c>
      <c r="N114">
        <v>2.4661884126877229</v>
      </c>
      <c r="O114">
        <v>12.081925378718289</v>
      </c>
      <c r="P114">
        <v>8.4430444014958432</v>
      </c>
      <c r="Q114">
        <v>3.8404692030253672E-2</v>
      </c>
      <c r="R114">
        <v>9.1579704831498834</v>
      </c>
      <c r="S114">
        <v>30.897590132433649</v>
      </c>
      <c r="U114">
        <v>1.2846278745895483</v>
      </c>
      <c r="V114">
        <v>44.930755478830982</v>
      </c>
      <c r="W114">
        <v>20.467200552902888</v>
      </c>
      <c r="X114">
        <v>45.544778014778316</v>
      </c>
      <c r="Y114">
        <v>4.8308553894306216</v>
      </c>
      <c r="Z114">
        <v>25.720572776640608</v>
      </c>
      <c r="AA114">
        <v>1.7674563464799939</v>
      </c>
      <c r="AB114">
        <v>31.751002356129082</v>
      </c>
      <c r="AD114">
        <v>4.5007206139991238</v>
      </c>
      <c r="AE114">
        <v>10.872400770837915</v>
      </c>
      <c r="AF114">
        <v>12.50875643173735</v>
      </c>
      <c r="AG114">
        <v>17.10469888864607</v>
      </c>
      <c r="AH114">
        <v>2.4412575200275701</v>
      </c>
      <c r="AI114">
        <v>2.4070797443099838</v>
      </c>
      <c r="AK114">
        <v>41.920856719960632</v>
      </c>
    </row>
    <row r="115" spans="1:37" x14ac:dyDescent="0.2">
      <c r="A115">
        <v>114</v>
      </c>
      <c r="B115">
        <v>746</v>
      </c>
      <c r="C115">
        <v>240</v>
      </c>
      <c r="D115">
        <v>0.33214001864298798</v>
      </c>
      <c r="E115">
        <v>178.86051232168245</v>
      </c>
      <c r="F115">
        <v>50.542451617673876</v>
      </c>
      <c r="G115">
        <v>69.885405540663612</v>
      </c>
      <c r="H115">
        <v>65.258223783456586</v>
      </c>
      <c r="J115">
        <v>43.674662780618938</v>
      </c>
      <c r="L115">
        <v>2.452205498389183</v>
      </c>
      <c r="M115">
        <v>12.828297457822881</v>
      </c>
      <c r="N115">
        <v>2.4701279206033515</v>
      </c>
      <c r="O115">
        <v>10.441076322290094</v>
      </c>
      <c r="P115">
        <v>7.9629733391724713</v>
      </c>
      <c r="R115">
        <v>8.5786892820416227</v>
      </c>
      <c r="S115">
        <v>30.247661034331223</v>
      </c>
      <c r="U115">
        <v>1.1866132866958996</v>
      </c>
      <c r="V115">
        <v>44.954824723355529</v>
      </c>
      <c r="W115">
        <v>20.018462133878788</v>
      </c>
      <c r="X115">
        <v>45.331530780915948</v>
      </c>
      <c r="Y115">
        <v>4.3870622313651371</v>
      </c>
      <c r="Z115">
        <v>24.911216048291529</v>
      </c>
      <c r="AA115">
        <v>1.3561903355887699</v>
      </c>
      <c r="AB115">
        <v>31.608624518163115</v>
      </c>
      <c r="AD115">
        <v>4.0110577251904944</v>
      </c>
      <c r="AE115">
        <v>10.560427939065976</v>
      </c>
      <c r="AF115">
        <v>12.469011207065677</v>
      </c>
      <c r="AG115">
        <v>16.932470763583073</v>
      </c>
      <c r="AH115">
        <v>1.7735391020713838</v>
      </c>
      <c r="AI115">
        <v>2.4104322643923526</v>
      </c>
      <c r="AK115">
        <v>41.735009260493513</v>
      </c>
    </row>
    <row r="116" spans="1:37" x14ac:dyDescent="0.2">
      <c r="A116">
        <v>115</v>
      </c>
      <c r="B116">
        <v>744</v>
      </c>
      <c r="C116">
        <v>240</v>
      </c>
      <c r="D116">
        <v>0.33068918055350899</v>
      </c>
      <c r="E116">
        <v>178.78533354780012</v>
      </c>
      <c r="F116">
        <v>48.254004466961042</v>
      </c>
      <c r="G116">
        <v>69.698590275867957</v>
      </c>
      <c r="H116">
        <v>65.06689371675823</v>
      </c>
      <c r="J116">
        <v>37.553311161638788</v>
      </c>
      <c r="L116">
        <v>1.5847823475686746</v>
      </c>
      <c r="M116">
        <v>12.449355006390064</v>
      </c>
      <c r="N116">
        <v>2.4740878266605635</v>
      </c>
      <c r="O116">
        <v>6.2088698129336546</v>
      </c>
      <c r="P116">
        <v>7.6364341865919538</v>
      </c>
      <c r="R116">
        <v>7.3788691342971653</v>
      </c>
      <c r="S116">
        <v>28.705929494635551</v>
      </c>
      <c r="U116">
        <v>1.1273607167643487</v>
      </c>
      <c r="V116">
        <v>45.472152427435802</v>
      </c>
      <c r="W116">
        <v>19.291376542052024</v>
      </c>
      <c r="X116">
        <v>45.235377557766853</v>
      </c>
      <c r="Y116">
        <v>3.6483966583405265</v>
      </c>
      <c r="Z116">
        <v>21.459957464040514</v>
      </c>
      <c r="AB116">
        <v>30.278364438003475</v>
      </c>
      <c r="AD116">
        <v>2.1946876128768169</v>
      </c>
      <c r="AE116">
        <v>8.6864615639189857</v>
      </c>
      <c r="AF116">
        <v>12.087842997383918</v>
      </c>
      <c r="AG116">
        <v>15.572391120589671</v>
      </c>
      <c r="AI116">
        <v>2.4138017854161649</v>
      </c>
      <c r="AK116">
        <v>37.517274848523741</v>
      </c>
    </row>
    <row r="117" spans="1:37" x14ac:dyDescent="0.2">
      <c r="A117">
        <v>116</v>
      </c>
      <c r="B117">
        <v>742</v>
      </c>
      <c r="C117">
        <v>240</v>
      </c>
      <c r="D117">
        <v>0.32923262572033701</v>
      </c>
      <c r="E117">
        <v>179.48783910507888</v>
      </c>
      <c r="F117">
        <v>48.237229819537511</v>
      </c>
      <c r="G117">
        <v>69.879800810552666</v>
      </c>
      <c r="H117">
        <v>65.24364259799988</v>
      </c>
      <c r="J117">
        <v>28.35994011288599</v>
      </c>
      <c r="L117">
        <v>1.6549905743833624</v>
      </c>
      <c r="M117">
        <v>11.27906376778734</v>
      </c>
      <c r="N117">
        <v>2.4780966520684991</v>
      </c>
      <c r="O117">
        <v>5.8287175745969568</v>
      </c>
      <c r="P117">
        <v>8.0460276354585876</v>
      </c>
      <c r="R117">
        <v>6.7505456071547805</v>
      </c>
      <c r="S117">
        <v>29.679110143063919</v>
      </c>
      <c r="U117">
        <v>1.0829968243931003</v>
      </c>
      <c r="V117">
        <v>47.103729905667358</v>
      </c>
      <c r="W117">
        <v>17.969858916364615</v>
      </c>
      <c r="X117">
        <v>45.179179829071799</v>
      </c>
      <c r="Y117">
        <v>3.7026422321449219</v>
      </c>
      <c r="Z117">
        <v>17.670949654850524</v>
      </c>
      <c r="AB117">
        <v>29.144394259559537</v>
      </c>
      <c r="AD117">
        <v>0.34762356878474299</v>
      </c>
      <c r="AE117">
        <v>6.4245948196503013</v>
      </c>
      <c r="AF117">
        <v>10.915376413286079</v>
      </c>
      <c r="AG117">
        <v>14.408660673859858</v>
      </c>
      <c r="AI117">
        <v>2.4172168138675145</v>
      </c>
      <c r="AK117">
        <v>31.056639496714087</v>
      </c>
    </row>
    <row r="118" spans="1:37" x14ac:dyDescent="0.2">
      <c r="A118">
        <v>117</v>
      </c>
      <c r="B118">
        <v>740</v>
      </c>
      <c r="C118">
        <v>240</v>
      </c>
      <c r="D118">
        <v>0.32777032028821201</v>
      </c>
      <c r="E118">
        <v>179.84949971790579</v>
      </c>
      <c r="F118">
        <v>49.194714889593563</v>
      </c>
      <c r="G118">
        <v>69.846384817433446</v>
      </c>
      <c r="H118">
        <v>65.205818270733943</v>
      </c>
      <c r="J118">
        <v>24.465164623959051</v>
      </c>
      <c r="L118">
        <v>1.6869863601823016</v>
      </c>
      <c r="M118">
        <v>10.365787606949253</v>
      </c>
      <c r="N118">
        <v>2.482078471209447</v>
      </c>
      <c r="O118">
        <v>5.8004186043143298</v>
      </c>
      <c r="P118">
        <v>8.0263732937653387</v>
      </c>
      <c r="R118">
        <v>6.0628199775287257</v>
      </c>
      <c r="S118">
        <v>30.517142284266914</v>
      </c>
      <c r="U118">
        <v>1.0405825268210707</v>
      </c>
      <c r="V118">
        <v>48.322028851496633</v>
      </c>
      <c r="W118">
        <v>16.904399242495369</v>
      </c>
      <c r="X118">
        <v>45.12951055573928</v>
      </c>
      <c r="Y118">
        <v>3.6230455845083775</v>
      </c>
      <c r="Z118">
        <v>17.764908733418974</v>
      </c>
      <c r="AB118">
        <v>30.04274191929338</v>
      </c>
      <c r="AE118">
        <v>6.4625820431310128</v>
      </c>
      <c r="AF118">
        <v>9.9998994402553549</v>
      </c>
      <c r="AG118">
        <v>15.277231483624412</v>
      </c>
      <c r="AI118">
        <v>2.4206014094041315</v>
      </c>
      <c r="AK118">
        <v>28.217447844929282</v>
      </c>
    </row>
    <row r="119" spans="1:37" x14ac:dyDescent="0.2">
      <c r="A119">
        <v>118</v>
      </c>
      <c r="B119">
        <v>738</v>
      </c>
      <c r="C119">
        <v>240</v>
      </c>
      <c r="D119">
        <v>0.326302230134007</v>
      </c>
      <c r="E119">
        <v>180.12600734547064</v>
      </c>
      <c r="F119">
        <v>49.974363266808588</v>
      </c>
      <c r="G119">
        <v>69.810085758341387</v>
      </c>
      <c r="H119">
        <v>65.165164368301078</v>
      </c>
      <c r="J119">
        <v>22.161350957319609</v>
      </c>
      <c r="L119">
        <v>1.7120886349883002</v>
      </c>
      <c r="M119">
        <v>9.6153140358829656</v>
      </c>
      <c r="N119">
        <v>2.4860535050606609</v>
      </c>
      <c r="O119">
        <v>5.7617611472342976</v>
      </c>
      <c r="P119">
        <v>8.0009784953871321</v>
      </c>
      <c r="R119">
        <v>5.4816892790393883</v>
      </c>
      <c r="S119">
        <v>31.19475436410281</v>
      </c>
      <c r="U119">
        <v>0.99700705545127521</v>
      </c>
      <c r="V119">
        <v>49.307641174899928</v>
      </c>
      <c r="W119">
        <v>16.002275019106055</v>
      </c>
      <c r="X119">
        <v>45.077346939853456</v>
      </c>
      <c r="Y119">
        <v>3.5603905942253342</v>
      </c>
      <c r="Z119">
        <v>17.857441623366316</v>
      </c>
      <c r="AB119">
        <v>30.784263664835446</v>
      </c>
      <c r="AE119">
        <v>6.5016718147583452</v>
      </c>
      <c r="AF119">
        <v>9.2472198576553293</v>
      </c>
      <c r="AG119">
        <v>15.988980068198497</v>
      </c>
      <c r="AI119">
        <v>2.4239757782791762</v>
      </c>
      <c r="AK119">
        <v>26.491401974980946</v>
      </c>
    </row>
    <row r="120" spans="1:37" x14ac:dyDescent="0.2">
      <c r="A120">
        <v>119</v>
      </c>
      <c r="B120">
        <v>736</v>
      </c>
      <c r="C120">
        <v>240</v>
      </c>
      <c r="D120">
        <v>0.32482832086409602</v>
      </c>
      <c r="E120">
        <v>180.35331467386303</v>
      </c>
      <c r="F120">
        <v>50.6448873004775</v>
      </c>
      <c r="G120">
        <v>69.773065043119161</v>
      </c>
      <c r="H120">
        <v>65.123842472733841</v>
      </c>
      <c r="J120">
        <v>20.563752547956135</v>
      </c>
      <c r="L120">
        <v>1.7334407873251148</v>
      </c>
      <c r="M120">
        <v>8.9611477429375732</v>
      </c>
      <c r="N120">
        <v>2.4900241159426901</v>
      </c>
      <c r="O120">
        <v>5.7164668295119592</v>
      </c>
      <c r="P120">
        <v>7.9741686126301312</v>
      </c>
      <c r="R120">
        <v>4.9654550645296238</v>
      </c>
      <c r="S120">
        <v>31.776155652770598</v>
      </c>
      <c r="U120">
        <v>0.95281201249580794</v>
      </c>
      <c r="V120">
        <v>50.154860066616166</v>
      </c>
      <c r="W120">
        <v>15.196726478962468</v>
      </c>
      <c r="X120">
        <v>45.024233703876135</v>
      </c>
      <c r="Y120">
        <v>3.5083651554635895</v>
      </c>
      <c r="Z120">
        <v>17.933436302500162</v>
      </c>
      <c r="AB120">
        <v>31.423096273063528</v>
      </c>
      <c r="AE120">
        <v>6.5321818921980599</v>
      </c>
      <c r="AF120">
        <v>8.5908447627400477</v>
      </c>
      <c r="AG120">
        <v>16.598045616809372</v>
      </c>
      <c r="AI120">
        <v>2.4273422680896859</v>
      </c>
      <c r="AK120">
        <v>25.267397584172198</v>
      </c>
    </row>
    <row r="121" spans="1:37" x14ac:dyDescent="0.2">
      <c r="A121">
        <v>120</v>
      </c>
      <c r="B121">
        <v>734</v>
      </c>
      <c r="C121">
        <v>240</v>
      </c>
      <c r="D121">
        <v>0.32334855781164801</v>
      </c>
      <c r="E121">
        <v>180.54725926380235</v>
      </c>
      <c r="F121">
        <v>51.241571543582388</v>
      </c>
      <c r="G121">
        <v>69.735577930802634</v>
      </c>
      <c r="H121">
        <v>65.08210801593836</v>
      </c>
      <c r="J121">
        <v>19.362046934056654</v>
      </c>
      <c r="L121">
        <v>1.7523893688282077</v>
      </c>
      <c r="M121">
        <v>8.3725115822539831</v>
      </c>
      <c r="N121">
        <v>2.4939913920181858</v>
      </c>
      <c r="O121">
        <v>5.6675175495100376</v>
      </c>
      <c r="P121">
        <v>7.9464554431008168</v>
      </c>
      <c r="R121">
        <v>4.4940022538788105</v>
      </c>
      <c r="S121">
        <v>32.292145025327912</v>
      </c>
      <c r="U121">
        <v>0.90819138513324094</v>
      </c>
      <c r="V121">
        <v>50.907463972190591</v>
      </c>
      <c r="W121">
        <v>14.456885621160101</v>
      </c>
      <c r="X121">
        <v>44.97072141070884</v>
      </c>
      <c r="Y121">
        <v>3.4635264327223338</v>
      </c>
      <c r="Z121">
        <v>17.998384347555685</v>
      </c>
      <c r="AB121">
        <v>31.991922472457247</v>
      </c>
      <c r="AE121">
        <v>6.5569534864418832</v>
      </c>
      <c r="AF121">
        <v>7.999998144611566</v>
      </c>
      <c r="AG121">
        <v>17.137111996449622</v>
      </c>
      <c r="AI121">
        <v>2.4307019522760815</v>
      </c>
      <c r="AK121">
        <v>24.328606028832734</v>
      </c>
    </row>
    <row r="122" spans="1:37" x14ac:dyDescent="0.2">
      <c r="A122">
        <v>121</v>
      </c>
      <c r="B122">
        <v>732</v>
      </c>
      <c r="C122">
        <v>240</v>
      </c>
      <c r="D122">
        <v>0.32186290603392398</v>
      </c>
      <c r="E122">
        <v>180.71665239591468</v>
      </c>
      <c r="F122">
        <v>51.784023451047858</v>
      </c>
      <c r="G122">
        <v>69.69776506404142</v>
      </c>
      <c r="H122">
        <v>65.040101814123631</v>
      </c>
      <c r="J122">
        <v>18.412432813506779</v>
      </c>
      <c r="L122">
        <v>1.7695916082289369</v>
      </c>
      <c r="M122">
        <v>7.8322494200505437</v>
      </c>
      <c r="N122">
        <v>2.4979559648558687</v>
      </c>
      <c r="O122">
        <v>5.6165587218541635</v>
      </c>
      <c r="P122">
        <v>7.9181210961177211</v>
      </c>
      <c r="R122">
        <v>4.0560706217950129</v>
      </c>
      <c r="S122">
        <v>32.760033411631539</v>
      </c>
      <c r="U122">
        <v>0.86323859253379631</v>
      </c>
      <c r="V122">
        <v>51.589918812831662</v>
      </c>
      <c r="W122">
        <v>13.765554738483516</v>
      </c>
      <c r="X122">
        <v>44.917073261561136</v>
      </c>
      <c r="Y122">
        <v>3.4239647941700739</v>
      </c>
      <c r="Z122">
        <v>18.055304209197686</v>
      </c>
      <c r="AB122">
        <v>32.509023829703303</v>
      </c>
      <c r="AE122">
        <v>6.5775480310934515</v>
      </c>
      <c r="AF122">
        <v>7.4575245480626657</v>
      </c>
      <c r="AG122">
        <v>17.624461456051886</v>
      </c>
      <c r="AI122">
        <v>2.4340554476867156</v>
      </c>
      <c r="AK122">
        <v>23.573586716754605</v>
      </c>
    </row>
    <row r="123" spans="1:37" x14ac:dyDescent="0.2">
      <c r="A123">
        <v>122</v>
      </c>
      <c r="B123">
        <v>760</v>
      </c>
      <c r="C123">
        <v>230</v>
      </c>
      <c r="D123">
        <v>0.35278565551952901</v>
      </c>
      <c r="E123">
        <v>174.83856693731087</v>
      </c>
      <c r="F123">
        <v>56.311380197161029</v>
      </c>
      <c r="G123">
        <v>70.888909119327081</v>
      </c>
      <c r="H123">
        <v>66.294354981661314</v>
      </c>
      <c r="J123">
        <v>44.57337231927746</v>
      </c>
      <c r="L123">
        <v>3.7662220273986531</v>
      </c>
      <c r="M123">
        <v>13.732989100933377</v>
      </c>
      <c r="N123">
        <v>2.4156625928393858</v>
      </c>
      <c r="O123">
        <v>16.568440927217996</v>
      </c>
      <c r="P123">
        <v>9.5580156900616888</v>
      </c>
      <c r="Q123">
        <v>0.74819390614334136</v>
      </c>
      <c r="R123">
        <v>11.723227492501538</v>
      </c>
      <c r="S123">
        <v>36.215348656543895</v>
      </c>
      <c r="U123">
        <v>2.2717611142800327</v>
      </c>
      <c r="V123">
        <v>46.154214779929639</v>
      </c>
      <c r="W123">
        <v>23.265127490942366</v>
      </c>
      <c r="X123">
        <v>47.602590719343617</v>
      </c>
      <c r="Y123">
        <v>5.7839921476242484</v>
      </c>
      <c r="Z123">
        <v>28.121861145453529</v>
      </c>
      <c r="AA123">
        <v>2.7304481105932425</v>
      </c>
      <c r="AB123">
        <v>33.626340873527191</v>
      </c>
      <c r="AC123">
        <v>9.4813727778908057E-3</v>
      </c>
      <c r="AD123">
        <v>5.8759668462132844</v>
      </c>
      <c r="AE123">
        <v>12.023114619782785</v>
      </c>
      <c r="AF123">
        <v>13.393414001613081</v>
      </c>
      <c r="AG123">
        <v>19.175631084875285</v>
      </c>
      <c r="AH123">
        <v>3.8506889171756429</v>
      </c>
      <c r="AI123">
        <v>2.3587468303266741</v>
      </c>
      <c r="AK123">
        <v>41.784418939842993</v>
      </c>
    </row>
    <row r="124" spans="1:37" x14ac:dyDescent="0.2">
      <c r="A124">
        <v>123</v>
      </c>
      <c r="B124">
        <v>758</v>
      </c>
      <c r="C124">
        <v>230</v>
      </c>
      <c r="D124">
        <v>0.35139455947243498</v>
      </c>
      <c r="E124">
        <v>174.61476476038285</v>
      </c>
      <c r="F124">
        <v>55.631045608720662</v>
      </c>
      <c r="G124">
        <v>70.774823600081746</v>
      </c>
      <c r="H124">
        <v>66.175379211709853</v>
      </c>
      <c r="J124">
        <v>44.468026667238881</v>
      </c>
      <c r="L124">
        <v>3.6156098024408965</v>
      </c>
      <c r="M124">
        <v>13.612558665043975</v>
      </c>
      <c r="N124">
        <v>2.4098026096014498</v>
      </c>
      <c r="O124">
        <v>15.854277248254681</v>
      </c>
      <c r="P124">
        <v>9.3668889490619627</v>
      </c>
      <c r="Q124">
        <v>0.62143517357997391</v>
      </c>
      <c r="R124">
        <v>11.338708216197444</v>
      </c>
      <c r="S124">
        <v>35.427613506714749</v>
      </c>
      <c r="U124">
        <v>2.1232107702667138</v>
      </c>
      <c r="V124">
        <v>45.957422588946052</v>
      </c>
      <c r="W124">
        <v>22.885567793240131</v>
      </c>
      <c r="X124">
        <v>47.235419560395194</v>
      </c>
      <c r="Y124">
        <v>5.6254050496124979</v>
      </c>
      <c r="Z124">
        <v>27.754021162016802</v>
      </c>
      <c r="AA124">
        <v>2.5745922230112046</v>
      </c>
      <c r="AB124">
        <v>33.359391962348099</v>
      </c>
      <c r="AD124">
        <v>5.668032664493408</v>
      </c>
      <c r="AE124">
        <v>11.856223328606582</v>
      </c>
      <c r="AF124">
        <v>13.260925922020258</v>
      </c>
      <c r="AG124">
        <v>18.868997758286156</v>
      </c>
      <c r="AH124">
        <v>3.6119148604027598</v>
      </c>
      <c r="AI124">
        <v>2.3523208355693335</v>
      </c>
      <c r="AK124">
        <v>41.793269958287638</v>
      </c>
    </row>
    <row r="125" spans="1:37" x14ac:dyDescent="0.2">
      <c r="A125">
        <v>124</v>
      </c>
      <c r="B125">
        <v>756</v>
      </c>
      <c r="C125">
        <v>230</v>
      </c>
      <c r="D125">
        <v>0.34999805664869299</v>
      </c>
      <c r="E125">
        <v>174.36817985221188</v>
      </c>
      <c r="F125">
        <v>54.875014703189173</v>
      </c>
      <c r="G125">
        <v>70.649395432662828</v>
      </c>
      <c r="H125">
        <v>66.045112768537038</v>
      </c>
      <c r="J125">
        <v>44.32138386958782</v>
      </c>
      <c r="L125">
        <v>3.4530142982576764</v>
      </c>
      <c r="M125">
        <v>13.460243264845403</v>
      </c>
      <c r="N125">
        <v>2.413758128644814</v>
      </c>
      <c r="O125">
        <v>15.109326525123622</v>
      </c>
      <c r="P125">
        <v>9.1629232038601884</v>
      </c>
      <c r="Q125">
        <v>0.47111251590740616</v>
      </c>
      <c r="R125">
        <v>10.903419769177773</v>
      </c>
      <c r="S125">
        <v>34.482806401775058</v>
      </c>
      <c r="U125">
        <v>1.9468969676261056</v>
      </c>
      <c r="V125">
        <v>45.708022710837909</v>
      </c>
      <c r="W125">
        <v>22.446662368346651</v>
      </c>
      <c r="X125">
        <v>46.774466886331929</v>
      </c>
      <c r="Y125">
        <v>5.4498872361012323</v>
      </c>
      <c r="Z125">
        <v>27.344445983271186</v>
      </c>
      <c r="AA125">
        <v>2.4069130568135515</v>
      </c>
      <c r="AB125">
        <v>33.038665800174549</v>
      </c>
      <c r="AD125">
        <v>5.4324462223868704</v>
      </c>
      <c r="AE125">
        <v>11.673570918125922</v>
      </c>
      <c r="AF125">
        <v>13.106369566027224</v>
      </c>
      <c r="AG125">
        <v>18.518412721156928</v>
      </c>
      <c r="AH125">
        <v>3.3373177531223122</v>
      </c>
      <c r="AI125">
        <v>2.3557070341890531</v>
      </c>
      <c r="AK125">
        <v>41.78711664382012</v>
      </c>
    </row>
    <row r="126" spans="1:37" x14ac:dyDescent="0.2">
      <c r="A126">
        <v>125</v>
      </c>
      <c r="B126">
        <v>754</v>
      </c>
      <c r="C126">
        <v>230</v>
      </c>
      <c r="D126">
        <v>0.34859611546511998</v>
      </c>
      <c r="E126">
        <v>174.1221772467598</v>
      </c>
      <c r="F126">
        <v>54.121626803355205</v>
      </c>
      <c r="G126">
        <v>70.524283713747323</v>
      </c>
      <c r="H126">
        <v>65.915214915044189</v>
      </c>
      <c r="J126">
        <v>44.177059940537958</v>
      </c>
      <c r="L126">
        <v>3.291048650260469</v>
      </c>
      <c r="M126">
        <v>13.30848507394904</v>
      </c>
      <c r="N126">
        <v>2.4177131485912469</v>
      </c>
      <c r="O126">
        <v>14.366729152119705</v>
      </c>
      <c r="P126">
        <v>8.9596208274255407</v>
      </c>
      <c r="Q126">
        <v>0.32107765468023547</v>
      </c>
      <c r="R126">
        <v>10.469477244907909</v>
      </c>
      <c r="S126">
        <v>33.541530264965132</v>
      </c>
      <c r="U126">
        <v>1.7708213745096504</v>
      </c>
      <c r="V126">
        <v>45.459408361565302</v>
      </c>
      <c r="W126">
        <v>22.008838360734753</v>
      </c>
      <c r="X126">
        <v>46.315128486080695</v>
      </c>
      <c r="Y126">
        <v>5.2749398807915178</v>
      </c>
      <c r="Z126">
        <v>26.936042267164517</v>
      </c>
      <c r="AA126">
        <v>2.2398676075804178</v>
      </c>
      <c r="AB126">
        <v>32.719008270084707</v>
      </c>
      <c r="AD126">
        <v>5.1973186384061005</v>
      </c>
      <c r="AE126">
        <v>11.491421106561795</v>
      </c>
      <c r="AF126">
        <v>12.95237115060506</v>
      </c>
      <c r="AG126">
        <v>18.16890590242026</v>
      </c>
      <c r="AH126">
        <v>3.0635913166017574</v>
      </c>
      <c r="AI126">
        <v>2.3590894100998048</v>
      </c>
      <c r="AK126">
        <v>41.782175503355617</v>
      </c>
    </row>
    <row r="127" spans="1:37" x14ac:dyDescent="0.2">
      <c r="A127">
        <v>126</v>
      </c>
      <c r="B127">
        <v>752</v>
      </c>
      <c r="C127">
        <v>230</v>
      </c>
      <c r="D127">
        <v>0.34718870409208602</v>
      </c>
      <c r="E127">
        <v>173.87675365417243</v>
      </c>
      <c r="F127">
        <v>53.370869053933916</v>
      </c>
      <c r="G127">
        <v>70.399487209747718</v>
      </c>
      <c r="H127">
        <v>65.785684584514414</v>
      </c>
      <c r="J127">
        <v>44.035050874545121</v>
      </c>
      <c r="L127">
        <v>3.1296517716019006</v>
      </c>
      <c r="M127">
        <v>13.157280602306418</v>
      </c>
      <c r="N127">
        <v>2.4216676741610401</v>
      </c>
      <c r="O127">
        <v>13.626475291194097</v>
      </c>
      <c r="P127">
        <v>8.7569795393089915</v>
      </c>
      <c r="Q127">
        <v>0.17141425650681869</v>
      </c>
      <c r="R127">
        <v>10.036872018619569</v>
      </c>
      <c r="S127">
        <v>32.603764073782379</v>
      </c>
      <c r="U127">
        <v>1.5949813376374309</v>
      </c>
      <c r="V127">
        <v>45.211573991135126</v>
      </c>
      <c r="W127">
        <v>21.572089146097369</v>
      </c>
      <c r="X127">
        <v>45.857392924849997</v>
      </c>
      <c r="Y127">
        <v>5.1005598148107554</v>
      </c>
      <c r="Z127">
        <v>26.528803831512661</v>
      </c>
      <c r="AA127">
        <v>2.0734528999418251</v>
      </c>
      <c r="AB127">
        <v>32.400413095606339</v>
      </c>
      <c r="AD127">
        <v>4.9626497405317727</v>
      </c>
      <c r="AE127">
        <v>11.309771058588531</v>
      </c>
      <c r="AF127">
        <v>12.79892723536296</v>
      </c>
      <c r="AG127">
        <v>17.820471077856233</v>
      </c>
      <c r="AH127">
        <v>2.7907326385395046</v>
      </c>
      <c r="AI127">
        <v>2.3624679533101269</v>
      </c>
      <c r="AK127">
        <v>41.778445552815853</v>
      </c>
    </row>
    <row r="128" spans="1:37" x14ac:dyDescent="0.2">
      <c r="A128">
        <v>127</v>
      </c>
      <c r="B128">
        <v>750</v>
      </c>
      <c r="C128">
        <v>230</v>
      </c>
      <c r="D128">
        <v>0.34577579045105999</v>
      </c>
      <c r="E128">
        <v>173.63190584496155</v>
      </c>
      <c r="F128">
        <v>52.622728884881738</v>
      </c>
      <c r="G128">
        <v>70.275004719373243</v>
      </c>
      <c r="H128">
        <v>65.65652074318001</v>
      </c>
      <c r="J128">
        <v>43.895352784109534</v>
      </c>
      <c r="L128">
        <v>2.9689267222784146</v>
      </c>
      <c r="M128">
        <v>13.006626419134728</v>
      </c>
      <c r="N128">
        <v>2.4256217100778614</v>
      </c>
      <c r="O128">
        <v>12.888555329401166</v>
      </c>
      <c r="P128">
        <v>8.5549971246652738</v>
      </c>
      <c r="Q128">
        <v>2.2086689051224028E-2</v>
      </c>
      <c r="R128">
        <v>9.6055956313847641</v>
      </c>
      <c r="S128">
        <v>31.669487149592296</v>
      </c>
      <c r="U128">
        <v>1.4193742635575652</v>
      </c>
      <c r="V128">
        <v>44.964514047797032</v>
      </c>
      <c r="W128">
        <v>21.136408225268536</v>
      </c>
      <c r="X128">
        <v>45.401248940104338</v>
      </c>
      <c r="Y128">
        <v>4.9267439426528759</v>
      </c>
      <c r="Z128">
        <v>26.122724638694425</v>
      </c>
      <c r="AA128">
        <v>1.9076660180159306</v>
      </c>
      <c r="AB128">
        <v>32.082874124661636</v>
      </c>
      <c r="AD128">
        <v>4.7284393885455689</v>
      </c>
      <c r="AE128">
        <v>11.128618004764206</v>
      </c>
      <c r="AF128">
        <v>12.646034439383213</v>
      </c>
      <c r="AG128">
        <v>17.473102147945063</v>
      </c>
      <c r="AH128">
        <v>2.5187389019285322</v>
      </c>
      <c r="AI128">
        <v>2.3658426538287913</v>
      </c>
      <c r="AK128">
        <v>41.775925865401682</v>
      </c>
    </row>
    <row r="129" spans="1:37" x14ac:dyDescent="0.2">
      <c r="A129">
        <v>128</v>
      </c>
      <c r="B129">
        <v>748</v>
      </c>
      <c r="C129">
        <v>230</v>
      </c>
      <c r="D129">
        <v>0.34435734221221198</v>
      </c>
      <c r="E129">
        <v>173.25537926841938</v>
      </c>
      <c r="F129">
        <v>50.986836634925005</v>
      </c>
      <c r="G129">
        <v>69.992213027805406</v>
      </c>
      <c r="H129">
        <v>65.369100344400238</v>
      </c>
      <c r="J129">
        <v>43.616056553258645</v>
      </c>
      <c r="L129">
        <v>2.5441322204713761</v>
      </c>
      <c r="M129">
        <v>12.985158910997965</v>
      </c>
      <c r="N129">
        <v>2.4295621099853806</v>
      </c>
      <c r="O129">
        <v>11.12098273641897</v>
      </c>
      <c r="P129">
        <v>8.0364141915397553</v>
      </c>
      <c r="R129">
        <v>9.0045159854271883</v>
      </c>
      <c r="S129">
        <v>31.054535283495333</v>
      </c>
      <c r="U129">
        <v>1.3331835915445469</v>
      </c>
      <c r="V129">
        <v>45.024751744162977</v>
      </c>
      <c r="W129">
        <v>20.684990839494571</v>
      </c>
      <c r="X129">
        <v>45.225662316556196</v>
      </c>
      <c r="Y129">
        <v>4.445536577298741</v>
      </c>
      <c r="Z129">
        <v>25.257013686066088</v>
      </c>
      <c r="AA129">
        <v>1.462362778351664</v>
      </c>
      <c r="AB129">
        <v>31.961839476879767</v>
      </c>
      <c r="AD129">
        <v>4.2037608459599713</v>
      </c>
      <c r="AE129">
        <v>10.797997067857194</v>
      </c>
      <c r="AF129">
        <v>12.62231604821854</v>
      </c>
      <c r="AG129">
        <v>17.322234134100704</v>
      </c>
      <c r="AH129">
        <v>1.7964140027652513</v>
      </c>
      <c r="AI129">
        <v>2.3692003505811945</v>
      </c>
      <c r="AK129">
        <v>41.564877617288559</v>
      </c>
    </row>
    <row r="130" spans="1:37" x14ac:dyDescent="0.2">
      <c r="A130">
        <v>129</v>
      </c>
      <c r="B130">
        <v>746</v>
      </c>
      <c r="C130">
        <v>230</v>
      </c>
      <c r="D130">
        <v>0.342933326791936</v>
      </c>
      <c r="E130">
        <v>172.68350383824207</v>
      </c>
      <c r="F130">
        <v>47.782168788544276</v>
      </c>
      <c r="G130">
        <v>69.471297202308293</v>
      </c>
      <c r="H130">
        <v>64.84360862427495</v>
      </c>
      <c r="J130">
        <v>42.627189623685204</v>
      </c>
      <c r="L130">
        <v>1.664218952228788</v>
      </c>
      <c r="M130">
        <v>12.941886228703947</v>
      </c>
      <c r="N130">
        <v>2.4334877815483891</v>
      </c>
      <c r="O130">
        <v>7.7059992481190864</v>
      </c>
      <c r="P130">
        <v>7.0415999671886054</v>
      </c>
      <c r="R130">
        <v>7.7383780641084954</v>
      </c>
      <c r="S130">
        <v>29.536392355638807</v>
      </c>
      <c r="U130">
        <v>1.2785236545414618</v>
      </c>
      <c r="V130">
        <v>45.041177967169496</v>
      </c>
      <c r="W130">
        <v>20.234005268122829</v>
      </c>
      <c r="X130">
        <v>45.144674471303034</v>
      </c>
      <c r="Y130">
        <v>3.4883861963127099</v>
      </c>
      <c r="Z130">
        <v>23.290220517073774</v>
      </c>
      <c r="AA130">
        <v>0.55640545660358476</v>
      </c>
      <c r="AB130">
        <v>31.392022382659221</v>
      </c>
      <c r="AD130">
        <v>3.0325294815067836</v>
      </c>
      <c r="AE130">
        <v>10.003671631547983</v>
      </c>
      <c r="AF130">
        <v>12.576779165891365</v>
      </c>
      <c r="AG130">
        <v>16.722579222836163</v>
      </c>
      <c r="AH130">
        <v>0.33720452192262218</v>
      </c>
      <c r="AI130">
        <v>2.3725399365115267</v>
      </c>
      <c r="AK130">
        <v>40.875670053249401</v>
      </c>
    </row>
    <row r="131" spans="1:37" x14ac:dyDescent="0.2">
      <c r="A131">
        <v>130</v>
      </c>
      <c r="B131">
        <v>744</v>
      </c>
      <c r="C131">
        <v>230</v>
      </c>
      <c r="D131">
        <v>0.34150371135034502</v>
      </c>
      <c r="E131">
        <v>173.76680551850006</v>
      </c>
      <c r="F131">
        <v>48.544094671109598</v>
      </c>
      <c r="G131">
        <v>69.948124219283557</v>
      </c>
      <c r="H131">
        <v>65.315912728704618</v>
      </c>
      <c r="J131">
        <v>29.352780032996321</v>
      </c>
      <c r="L131">
        <v>1.6326803538383721</v>
      </c>
      <c r="M131">
        <v>11.635046204618455</v>
      </c>
      <c r="N131">
        <v>2.4375239236046049</v>
      </c>
      <c r="O131">
        <v>6.0511964077902292</v>
      </c>
      <c r="P131">
        <v>8.0424137893500038</v>
      </c>
      <c r="R131">
        <v>7.1572523271330555</v>
      </c>
      <c r="S131">
        <v>29.910871456836315</v>
      </c>
      <c r="U131">
        <v>1.2507507758993532</v>
      </c>
      <c r="V131">
        <v>46.828609283206532</v>
      </c>
      <c r="W131">
        <v>18.765862460456791</v>
      </c>
      <c r="X131">
        <v>45.136693671408082</v>
      </c>
      <c r="Y131">
        <v>3.676454634554005</v>
      </c>
      <c r="Z131">
        <v>18.376691959255986</v>
      </c>
      <c r="AB131">
        <v>29.437827037136618</v>
      </c>
      <c r="AD131">
        <v>0.70848160291400475</v>
      </c>
      <c r="AE131">
        <v>6.872107508124448</v>
      </c>
      <c r="AF131">
        <v>11.267786869359325</v>
      </c>
      <c r="AG131">
        <v>14.738666856884816</v>
      </c>
      <c r="AI131">
        <v>2.375986595734926</v>
      </c>
      <c r="AK131">
        <v>31.678301204361226</v>
      </c>
    </row>
    <row r="132" spans="1:37" x14ac:dyDescent="0.2">
      <c r="A132">
        <v>131</v>
      </c>
      <c r="B132">
        <v>742</v>
      </c>
      <c r="C132">
        <v>230</v>
      </c>
      <c r="D132">
        <v>0.34006846278875003</v>
      </c>
      <c r="E132">
        <v>174.18924471224474</v>
      </c>
      <c r="F132">
        <v>49.303871547496783</v>
      </c>
      <c r="G132">
        <v>69.96041039414925</v>
      </c>
      <c r="H132">
        <v>65.323729143273894</v>
      </c>
      <c r="J132">
        <v>25.020842948939766</v>
      </c>
      <c r="L132">
        <v>1.6701589170862061</v>
      </c>
      <c r="M132">
        <v>10.698010842347554</v>
      </c>
      <c r="N132">
        <v>2.441511405056072</v>
      </c>
      <c r="O132">
        <v>5.9397964514925192</v>
      </c>
      <c r="P132">
        <v>8.1141293449047431</v>
      </c>
      <c r="R132">
        <v>6.4951974332397118</v>
      </c>
      <c r="S132">
        <v>30.704932010503654</v>
      </c>
      <c r="U132">
        <v>1.2113326811678129</v>
      </c>
      <c r="V132">
        <v>48.076853488623279</v>
      </c>
      <c r="W132">
        <v>17.673812939790373</v>
      </c>
      <c r="X132">
        <v>45.096295369870703</v>
      </c>
      <c r="Y132">
        <v>3.6255141079992792</v>
      </c>
      <c r="Z132">
        <v>17.694028797910505</v>
      </c>
      <c r="AB132">
        <v>29.886473233559251</v>
      </c>
      <c r="AE132">
        <v>6.4538102124531429</v>
      </c>
      <c r="AF132">
        <v>10.328552077095368</v>
      </c>
      <c r="AG132">
        <v>15.157557747471005</v>
      </c>
      <c r="AI132">
        <v>2.3793811824305071</v>
      </c>
      <c r="AK132">
        <v>28.545929998014337</v>
      </c>
    </row>
    <row r="133" spans="1:37" x14ac:dyDescent="0.2">
      <c r="A133">
        <v>132</v>
      </c>
      <c r="B133">
        <v>740</v>
      </c>
      <c r="C133">
        <v>230</v>
      </c>
      <c r="D133">
        <v>0.33862754774713</v>
      </c>
      <c r="E133">
        <v>174.4798373218043</v>
      </c>
      <c r="F133">
        <v>50.114807398948493</v>
      </c>
      <c r="G133">
        <v>69.924259807462107</v>
      </c>
      <c r="H133">
        <v>65.283162119374381</v>
      </c>
      <c r="J133">
        <v>22.509476417301659</v>
      </c>
      <c r="L133">
        <v>1.6958121797594541</v>
      </c>
      <c r="M133">
        <v>9.9229191151650458</v>
      </c>
      <c r="N133">
        <v>2.445489127734279</v>
      </c>
      <c r="O133">
        <v>5.8974039637858873</v>
      </c>
      <c r="P133">
        <v>8.0889938849848377</v>
      </c>
      <c r="R133">
        <v>5.8945137658221887</v>
      </c>
      <c r="S133">
        <v>31.388601717803269</v>
      </c>
      <c r="U133">
        <v>1.169193917192292</v>
      </c>
      <c r="V133">
        <v>49.092804893591733</v>
      </c>
      <c r="W133">
        <v>16.745094368861935</v>
      </c>
      <c r="X133">
        <v>45.048949001451724</v>
      </c>
      <c r="Y133">
        <v>3.558937218299433</v>
      </c>
      <c r="Z133">
        <v>17.791744714047908</v>
      </c>
      <c r="AB133">
        <v>30.646186744206897</v>
      </c>
      <c r="AE133">
        <v>6.4956656141568816</v>
      </c>
      <c r="AF133">
        <v>9.5512527103716156</v>
      </c>
      <c r="AG133">
        <v>15.887516618092867</v>
      </c>
      <c r="AI133">
        <v>2.3827625837049666</v>
      </c>
      <c r="AK133">
        <v>26.676829392776114</v>
      </c>
    </row>
    <row r="134" spans="1:37" x14ac:dyDescent="0.2">
      <c r="A134">
        <v>133</v>
      </c>
      <c r="B134">
        <v>738</v>
      </c>
      <c r="C134">
        <v>230</v>
      </c>
      <c r="D134">
        <v>0.33718093260149401</v>
      </c>
      <c r="E134">
        <v>174.71606070268624</v>
      </c>
      <c r="F134">
        <v>50.80499843262406</v>
      </c>
      <c r="G134">
        <v>69.887269436438928</v>
      </c>
      <c r="H134">
        <v>65.241808805733825</v>
      </c>
      <c r="J134">
        <v>20.80475793909925</v>
      </c>
      <c r="L134">
        <v>1.7174182680433441</v>
      </c>
      <c r="M134">
        <v>9.2526581421455152</v>
      </c>
      <c r="N134">
        <v>2.449462253815553</v>
      </c>
      <c r="O134">
        <v>5.847571733495406</v>
      </c>
      <c r="P134">
        <v>8.0622067154466528</v>
      </c>
      <c r="R134">
        <v>5.365265709964393</v>
      </c>
      <c r="S134">
        <v>31.974141877641518</v>
      </c>
      <c r="U134">
        <v>1.1256503611600768</v>
      </c>
      <c r="V134">
        <v>49.960839997143474</v>
      </c>
      <c r="W134">
        <v>15.921884157177882</v>
      </c>
      <c r="X134">
        <v>44.998409648058754</v>
      </c>
      <c r="Y134">
        <v>3.5040953245626403</v>
      </c>
      <c r="Z134">
        <v>17.871091358681763</v>
      </c>
      <c r="AB134">
        <v>31.297685611515618</v>
      </c>
      <c r="AE134">
        <v>6.5280136899247445</v>
      </c>
      <c r="AF134">
        <v>8.8787810968170913</v>
      </c>
      <c r="AG134">
        <v>16.509266723069921</v>
      </c>
      <c r="AI134">
        <v>2.3861359470105383</v>
      </c>
      <c r="AK134">
        <v>25.378257174338444</v>
      </c>
    </row>
    <row r="135" spans="1:37" x14ac:dyDescent="0.2">
      <c r="A135">
        <v>134</v>
      </c>
      <c r="B135">
        <v>736</v>
      </c>
      <c r="C135">
        <v>230</v>
      </c>
      <c r="D135">
        <v>0.335728583461332</v>
      </c>
      <c r="E135">
        <v>174.9162904495391</v>
      </c>
      <c r="F135">
        <v>51.415436297808448</v>
      </c>
      <c r="G135">
        <v>69.849757759360855</v>
      </c>
      <c r="H135">
        <v>65.199987852822318</v>
      </c>
      <c r="J135">
        <v>19.537529234947989</v>
      </c>
      <c r="L135">
        <v>1.7364705482895879</v>
      </c>
      <c r="M135">
        <v>8.6523499093367917</v>
      </c>
      <c r="N135">
        <v>2.4534319580934731</v>
      </c>
      <c r="O135">
        <v>5.7937266472972526</v>
      </c>
      <c r="P135">
        <v>8.034406157959495</v>
      </c>
      <c r="R135">
        <v>4.8841541750943618</v>
      </c>
      <c r="S135">
        <v>32.492884445372709</v>
      </c>
      <c r="U135">
        <v>1.0813161909256188</v>
      </c>
      <c r="V135">
        <v>50.729109002750995</v>
      </c>
      <c r="W135">
        <v>15.168992624449375</v>
      </c>
      <c r="X135">
        <v>44.946434230025694</v>
      </c>
      <c r="Y135">
        <v>3.4570415065307136</v>
      </c>
      <c r="Z135">
        <v>17.938439685073355</v>
      </c>
      <c r="AB135">
        <v>31.876067163398332</v>
      </c>
      <c r="AE135">
        <v>6.5541368500257535</v>
      </c>
      <c r="AF135">
        <v>8.2762604438579608</v>
      </c>
      <c r="AG135">
        <v>17.05790661513721</v>
      </c>
      <c r="AI135">
        <v>2.3895024324176388</v>
      </c>
      <c r="AK135">
        <v>24.393502984730759</v>
      </c>
    </row>
    <row r="136" spans="1:37" x14ac:dyDescent="0.2">
      <c r="A136">
        <v>135</v>
      </c>
      <c r="B136">
        <v>734</v>
      </c>
      <c r="C136">
        <v>230</v>
      </c>
      <c r="D136">
        <v>0.33427046616690598</v>
      </c>
      <c r="E136">
        <v>175.09041054295983</v>
      </c>
      <c r="F136">
        <v>51.968139999810049</v>
      </c>
      <c r="G136">
        <v>69.811890084993721</v>
      </c>
      <c r="H136">
        <v>65.157864742276885</v>
      </c>
      <c r="J136">
        <v>18.543463633301528</v>
      </c>
      <c r="L136">
        <v>1.7536959392442222</v>
      </c>
      <c r="M136">
        <v>8.1030644473175215</v>
      </c>
      <c r="N136">
        <v>2.4573989089674235</v>
      </c>
      <c r="O136">
        <v>5.7376754453894643</v>
      </c>
      <c r="P136">
        <v>8.005923689835269</v>
      </c>
      <c r="R136">
        <v>4.4385649526104922</v>
      </c>
      <c r="S136">
        <v>32.962561266930194</v>
      </c>
      <c r="U136">
        <v>1.0364443597170545</v>
      </c>
      <c r="V136">
        <v>51.424067459884839</v>
      </c>
      <c r="W136">
        <v>14.467364307973833</v>
      </c>
      <c r="X136">
        <v>44.893743862234537</v>
      </c>
      <c r="Y136">
        <v>3.4156390685140803</v>
      </c>
      <c r="Z136">
        <v>17.997187536734554</v>
      </c>
      <c r="AB136">
        <v>32.400773370200376</v>
      </c>
      <c r="AE136">
        <v>6.5757886083658237</v>
      </c>
      <c r="AF136">
        <v>7.7247614972706318</v>
      </c>
      <c r="AG136">
        <v>17.552878983390372</v>
      </c>
      <c r="AI136">
        <v>2.3928626936030728</v>
      </c>
      <c r="AK136">
        <v>23.607119858659107</v>
      </c>
    </row>
    <row r="137" spans="1:37" x14ac:dyDescent="0.2">
      <c r="A137">
        <v>136</v>
      </c>
      <c r="B137">
        <v>732</v>
      </c>
      <c r="C137">
        <v>230</v>
      </c>
      <c r="D137">
        <v>0.33280654628662198</v>
      </c>
      <c r="E137">
        <v>175.24446803043423</v>
      </c>
      <c r="F137">
        <v>52.476564538577939</v>
      </c>
      <c r="G137">
        <v>69.773765272675476</v>
      </c>
      <c r="H137">
        <v>65.115538506994426</v>
      </c>
      <c r="J137">
        <v>17.735538531126867</v>
      </c>
      <c r="L137">
        <v>1.7697126368751888</v>
      </c>
      <c r="M137">
        <v>7.5931636745005502</v>
      </c>
      <c r="N137">
        <v>2.4613635355239092</v>
      </c>
      <c r="O137">
        <v>5.6805136414515651</v>
      </c>
      <c r="P137">
        <v>7.9769576512964484</v>
      </c>
      <c r="R137">
        <v>4.0207335538826809</v>
      </c>
      <c r="S137">
        <v>33.394319070342959</v>
      </c>
      <c r="U137">
        <v>0.99116432790797004</v>
      </c>
      <c r="V137">
        <v>52.062080864787063</v>
      </c>
      <c r="W137">
        <v>13.80529894457665</v>
      </c>
      <c r="X137">
        <v>44.840705777654208</v>
      </c>
      <c r="Y137">
        <v>3.3785787287391122</v>
      </c>
      <c r="Z137">
        <v>18.049393561435071</v>
      </c>
      <c r="AB137">
        <v>32.883884211260437</v>
      </c>
      <c r="AE137">
        <v>6.5940321647491231</v>
      </c>
      <c r="AF137">
        <v>7.2126466515605179</v>
      </c>
      <c r="AG137">
        <v>18.006264286930993</v>
      </c>
      <c r="AI137">
        <v>2.3962171449330927</v>
      </c>
      <c r="AK137">
        <v>22.957420846776348</v>
      </c>
    </row>
    <row r="138" spans="1:37" x14ac:dyDescent="0.2">
      <c r="A138">
        <v>137</v>
      </c>
      <c r="B138">
        <v>760</v>
      </c>
      <c r="C138">
        <v>220</v>
      </c>
      <c r="D138">
        <v>0.36343270580264397</v>
      </c>
      <c r="E138">
        <v>169.0017314386254</v>
      </c>
      <c r="F138">
        <v>56.106586460994713</v>
      </c>
      <c r="G138">
        <v>70.890693831539011</v>
      </c>
      <c r="H138">
        <v>66.295691444217454</v>
      </c>
      <c r="J138">
        <v>44.400957175134245</v>
      </c>
      <c r="L138">
        <v>3.727174845867983</v>
      </c>
      <c r="M138">
        <v>13.722901180817118</v>
      </c>
      <c r="N138">
        <v>2.3771593018192259</v>
      </c>
      <c r="O138">
        <v>16.641024830817884</v>
      </c>
      <c r="P138">
        <v>9.4666196314279869</v>
      </c>
      <c r="Q138">
        <v>0.57920807932432306</v>
      </c>
      <c r="R138">
        <v>11.735554347612817</v>
      </c>
      <c r="S138">
        <v>36.06199052397227</v>
      </c>
      <c r="U138">
        <v>2.2384338328752076</v>
      </c>
      <c r="V138">
        <v>45.938626148851931</v>
      </c>
      <c r="W138">
        <v>23.510077121957089</v>
      </c>
      <c r="X138">
        <v>46.996563016993463</v>
      </c>
      <c r="Y138">
        <v>5.705220202737193</v>
      </c>
      <c r="Z138">
        <v>28.113104922139804</v>
      </c>
      <c r="AA138">
        <v>2.7020579862738088</v>
      </c>
      <c r="AB138">
        <v>33.640633180215559</v>
      </c>
      <c r="AC138">
        <v>7.6092604322518208E-3</v>
      </c>
      <c r="AD138">
        <v>5.8660996457825005</v>
      </c>
      <c r="AE138">
        <v>12.096977669036489</v>
      </c>
      <c r="AF138">
        <v>13.37566325660671</v>
      </c>
      <c r="AG138">
        <v>19.194583191230972</v>
      </c>
      <c r="AH138">
        <v>3.6562198374653767</v>
      </c>
      <c r="AI138">
        <v>2.3189945865328814</v>
      </c>
      <c r="AK138">
        <v>41.636242707898994</v>
      </c>
    </row>
    <row r="139" spans="1:37" x14ac:dyDescent="0.2">
      <c r="A139">
        <v>138</v>
      </c>
      <c r="B139">
        <v>758</v>
      </c>
      <c r="C139">
        <v>220</v>
      </c>
      <c r="D139">
        <v>0.36206226058284502</v>
      </c>
      <c r="E139">
        <v>168.77413124542804</v>
      </c>
      <c r="F139">
        <v>55.413794755816383</v>
      </c>
      <c r="G139">
        <v>70.774607365938621</v>
      </c>
      <c r="H139">
        <v>66.174706590747704</v>
      </c>
      <c r="J139">
        <v>44.287767699609077</v>
      </c>
      <c r="L139">
        <v>3.5746975954497757</v>
      </c>
      <c r="M139">
        <v>13.597029022639452</v>
      </c>
      <c r="N139">
        <v>2.373179866526328</v>
      </c>
      <c r="O139">
        <v>15.921455518357416</v>
      </c>
      <c r="P139">
        <v>9.2733637722951574</v>
      </c>
      <c r="Q139">
        <v>0.4485393516912653</v>
      </c>
      <c r="R139">
        <v>11.342616512604852</v>
      </c>
      <c r="S139">
        <v>35.246623062954853</v>
      </c>
      <c r="U139">
        <v>2.0848582099076278</v>
      </c>
      <c r="V139">
        <v>45.732948465881599</v>
      </c>
      <c r="W139">
        <v>23.119758460266457</v>
      </c>
      <c r="X139">
        <v>46.613814770696813</v>
      </c>
      <c r="Y139">
        <v>5.543708653866747</v>
      </c>
      <c r="Z139">
        <v>27.738578537711788</v>
      </c>
      <c r="AA139">
        <v>2.5443896604539624</v>
      </c>
      <c r="AB139">
        <v>33.364445445769782</v>
      </c>
      <c r="AD139">
        <v>5.6538369123748646</v>
      </c>
      <c r="AE139">
        <v>11.927536576672582</v>
      </c>
      <c r="AF139">
        <v>13.239611184889839</v>
      </c>
      <c r="AG139">
        <v>18.880617895725265</v>
      </c>
      <c r="AH139">
        <v>3.4111389613034686</v>
      </c>
      <c r="AI139">
        <v>2.3144500419211633</v>
      </c>
      <c r="AK139">
        <v>41.642433520377764</v>
      </c>
    </row>
    <row r="140" spans="1:37" x14ac:dyDescent="0.2">
      <c r="A140">
        <v>139</v>
      </c>
      <c r="B140">
        <v>756</v>
      </c>
      <c r="C140">
        <v>220</v>
      </c>
      <c r="D140">
        <v>0.36068648885002402</v>
      </c>
      <c r="E140">
        <v>168.52815951406271</v>
      </c>
      <c r="F140">
        <v>54.660376684019027</v>
      </c>
      <c r="G140">
        <v>70.649411095600001</v>
      </c>
      <c r="H140">
        <v>66.044663911281049</v>
      </c>
      <c r="J140">
        <v>44.141481879141935</v>
      </c>
      <c r="L140">
        <v>3.4126849554807812</v>
      </c>
      <c r="M140">
        <v>13.445497100852263</v>
      </c>
      <c r="N140">
        <v>2.3771373185876716</v>
      </c>
      <c r="O140">
        <v>15.177618245596872</v>
      </c>
      <c r="P140">
        <v>9.0698559758956545</v>
      </c>
      <c r="Q140">
        <v>0.29886499747389972</v>
      </c>
      <c r="R140">
        <v>10.908915238649859</v>
      </c>
      <c r="S140">
        <v>34.305027479025874</v>
      </c>
      <c r="U140">
        <v>1.908822248767289</v>
      </c>
      <c r="V140">
        <v>45.484828265390917</v>
      </c>
      <c r="W140">
        <v>22.681735559942666</v>
      </c>
      <c r="X140">
        <v>46.15538685527163</v>
      </c>
      <c r="Y140">
        <v>5.3686443001669231</v>
      </c>
      <c r="Z140">
        <v>27.33088774097736</v>
      </c>
      <c r="AA140">
        <v>2.3773190704326188</v>
      </c>
      <c r="AB140">
        <v>33.045189955516101</v>
      </c>
      <c r="AD140">
        <v>5.4194742188086273</v>
      </c>
      <c r="AE140">
        <v>11.745640615189455</v>
      </c>
      <c r="AF140">
        <v>13.085837432201171</v>
      </c>
      <c r="AG140">
        <v>18.531531769940248</v>
      </c>
      <c r="AH140">
        <v>3.1373109828317109</v>
      </c>
      <c r="AI140">
        <v>2.3178390757594447</v>
      </c>
      <c r="AK140">
        <v>41.636618960038916</v>
      </c>
    </row>
    <row r="141" spans="1:37" x14ac:dyDescent="0.2">
      <c r="A141">
        <v>140</v>
      </c>
      <c r="B141">
        <v>754</v>
      </c>
      <c r="C141">
        <v>220</v>
      </c>
      <c r="D141">
        <v>0.35930535948985198</v>
      </c>
      <c r="E141">
        <v>168.28275980671276</v>
      </c>
      <c r="F141">
        <v>53.90956376500349</v>
      </c>
      <c r="G141">
        <v>70.52452688950909</v>
      </c>
      <c r="H141">
        <v>65.914985441027241</v>
      </c>
      <c r="J141">
        <v>43.997493725063251</v>
      </c>
      <c r="L141">
        <v>3.2512405596896241</v>
      </c>
      <c r="M141">
        <v>13.294513919480673</v>
      </c>
      <c r="N141">
        <v>2.3810942735994787</v>
      </c>
      <c r="O141">
        <v>14.436104722185803</v>
      </c>
      <c r="P141">
        <v>8.867002776803707</v>
      </c>
      <c r="Q141">
        <v>0.14948544522317622</v>
      </c>
      <c r="R141">
        <v>10.476538008772735</v>
      </c>
      <c r="S141">
        <v>33.366908996365616</v>
      </c>
      <c r="U141">
        <v>1.7330114131680983</v>
      </c>
      <c r="V141">
        <v>45.237479339169788</v>
      </c>
      <c r="W141">
        <v>22.244779518612024</v>
      </c>
      <c r="X141">
        <v>45.698543208718839</v>
      </c>
      <c r="Y141">
        <v>5.1941408244724387</v>
      </c>
      <c r="Z141">
        <v>26.924357045674832</v>
      </c>
      <c r="AA141">
        <v>2.2108733186804601</v>
      </c>
      <c r="AB141">
        <v>32.726990514959056</v>
      </c>
      <c r="AD141">
        <v>5.1855588614903665</v>
      </c>
      <c r="AE141">
        <v>11.564243092098282</v>
      </c>
      <c r="AF141">
        <v>12.932613162898374</v>
      </c>
      <c r="AG141">
        <v>18.183511282207533</v>
      </c>
      <c r="AH141">
        <v>2.8643407666577212</v>
      </c>
      <c r="AI141">
        <v>2.3212242889361541</v>
      </c>
      <c r="AK141">
        <v>41.632004879632191</v>
      </c>
    </row>
    <row r="142" spans="1:37" x14ac:dyDescent="0.2">
      <c r="A142">
        <v>141</v>
      </c>
      <c r="B142">
        <v>752</v>
      </c>
      <c r="C142">
        <v>220</v>
      </c>
      <c r="D142">
        <v>0.35791884114519901</v>
      </c>
      <c r="E142">
        <v>168.03792890697184</v>
      </c>
      <c r="F142">
        <v>53.161343586607281</v>
      </c>
      <c r="G142">
        <v>70.399953556867359</v>
      </c>
      <c r="H142">
        <v>65.78567015605843</v>
      </c>
      <c r="J142">
        <v>43.855799358921885</v>
      </c>
      <c r="L142">
        <v>3.0904555712447799</v>
      </c>
      <c r="M142">
        <v>13.144076093686804</v>
      </c>
      <c r="N142">
        <v>2.3850507362921709</v>
      </c>
      <c r="O142">
        <v>13.696905480040837</v>
      </c>
      <c r="P142">
        <v>8.6648019801662812</v>
      </c>
      <c r="Q142">
        <v>4.7001699639702112E-4</v>
      </c>
      <c r="R142">
        <v>10.045476450143616</v>
      </c>
      <c r="S142">
        <v>32.432247181509588</v>
      </c>
      <c r="U142">
        <v>1.5574231647927248</v>
      </c>
      <c r="V142">
        <v>44.990896259400479</v>
      </c>
      <c r="W142">
        <v>21.808883981166876</v>
      </c>
      <c r="X142">
        <v>45.243272649276818</v>
      </c>
      <c r="Y142">
        <v>5.020195150594847</v>
      </c>
      <c r="Z142">
        <v>26.518980598866438</v>
      </c>
      <c r="AA142">
        <v>2.0450495319466282</v>
      </c>
      <c r="AB142">
        <v>32.409841119052224</v>
      </c>
      <c r="AD142">
        <v>4.9520909458577842</v>
      </c>
      <c r="AE142">
        <v>11.383341339918561</v>
      </c>
      <c r="AF142">
        <v>12.779935041811926</v>
      </c>
      <c r="AG142">
        <v>17.836550479744187</v>
      </c>
      <c r="AH142">
        <v>2.5922255469487379</v>
      </c>
      <c r="AI142">
        <v>2.3246056714699588</v>
      </c>
      <c r="AK142">
        <v>41.628590335831213</v>
      </c>
    </row>
    <row r="143" spans="1:37" x14ac:dyDescent="0.2">
      <c r="A143">
        <v>142</v>
      </c>
      <c r="B143">
        <v>750</v>
      </c>
      <c r="C143">
        <v>220</v>
      </c>
      <c r="D143">
        <v>0.356526902213751</v>
      </c>
      <c r="E143">
        <v>167.64156302880266</v>
      </c>
      <c r="F143">
        <v>51.383915366927077</v>
      </c>
      <c r="G143">
        <v>70.091541358205433</v>
      </c>
      <c r="H143">
        <v>65.47256848442828</v>
      </c>
      <c r="J143">
        <v>43.552111629876656</v>
      </c>
      <c r="L143">
        <v>2.6223567479556551</v>
      </c>
      <c r="M143">
        <v>13.143920901512786</v>
      </c>
      <c r="N143">
        <v>2.3889914995324917</v>
      </c>
      <c r="O143">
        <v>11.760825368851426</v>
      </c>
      <c r="P143">
        <v>8.0949390829367047</v>
      </c>
      <c r="R143">
        <v>9.4149237618340145</v>
      </c>
      <c r="S143">
        <v>31.86270269965188</v>
      </c>
      <c r="U143">
        <v>1.4871716193319402</v>
      </c>
      <c r="V143">
        <v>45.098638552615014</v>
      </c>
      <c r="W143">
        <v>21.354197426673668</v>
      </c>
      <c r="X143">
        <v>45.11821436435676</v>
      </c>
      <c r="Y143">
        <v>4.4891551711927118</v>
      </c>
      <c r="Z143">
        <v>25.577989411358548</v>
      </c>
      <c r="AA143">
        <v>1.5543831073425098</v>
      </c>
      <c r="AB143">
        <v>32.31640422402959</v>
      </c>
      <c r="AD143">
        <v>4.3805248221117452</v>
      </c>
      <c r="AE143">
        <v>11.027821528689129</v>
      </c>
      <c r="AF143">
        <v>12.777525184992378</v>
      </c>
      <c r="AG143">
        <v>17.713296659485064</v>
      </c>
      <c r="AH143">
        <v>1.7971235095878095</v>
      </c>
      <c r="AI143">
        <v>2.3279680015128226</v>
      </c>
      <c r="AK143">
        <v>41.384264064450917</v>
      </c>
    </row>
    <row r="144" spans="1:37" x14ac:dyDescent="0.2">
      <c r="A144">
        <v>143</v>
      </c>
      <c r="B144">
        <v>748</v>
      </c>
      <c r="C144">
        <v>220</v>
      </c>
      <c r="D144">
        <v>0.355129510845618</v>
      </c>
      <c r="E144">
        <v>167.24367689904153</v>
      </c>
      <c r="F144">
        <v>49.558848675726352</v>
      </c>
      <c r="G144">
        <v>69.771002583488212</v>
      </c>
      <c r="H144">
        <v>65.147392884279441</v>
      </c>
      <c r="J144">
        <v>43.207363506705789</v>
      </c>
      <c r="L144">
        <v>2.1293805469610088</v>
      </c>
      <c r="M144">
        <v>13.147244293463473</v>
      </c>
      <c r="N144">
        <v>2.3929298050653909</v>
      </c>
      <c r="O144">
        <v>9.7513518540093624</v>
      </c>
      <c r="P144">
        <v>7.5008520908380243</v>
      </c>
      <c r="R144">
        <v>8.7385888927341746</v>
      </c>
      <c r="S144">
        <v>31.200977194042849</v>
      </c>
      <c r="U144">
        <v>1.4289339020977387</v>
      </c>
      <c r="V144">
        <v>45.179418747736079</v>
      </c>
      <c r="W144">
        <v>20.90675624667027</v>
      </c>
      <c r="X144">
        <v>45.028689669152051</v>
      </c>
      <c r="Y144">
        <v>3.934791253293052</v>
      </c>
      <c r="Z144">
        <v>24.607203303328564</v>
      </c>
      <c r="AA144">
        <v>1.0418131486471103</v>
      </c>
      <c r="AB144">
        <v>32.182139247395646</v>
      </c>
      <c r="AD144">
        <v>3.7875987623818665</v>
      </c>
      <c r="AE144">
        <v>10.664060166580379</v>
      </c>
      <c r="AF144">
        <v>12.77859283003481</v>
      </c>
      <c r="AG144">
        <v>17.549222528819318</v>
      </c>
      <c r="AH144">
        <v>0.96611753351095941</v>
      </c>
      <c r="AI144">
        <v>2.3313245060913053</v>
      </c>
      <c r="AK144">
        <v>41.123283188427038</v>
      </c>
    </row>
    <row r="145" spans="1:37" x14ac:dyDescent="0.2">
      <c r="A145">
        <v>144</v>
      </c>
      <c r="B145">
        <v>746</v>
      </c>
      <c r="C145">
        <v>220</v>
      </c>
      <c r="D145">
        <v>0.35372663494088302</v>
      </c>
      <c r="E145">
        <v>168.05570821748466</v>
      </c>
      <c r="F145">
        <v>48.883118392617817</v>
      </c>
      <c r="G145">
        <v>70.017092401709618</v>
      </c>
      <c r="H145">
        <v>65.388898693441618</v>
      </c>
      <c r="J145">
        <v>30.321238649800506</v>
      </c>
      <c r="L145">
        <v>1.6113605633995285</v>
      </c>
      <c r="M145">
        <v>11.969342592724415</v>
      </c>
      <c r="N145">
        <v>2.3969479171950292</v>
      </c>
      <c r="O145">
        <v>6.2889445189099531</v>
      </c>
      <c r="P145">
        <v>8.0401337912347071</v>
      </c>
      <c r="R145">
        <v>7.5513004155118972</v>
      </c>
      <c r="S145">
        <v>30.195928258097869</v>
      </c>
      <c r="U145">
        <v>1.4246319637885791</v>
      </c>
      <c r="V145">
        <v>46.59066286468132</v>
      </c>
      <c r="W145">
        <v>19.552558862387322</v>
      </c>
      <c r="X145">
        <v>45.088958322872486</v>
      </c>
      <c r="Y145">
        <v>3.6493792569477033</v>
      </c>
      <c r="Z145">
        <v>19.096844589503977</v>
      </c>
      <c r="AB145">
        <v>29.773147103863849</v>
      </c>
      <c r="AD145">
        <v>1.0745843954954117</v>
      </c>
      <c r="AE145">
        <v>7.3297264417375096</v>
      </c>
      <c r="AF145">
        <v>11.598516609977825</v>
      </c>
      <c r="AG145">
        <v>15.110511315216634</v>
      </c>
      <c r="AI145">
        <v>2.3347574347887345</v>
      </c>
      <c r="AK145">
        <v>32.269266009874841</v>
      </c>
    </row>
    <row r="146" spans="1:37" x14ac:dyDescent="0.2">
      <c r="A146">
        <v>145</v>
      </c>
      <c r="B146">
        <v>744</v>
      </c>
      <c r="C146">
        <v>220</v>
      </c>
      <c r="D146">
        <v>0.352318242147177</v>
      </c>
      <c r="E146">
        <v>168.55302731993342</v>
      </c>
      <c r="F146">
        <v>49.316918318489712</v>
      </c>
      <c r="G146">
        <v>70.095636087758663</v>
      </c>
      <c r="H146">
        <v>65.462911356302655</v>
      </c>
      <c r="J146">
        <v>25.591801957513876</v>
      </c>
      <c r="L146">
        <v>1.6556373651170544</v>
      </c>
      <c r="M146">
        <v>11.023145601756447</v>
      </c>
      <c r="N146">
        <v>2.4009419001611936</v>
      </c>
      <c r="O146">
        <v>6.0601448714120725</v>
      </c>
      <c r="P146">
        <v>8.2443309842542778</v>
      </c>
      <c r="R146">
        <v>6.9440106923970619</v>
      </c>
      <c r="S146">
        <v>30.90666595387642</v>
      </c>
      <c r="U146">
        <v>1.3890226319686301</v>
      </c>
      <c r="V146">
        <v>47.847402369547417</v>
      </c>
      <c r="W146">
        <v>18.447949219913632</v>
      </c>
      <c r="X146">
        <v>45.060221980990654</v>
      </c>
      <c r="Y146">
        <v>3.6419961232075222</v>
      </c>
      <c r="Z146">
        <v>17.268264099734662</v>
      </c>
      <c r="AB146">
        <v>29.535028107892099</v>
      </c>
      <c r="AD146">
        <v>0.15852791597302615</v>
      </c>
      <c r="AE146">
        <v>6.2370052722314284</v>
      </c>
      <c r="AF146">
        <v>10.650122437277695</v>
      </c>
      <c r="AG146">
        <v>14.842659446131528</v>
      </c>
      <c r="AI146">
        <v>2.3381628371226655</v>
      </c>
      <c r="AK146">
        <v>28.876485831033644</v>
      </c>
    </row>
    <row r="147" spans="1:37" x14ac:dyDescent="0.2">
      <c r="A147">
        <v>146</v>
      </c>
      <c r="B147">
        <v>742</v>
      </c>
      <c r="C147">
        <v>220</v>
      </c>
      <c r="D147">
        <v>0.35090429985716198</v>
      </c>
      <c r="E147">
        <v>168.84102545412378</v>
      </c>
      <c r="F147">
        <v>50.271806600965469</v>
      </c>
      <c r="G147">
        <v>70.038656027292703</v>
      </c>
      <c r="H147">
        <v>65.401453428686466</v>
      </c>
      <c r="J147">
        <v>22.83610255042155</v>
      </c>
      <c r="L147">
        <v>1.6798966510685895</v>
      </c>
      <c r="M147">
        <v>10.216311875792956</v>
      </c>
      <c r="N147">
        <v>2.4049211397698103</v>
      </c>
      <c r="O147">
        <v>6.0519219339972299</v>
      </c>
      <c r="P147">
        <v>8.1774980141699114</v>
      </c>
      <c r="R147">
        <v>6.2970289765305436</v>
      </c>
      <c r="S147">
        <v>31.614346615847712</v>
      </c>
      <c r="U147">
        <v>1.3490258396553403</v>
      </c>
      <c r="V147">
        <v>48.898364250628305</v>
      </c>
      <c r="W147">
        <v>17.485062307926714</v>
      </c>
      <c r="X147">
        <v>45.019786892276116</v>
      </c>
      <c r="Y147">
        <v>3.5561411161196825</v>
      </c>
      <c r="Z147">
        <v>17.728063109186539</v>
      </c>
      <c r="AB147">
        <v>30.525423475879787</v>
      </c>
      <c r="AE147">
        <v>6.4905861217882626</v>
      </c>
      <c r="AF147">
        <v>9.841078298937175</v>
      </c>
      <c r="AG147">
        <v>15.803317572846398</v>
      </c>
      <c r="AI147">
        <v>2.3415500841759798</v>
      </c>
      <c r="AK147">
        <v>26.838655541023453</v>
      </c>
    </row>
    <row r="148" spans="1:37" x14ac:dyDescent="0.2">
      <c r="A148">
        <v>147</v>
      </c>
      <c r="B148">
        <v>740</v>
      </c>
      <c r="C148">
        <v>220</v>
      </c>
      <c r="D148">
        <v>0.34948477520604299</v>
      </c>
      <c r="E148">
        <v>169.08557124654916</v>
      </c>
      <c r="F148">
        <v>50.980388345841462</v>
      </c>
      <c r="G148">
        <v>70.001692864611158</v>
      </c>
      <c r="H148">
        <v>65.360065725727353</v>
      </c>
      <c r="J148">
        <v>21.029010087190166</v>
      </c>
      <c r="L148">
        <v>1.7016802201069914</v>
      </c>
      <c r="M148">
        <v>9.5314886870775677</v>
      </c>
      <c r="N148">
        <v>2.4088967103772654</v>
      </c>
      <c r="O148">
        <v>5.9974645717017863</v>
      </c>
      <c r="P148">
        <v>8.1507274321352128</v>
      </c>
      <c r="R148">
        <v>5.7556385105147747</v>
      </c>
      <c r="S148">
        <v>32.200874221050064</v>
      </c>
      <c r="U148">
        <v>1.306284811326109</v>
      </c>
      <c r="V148">
        <v>49.784399519357528</v>
      </c>
      <c r="W148">
        <v>16.645559458056876</v>
      </c>
      <c r="X148">
        <v>44.972319460448311</v>
      </c>
      <c r="Y148">
        <v>3.4986067903462454</v>
      </c>
      <c r="Z148">
        <v>17.810612047520308</v>
      </c>
      <c r="AB148">
        <v>31.187144602533508</v>
      </c>
      <c r="AE148">
        <v>6.5246924999730105</v>
      </c>
      <c r="AF148">
        <v>9.1540425877234544</v>
      </c>
      <c r="AG148">
        <v>16.435308213808895</v>
      </c>
      <c r="AI148">
        <v>2.3449302355802706</v>
      </c>
      <c r="AK148">
        <v>25.469489112308469</v>
      </c>
    </row>
    <row r="149" spans="1:37" x14ac:dyDescent="0.2">
      <c r="A149">
        <v>148</v>
      </c>
      <c r="B149">
        <v>738</v>
      </c>
      <c r="C149">
        <v>220</v>
      </c>
      <c r="D149">
        <v>0.34805963506898102</v>
      </c>
      <c r="E149">
        <v>169.29156801178613</v>
      </c>
      <c r="F149">
        <v>51.603460040765498</v>
      </c>
      <c r="G149">
        <v>69.964150870998864</v>
      </c>
      <c r="H149">
        <v>65.318152690220629</v>
      </c>
      <c r="J149">
        <v>19.700286579142993</v>
      </c>
      <c r="L149">
        <v>1.7207797906097475</v>
      </c>
      <c r="M149">
        <v>8.9207225917431323</v>
      </c>
      <c r="N149">
        <v>2.4128687923030916</v>
      </c>
      <c r="O149">
        <v>5.938656908511609</v>
      </c>
      <c r="P149">
        <v>8.1228281502942288</v>
      </c>
      <c r="R149">
        <v>5.2656275486716169</v>
      </c>
      <c r="S149">
        <v>32.720268513844061</v>
      </c>
      <c r="U149">
        <v>1.2623078802767311</v>
      </c>
      <c r="V149">
        <v>50.566274325289271</v>
      </c>
      <c r="W149">
        <v>15.880715050830453</v>
      </c>
      <c r="X149">
        <v>44.922149555214681</v>
      </c>
      <c r="Y149">
        <v>3.4494373004122365</v>
      </c>
      <c r="Z149">
        <v>17.880232371820327</v>
      </c>
      <c r="AB149">
        <v>31.77337053657098</v>
      </c>
      <c r="AE149">
        <v>6.5521008273351615</v>
      </c>
      <c r="AF149">
        <v>8.5410620864670292</v>
      </c>
      <c r="AG149">
        <v>16.991810647765494</v>
      </c>
      <c r="AI149">
        <v>2.348303456930978</v>
      </c>
      <c r="AK149">
        <v>24.442027467292032</v>
      </c>
    </row>
    <row r="150" spans="1:37" x14ac:dyDescent="0.2">
      <c r="A150">
        <v>149</v>
      </c>
      <c r="B150">
        <v>736</v>
      </c>
      <c r="C150">
        <v>220</v>
      </c>
      <c r="D150">
        <v>0.34662884605856398</v>
      </c>
      <c r="E150">
        <v>169.46997436814758</v>
      </c>
      <c r="F150">
        <v>52.165462249349716</v>
      </c>
      <c r="G150">
        <v>69.926222669570137</v>
      </c>
      <c r="H150">
        <v>65.275907117470538</v>
      </c>
      <c r="J150">
        <v>18.664926073507409</v>
      </c>
      <c r="L150">
        <v>1.7379834205651423</v>
      </c>
      <c r="M150">
        <v>8.3634023135744702</v>
      </c>
      <c r="N150">
        <v>2.41683808293863</v>
      </c>
      <c r="O150">
        <v>5.8774671730733319</v>
      </c>
      <c r="P150">
        <v>8.0941863025922736</v>
      </c>
      <c r="R150">
        <v>4.8130326417622609</v>
      </c>
      <c r="S150">
        <v>33.190179950584735</v>
      </c>
      <c r="U150">
        <v>1.2175524961040529</v>
      </c>
      <c r="V150">
        <v>51.272129004924217</v>
      </c>
      <c r="W150">
        <v>15.169682440301001</v>
      </c>
      <c r="X150">
        <v>44.870585331615715</v>
      </c>
      <c r="Y150">
        <v>3.4062758363529957</v>
      </c>
      <c r="Z150">
        <v>17.940701061230818</v>
      </c>
      <c r="AB150">
        <v>32.304381511434293</v>
      </c>
      <c r="AE150">
        <v>6.574754901447581</v>
      </c>
      <c r="AF150">
        <v>7.9815262629292869</v>
      </c>
      <c r="AG150">
        <v>17.493105855577245</v>
      </c>
      <c r="AI150">
        <v>2.3516704308962804</v>
      </c>
      <c r="AK150">
        <v>23.626821442424554</v>
      </c>
    </row>
    <row r="151" spans="1:37" x14ac:dyDescent="0.2">
      <c r="A151">
        <v>150</v>
      </c>
      <c r="B151">
        <v>734</v>
      </c>
      <c r="C151">
        <v>220</v>
      </c>
      <c r="D151">
        <v>0.345192374522167</v>
      </c>
      <c r="E151">
        <v>169.62736684536705</v>
      </c>
      <c r="F151">
        <v>52.681042720409955</v>
      </c>
      <c r="G151">
        <v>69.88801948651512</v>
      </c>
      <c r="H151">
        <v>65.233440406537866</v>
      </c>
      <c r="J151">
        <v>17.82711479031973</v>
      </c>
      <c r="L151">
        <v>1.753926873785822</v>
      </c>
      <c r="M151">
        <v>7.847041634900279</v>
      </c>
      <c r="N151">
        <v>2.4208050255119358</v>
      </c>
      <c r="O151">
        <v>5.8150564290336533</v>
      </c>
      <c r="P151">
        <v>8.0650249760281447</v>
      </c>
      <c r="R151">
        <v>4.3894199663454243</v>
      </c>
      <c r="S151">
        <v>33.621809697667565</v>
      </c>
      <c r="U151">
        <v>1.1722401999470191</v>
      </c>
      <c r="V151">
        <v>51.919229837180026</v>
      </c>
      <c r="W151">
        <v>14.499863687655079</v>
      </c>
      <c r="X151">
        <v>44.818258264306003</v>
      </c>
      <c r="Y151">
        <v>3.3676973784260378</v>
      </c>
      <c r="Z151">
        <v>17.9942675342676</v>
      </c>
      <c r="AB151">
        <v>32.792738575576884</v>
      </c>
      <c r="AE151">
        <v>6.5938145795200409</v>
      </c>
      <c r="AF151">
        <v>7.4629493894652361</v>
      </c>
      <c r="AG151">
        <v>17.9517553792762</v>
      </c>
      <c r="AI151">
        <v>2.3550315859818851</v>
      </c>
      <c r="AK151">
        <v>22.956195153542101</v>
      </c>
    </row>
    <row r="152" spans="1:37" x14ac:dyDescent="0.2">
      <c r="A152">
        <v>151</v>
      </c>
      <c r="B152">
        <v>760</v>
      </c>
      <c r="C152">
        <v>210</v>
      </c>
      <c r="D152">
        <v>0.374079756085759</v>
      </c>
      <c r="E152">
        <v>163.16177905933341</v>
      </c>
      <c r="F152">
        <v>55.893053318615692</v>
      </c>
      <c r="G152">
        <v>70.891841608428379</v>
      </c>
      <c r="H152">
        <v>66.296392663747994</v>
      </c>
      <c r="J152">
        <v>44.228413801875227</v>
      </c>
      <c r="L152">
        <v>3.6857151543557376</v>
      </c>
      <c r="M152">
        <v>13.711553811676172</v>
      </c>
      <c r="N152">
        <v>2.3380075747969817</v>
      </c>
      <c r="O152">
        <v>16.715914121459576</v>
      </c>
      <c r="P152">
        <v>9.3733010068237164</v>
      </c>
      <c r="Q152">
        <v>0.40597322007038755</v>
      </c>
      <c r="R152">
        <v>11.74292121636315</v>
      </c>
      <c r="S152">
        <v>35.908288123751078</v>
      </c>
      <c r="U152">
        <v>2.2100449768316768</v>
      </c>
      <c r="V152">
        <v>45.718797390852849</v>
      </c>
      <c r="W152">
        <v>23.76242720009142</v>
      </c>
      <c r="X152">
        <v>46.38134340403326</v>
      </c>
      <c r="Y152">
        <v>5.6246005409662718</v>
      </c>
      <c r="Z152">
        <v>28.103269168297455</v>
      </c>
      <c r="AA152">
        <v>2.6713558333828549</v>
      </c>
      <c r="AB152">
        <v>33.654572705189302</v>
      </c>
      <c r="AC152">
        <v>5.0888107920323937E-3</v>
      </c>
      <c r="AD152">
        <v>5.8553515301925527</v>
      </c>
      <c r="AE152">
        <v>12.171458256045479</v>
      </c>
      <c r="AF152">
        <v>13.356006276133398</v>
      </c>
      <c r="AG152">
        <v>19.212530611806859</v>
      </c>
      <c r="AH152">
        <v>3.4595636048831313</v>
      </c>
      <c r="AI152">
        <v>2.2786034679690634</v>
      </c>
      <c r="AK152">
        <v>41.484727452754193</v>
      </c>
    </row>
    <row r="153" spans="1:37" x14ac:dyDescent="0.2">
      <c r="A153">
        <v>152</v>
      </c>
      <c r="B153">
        <v>758</v>
      </c>
      <c r="C153">
        <v>210</v>
      </c>
      <c r="D153">
        <v>0.37272996169325601</v>
      </c>
      <c r="E153">
        <v>162.9288885777338</v>
      </c>
      <c r="F153">
        <v>55.182942113073928</v>
      </c>
      <c r="G153">
        <v>70.773014052454727</v>
      </c>
      <c r="H153">
        <v>66.17265858274267</v>
      </c>
      <c r="J153">
        <v>44.104543102408904</v>
      </c>
      <c r="L153">
        <v>3.5306182035492131</v>
      </c>
      <c r="M153">
        <v>13.578171580656733</v>
      </c>
      <c r="N153">
        <v>2.3365571589237701</v>
      </c>
      <c r="O153">
        <v>15.988974361051095</v>
      </c>
      <c r="P153">
        <v>9.1770842297146658</v>
      </c>
      <c r="Q153">
        <v>0.26992043161004009</v>
      </c>
      <c r="R153">
        <v>11.338295844259799</v>
      </c>
      <c r="S153">
        <v>35.055061343798599</v>
      </c>
      <c r="U153">
        <v>2.0496237989370529</v>
      </c>
      <c r="V153">
        <v>45.500806880255581</v>
      </c>
      <c r="W153">
        <v>23.35746158947947</v>
      </c>
      <c r="X153">
        <v>45.976896215661988</v>
      </c>
      <c r="Y153">
        <v>5.459082750833737</v>
      </c>
      <c r="Z153">
        <v>27.719482831343466</v>
      </c>
      <c r="AA153">
        <v>2.5111310283549608</v>
      </c>
      <c r="AB153">
        <v>33.365715575777074</v>
      </c>
      <c r="AD153">
        <v>5.6370598445705591</v>
      </c>
      <c r="AE153">
        <v>11.99851301223832</v>
      </c>
      <c r="AF153">
        <v>13.214970333214074</v>
      </c>
      <c r="AG153">
        <v>18.8884512471611</v>
      </c>
      <c r="AH153">
        <v>3.2058652592406047</v>
      </c>
      <c r="AI153">
        <v>2.2765888449777307</v>
      </c>
      <c r="AK153">
        <v>41.487214224412256</v>
      </c>
    </row>
    <row r="154" spans="1:37" x14ac:dyDescent="0.2">
      <c r="A154">
        <v>153</v>
      </c>
      <c r="B154">
        <v>756</v>
      </c>
      <c r="C154">
        <v>210</v>
      </c>
      <c r="D154">
        <v>0.371374921051355</v>
      </c>
      <c r="E154">
        <v>162.68361671763009</v>
      </c>
      <c r="F154">
        <v>54.432387400303419</v>
      </c>
      <c r="G154">
        <v>70.648077289012861</v>
      </c>
      <c r="H154">
        <v>66.042867276798603</v>
      </c>
      <c r="J154">
        <v>43.958744648906837</v>
      </c>
      <c r="L154">
        <v>3.3692416218500765</v>
      </c>
      <c r="M154">
        <v>13.427484692986424</v>
      </c>
      <c r="N154">
        <v>2.3405165489028965</v>
      </c>
      <c r="O154">
        <v>15.246351186237449</v>
      </c>
      <c r="P154">
        <v>8.9740896233529668</v>
      </c>
      <c r="Q154">
        <v>0.12100260717386908</v>
      </c>
      <c r="R154">
        <v>10.906327441287543</v>
      </c>
      <c r="S154">
        <v>34.116972809357165</v>
      </c>
      <c r="U154">
        <v>1.873925310212732</v>
      </c>
      <c r="V154">
        <v>45.25409633169685</v>
      </c>
      <c r="W154">
        <v>22.920371368766123</v>
      </c>
      <c r="X154">
        <v>45.52126314377422</v>
      </c>
      <c r="Y154">
        <v>5.2845243570591869</v>
      </c>
      <c r="Z154">
        <v>27.313702224871882</v>
      </c>
      <c r="AA154">
        <v>2.344720893137608</v>
      </c>
      <c r="AB154">
        <v>33.047982456382442</v>
      </c>
      <c r="AD154">
        <v>5.4039606149343964</v>
      </c>
      <c r="AE154">
        <v>11.81736779688439</v>
      </c>
      <c r="AF154">
        <v>13.062040744434263</v>
      </c>
      <c r="AG154">
        <v>18.540915736558699</v>
      </c>
      <c r="AH154">
        <v>2.932880197842811</v>
      </c>
      <c r="AI154">
        <v>2.2799807189343788</v>
      </c>
      <c r="AK154">
        <v>41.481828546004529</v>
      </c>
    </row>
    <row r="155" spans="1:37" x14ac:dyDescent="0.2">
      <c r="A155">
        <v>154</v>
      </c>
      <c r="B155">
        <v>754</v>
      </c>
      <c r="C155">
        <v>210</v>
      </c>
      <c r="D155">
        <v>0.37001460351457899</v>
      </c>
      <c r="E155">
        <v>162.40994948916244</v>
      </c>
      <c r="F155">
        <v>53.489274370100496</v>
      </c>
      <c r="G155">
        <v>70.488882201432162</v>
      </c>
      <c r="H155">
        <v>65.878869795469484</v>
      </c>
      <c r="J155">
        <v>43.786597988556956</v>
      </c>
      <c r="L155">
        <v>3.1509108338479308</v>
      </c>
      <c r="M155">
        <v>13.305945429156598</v>
      </c>
      <c r="N155">
        <v>2.3444726788081884</v>
      </c>
      <c r="O155">
        <v>14.28019350445102</v>
      </c>
      <c r="P155">
        <v>8.702606069491031</v>
      </c>
      <c r="R155">
        <v>10.440076642682174</v>
      </c>
      <c r="S155">
        <v>33.257559516281297</v>
      </c>
      <c r="U155">
        <v>1.7179941528083806</v>
      </c>
      <c r="V155">
        <v>45.077740953905149</v>
      </c>
      <c r="W155">
        <v>22.479886808384734</v>
      </c>
      <c r="X155">
        <v>45.128543095109272</v>
      </c>
      <c r="Y155">
        <v>5.0433247274107318</v>
      </c>
      <c r="Z155">
        <v>26.80721612053183</v>
      </c>
      <c r="AA155">
        <v>2.1178136664379199</v>
      </c>
      <c r="AB155">
        <v>32.776142364088059</v>
      </c>
      <c r="AD155">
        <v>5.1073587402291967</v>
      </c>
      <c r="AE155">
        <v>11.603209011986975</v>
      </c>
      <c r="AF155">
        <v>12.938256769096162</v>
      </c>
      <c r="AG155">
        <v>18.239280078388138</v>
      </c>
      <c r="AH155">
        <v>2.5624903727633912</v>
      </c>
      <c r="AI155">
        <v>2.283366009205273</v>
      </c>
      <c r="AK155">
        <v>41.432430338597086</v>
      </c>
    </row>
    <row r="156" spans="1:37" x14ac:dyDescent="0.2">
      <c r="A156">
        <v>155</v>
      </c>
      <c r="B156">
        <v>752</v>
      </c>
      <c r="C156">
        <v>210</v>
      </c>
      <c r="D156">
        <v>0.36864897819831499</v>
      </c>
      <c r="E156">
        <v>162.01685090603462</v>
      </c>
      <c r="F156">
        <v>51.722082931769457</v>
      </c>
      <c r="G156">
        <v>70.181465376688209</v>
      </c>
      <c r="H156">
        <v>65.566702892601072</v>
      </c>
      <c r="J156">
        <v>43.479553149605749</v>
      </c>
      <c r="L156">
        <v>2.6834441665153355</v>
      </c>
      <c r="M156">
        <v>13.305035494705026</v>
      </c>
      <c r="N156">
        <v>2.3484159048635371</v>
      </c>
      <c r="O156">
        <v>12.349393165353467</v>
      </c>
      <c r="P156">
        <v>8.1346972803269111</v>
      </c>
      <c r="R156">
        <v>9.8056884079112798</v>
      </c>
      <c r="S156">
        <v>32.66985751020291</v>
      </c>
      <c r="U156">
        <v>1.6493708540325633</v>
      </c>
      <c r="V156">
        <v>45.176937722838268</v>
      </c>
      <c r="W156">
        <v>22.025679533694056</v>
      </c>
      <c r="X156">
        <v>45.009020610867459</v>
      </c>
      <c r="Y156">
        <v>4.5141750122588462</v>
      </c>
      <c r="Z156">
        <v>25.869200068556125</v>
      </c>
      <c r="AA156">
        <v>1.6287769279471396</v>
      </c>
      <c r="AB156">
        <v>32.672534127326294</v>
      </c>
      <c r="AD156">
        <v>4.5380336285500809</v>
      </c>
      <c r="AE156">
        <v>11.248497815005141</v>
      </c>
      <c r="AF156">
        <v>12.935090513898674</v>
      </c>
      <c r="AG156">
        <v>18.105873504838762</v>
      </c>
      <c r="AH156">
        <v>1.7702293835708984</v>
      </c>
      <c r="AI156">
        <v>2.2867350573023173</v>
      </c>
      <c r="AK156">
        <v>41.190030799353664</v>
      </c>
    </row>
    <row r="157" spans="1:37" x14ac:dyDescent="0.2">
      <c r="A157">
        <v>156</v>
      </c>
      <c r="B157">
        <v>750</v>
      </c>
      <c r="C157">
        <v>210</v>
      </c>
      <c r="D157">
        <v>0.36727801397644499</v>
      </c>
      <c r="E157">
        <v>161.62151436941411</v>
      </c>
      <c r="F157">
        <v>49.90196033928418</v>
      </c>
      <c r="G157">
        <v>69.861055086219054</v>
      </c>
      <c r="H157">
        <v>65.241595007155397</v>
      </c>
      <c r="J157">
        <v>43.130400826515633</v>
      </c>
      <c r="L157">
        <v>2.1897445042136789</v>
      </c>
      <c r="M157">
        <v>13.308249697604044</v>
      </c>
      <c r="N157">
        <v>2.3523566105107534</v>
      </c>
      <c r="O157">
        <v>10.339202320751498</v>
      </c>
      <c r="P157">
        <v>7.5408303652148199</v>
      </c>
      <c r="R157">
        <v>9.1248751018668273</v>
      </c>
      <c r="S157">
        <v>31.990642882962277</v>
      </c>
      <c r="U157">
        <v>1.5932196679198798</v>
      </c>
      <c r="V157">
        <v>45.250770794743595</v>
      </c>
      <c r="W157">
        <v>21.578525629135726</v>
      </c>
      <c r="X157">
        <v>44.9265135251364</v>
      </c>
      <c r="Y157">
        <v>3.9599775248198923</v>
      </c>
      <c r="Z157">
        <v>24.898095328465416</v>
      </c>
      <c r="AA157">
        <v>1.1162276961152384</v>
      </c>
      <c r="AB157">
        <v>32.528332550065436</v>
      </c>
      <c r="AD157">
        <v>3.9453805452055262</v>
      </c>
      <c r="AE157">
        <v>10.884288823575954</v>
      </c>
      <c r="AF157">
        <v>12.936047215398546</v>
      </c>
      <c r="AG157">
        <v>17.931881251154088</v>
      </c>
      <c r="AH157">
        <v>0.93951383823598922</v>
      </c>
      <c r="AI157">
        <v>2.2900982319525434</v>
      </c>
      <c r="AK157">
        <v>40.929780719984493</v>
      </c>
    </row>
    <row r="158" spans="1:37" x14ac:dyDescent="0.2">
      <c r="A158">
        <v>157</v>
      </c>
      <c r="B158">
        <v>748</v>
      </c>
      <c r="C158">
        <v>210</v>
      </c>
      <c r="D158">
        <v>0.36590167947901903</v>
      </c>
      <c r="E158">
        <v>162.36330099589043</v>
      </c>
      <c r="F158">
        <v>49.253266078679268</v>
      </c>
      <c r="G158">
        <v>70.089381459568813</v>
      </c>
      <c r="H158">
        <v>65.465276436853415</v>
      </c>
      <c r="J158">
        <v>31.157017099045277</v>
      </c>
      <c r="L158">
        <v>1.5916950238739045</v>
      </c>
      <c r="M158">
        <v>12.270245893491252</v>
      </c>
      <c r="N158">
        <v>2.3563691330535925</v>
      </c>
      <c r="O158">
        <v>6.5401299671697464</v>
      </c>
      <c r="P158">
        <v>8.0445401046051206</v>
      </c>
      <c r="R158">
        <v>7.9268454890653262</v>
      </c>
      <c r="S158">
        <v>30.54411603246767</v>
      </c>
      <c r="U158">
        <v>1.6057309535638422</v>
      </c>
      <c r="V158">
        <v>46.406396028706745</v>
      </c>
      <c r="W158">
        <v>20.319394293337133</v>
      </c>
      <c r="X158">
        <v>45.036616720308849</v>
      </c>
      <c r="Y158">
        <v>3.6219667335905901</v>
      </c>
      <c r="Z158">
        <v>19.786333184895497</v>
      </c>
      <c r="AB158">
        <v>30.134412236927155</v>
      </c>
      <c r="AD158">
        <v>1.4239272668312155</v>
      </c>
      <c r="AE158">
        <v>7.7708799727753624</v>
      </c>
      <c r="AF158">
        <v>11.895859111881716</v>
      </c>
      <c r="AG158">
        <v>15.508252307400427</v>
      </c>
      <c r="AI158">
        <v>2.2935298557415496</v>
      </c>
      <c r="AK158">
        <v>32.753381001342277</v>
      </c>
    </row>
    <row r="159" spans="1:37" x14ac:dyDescent="0.2">
      <c r="A159">
        <v>158</v>
      </c>
      <c r="B159">
        <v>746</v>
      </c>
      <c r="C159">
        <v>210</v>
      </c>
      <c r="D159">
        <v>0.36451994308983099</v>
      </c>
      <c r="E159">
        <v>162.88941767349644</v>
      </c>
      <c r="F159">
        <v>49.639153186903947</v>
      </c>
      <c r="G159">
        <v>70.179367006117545</v>
      </c>
      <c r="H159">
        <v>65.550669859911849</v>
      </c>
      <c r="J159">
        <v>25.996056305765524</v>
      </c>
      <c r="L159">
        <v>1.637354457255271</v>
      </c>
      <c r="M159">
        <v>11.301154859119839</v>
      </c>
      <c r="N159">
        <v>2.3603664548987311</v>
      </c>
      <c r="O159">
        <v>6.2947756872325149</v>
      </c>
      <c r="P159">
        <v>8.271584684749941</v>
      </c>
      <c r="R159">
        <v>7.3072648389441426</v>
      </c>
      <c r="S159">
        <v>31.213525348300404</v>
      </c>
      <c r="U159">
        <v>1.5757487375106156</v>
      </c>
      <c r="V159">
        <v>47.676635383333704</v>
      </c>
      <c r="W159">
        <v>19.187414567886098</v>
      </c>
      <c r="X159">
        <v>45.024847902953695</v>
      </c>
      <c r="Y159">
        <v>3.6178730002955435</v>
      </c>
      <c r="Z159">
        <v>17.727974275851643</v>
      </c>
      <c r="AB159">
        <v>29.748601152803126</v>
      </c>
      <c r="AD159">
        <v>0.3985859772169455</v>
      </c>
      <c r="AE159">
        <v>6.5384167742469721</v>
      </c>
      <c r="AF159">
        <v>10.924570008056829</v>
      </c>
      <c r="AG159">
        <v>15.092727669325743</v>
      </c>
      <c r="AI159">
        <v>2.2969428963550622</v>
      </c>
      <c r="AK159">
        <v>29.07606990516765</v>
      </c>
    </row>
    <row r="160" spans="1:37" x14ac:dyDescent="0.2">
      <c r="A160">
        <v>159</v>
      </c>
      <c r="B160">
        <v>744</v>
      </c>
      <c r="C160">
        <v>210</v>
      </c>
      <c r="D160">
        <v>0.36313277294401303</v>
      </c>
      <c r="E160">
        <v>163.21283600924295</v>
      </c>
      <c r="F160">
        <v>50.452566383156373</v>
      </c>
      <c r="G160">
        <v>70.153324681889004</v>
      </c>
      <c r="H160">
        <v>65.5200884018533</v>
      </c>
      <c r="J160">
        <v>23.115538537240298</v>
      </c>
      <c r="L160">
        <v>1.6645180884327202</v>
      </c>
      <c r="M160">
        <v>10.489205978081136</v>
      </c>
      <c r="N160">
        <v>2.3643496696416908</v>
      </c>
      <c r="O160">
        <v>6.2271139978875922</v>
      </c>
      <c r="P160">
        <v>8.2665912974105584</v>
      </c>
      <c r="R160">
        <v>6.6844832768296705</v>
      </c>
      <c r="S160">
        <v>31.879233240208379</v>
      </c>
      <c r="U160">
        <v>1.5374351074319452</v>
      </c>
      <c r="V160">
        <v>48.732982026548505</v>
      </c>
      <c r="W160">
        <v>18.217075477195266</v>
      </c>
      <c r="X160">
        <v>44.990062443189544</v>
      </c>
      <c r="Y160">
        <v>3.551320280839914</v>
      </c>
      <c r="Z160">
        <v>17.667414910059033</v>
      </c>
      <c r="AB160">
        <v>30.428397326422001</v>
      </c>
      <c r="AE160">
        <v>6.4869594198418916</v>
      </c>
      <c r="AF160">
        <v>10.11041042686638</v>
      </c>
      <c r="AG160">
        <v>15.742806508014761</v>
      </c>
      <c r="AI160">
        <v>2.3003384326664889</v>
      </c>
      <c r="AK160">
        <v>26.957381694232325</v>
      </c>
    </row>
    <row r="161" spans="1:37" x14ac:dyDescent="0.2">
      <c r="A161">
        <v>160</v>
      </c>
      <c r="B161">
        <v>742</v>
      </c>
      <c r="C161">
        <v>210</v>
      </c>
      <c r="D161">
        <v>0.361740136925575</v>
      </c>
      <c r="E161">
        <v>163.4645234354474</v>
      </c>
      <c r="F161">
        <v>51.176954366622169</v>
      </c>
      <c r="G161">
        <v>70.116375187159733</v>
      </c>
      <c r="H161">
        <v>65.478652933119534</v>
      </c>
      <c r="J161">
        <v>21.219336190329194</v>
      </c>
      <c r="L161">
        <v>1.6863629546928387</v>
      </c>
      <c r="M161">
        <v>9.7924530746031433</v>
      </c>
      <c r="N161">
        <v>2.3683275830581376</v>
      </c>
      <c r="O161">
        <v>6.1678657656311362</v>
      </c>
      <c r="P161">
        <v>8.2398103360777366</v>
      </c>
      <c r="R161">
        <v>6.1325968704223843</v>
      </c>
      <c r="S161">
        <v>32.462694194452709</v>
      </c>
      <c r="U161">
        <v>1.4956188730713107</v>
      </c>
      <c r="V161">
        <v>49.632693857711992</v>
      </c>
      <c r="W161">
        <v>17.36375222306053</v>
      </c>
      <c r="X161">
        <v>44.946088324691637</v>
      </c>
      <c r="Y161">
        <v>3.4913495859523311</v>
      </c>
      <c r="Z161">
        <v>17.752817068027142</v>
      </c>
      <c r="AB161">
        <v>31.096829251362319</v>
      </c>
      <c r="AE161">
        <v>6.522641771883019</v>
      </c>
      <c r="AF161">
        <v>9.4114430442779486</v>
      </c>
      <c r="AG161">
        <v>16.381526171895757</v>
      </c>
      <c r="AI161">
        <v>2.303725255728216</v>
      </c>
      <c r="AK161">
        <v>25.527597331372309</v>
      </c>
    </row>
    <row r="162" spans="1:37" x14ac:dyDescent="0.2">
      <c r="A162">
        <v>161</v>
      </c>
      <c r="B162">
        <v>740</v>
      </c>
      <c r="C162">
        <v>210</v>
      </c>
      <c r="D162">
        <v>0.36034200266496003</v>
      </c>
      <c r="E162">
        <v>163.67539363031838</v>
      </c>
      <c r="F162">
        <v>51.81070482320446</v>
      </c>
      <c r="G162">
        <v>70.078790525714965</v>
      </c>
      <c r="H162">
        <v>65.436635628331558</v>
      </c>
      <c r="J162">
        <v>19.837676143068471</v>
      </c>
      <c r="L162">
        <v>1.7054293743787385</v>
      </c>
      <c r="M162">
        <v>9.1731500985778691</v>
      </c>
      <c r="N162">
        <v>2.3723019718179437</v>
      </c>
      <c r="O162">
        <v>6.1039831807378366</v>
      </c>
      <c r="P162">
        <v>8.2117877732021114</v>
      </c>
      <c r="R162">
        <v>5.6349481882331887</v>
      </c>
      <c r="S162">
        <v>32.980047388037434</v>
      </c>
      <c r="U162">
        <v>1.4520523891116719</v>
      </c>
      <c r="V162">
        <v>50.425139202709879</v>
      </c>
      <c r="W162">
        <v>16.58875848083542</v>
      </c>
      <c r="X162">
        <v>44.897948200880911</v>
      </c>
      <c r="Y162">
        <v>3.4402483666497017</v>
      </c>
      <c r="Z162">
        <v>17.824455697878893</v>
      </c>
      <c r="AB162">
        <v>31.688496173689686</v>
      </c>
      <c r="AE162">
        <v>6.5512043335329651</v>
      </c>
      <c r="AF162">
        <v>8.7899236330204733</v>
      </c>
      <c r="AG162">
        <v>16.943487733090613</v>
      </c>
      <c r="AI162">
        <v>2.3071051274855576</v>
      </c>
      <c r="AK162">
        <v>24.463915070591717</v>
      </c>
    </row>
    <row r="163" spans="1:37" x14ac:dyDescent="0.2">
      <c r="A163">
        <v>162</v>
      </c>
      <c r="B163">
        <v>738</v>
      </c>
      <c r="C163">
        <v>210</v>
      </c>
      <c r="D163">
        <v>0.35893833753646798</v>
      </c>
      <c r="E163">
        <v>163.85738171261448</v>
      </c>
      <c r="F163">
        <v>52.380466199398185</v>
      </c>
      <c r="G163">
        <v>70.040791489317428</v>
      </c>
      <c r="H163">
        <v>65.394257450763021</v>
      </c>
      <c r="J163">
        <v>18.766919379035187</v>
      </c>
      <c r="L163">
        <v>1.7226143316117304</v>
      </c>
      <c r="M163">
        <v>8.6092826175980992</v>
      </c>
      <c r="N163">
        <v>2.3762735493550631</v>
      </c>
      <c r="O163">
        <v>6.0375798082468135</v>
      </c>
      <c r="P163">
        <v>8.1829660950095455</v>
      </c>
      <c r="R163">
        <v>5.1763576106620226</v>
      </c>
      <c r="S163">
        <v>33.448212515291367</v>
      </c>
      <c r="U163">
        <v>1.407437074383574</v>
      </c>
      <c r="V163">
        <v>51.139588021664636</v>
      </c>
      <c r="W163">
        <v>15.869710487302282</v>
      </c>
      <c r="X163">
        <v>44.847650679581065</v>
      </c>
      <c r="Y163">
        <v>3.3954688941689928</v>
      </c>
      <c r="Z163">
        <v>17.88645143583814</v>
      </c>
      <c r="AB163">
        <v>32.224017488500643</v>
      </c>
      <c r="AE163">
        <v>6.5747612481574906</v>
      </c>
      <c r="AF163">
        <v>8.2238385204985764</v>
      </c>
      <c r="AG163">
        <v>17.449311349838119</v>
      </c>
      <c r="AI163">
        <v>2.3104787466481418</v>
      </c>
      <c r="AK163">
        <v>23.624407419200281</v>
      </c>
    </row>
    <row r="164" spans="1:37" x14ac:dyDescent="0.2">
      <c r="A164">
        <v>163</v>
      </c>
      <c r="B164">
        <v>736</v>
      </c>
      <c r="C164">
        <v>210</v>
      </c>
      <c r="D164">
        <v>0.35752910865580001</v>
      </c>
      <c r="E164">
        <v>164.01753521044287</v>
      </c>
      <c r="F164">
        <v>52.901950807957824</v>
      </c>
      <c r="G164">
        <v>70.002501498638324</v>
      </c>
      <c r="H164">
        <v>65.351641993274569</v>
      </c>
      <c r="J164">
        <v>17.903503987324161</v>
      </c>
      <c r="L164">
        <v>1.7383736669007304</v>
      </c>
      <c r="M164">
        <v>8.0876622304122634</v>
      </c>
      <c r="N164">
        <v>2.3802427666157704</v>
      </c>
      <c r="O164">
        <v>5.9698708582679512</v>
      </c>
      <c r="P164">
        <v>8.1535927841237079</v>
      </c>
      <c r="R164">
        <v>4.7477998385395255</v>
      </c>
      <c r="S164">
        <v>33.878162777436259</v>
      </c>
      <c r="U164">
        <v>1.3621009766457961</v>
      </c>
      <c r="V164">
        <v>51.793941213500062</v>
      </c>
      <c r="W164">
        <v>15.193249596881161</v>
      </c>
      <c r="X164">
        <v>44.796132923171172</v>
      </c>
      <c r="Y164">
        <v>3.3554852621241933</v>
      </c>
      <c r="Z164">
        <v>17.941224720465257</v>
      </c>
      <c r="AB164">
        <v>32.716206429960749</v>
      </c>
      <c r="AE164">
        <v>6.5945583431042181</v>
      </c>
      <c r="AF164">
        <v>7.6999998029925356</v>
      </c>
      <c r="AG164">
        <v>17.911810757277379</v>
      </c>
      <c r="AI164">
        <v>2.3138465494390799</v>
      </c>
      <c r="AK164">
        <v>22.936177655322709</v>
      </c>
    </row>
    <row r="165" spans="1:37" x14ac:dyDescent="0.2">
      <c r="A165">
        <v>164</v>
      </c>
      <c r="B165">
        <v>760</v>
      </c>
      <c r="C165">
        <v>200</v>
      </c>
      <c r="D165">
        <v>0.38472680636887402</v>
      </c>
      <c r="E165">
        <v>157.31797010135594</v>
      </c>
      <c r="F165">
        <v>55.668797523025816</v>
      </c>
      <c r="G165">
        <v>70.892182305581741</v>
      </c>
      <c r="H165">
        <v>66.296288497545632</v>
      </c>
      <c r="J165">
        <v>44.055041928529157</v>
      </c>
      <c r="L165">
        <v>3.6413579535313838</v>
      </c>
      <c r="M165">
        <v>13.698611094164269</v>
      </c>
      <c r="N165">
        <v>2.2980871873544189</v>
      </c>
      <c r="O165">
        <v>16.792774217476172</v>
      </c>
      <c r="P165">
        <v>9.2775993144346138</v>
      </c>
      <c r="Q165">
        <v>0.22768855393554419</v>
      </c>
      <c r="R165">
        <v>11.744204214006924</v>
      </c>
      <c r="S165">
        <v>35.753134775674084</v>
      </c>
      <c r="U165">
        <v>2.1868164175936644</v>
      </c>
      <c r="V165">
        <v>45.493808115063892</v>
      </c>
      <c r="W165">
        <v>24.022755005088634</v>
      </c>
      <c r="X165">
        <v>45.754843191541767</v>
      </c>
      <c r="Y165">
        <v>5.5417305182612138</v>
      </c>
      <c r="Z165">
        <v>28.092470531834454</v>
      </c>
      <c r="AA165">
        <v>2.6378761621482627</v>
      </c>
      <c r="AB165">
        <v>33.668190257783586</v>
      </c>
      <c r="AC165">
        <v>1.7998263011345295E-3</v>
      </c>
      <c r="AD165">
        <v>5.8436773749966662</v>
      </c>
      <c r="AE165">
        <v>12.246803344288383</v>
      </c>
      <c r="AF165">
        <v>13.333986968568455</v>
      </c>
      <c r="AG165">
        <v>19.229383961742819</v>
      </c>
      <c r="AH165">
        <v>3.2602830759756549</v>
      </c>
      <c r="AI165">
        <v>2.2374532599928449</v>
      </c>
      <c r="AK165">
        <v>41.329049718882111</v>
      </c>
    </row>
    <row r="166" spans="1:37" x14ac:dyDescent="0.2">
      <c r="A166">
        <v>165</v>
      </c>
      <c r="B166">
        <v>758</v>
      </c>
      <c r="C166">
        <v>200</v>
      </c>
      <c r="D166">
        <v>0.383397662803666</v>
      </c>
      <c r="E166">
        <v>157.07800610220727</v>
      </c>
      <c r="F166">
        <v>54.93561434834163</v>
      </c>
      <c r="G166">
        <v>70.76973599200474</v>
      </c>
      <c r="H166">
        <v>66.168927521774194</v>
      </c>
      <c r="J166">
        <v>43.917094717373487</v>
      </c>
      <c r="L166">
        <v>3.4827520906146967</v>
      </c>
      <c r="M166">
        <v>13.555269315998373</v>
      </c>
      <c r="N166">
        <v>2.2999344490224751</v>
      </c>
      <c r="O166">
        <v>16.056171870567482</v>
      </c>
      <c r="P166">
        <v>9.0774349597426589</v>
      </c>
      <c r="Q166">
        <v>8.4488509665799086E-2</v>
      </c>
      <c r="R166">
        <v>11.324019130542757</v>
      </c>
      <c r="S166">
        <v>34.84994525751511</v>
      </c>
      <c r="U166">
        <v>2.0173818425850123</v>
      </c>
      <c r="V166">
        <v>45.259428684950194</v>
      </c>
      <c r="W166">
        <v>23.598552420666035</v>
      </c>
      <c r="X166">
        <v>45.321402453207924</v>
      </c>
      <c r="Y166">
        <v>5.3709283627706412</v>
      </c>
      <c r="Z166">
        <v>27.696446017069409</v>
      </c>
      <c r="AA166">
        <v>2.4742191228929076</v>
      </c>
      <c r="AB166">
        <v>33.362641282670275</v>
      </c>
      <c r="AD166">
        <v>5.617376587988848</v>
      </c>
      <c r="AE166">
        <v>12.069263624001419</v>
      </c>
      <c r="AF166">
        <v>13.186286338263349</v>
      </c>
      <c r="AG166">
        <v>18.891936735343268</v>
      </c>
      <c r="AH166">
        <v>2.9952368507717102</v>
      </c>
      <c r="AI166">
        <v>2.2387372167433637</v>
      </c>
      <c r="AK166">
        <v>41.326571298503467</v>
      </c>
    </row>
    <row r="167" spans="1:37" x14ac:dyDescent="0.2">
      <c r="A167">
        <v>166</v>
      </c>
      <c r="B167">
        <v>756</v>
      </c>
      <c r="C167">
        <v>200</v>
      </c>
      <c r="D167">
        <v>0.38206335325268598</v>
      </c>
      <c r="E167">
        <v>156.76940030387593</v>
      </c>
      <c r="F167">
        <v>53.752190194301228</v>
      </c>
      <c r="G167">
        <v>70.567630210113961</v>
      </c>
      <c r="H167">
        <v>65.961959064006592</v>
      </c>
      <c r="J167">
        <v>43.707385580980947</v>
      </c>
      <c r="L167">
        <v>3.1927296246150254</v>
      </c>
      <c r="M167">
        <v>13.469651615283286</v>
      </c>
      <c r="N167">
        <v>2.3038895858138027</v>
      </c>
      <c r="O167">
        <v>14.80852066633849</v>
      </c>
      <c r="P167">
        <v>8.7200903183445178</v>
      </c>
      <c r="R167">
        <v>10.812634127598828</v>
      </c>
      <c r="S167">
        <v>34.080099644824621</v>
      </c>
      <c r="U167">
        <v>1.8866668187277325</v>
      </c>
      <c r="V167">
        <v>45.168287815803346</v>
      </c>
      <c r="W167">
        <v>23.152509700902154</v>
      </c>
      <c r="X167">
        <v>45.008623758234464</v>
      </c>
      <c r="Y167">
        <v>5.0463206641736473</v>
      </c>
      <c r="Z167">
        <v>27.063875029377432</v>
      </c>
      <c r="AA167">
        <v>2.1714894453358649</v>
      </c>
      <c r="AB167">
        <v>33.144265987905754</v>
      </c>
      <c r="AD167">
        <v>5.2420763635578425</v>
      </c>
      <c r="AE167">
        <v>11.813501931704472</v>
      </c>
      <c r="AF167">
        <v>13.098418875125624</v>
      </c>
      <c r="AG167">
        <v>18.643781102588711</v>
      </c>
      <c r="AH167">
        <v>2.5030078620272871</v>
      </c>
      <c r="AI167">
        <v>2.2421257397129124</v>
      </c>
      <c r="AK167">
        <v>41.220975292024356</v>
      </c>
    </row>
    <row r="168" spans="1:37" x14ac:dyDescent="0.2">
      <c r="A168">
        <v>167</v>
      </c>
      <c r="B168">
        <v>754</v>
      </c>
      <c r="C168">
        <v>200</v>
      </c>
      <c r="D168">
        <v>0.38072384753930699</v>
      </c>
      <c r="E168">
        <v>156.37877380889412</v>
      </c>
      <c r="F168">
        <v>51.987923655672382</v>
      </c>
      <c r="G168">
        <v>70.259729232038865</v>
      </c>
      <c r="H168">
        <v>65.649247562597537</v>
      </c>
      <c r="J168">
        <v>43.394446848715916</v>
      </c>
      <c r="L168">
        <v>2.72338239661849</v>
      </c>
      <c r="M168">
        <v>13.469035814423179</v>
      </c>
      <c r="N168">
        <v>2.3078351057492488</v>
      </c>
      <c r="O168">
        <v>12.873519529016397</v>
      </c>
      <c r="P168">
        <v>8.1511766235465366</v>
      </c>
      <c r="R168">
        <v>10.171674885138257</v>
      </c>
      <c r="S168">
        <v>33.472598441400031</v>
      </c>
      <c r="U168">
        <v>1.8208368463939693</v>
      </c>
      <c r="V168">
        <v>45.259902992157777</v>
      </c>
      <c r="W168">
        <v>22.69905288193695</v>
      </c>
      <c r="X168">
        <v>44.898247751091645</v>
      </c>
      <c r="Y168">
        <v>4.5162040044860854</v>
      </c>
      <c r="Z168">
        <v>26.124733124096295</v>
      </c>
      <c r="AA168">
        <v>1.6814560937631249</v>
      </c>
      <c r="AB168">
        <v>33.03000804719337</v>
      </c>
      <c r="AD168">
        <v>4.6723315933234604</v>
      </c>
      <c r="AE168">
        <v>11.458316575298094</v>
      </c>
      <c r="AF168">
        <v>13.095544954317075</v>
      </c>
      <c r="AG168">
        <v>18.499743292436786</v>
      </c>
      <c r="AH168">
        <v>1.709335056750757</v>
      </c>
      <c r="AI168">
        <v>2.2455013222144276</v>
      </c>
      <c r="AK168">
        <v>40.978569482092908</v>
      </c>
    </row>
    <row r="169" spans="1:37" x14ac:dyDescent="0.2">
      <c r="A169">
        <v>168</v>
      </c>
      <c r="B169">
        <v>752</v>
      </c>
      <c r="C169">
        <v>200</v>
      </c>
      <c r="D169">
        <v>0.37937911525142798</v>
      </c>
      <c r="E169">
        <v>155.98594409004903</v>
      </c>
      <c r="F169">
        <v>50.169974539740856</v>
      </c>
      <c r="G169">
        <v>69.938781229504315</v>
      </c>
      <c r="H169">
        <v>65.323541356141604</v>
      </c>
      <c r="J169">
        <v>43.038232928906829</v>
      </c>
      <c r="L169">
        <v>2.2275734966429264</v>
      </c>
      <c r="M169">
        <v>13.472276812292234</v>
      </c>
      <c r="N169">
        <v>2.3117781044621211</v>
      </c>
      <c r="O169">
        <v>10.858390395064893</v>
      </c>
      <c r="P169">
        <v>7.5561974964666279</v>
      </c>
      <c r="R169">
        <v>9.4839429457380202</v>
      </c>
      <c r="S169">
        <v>32.769943376041461</v>
      </c>
      <c r="U169">
        <v>1.7674295351882763</v>
      </c>
      <c r="V169">
        <v>45.325138185182148</v>
      </c>
      <c r="W169">
        <v>22.252586135823222</v>
      </c>
      <c r="X169">
        <v>44.824756915161949</v>
      </c>
      <c r="Y169">
        <v>3.9608866146078254</v>
      </c>
      <c r="Z169">
        <v>25.151288635239489</v>
      </c>
      <c r="AA169">
        <v>1.1676985076032069</v>
      </c>
      <c r="AB169">
        <v>32.873033693705302</v>
      </c>
      <c r="AD169">
        <v>4.0786285636310557</v>
      </c>
      <c r="AE169">
        <v>11.092973458985691</v>
      </c>
      <c r="AF169">
        <v>13.096526615282206</v>
      </c>
      <c r="AG169">
        <v>18.31299668122394</v>
      </c>
      <c r="AH169">
        <v>0.87691909025001158</v>
      </c>
      <c r="AI169">
        <v>2.2488710451696958</v>
      </c>
      <c r="AK169">
        <v>40.718021508184421</v>
      </c>
    </row>
    <row r="170" spans="1:37" x14ac:dyDescent="0.2">
      <c r="A170">
        <v>169</v>
      </c>
      <c r="B170">
        <v>750</v>
      </c>
      <c r="C170">
        <v>200</v>
      </c>
      <c r="D170">
        <v>0.37802912573913899</v>
      </c>
      <c r="E170">
        <v>156.70075571788118</v>
      </c>
      <c r="F170">
        <v>49.647148883818097</v>
      </c>
      <c r="G170">
        <v>70.16866313061648</v>
      </c>
      <c r="H170">
        <v>65.548717540268967</v>
      </c>
      <c r="J170">
        <v>31.713031791034648</v>
      </c>
      <c r="L170">
        <v>1.5744382103811294</v>
      </c>
      <c r="M170">
        <v>12.524730493322771</v>
      </c>
      <c r="N170">
        <v>2.3157881237976574</v>
      </c>
      <c r="O170">
        <v>6.8022158657321246</v>
      </c>
      <c r="P170">
        <v>8.0629765182105508</v>
      </c>
      <c r="R170">
        <v>8.2770638567404227</v>
      </c>
      <c r="S170">
        <v>30.959418073633699</v>
      </c>
      <c r="U170">
        <v>1.7960455140736267</v>
      </c>
      <c r="V170">
        <v>46.291458168467663</v>
      </c>
      <c r="W170">
        <v>21.054302646220137</v>
      </c>
      <c r="X170">
        <v>44.982479177639263</v>
      </c>
      <c r="Y170">
        <v>3.5952273227348814</v>
      </c>
      <c r="Z170">
        <v>20.377171259024099</v>
      </c>
      <c r="AB170">
        <v>30.48895122797818</v>
      </c>
      <c r="AD170">
        <v>1.7237028980887028</v>
      </c>
      <c r="AE170">
        <v>8.1548193581854118</v>
      </c>
      <c r="AF170">
        <v>12.146789329440473</v>
      </c>
      <c r="AG170">
        <v>15.899219159167343</v>
      </c>
      <c r="AI170">
        <v>2.2523044357088251</v>
      </c>
      <c r="AK170">
        <v>33.029413500897768</v>
      </c>
    </row>
    <row r="171" spans="1:37" x14ac:dyDescent="0.2">
      <c r="A171">
        <v>170</v>
      </c>
      <c r="B171">
        <v>748</v>
      </c>
      <c r="C171">
        <v>200</v>
      </c>
      <c r="D171">
        <v>0.37667384811242399</v>
      </c>
      <c r="E171">
        <v>157.2465529614451</v>
      </c>
      <c r="F171">
        <v>49.989942812230126</v>
      </c>
      <c r="G171">
        <v>70.26654636523692</v>
      </c>
      <c r="H171">
        <v>65.641947713017984</v>
      </c>
      <c r="J171">
        <v>26.268579046671046</v>
      </c>
      <c r="L171">
        <v>1.6205058751639663</v>
      </c>
      <c r="M171">
        <v>11.544905366039886</v>
      </c>
      <c r="N171">
        <v>2.3197880485545834</v>
      </c>
      <c r="O171">
        <v>6.5455015313031693</v>
      </c>
      <c r="P171">
        <v>8.3057796173666887</v>
      </c>
      <c r="R171">
        <v>7.6489081875268292</v>
      </c>
      <c r="S171">
        <v>31.572346805598645</v>
      </c>
      <c r="U171">
        <v>1.7721604182223911</v>
      </c>
      <c r="V171">
        <v>47.554874341704704</v>
      </c>
      <c r="W171">
        <v>19.906671603938918</v>
      </c>
      <c r="X171">
        <v>44.989105037596381</v>
      </c>
      <c r="Y171">
        <v>3.593002270879734</v>
      </c>
      <c r="Z171">
        <v>18.147092372965833</v>
      </c>
      <c r="AB171">
        <v>29.974285497017746</v>
      </c>
      <c r="AD171">
        <v>0.61719240796507402</v>
      </c>
      <c r="AE171">
        <v>6.8163015453955289</v>
      </c>
      <c r="AF171">
        <v>11.164764535461916</v>
      </c>
      <c r="AG171">
        <v>15.35485850621186</v>
      </c>
      <c r="AI171">
        <v>2.2557243639125013</v>
      </c>
      <c r="AK171">
        <v>29.171236219307605</v>
      </c>
    </row>
    <row r="172" spans="1:37" x14ac:dyDescent="0.2">
      <c r="A172">
        <v>171</v>
      </c>
      <c r="B172">
        <v>746</v>
      </c>
      <c r="C172">
        <v>200</v>
      </c>
      <c r="D172">
        <v>0.37531325123877901</v>
      </c>
      <c r="E172">
        <v>157.62641589074062</v>
      </c>
      <c r="F172">
        <v>50.476742773068992</v>
      </c>
      <c r="G172">
        <v>70.303522688300191</v>
      </c>
      <c r="H172">
        <v>65.674323798159904</v>
      </c>
      <c r="J172">
        <v>23.370810287788249</v>
      </c>
      <c r="L172">
        <v>1.6527140440619805</v>
      </c>
      <c r="M172">
        <v>10.749150628649907</v>
      </c>
      <c r="N172">
        <v>2.3237764688910807</v>
      </c>
      <c r="O172">
        <v>6.3623916254378194</v>
      </c>
      <c r="P172">
        <v>8.426789079059704</v>
      </c>
      <c r="R172">
        <v>7.0966195121495286</v>
      </c>
      <c r="S172">
        <v>32.150343927780575</v>
      </c>
      <c r="U172">
        <v>1.7351052872895618</v>
      </c>
      <c r="V172">
        <v>48.591564485020584</v>
      </c>
      <c r="W172">
        <v>18.950272392046934</v>
      </c>
      <c r="X172">
        <v>44.958817564814844</v>
      </c>
      <c r="Y172">
        <v>3.5681526186343402</v>
      </c>
      <c r="Z172">
        <v>17.014952417764597</v>
      </c>
      <c r="AB172">
        <v>30.000702025490423</v>
      </c>
      <c r="AD172">
        <v>3.6809706339941066E-2</v>
      </c>
      <c r="AE172">
        <v>6.1363736272961971</v>
      </c>
      <c r="AF172">
        <v>10.366800067258657</v>
      </c>
      <c r="AG172">
        <v>15.351578885631948</v>
      </c>
      <c r="AI172">
        <v>2.2591294052179558</v>
      </c>
      <c r="AK172">
        <v>27.049877057584208</v>
      </c>
    </row>
    <row r="173" spans="1:37" x14ac:dyDescent="0.2">
      <c r="A173">
        <v>172</v>
      </c>
      <c r="B173">
        <v>744</v>
      </c>
      <c r="C173">
        <v>200</v>
      </c>
      <c r="D173">
        <v>0.373947303740848</v>
      </c>
      <c r="E173">
        <v>157.85606355581109</v>
      </c>
      <c r="F173">
        <v>51.401640262229755</v>
      </c>
      <c r="G173">
        <v>70.231365041679425</v>
      </c>
      <c r="H173">
        <v>65.597618907066249</v>
      </c>
      <c r="J173">
        <v>21.355360272730699</v>
      </c>
      <c r="L173">
        <v>1.6716135047878198</v>
      </c>
      <c r="M173">
        <v>10.02954491910808</v>
      </c>
      <c r="N173">
        <v>2.3277549796268597</v>
      </c>
      <c r="O173">
        <v>6.3607566121535619</v>
      </c>
      <c r="P173">
        <v>8.3295525679833933</v>
      </c>
      <c r="R173">
        <v>6.4914773529275767</v>
      </c>
      <c r="S173">
        <v>32.766561776200248</v>
      </c>
      <c r="U173">
        <v>1.6947580910234747</v>
      </c>
      <c r="V173">
        <v>49.513884015031934</v>
      </c>
      <c r="W173">
        <v>18.071833856927178</v>
      </c>
      <c r="X173">
        <v>44.919984395508223</v>
      </c>
      <c r="Y173">
        <v>3.4816684392129984</v>
      </c>
      <c r="Z173">
        <v>17.698684042941363</v>
      </c>
      <c r="AB173">
        <v>31.032750927434147</v>
      </c>
      <c r="AE173">
        <v>6.522366726378575</v>
      </c>
      <c r="AF173">
        <v>9.6449762033618729</v>
      </c>
      <c r="AG173">
        <v>16.353932055044066</v>
      </c>
      <c r="AI173">
        <v>2.2625211397227853</v>
      </c>
      <c r="AK173">
        <v>25.53668615932877</v>
      </c>
    </row>
    <row r="174" spans="1:37" x14ac:dyDescent="0.2">
      <c r="A174">
        <v>173</v>
      </c>
      <c r="B174">
        <v>742</v>
      </c>
      <c r="C174">
        <v>200</v>
      </c>
      <c r="D174">
        <v>0.37257597399398801</v>
      </c>
      <c r="E174">
        <v>158.07045889190144</v>
      </c>
      <c r="F174">
        <v>52.043100366264269</v>
      </c>
      <c r="G174">
        <v>70.193716864668033</v>
      </c>
      <c r="H174">
        <v>65.555476649196549</v>
      </c>
      <c r="J174">
        <v>19.934901173551307</v>
      </c>
      <c r="L174">
        <v>1.6905395365925069</v>
      </c>
      <c r="M174">
        <v>9.4044510435888427</v>
      </c>
      <c r="N174">
        <v>2.3317315829845535</v>
      </c>
      <c r="O174">
        <v>6.291633437994463</v>
      </c>
      <c r="P174">
        <v>8.301365152121889</v>
      </c>
      <c r="R174">
        <v>5.9880573598291198</v>
      </c>
      <c r="S174">
        <v>33.278628773741232</v>
      </c>
      <c r="U174">
        <v>1.6516196336622544</v>
      </c>
      <c r="V174">
        <v>50.312780709854259</v>
      </c>
      <c r="W174">
        <v>17.289327312563898</v>
      </c>
      <c r="X174">
        <v>44.874002183849761</v>
      </c>
      <c r="Y174">
        <v>3.4289219123897783</v>
      </c>
      <c r="Z174">
        <v>17.771933106730209</v>
      </c>
      <c r="AB174">
        <v>31.626720549115522</v>
      </c>
      <c r="AE174">
        <v>6.5518734765307878</v>
      </c>
      <c r="AF174">
        <v>9.0176637981327854</v>
      </c>
      <c r="AG174">
        <v>16.91821441201408</v>
      </c>
      <c r="AI174">
        <v>2.2659075549264593</v>
      </c>
      <c r="AK174">
        <v>24.44721089907571</v>
      </c>
    </row>
    <row r="175" spans="1:37" x14ac:dyDescent="0.2">
      <c r="A175">
        <v>174</v>
      </c>
      <c r="B175">
        <v>740</v>
      </c>
      <c r="C175">
        <v>200</v>
      </c>
      <c r="D175">
        <v>0.37119923012387401</v>
      </c>
      <c r="E175">
        <v>158.25500980827647</v>
      </c>
      <c r="F175">
        <v>52.618381921853093</v>
      </c>
      <c r="G175">
        <v>70.155631087632017</v>
      </c>
      <c r="H175">
        <v>65.512950125752127</v>
      </c>
      <c r="J175">
        <v>18.837958597647784</v>
      </c>
      <c r="L175">
        <v>1.7075596239318256</v>
      </c>
      <c r="M175">
        <v>8.8361027680586854</v>
      </c>
      <c r="N175">
        <v>2.3357053789779134</v>
      </c>
      <c r="O175">
        <v>6.2199082990675665</v>
      </c>
      <c r="P175">
        <v>8.2723319804395246</v>
      </c>
      <c r="R175">
        <v>5.5249057265109531</v>
      </c>
      <c r="S175">
        <v>33.74264268764103</v>
      </c>
      <c r="U175">
        <v>1.6071465486958842</v>
      </c>
      <c r="V175">
        <v>51.032743617827485</v>
      </c>
      <c r="W175">
        <v>16.564232617267933</v>
      </c>
      <c r="X175">
        <v>44.825056662397706</v>
      </c>
      <c r="Y175">
        <v>3.3827370144211</v>
      </c>
      <c r="Z175">
        <v>17.835156924065195</v>
      </c>
      <c r="AB175">
        <v>32.164421915158009</v>
      </c>
      <c r="AE175">
        <v>6.5761796431498505</v>
      </c>
      <c r="AF175">
        <v>8.4470957637176465</v>
      </c>
      <c r="AG175">
        <v>17.426236130563385</v>
      </c>
      <c r="AI175">
        <v>2.2692877361178221</v>
      </c>
      <c r="AK175">
        <v>23.590294057944082</v>
      </c>
    </row>
    <row r="176" spans="1:37" x14ac:dyDescent="0.2">
      <c r="A176">
        <v>175</v>
      </c>
      <c r="B176">
        <v>738</v>
      </c>
      <c r="C176">
        <v>200</v>
      </c>
      <c r="D176">
        <v>0.36981704000395799</v>
      </c>
      <c r="E176">
        <v>158.41711743421868</v>
      </c>
      <c r="F176">
        <v>53.144001433601986</v>
      </c>
      <c r="G176">
        <v>70.117241848067607</v>
      </c>
      <c r="H176">
        <v>65.470173645740132</v>
      </c>
      <c r="J176">
        <v>17.955380466995383</v>
      </c>
      <c r="L176">
        <v>1.7231431003787074</v>
      </c>
      <c r="M176">
        <v>8.310856211041358</v>
      </c>
      <c r="N176">
        <v>2.3396768178596115</v>
      </c>
      <c r="O176">
        <v>6.1468298611320487</v>
      </c>
      <c r="P176">
        <v>8.2427219674619288</v>
      </c>
      <c r="R176">
        <v>5.0925584494000384</v>
      </c>
      <c r="S176">
        <v>34.169025392869649</v>
      </c>
      <c r="U176">
        <v>1.5617806297202195</v>
      </c>
      <c r="V176">
        <v>51.691922393432705</v>
      </c>
      <c r="W176">
        <v>15.882671664669299</v>
      </c>
      <c r="X176">
        <v>44.774411519798463</v>
      </c>
      <c r="Y176">
        <v>3.3415142863821643</v>
      </c>
      <c r="Z176">
        <v>17.890906623143398</v>
      </c>
      <c r="AB176">
        <v>32.658616625969842</v>
      </c>
      <c r="AE176">
        <v>6.5965958958252013</v>
      </c>
      <c r="AF176">
        <v>7.9196287152712257</v>
      </c>
      <c r="AG176">
        <v>17.890759311061661</v>
      </c>
      <c r="AI176">
        <v>2.2726621188256844</v>
      </c>
      <c r="AK176">
        <v>22.889350950748884</v>
      </c>
    </row>
    <row r="177" spans="1:37" x14ac:dyDescent="0.2">
      <c r="A177">
        <v>176</v>
      </c>
      <c r="B177">
        <v>762</v>
      </c>
      <c r="C177">
        <v>190</v>
      </c>
      <c r="D177">
        <v>0.39667729314592298</v>
      </c>
      <c r="E177">
        <v>151.67043205623412</v>
      </c>
      <c r="F177">
        <v>56.036437667464533</v>
      </c>
      <c r="G177">
        <v>70.99492739011589</v>
      </c>
      <c r="H177">
        <v>66.403565038316501</v>
      </c>
      <c r="J177">
        <v>43.947086782572121</v>
      </c>
      <c r="L177">
        <v>3.7315974655170976</v>
      </c>
      <c r="M177">
        <v>13.773780358306208</v>
      </c>
      <c r="N177">
        <v>2.2713939098223208</v>
      </c>
      <c r="O177">
        <v>17.555765086408293</v>
      </c>
      <c r="P177">
        <v>9.3570905723018871</v>
      </c>
      <c r="Q177">
        <v>0.14659785846095041</v>
      </c>
      <c r="R177">
        <v>12.072644120507142</v>
      </c>
      <c r="S177">
        <v>36.236386151956488</v>
      </c>
      <c r="U177">
        <v>2.2920551010361732</v>
      </c>
      <c r="V177">
        <v>45.408489517240945</v>
      </c>
      <c r="W177">
        <v>24.617988407086347</v>
      </c>
      <c r="X177">
        <v>45.389292412179628</v>
      </c>
      <c r="Y177">
        <v>5.5984639117747994</v>
      </c>
      <c r="Z177">
        <v>28.408839421989917</v>
      </c>
      <c r="AA177">
        <v>2.7443716618264591</v>
      </c>
      <c r="AB177">
        <v>33.898688027922603</v>
      </c>
      <c r="AC177">
        <v>1.570159683899075E-2</v>
      </c>
      <c r="AD177">
        <v>6.011898176484328</v>
      </c>
      <c r="AE177">
        <v>12.475582943879772</v>
      </c>
      <c r="AF177">
        <v>13.419518577709264</v>
      </c>
      <c r="AG177">
        <v>19.510070429305852</v>
      </c>
      <c r="AH177">
        <v>3.2632456140368733</v>
      </c>
      <c r="AI177">
        <v>2.2100988512261401</v>
      </c>
      <c r="AK177">
        <v>41.143940512084548</v>
      </c>
    </row>
    <row r="178" spans="1:37" x14ac:dyDescent="0.2">
      <c r="A178">
        <v>177</v>
      </c>
      <c r="B178">
        <v>760</v>
      </c>
      <c r="C178">
        <v>190</v>
      </c>
      <c r="D178">
        <v>0.39537385665198899</v>
      </c>
      <c r="E178">
        <v>151.46444025946471</v>
      </c>
      <c r="F178">
        <v>55.415012858126708</v>
      </c>
      <c r="G178">
        <v>70.889050544001492</v>
      </c>
      <c r="H178">
        <v>66.292713568318504</v>
      </c>
      <c r="J178">
        <v>43.870683188921888</v>
      </c>
      <c r="L178">
        <v>3.5909097367162142</v>
      </c>
      <c r="M178">
        <v>13.67681257822116</v>
      </c>
      <c r="N178">
        <v>2.2593479196828317</v>
      </c>
      <c r="O178">
        <v>16.864445273360726</v>
      </c>
      <c r="P178">
        <v>9.1761335878569259</v>
      </c>
      <c r="Q178">
        <v>3.8345409651603858E-2</v>
      </c>
      <c r="R178">
        <v>11.727086869991938</v>
      </c>
      <c r="S178">
        <v>35.561328973894717</v>
      </c>
      <c r="U178">
        <v>2.1630426348303673</v>
      </c>
      <c r="V178">
        <v>45.251208914611908</v>
      </c>
      <c r="W178">
        <v>24.279013275251259</v>
      </c>
      <c r="X178">
        <v>45.094251793652397</v>
      </c>
      <c r="Y178">
        <v>5.4524680588940226</v>
      </c>
      <c r="Z178">
        <v>28.072079838192671</v>
      </c>
      <c r="AA178">
        <v>2.5983986885468546</v>
      </c>
      <c r="AB178">
        <v>33.670079661897454</v>
      </c>
      <c r="AD178">
        <v>5.8252282885310773</v>
      </c>
      <c r="AE178">
        <v>12.320031836975954</v>
      </c>
      <c r="AF178">
        <v>13.304294696182643</v>
      </c>
      <c r="AG178">
        <v>19.235686875348755</v>
      </c>
      <c r="AH178">
        <v>3.0501439125464631</v>
      </c>
      <c r="AI178">
        <v>2.1974937525712646</v>
      </c>
      <c r="AK178">
        <v>41.164734809389486</v>
      </c>
    </row>
    <row r="179" spans="1:37" x14ac:dyDescent="0.2">
      <c r="A179">
        <v>178</v>
      </c>
      <c r="B179">
        <v>758</v>
      </c>
      <c r="C179">
        <v>190</v>
      </c>
      <c r="D179">
        <v>0.39406536391407598</v>
      </c>
      <c r="E179">
        <v>151.11258033004023</v>
      </c>
      <c r="F179">
        <v>53.928693463776646</v>
      </c>
      <c r="G179">
        <v>70.632536069914579</v>
      </c>
      <c r="H179">
        <v>66.031276294873905</v>
      </c>
      <c r="J179">
        <v>43.612920171860637</v>
      </c>
      <c r="L179">
        <v>3.2095098710605998</v>
      </c>
      <c r="M179">
        <v>13.636724139738668</v>
      </c>
      <c r="N179">
        <v>2.2633011199715205</v>
      </c>
      <c r="O179">
        <v>15.25981034013043</v>
      </c>
      <c r="P179">
        <v>8.7099311276042801</v>
      </c>
      <c r="R179">
        <v>11.156131190679003</v>
      </c>
      <c r="S179">
        <v>34.898543666475632</v>
      </c>
      <c r="U179">
        <v>2.0653401215660883</v>
      </c>
      <c r="V179">
        <v>45.265038911641142</v>
      </c>
      <c r="W179">
        <v>23.82621999983472</v>
      </c>
      <c r="X179">
        <v>44.885744387891869</v>
      </c>
      <c r="Y179">
        <v>5.0220549154698695</v>
      </c>
      <c r="Z179">
        <v>27.278989087407584</v>
      </c>
      <c r="AA179">
        <v>2.1994851192730422</v>
      </c>
      <c r="AB179">
        <v>33.515397436025857</v>
      </c>
      <c r="AD179">
        <v>5.349698959488693</v>
      </c>
      <c r="AE179">
        <v>12.011209901700735</v>
      </c>
      <c r="AF179">
        <v>13.261950526401561</v>
      </c>
      <c r="AG179">
        <v>19.051238643217907</v>
      </c>
      <c r="AH179">
        <v>2.4033870145050451</v>
      </c>
      <c r="AI179">
        <v>2.2008845501428826</v>
      </c>
      <c r="AK179">
        <v>40.988747637447119</v>
      </c>
    </row>
    <row r="180" spans="1:37" x14ac:dyDescent="0.2">
      <c r="A180">
        <v>179</v>
      </c>
      <c r="B180">
        <v>756</v>
      </c>
      <c r="C180">
        <v>190</v>
      </c>
      <c r="D180">
        <v>0.39275178545401701</v>
      </c>
      <c r="E180">
        <v>150.72454867722561</v>
      </c>
      <c r="F180">
        <v>52.165657959821324</v>
      </c>
      <c r="G180">
        <v>70.323635935805399</v>
      </c>
      <c r="H180">
        <v>65.71750535151422</v>
      </c>
      <c r="J180">
        <v>43.291888046003969</v>
      </c>
      <c r="L180">
        <v>2.7371564929690613</v>
      </c>
      <c r="M180">
        <v>13.636558523479454</v>
      </c>
      <c r="N180">
        <v>2.2672488310652112</v>
      </c>
      <c r="O180">
        <v>13.317421968469032</v>
      </c>
      <c r="P180">
        <v>8.1389826278600239</v>
      </c>
      <c r="R180">
        <v>10.506495552983548</v>
      </c>
      <c r="S180">
        <v>34.265799701407524</v>
      </c>
      <c r="U180">
        <v>2.0029832558210536</v>
      </c>
      <c r="V180">
        <v>45.347433150948298</v>
      </c>
      <c r="W180">
        <v>23.373988401444162</v>
      </c>
      <c r="X180">
        <v>44.786580903800996</v>
      </c>
      <c r="Y180">
        <v>4.4899854129324641</v>
      </c>
      <c r="Z180">
        <v>26.337379443592482</v>
      </c>
      <c r="AA180">
        <v>1.7075933686365243</v>
      </c>
      <c r="AB180">
        <v>33.387883202992221</v>
      </c>
      <c r="AD180">
        <v>4.7786048222822215</v>
      </c>
      <c r="AE180">
        <v>11.655156002655167</v>
      </c>
      <c r="AF180">
        <v>13.259524913896033</v>
      </c>
      <c r="AG180">
        <v>18.893962952903081</v>
      </c>
      <c r="AH180">
        <v>1.6067637337469414</v>
      </c>
      <c r="AI180">
        <v>2.2042665496153782</v>
      </c>
      <c r="AK180">
        <v>40.745635849526302</v>
      </c>
    </row>
    <row r="181" spans="1:37" x14ac:dyDescent="0.2">
      <c r="A181">
        <v>180</v>
      </c>
      <c r="B181">
        <v>754</v>
      </c>
      <c r="C181">
        <v>190</v>
      </c>
      <c r="D181">
        <v>0.391433091564035</v>
      </c>
      <c r="E181">
        <v>150.3341333284242</v>
      </c>
      <c r="F181">
        <v>50.346050204023406</v>
      </c>
      <c r="G181">
        <v>70.001273040739378</v>
      </c>
      <c r="H181">
        <v>65.390323803527792</v>
      </c>
      <c r="J181">
        <v>42.925039266643232</v>
      </c>
      <c r="L181">
        <v>2.2375380929910316</v>
      </c>
      <c r="M181">
        <v>13.639946872081676</v>
      </c>
      <c r="N181">
        <v>2.2711939885826471</v>
      </c>
      <c r="O181">
        <v>11.291726239485568</v>
      </c>
      <c r="P181">
        <v>7.5411370034103982</v>
      </c>
      <c r="R181">
        <v>9.8086405830172456</v>
      </c>
      <c r="S181">
        <v>33.53167012526518</v>
      </c>
      <c r="U181">
        <v>1.9531272365253398</v>
      </c>
      <c r="V181">
        <v>45.401870334584508</v>
      </c>
      <c r="W181">
        <v>22.928665709652122</v>
      </c>
      <c r="X181">
        <v>44.724548129024626</v>
      </c>
      <c r="Y181">
        <v>3.9318442492054198</v>
      </c>
      <c r="Z181">
        <v>25.358744699621333</v>
      </c>
      <c r="AA181">
        <v>1.1909903391899206</v>
      </c>
      <c r="AB181">
        <v>33.214267670067336</v>
      </c>
      <c r="AD181">
        <v>4.1820202687588282</v>
      </c>
      <c r="AE181">
        <v>11.287663124993335</v>
      </c>
      <c r="AF181">
        <v>13.260651981661253</v>
      </c>
      <c r="AG181">
        <v>18.690593494525725</v>
      </c>
      <c r="AH181">
        <v>0.77000941510960486</v>
      </c>
      <c r="AI181">
        <v>2.207642671899583</v>
      </c>
      <c r="AK181">
        <v>40.483388027799478</v>
      </c>
    </row>
    <row r="182" spans="1:37" x14ac:dyDescent="0.2">
      <c r="A182">
        <v>181</v>
      </c>
      <c r="B182">
        <v>752</v>
      </c>
      <c r="C182">
        <v>190</v>
      </c>
      <c r="D182">
        <v>0.39010925230454402</v>
      </c>
      <c r="E182">
        <v>151.08007414034094</v>
      </c>
      <c r="F182">
        <v>50.054255968692402</v>
      </c>
      <c r="G182">
        <v>70.258772225124787</v>
      </c>
      <c r="H182">
        <v>65.643056658195363</v>
      </c>
      <c r="J182">
        <v>31.836536926388799</v>
      </c>
      <c r="L182">
        <v>1.5602466961982464</v>
      </c>
      <c r="M182">
        <v>12.720183913612567</v>
      </c>
      <c r="N182">
        <v>2.2752053566284536</v>
      </c>
      <c r="O182">
        <v>7.0733508249270907</v>
      </c>
      <c r="P182">
        <v>8.1031128812236979</v>
      </c>
      <c r="R182">
        <v>8.5942676640603661</v>
      </c>
      <c r="S182">
        <v>31.437556296453124</v>
      </c>
      <c r="U182">
        <v>1.9986218414909307</v>
      </c>
      <c r="V182">
        <v>46.257449405556315</v>
      </c>
      <c r="W182">
        <v>21.745396753210052</v>
      </c>
      <c r="X182">
        <v>44.931832171791974</v>
      </c>
      <c r="Y182">
        <v>3.5701675953234728</v>
      </c>
      <c r="Z182">
        <v>20.793828903302529</v>
      </c>
      <c r="AB182">
        <v>30.793864321000719</v>
      </c>
      <c r="AD182">
        <v>1.9376446471214279</v>
      </c>
      <c r="AE182">
        <v>8.4355250271110673</v>
      </c>
      <c r="AF182">
        <v>12.338695266805503</v>
      </c>
      <c r="AG182">
        <v>16.240512563474088</v>
      </c>
      <c r="AI182">
        <v>2.2110816663883686</v>
      </c>
      <c r="AK182">
        <v>32.993917233010933</v>
      </c>
    </row>
    <row r="183" spans="1:37" x14ac:dyDescent="0.2">
      <c r="A183">
        <v>182</v>
      </c>
      <c r="B183">
        <v>750</v>
      </c>
      <c r="C183">
        <v>190</v>
      </c>
      <c r="D183">
        <v>0.38878023750183299</v>
      </c>
      <c r="E183">
        <v>151.63118782684094</v>
      </c>
      <c r="F183">
        <v>50.372498978206345</v>
      </c>
      <c r="G183">
        <v>70.358658562409502</v>
      </c>
      <c r="H183">
        <v>65.738229156486966</v>
      </c>
      <c r="J183">
        <v>26.351771351449397</v>
      </c>
      <c r="L183">
        <v>1.6054885334733007</v>
      </c>
      <c r="M183">
        <v>11.744936811103074</v>
      </c>
      <c r="N183">
        <v>2.2792069532565495</v>
      </c>
      <c r="O183">
        <v>6.813020039744063</v>
      </c>
      <c r="P183">
        <v>8.3498846093062706</v>
      </c>
      <c r="R183">
        <v>7.9627093964554998</v>
      </c>
      <c r="S183">
        <v>31.988943365895128</v>
      </c>
      <c r="U183">
        <v>1.9799949646880637</v>
      </c>
      <c r="V183">
        <v>47.493883554936978</v>
      </c>
      <c r="W183">
        <v>20.597688222456025</v>
      </c>
      <c r="X183">
        <v>44.954527557814266</v>
      </c>
      <c r="Y183">
        <v>3.5671424979543405</v>
      </c>
      <c r="Z183">
        <v>18.50106749903857</v>
      </c>
      <c r="AB183">
        <v>30.204057359035669</v>
      </c>
      <c r="AD183">
        <v>0.80210959759556977</v>
      </c>
      <c r="AE183">
        <v>7.0559084964048937</v>
      </c>
      <c r="AF183">
        <v>11.361245995555908</v>
      </c>
      <c r="AG183">
        <v>15.621028428878013</v>
      </c>
      <c r="AI183">
        <v>2.214507536420641</v>
      </c>
      <c r="AK183">
        <v>29.120770364486805</v>
      </c>
    </row>
    <row r="184" spans="1:37" x14ac:dyDescent="0.2">
      <c r="A184">
        <v>183</v>
      </c>
      <c r="B184">
        <v>748</v>
      </c>
      <c r="C184">
        <v>190</v>
      </c>
      <c r="D184">
        <v>0.38744601674582602</v>
      </c>
      <c r="E184">
        <v>152.01450997973237</v>
      </c>
      <c r="F184">
        <v>50.848681029118055</v>
      </c>
      <c r="G184">
        <v>70.397013910100725</v>
      </c>
      <c r="H184">
        <v>65.771923324087098</v>
      </c>
      <c r="J184">
        <v>23.425928037315114</v>
      </c>
      <c r="L184">
        <v>1.6372056155467472</v>
      </c>
      <c r="M184">
        <v>10.949298143826708</v>
      </c>
      <c r="N184">
        <v>2.2831974509068855</v>
      </c>
      <c r="O184">
        <v>6.6248940204226443</v>
      </c>
      <c r="P184">
        <v>8.4736147591916939</v>
      </c>
      <c r="R184">
        <v>7.4081787572232214</v>
      </c>
      <c r="S184">
        <v>32.54199386129136</v>
      </c>
      <c r="U184">
        <v>1.9447753792948035</v>
      </c>
      <c r="V184">
        <v>48.523516208534168</v>
      </c>
      <c r="W184">
        <v>19.638760674516437</v>
      </c>
      <c r="X184">
        <v>44.93049105854363</v>
      </c>
      <c r="Y184">
        <v>3.5412981848383649</v>
      </c>
      <c r="Z184">
        <v>17.334627377248978</v>
      </c>
      <c r="AB184">
        <v>30.197194354642956</v>
      </c>
      <c r="AD184">
        <v>0.20544020825893719</v>
      </c>
      <c r="AE184">
        <v>6.3544009738663574</v>
      </c>
      <c r="AF184">
        <v>10.56339546497086</v>
      </c>
      <c r="AG184">
        <v>15.584487381789211</v>
      </c>
      <c r="AI184">
        <v>2.217918939718194</v>
      </c>
      <c r="AK184">
        <v>26.985151976105957</v>
      </c>
    </row>
    <row r="185" spans="1:37" x14ac:dyDescent="0.2">
      <c r="A185">
        <v>184</v>
      </c>
      <c r="B185">
        <v>746</v>
      </c>
      <c r="C185">
        <v>190</v>
      </c>
      <c r="D185">
        <v>0.38610655938772698</v>
      </c>
      <c r="E185">
        <v>152.26377511234608</v>
      </c>
      <c r="F185">
        <v>51.662365900932961</v>
      </c>
      <c r="G185">
        <v>70.346719003558803</v>
      </c>
      <c r="H185">
        <v>65.717020065192301</v>
      </c>
      <c r="J185">
        <v>21.414471854743578</v>
      </c>
      <c r="L185">
        <v>1.6575823209570191</v>
      </c>
      <c r="M185">
        <v>10.236018054328902</v>
      </c>
      <c r="N185">
        <v>2.2871790138287693</v>
      </c>
      <c r="O185">
        <v>6.5784300209227755</v>
      </c>
      <c r="P185">
        <v>8.420067150955866</v>
      </c>
      <c r="R185">
        <v>6.8269605321559741</v>
      </c>
      <c r="S185">
        <v>33.119951365907738</v>
      </c>
      <c r="U185">
        <v>1.9050534559118675</v>
      </c>
      <c r="V185">
        <v>49.436985999145335</v>
      </c>
      <c r="W185">
        <v>18.764673445195836</v>
      </c>
      <c r="X185">
        <v>44.894444204076798</v>
      </c>
      <c r="Y185">
        <v>3.468808937004046</v>
      </c>
      <c r="Z185">
        <v>17.649341291684667</v>
      </c>
      <c r="AB185">
        <v>31.001450319091632</v>
      </c>
      <c r="AE185">
        <v>6.5244504214736061</v>
      </c>
      <c r="AF185">
        <v>9.847896027394226</v>
      </c>
      <c r="AG185">
        <v>16.359066646176931</v>
      </c>
      <c r="AI185">
        <v>2.2213180258098513</v>
      </c>
      <c r="AK185">
        <v>25.479129398911468</v>
      </c>
    </row>
    <row r="186" spans="1:37" x14ac:dyDescent="0.2">
      <c r="A186">
        <v>185</v>
      </c>
      <c r="B186">
        <v>744</v>
      </c>
      <c r="C186">
        <v>190</v>
      </c>
      <c r="D186">
        <v>0.38476183453767998</v>
      </c>
      <c r="E186">
        <v>152.47983916118767</v>
      </c>
      <c r="F186">
        <v>52.307430753663105</v>
      </c>
      <c r="G186">
        <v>70.308976397472279</v>
      </c>
      <c r="H186">
        <v>65.674722103990447</v>
      </c>
      <c r="J186">
        <v>19.975497443261119</v>
      </c>
      <c r="L186">
        <v>1.6762338655210769</v>
      </c>
      <c r="M186">
        <v>9.608765367058842</v>
      </c>
      <c r="N186">
        <v>2.2911577189529901</v>
      </c>
      <c r="O186">
        <v>6.5038444293038467</v>
      </c>
      <c r="P186">
        <v>8.3916531570487258</v>
      </c>
      <c r="R186">
        <v>6.3203084557080365</v>
      </c>
      <c r="S186">
        <v>33.623060119898881</v>
      </c>
      <c r="U186">
        <v>1.8623040551911068</v>
      </c>
      <c r="V186">
        <v>50.237116801573642</v>
      </c>
      <c r="W186">
        <v>17.978195927984494</v>
      </c>
      <c r="X186">
        <v>44.850591500576009</v>
      </c>
      <c r="Y186">
        <v>3.414817940178335</v>
      </c>
      <c r="Z186">
        <v>17.723618437211709</v>
      </c>
      <c r="AB186">
        <v>31.593883224828478</v>
      </c>
      <c r="AE186">
        <v>6.5546020502372553</v>
      </c>
      <c r="AF186">
        <v>9.218422629961859</v>
      </c>
      <c r="AG186">
        <v>16.921830320177438</v>
      </c>
      <c r="AI186">
        <v>2.2247108569035894</v>
      </c>
      <c r="AK186">
        <v>24.378593266070101</v>
      </c>
    </row>
    <row r="187" spans="1:37" x14ac:dyDescent="0.2">
      <c r="A187">
        <v>186</v>
      </c>
      <c r="B187">
        <v>742</v>
      </c>
      <c r="C187">
        <v>190</v>
      </c>
      <c r="D187">
        <v>0.38341181106240502</v>
      </c>
      <c r="E187">
        <v>152.66558284906242</v>
      </c>
      <c r="F187">
        <v>52.885210513349307</v>
      </c>
      <c r="G187">
        <v>70.27078158188317</v>
      </c>
      <c r="H187">
        <v>65.632025100689233</v>
      </c>
      <c r="J187">
        <v>18.865233005760032</v>
      </c>
      <c r="L187">
        <v>1.6929932936754448</v>
      </c>
      <c r="M187">
        <v>9.038630872325772</v>
      </c>
      <c r="N187">
        <v>2.2951336496403698</v>
      </c>
      <c r="O187">
        <v>6.4266552285117129</v>
      </c>
      <c r="P187">
        <v>8.3623640280967848</v>
      </c>
      <c r="R187">
        <v>5.8545034051040341</v>
      </c>
      <c r="S187">
        <v>34.080142737455979</v>
      </c>
      <c r="U187">
        <v>1.8179428110611231</v>
      </c>
      <c r="V187">
        <v>50.958701968191207</v>
      </c>
      <c r="W187">
        <v>17.249657789648978</v>
      </c>
      <c r="X187">
        <v>44.802995904981351</v>
      </c>
      <c r="Y187">
        <v>3.3675210522344678</v>
      </c>
      <c r="Z187">
        <v>17.787651933655567</v>
      </c>
      <c r="AB187">
        <v>32.130897182293083</v>
      </c>
      <c r="AE187">
        <v>6.5794424438951671</v>
      </c>
      <c r="AF187">
        <v>8.6460661923069182</v>
      </c>
      <c r="AG187">
        <v>17.429182646665328</v>
      </c>
      <c r="AI187">
        <v>2.2280975016375328</v>
      </c>
      <c r="AK187">
        <v>23.513756993388043</v>
      </c>
    </row>
    <row r="188" spans="1:37" x14ac:dyDescent="0.2">
      <c r="A188">
        <v>187</v>
      </c>
      <c r="B188">
        <v>740</v>
      </c>
      <c r="C188">
        <v>190</v>
      </c>
      <c r="D188">
        <v>0.382056457582788</v>
      </c>
      <c r="E188">
        <v>152.82857720562177</v>
      </c>
      <c r="F188">
        <v>53.412616154346765</v>
      </c>
      <c r="G188">
        <v>70.232276196795027</v>
      </c>
      <c r="H188">
        <v>65.589070866127472</v>
      </c>
      <c r="J188">
        <v>17.97232291372746</v>
      </c>
      <c r="L188">
        <v>1.7083277024059498</v>
      </c>
      <c r="M188">
        <v>8.5118657214709383</v>
      </c>
      <c r="N188">
        <v>2.2991072447356924</v>
      </c>
      <c r="O188">
        <v>6.3481132869057459</v>
      </c>
      <c r="P188">
        <v>8.3324836711831392</v>
      </c>
      <c r="R188">
        <v>5.4198788284210409</v>
      </c>
      <c r="S188">
        <v>34.500750622883039</v>
      </c>
      <c r="U188">
        <v>1.7725199527218993</v>
      </c>
      <c r="V188">
        <v>51.619650269476253</v>
      </c>
      <c r="W188">
        <v>16.565013167823494</v>
      </c>
      <c r="X188">
        <v>44.753232474868177</v>
      </c>
      <c r="Y188">
        <v>3.3252858611978402</v>
      </c>
      <c r="Z188">
        <v>17.844060206072292</v>
      </c>
      <c r="AB188">
        <v>32.624846468859658</v>
      </c>
      <c r="AE188">
        <v>6.6003144581706863</v>
      </c>
      <c r="AF188">
        <v>8.1170783507831938</v>
      </c>
      <c r="AG188">
        <v>17.893478391246944</v>
      </c>
      <c r="AI188">
        <v>2.2314783841315577</v>
      </c>
      <c r="AK188">
        <v>22.806713356836919</v>
      </c>
    </row>
    <row r="189" spans="1:37" x14ac:dyDescent="0.2">
      <c r="A189">
        <v>188</v>
      </c>
      <c r="B189">
        <v>764</v>
      </c>
      <c r="C189">
        <v>180</v>
      </c>
      <c r="D189">
        <v>0.40858169020874802</v>
      </c>
      <c r="E189">
        <v>146.01629008847851</v>
      </c>
      <c r="F189">
        <v>56.386158620404004</v>
      </c>
      <c r="G189">
        <v>71.096440431496646</v>
      </c>
      <c r="H189">
        <v>66.509679178624012</v>
      </c>
      <c r="J189">
        <v>43.83794102978645</v>
      </c>
      <c r="L189">
        <v>3.8170737374565471</v>
      </c>
      <c r="M189">
        <v>13.846168192373902</v>
      </c>
      <c r="N189">
        <v>2.2432009201152323</v>
      </c>
      <c r="O189">
        <v>18.320447479611357</v>
      </c>
      <c r="P189">
        <v>9.4326636147735137</v>
      </c>
      <c r="Q189">
        <v>5.7262056900687641E-2</v>
      </c>
      <c r="R189">
        <v>12.39079117898955</v>
      </c>
      <c r="S189">
        <v>36.715816910495668</v>
      </c>
      <c r="U189">
        <v>2.4029585377935536</v>
      </c>
      <c r="V189">
        <v>45.314499457380386</v>
      </c>
      <c r="W189">
        <v>25.224092876082572</v>
      </c>
      <c r="X189">
        <v>45.004109797357181</v>
      </c>
      <c r="Y189">
        <v>5.6516919794004554</v>
      </c>
      <c r="Z189">
        <v>28.724369881014727</v>
      </c>
      <c r="AA189">
        <v>2.8463439295110873</v>
      </c>
      <c r="AB189">
        <v>34.129313352439389</v>
      </c>
      <c r="AC189">
        <v>2.8107898241148989E-2</v>
      </c>
      <c r="AD189">
        <v>6.1782152085215536</v>
      </c>
      <c r="AE189">
        <v>12.706096166077542</v>
      </c>
      <c r="AF189">
        <v>13.500777590484299</v>
      </c>
      <c r="AG189">
        <v>19.789338693466572</v>
      </c>
      <c r="AH189">
        <v>3.2625310658381319</v>
      </c>
      <c r="AI189">
        <v>2.1812492369390166</v>
      </c>
      <c r="AK189">
        <v>40.95240213544308</v>
      </c>
    </row>
    <row r="190" spans="1:37" x14ac:dyDescent="0.2">
      <c r="A190">
        <v>189</v>
      </c>
      <c r="B190">
        <v>762</v>
      </c>
      <c r="C190">
        <v>180</v>
      </c>
      <c r="D190">
        <v>0.40730377240013699</v>
      </c>
      <c r="E190">
        <v>145.81131423972141</v>
      </c>
      <c r="F190">
        <v>55.679147576057744</v>
      </c>
      <c r="G190">
        <v>70.972881502766697</v>
      </c>
      <c r="H190">
        <v>66.38108582168546</v>
      </c>
      <c r="J190">
        <v>43.783690248343774</v>
      </c>
      <c r="L190">
        <v>3.6396775106157437</v>
      </c>
      <c r="M190">
        <v>13.809120563408904</v>
      </c>
      <c r="N190">
        <v>2.2208699801750442</v>
      </c>
      <c r="O190">
        <v>17.465593201119916</v>
      </c>
      <c r="P190">
        <v>9.2060194084102971</v>
      </c>
      <c r="R190">
        <v>12.070149850473312</v>
      </c>
      <c r="S190">
        <v>36.277072288657813</v>
      </c>
      <c r="U190">
        <v>2.3220318977182481</v>
      </c>
      <c r="V190">
        <v>45.27580295970715</v>
      </c>
      <c r="W190">
        <v>24.944222745911681</v>
      </c>
      <c r="X190">
        <v>44.868810174125954</v>
      </c>
      <c r="Y190">
        <v>5.4657832735052603</v>
      </c>
      <c r="Z190">
        <v>28.341293046516849</v>
      </c>
      <c r="AA190">
        <v>2.6605244937860335</v>
      </c>
      <c r="AB190">
        <v>33.995837955600422</v>
      </c>
      <c r="AC190">
        <v>1.8111430619570398E-3</v>
      </c>
      <c r="AD190">
        <v>5.9648201216570529</v>
      </c>
      <c r="AE190">
        <v>12.536639408549066</v>
      </c>
      <c r="AF190">
        <v>13.435184937808366</v>
      </c>
      <c r="AG190">
        <v>19.599819520695668</v>
      </c>
      <c r="AH190">
        <v>3.0027747369405779</v>
      </c>
      <c r="AI190">
        <v>2.1583633701874603</v>
      </c>
      <c r="AK190">
        <v>40.952213046832156</v>
      </c>
    </row>
    <row r="191" spans="1:37" x14ac:dyDescent="0.2">
      <c r="A191">
        <v>190</v>
      </c>
      <c r="B191">
        <v>760</v>
      </c>
      <c r="C191">
        <v>180</v>
      </c>
      <c r="D191">
        <v>0.40602090693510101</v>
      </c>
      <c r="E191">
        <v>145.43635292471134</v>
      </c>
      <c r="F191">
        <v>54.000786939948256</v>
      </c>
      <c r="G191">
        <v>70.680497697548461</v>
      </c>
      <c r="H191">
        <v>66.083719251632203</v>
      </c>
      <c r="J191">
        <v>43.497710088629887</v>
      </c>
      <c r="L191">
        <v>3.1956327666086874</v>
      </c>
      <c r="M191">
        <v>13.807932637255716</v>
      </c>
      <c r="N191">
        <v>2.2227069659586856</v>
      </c>
      <c r="O191">
        <v>15.615993875253613</v>
      </c>
      <c r="P191">
        <v>8.6659237803671623</v>
      </c>
      <c r="R191">
        <v>11.463125837614619</v>
      </c>
      <c r="S191">
        <v>35.707064353006643</v>
      </c>
      <c r="U191">
        <v>2.2557678866029005</v>
      </c>
      <c r="V191">
        <v>45.367828432614068</v>
      </c>
      <c r="W191">
        <v>24.500730188131332</v>
      </c>
      <c r="X191">
        <v>44.76093220459321</v>
      </c>
      <c r="Y191">
        <v>4.9644804078399565</v>
      </c>
      <c r="Z191">
        <v>27.444296637527938</v>
      </c>
      <c r="AA191">
        <v>2.1961551627098816</v>
      </c>
      <c r="AB191">
        <v>33.888405237683401</v>
      </c>
      <c r="AD191">
        <v>5.4246854588384235</v>
      </c>
      <c r="AE191">
        <v>12.193915990344836</v>
      </c>
      <c r="AF191">
        <v>13.429621058701239</v>
      </c>
      <c r="AG191">
        <v>19.460520897176188</v>
      </c>
      <c r="AH191">
        <v>2.2548016169476055</v>
      </c>
      <c r="AI191">
        <v>2.159642149656182</v>
      </c>
      <c r="AK191">
        <v>40.730958497282266</v>
      </c>
    </row>
    <row r="192" spans="1:37" x14ac:dyDescent="0.2">
      <c r="A192">
        <v>191</v>
      </c>
      <c r="B192">
        <v>758</v>
      </c>
      <c r="C192">
        <v>180</v>
      </c>
      <c r="D192">
        <v>0.40473306502448703</v>
      </c>
      <c r="E192">
        <v>145.05100113668098</v>
      </c>
      <c r="F192">
        <v>52.236313870459256</v>
      </c>
      <c r="G192">
        <v>70.369883145938857</v>
      </c>
      <c r="H192">
        <v>65.768173763502617</v>
      </c>
      <c r="J192">
        <v>43.16549485751559</v>
      </c>
      <c r="L192">
        <v>2.7187546772514941</v>
      </c>
      <c r="M192">
        <v>13.808367965122992</v>
      </c>
      <c r="N192">
        <v>2.2266567362157854</v>
      </c>
      <c r="O192">
        <v>13.661700881841476</v>
      </c>
      <c r="P192">
        <v>8.0915100286493082</v>
      </c>
      <c r="R192">
        <v>10.801988326939082</v>
      </c>
      <c r="S192">
        <v>35.04155166180464</v>
      </c>
      <c r="U192">
        <v>2.1977204545674218</v>
      </c>
      <c r="V192">
        <v>45.438805825062019</v>
      </c>
      <c r="W192">
        <v>24.050268136814296</v>
      </c>
      <c r="X192">
        <v>44.675509715876757</v>
      </c>
      <c r="Y192">
        <v>4.4290762585241819</v>
      </c>
      <c r="Z192">
        <v>26.498109921628139</v>
      </c>
      <c r="AA192">
        <v>1.7009911768926105</v>
      </c>
      <c r="AB192">
        <v>33.743997087651472</v>
      </c>
      <c r="AD192">
        <v>4.850837872111641</v>
      </c>
      <c r="AE192">
        <v>11.836300729607123</v>
      </c>
      <c r="AF192">
        <v>13.42779440745751</v>
      </c>
      <c r="AG192">
        <v>19.28636961725967</v>
      </c>
      <c r="AH192">
        <v>1.4530749820267956</v>
      </c>
      <c r="AI192">
        <v>2.163030419396911</v>
      </c>
      <c r="AK192">
        <v>40.486095032644613</v>
      </c>
    </row>
    <row r="193" spans="1:37" x14ac:dyDescent="0.2">
      <c r="A193">
        <v>192</v>
      </c>
      <c r="B193">
        <v>756</v>
      </c>
      <c r="C193">
        <v>180</v>
      </c>
      <c r="D193">
        <v>0.40344021765534699</v>
      </c>
      <c r="E193">
        <v>144.66277199619836</v>
      </c>
      <c r="F193">
        <v>50.409180441930808</v>
      </c>
      <c r="G193">
        <v>70.044849897763584</v>
      </c>
      <c r="H193">
        <v>65.438261572702217</v>
      </c>
      <c r="J193">
        <v>42.782851183320744</v>
      </c>
      <c r="L193">
        <v>2.2128213651682236</v>
      </c>
      <c r="M193">
        <v>13.811980312927</v>
      </c>
      <c r="N193">
        <v>2.2306038763782365</v>
      </c>
      <c r="O193">
        <v>11.61726924227356</v>
      </c>
      <c r="P193">
        <v>7.4882870183882684</v>
      </c>
      <c r="R193">
        <v>10.089495762769808</v>
      </c>
      <c r="S193">
        <v>34.264496399829447</v>
      </c>
      <c r="U193">
        <v>2.1524398582591391</v>
      </c>
      <c r="V193">
        <v>45.479389306120019</v>
      </c>
      <c r="W193">
        <v>23.606601361741834</v>
      </c>
      <c r="X193">
        <v>44.628013237641312</v>
      </c>
      <c r="Y193">
        <v>3.865657451334882</v>
      </c>
      <c r="Z193">
        <v>25.509888325191323</v>
      </c>
      <c r="AA193">
        <v>1.1791712068805209</v>
      </c>
      <c r="AB193">
        <v>33.548179527993618</v>
      </c>
      <c r="AD193">
        <v>4.2486044051744214</v>
      </c>
      <c r="AE193">
        <v>11.465013891535936</v>
      </c>
      <c r="AF193">
        <v>13.429143379958974</v>
      </c>
      <c r="AG193">
        <v>19.060816335795053</v>
      </c>
      <c r="AH193">
        <v>0.60818490343941856</v>
      </c>
      <c r="AI193">
        <v>2.1664127501387505</v>
      </c>
      <c r="AK193">
        <v>40.220045501573161</v>
      </c>
    </row>
    <row r="194" spans="1:37" x14ac:dyDescent="0.2">
      <c r="A194">
        <v>193</v>
      </c>
      <c r="B194">
        <v>754</v>
      </c>
      <c r="C194">
        <v>180</v>
      </c>
      <c r="D194">
        <v>0.402142335588766</v>
      </c>
      <c r="E194">
        <v>145.51118865371765</v>
      </c>
      <c r="F194">
        <v>50.469899781182562</v>
      </c>
      <c r="G194">
        <v>70.362256520292277</v>
      </c>
      <c r="H194">
        <v>65.750841412725407</v>
      </c>
      <c r="J194">
        <v>31.429093313977706</v>
      </c>
      <c r="L194">
        <v>1.5495092607479855</v>
      </c>
      <c r="M194">
        <v>12.84623885495199</v>
      </c>
      <c r="N194">
        <v>2.2346210698200881</v>
      </c>
      <c r="O194">
        <v>7.3542840035807258</v>
      </c>
      <c r="P194">
        <v>8.1700447485456156</v>
      </c>
      <c r="R194">
        <v>8.8703362093883218</v>
      </c>
      <c r="S194">
        <v>31.969745684303046</v>
      </c>
      <c r="U194">
        <v>2.2170679200880961</v>
      </c>
      <c r="V194">
        <v>46.311039745935602</v>
      </c>
      <c r="W194">
        <v>22.383127898716833</v>
      </c>
      <c r="X194">
        <v>44.890919381213941</v>
      </c>
      <c r="Y194">
        <v>3.5469123251108639</v>
      </c>
      <c r="Z194">
        <v>20.984666107721569</v>
      </c>
      <c r="AB194">
        <v>31.015957342161872</v>
      </c>
      <c r="AD194">
        <v>2.0408632914902722</v>
      </c>
      <c r="AE194">
        <v>8.5808009841168644</v>
      </c>
      <c r="AF194">
        <v>12.461209878600355</v>
      </c>
      <c r="AG194">
        <v>16.498938566841957</v>
      </c>
      <c r="AI194">
        <v>2.1698618105479541</v>
      </c>
      <c r="AK194">
        <v>32.580909233248967</v>
      </c>
    </row>
    <row r="195" spans="1:37" x14ac:dyDescent="0.2">
      <c r="A195">
        <v>194</v>
      </c>
      <c r="B195">
        <v>752</v>
      </c>
      <c r="C195">
        <v>180</v>
      </c>
      <c r="D195">
        <v>0.40083938935765601</v>
      </c>
      <c r="E195">
        <v>146.04997640996442</v>
      </c>
      <c r="F195">
        <v>50.790517780456156</v>
      </c>
      <c r="G195">
        <v>70.457026223452331</v>
      </c>
      <c r="H195">
        <v>65.840836660369789</v>
      </c>
      <c r="J195">
        <v>26.196504902604065</v>
      </c>
      <c r="L195">
        <v>1.5924681949440309</v>
      </c>
      <c r="M195">
        <v>11.891980710938165</v>
      </c>
      <c r="N195">
        <v>2.2386233962553712</v>
      </c>
      <c r="O195">
        <v>7.0987489637504879</v>
      </c>
      <c r="P195">
        <v>8.4065449007467894</v>
      </c>
      <c r="R195">
        <v>8.2420701933447482</v>
      </c>
      <c r="S195">
        <v>32.467990512806466</v>
      </c>
      <c r="U195">
        <v>2.2013737041535886</v>
      </c>
      <c r="V195">
        <v>47.504524546414011</v>
      </c>
      <c r="W195">
        <v>21.252864088849513</v>
      </c>
      <c r="X195">
        <v>44.923093278560358</v>
      </c>
      <c r="Y195">
        <v>3.53986844028727</v>
      </c>
      <c r="Z195">
        <v>18.76755057865676</v>
      </c>
      <c r="AB195">
        <v>30.430091687237688</v>
      </c>
      <c r="AD195">
        <v>0.9421398776272194</v>
      </c>
      <c r="AE195">
        <v>7.243657257855765</v>
      </c>
      <c r="AF195">
        <v>11.504746147773371</v>
      </c>
      <c r="AG195">
        <v>15.88341259472778</v>
      </c>
      <c r="AI195">
        <v>2.1732926656267995</v>
      </c>
      <c r="AK195">
        <v>28.889315481916256</v>
      </c>
    </row>
    <row r="196" spans="1:37" x14ac:dyDescent="0.2">
      <c r="A196">
        <v>195</v>
      </c>
      <c r="B196">
        <v>750</v>
      </c>
      <c r="C196">
        <v>180</v>
      </c>
      <c r="D196">
        <v>0.39953134926452799</v>
      </c>
      <c r="E196">
        <v>146.42928232083077</v>
      </c>
      <c r="F196">
        <v>51.257193647023449</v>
      </c>
      <c r="G196">
        <v>70.494458752735667</v>
      </c>
      <c r="H196">
        <v>65.8735472286522</v>
      </c>
      <c r="J196">
        <v>23.337078600933136</v>
      </c>
      <c r="L196">
        <v>1.6231760608493715</v>
      </c>
      <c r="M196">
        <v>11.105802169505093</v>
      </c>
      <c r="N196">
        <v>2.2426155365957472</v>
      </c>
      <c r="O196">
        <v>6.9081356544979071</v>
      </c>
      <c r="P196">
        <v>8.5283918299584407</v>
      </c>
      <c r="R196">
        <v>7.6899264357635495</v>
      </c>
      <c r="S196">
        <v>32.992411583065177</v>
      </c>
      <c r="U196">
        <v>2.167462087151534</v>
      </c>
      <c r="V196">
        <v>48.515064353007439</v>
      </c>
      <c r="W196">
        <v>20.300902292802814</v>
      </c>
      <c r="X196">
        <v>44.903878743277595</v>
      </c>
      <c r="Y196">
        <v>3.5125374933488138</v>
      </c>
      <c r="Z196">
        <v>17.605393473296807</v>
      </c>
      <c r="AB196">
        <v>30.406157400931541</v>
      </c>
      <c r="AD196">
        <v>0.3479418500971011</v>
      </c>
      <c r="AE196">
        <v>6.5435389571393738</v>
      </c>
      <c r="AF196">
        <v>10.716353202151968</v>
      </c>
      <c r="AG196">
        <v>15.8298179859089</v>
      </c>
      <c r="AI196">
        <v>2.1767099815720519</v>
      </c>
      <c r="AK196">
        <v>26.804718735654102</v>
      </c>
    </row>
    <row r="197" spans="1:37" x14ac:dyDescent="0.2">
      <c r="A197">
        <v>196</v>
      </c>
      <c r="B197">
        <v>748</v>
      </c>
      <c r="C197">
        <v>180</v>
      </c>
      <c r="D197">
        <v>0.39821818537923098</v>
      </c>
      <c r="E197">
        <v>146.69157720325228</v>
      </c>
      <c r="F197">
        <v>51.967800691769853</v>
      </c>
      <c r="G197">
        <v>70.462499028856101</v>
      </c>
      <c r="H197">
        <v>65.836918206461405</v>
      </c>
      <c r="J197">
        <v>21.373823975456006</v>
      </c>
      <c r="L197">
        <v>1.6444708185833079</v>
      </c>
      <c r="M197">
        <v>10.40458335415232</v>
      </c>
      <c r="N197">
        <v>2.246599799296046</v>
      </c>
      <c r="O197">
        <v>6.8235490196414377</v>
      </c>
      <c r="P197">
        <v>8.5114778701484148</v>
      </c>
      <c r="R197">
        <v>7.1331903194999455</v>
      </c>
      <c r="S197">
        <v>33.530731117702032</v>
      </c>
      <c r="U197">
        <v>2.1281442027369994</v>
      </c>
      <c r="V197">
        <v>49.411585443254317</v>
      </c>
      <c r="W197">
        <v>19.436900090902984</v>
      </c>
      <c r="X197">
        <v>44.870070386709045</v>
      </c>
      <c r="Y197">
        <v>3.4519387104449271</v>
      </c>
      <c r="Z197">
        <v>17.606036287853666</v>
      </c>
      <c r="AB197">
        <v>31.009792612633742</v>
      </c>
      <c r="AE197">
        <v>6.5295381253950895</v>
      </c>
      <c r="AF197">
        <v>10.012913519034756</v>
      </c>
      <c r="AG197">
        <v>16.403795226370757</v>
      </c>
      <c r="AI197">
        <v>2.1801160521202676</v>
      </c>
      <c r="AK197">
        <v>25.336943049764461</v>
      </c>
    </row>
    <row r="198" spans="1:37" x14ac:dyDescent="0.2">
      <c r="A198">
        <v>197</v>
      </c>
      <c r="B198">
        <v>746</v>
      </c>
      <c r="C198">
        <v>180</v>
      </c>
      <c r="D198">
        <v>0.396899867536674</v>
      </c>
      <c r="E198">
        <v>146.90694569362819</v>
      </c>
      <c r="F198">
        <v>52.611227817766299</v>
      </c>
      <c r="G198">
        <v>70.424620532209119</v>
      </c>
      <c r="H198">
        <v>65.794423243030963</v>
      </c>
      <c r="J198">
        <v>19.942379541439674</v>
      </c>
      <c r="L198">
        <v>1.6626318425830577</v>
      </c>
      <c r="M198">
        <v>9.7796503271644895</v>
      </c>
      <c r="N198">
        <v>2.2505804763215451</v>
      </c>
      <c r="O198">
        <v>6.7432293436033</v>
      </c>
      <c r="P198">
        <v>8.4827544591923409</v>
      </c>
      <c r="R198">
        <v>6.6265167092753243</v>
      </c>
      <c r="S198">
        <v>34.020992142994608</v>
      </c>
      <c r="U198">
        <v>2.085669906161836</v>
      </c>
      <c r="V198">
        <v>50.206758552328878</v>
      </c>
      <c r="W198">
        <v>18.650869647018379</v>
      </c>
      <c r="X198">
        <v>44.828108354144831</v>
      </c>
      <c r="Y198">
        <v>3.3972187800982798</v>
      </c>
      <c r="Z198">
        <v>17.680582445540697</v>
      </c>
      <c r="AB198">
        <v>31.596279953427686</v>
      </c>
      <c r="AE198">
        <v>6.559945111489518</v>
      </c>
      <c r="AF198">
        <v>9.3857574982206611</v>
      </c>
      <c r="AG198">
        <v>16.960631287613488</v>
      </c>
      <c r="AI198">
        <v>2.1835151545158911</v>
      </c>
      <c r="AK198">
        <v>24.244082383006088</v>
      </c>
    </row>
    <row r="199" spans="1:37" x14ac:dyDescent="0.2">
      <c r="A199">
        <v>198</v>
      </c>
      <c r="B199">
        <v>744</v>
      </c>
      <c r="C199">
        <v>180</v>
      </c>
      <c r="D199">
        <v>0.39557636533451601</v>
      </c>
      <c r="E199">
        <v>147.09215265625903</v>
      </c>
      <c r="F199">
        <v>53.187681129205437</v>
      </c>
      <c r="G199">
        <v>70.386287774008878</v>
      </c>
      <c r="H199">
        <v>65.751527019072498</v>
      </c>
      <c r="J199">
        <v>18.835205704831374</v>
      </c>
      <c r="L199">
        <v>1.6790185448479205</v>
      </c>
      <c r="M199">
        <v>9.2110468152005147</v>
      </c>
      <c r="N199">
        <v>2.2545584439565651</v>
      </c>
      <c r="O199">
        <v>6.6604034458916734</v>
      </c>
      <c r="P199">
        <v>8.4531516819524946</v>
      </c>
      <c r="R199">
        <v>6.1604502222508799</v>
      </c>
      <c r="S199">
        <v>34.468088676203962</v>
      </c>
      <c r="U199">
        <v>2.0413472280619867</v>
      </c>
      <c r="V199">
        <v>50.925305784897013</v>
      </c>
      <c r="W199">
        <v>17.922125810113332</v>
      </c>
      <c r="X199">
        <v>44.781742671444363</v>
      </c>
      <c r="Y199">
        <v>3.3491872593092511</v>
      </c>
      <c r="Z199">
        <v>17.744882972291219</v>
      </c>
      <c r="AB199">
        <v>32.129256963018165</v>
      </c>
      <c r="AE199">
        <v>6.5850407467403107</v>
      </c>
      <c r="AF199">
        <v>8.8149297884089144</v>
      </c>
      <c r="AG199">
        <v>17.463964634383633</v>
      </c>
      <c r="AI199">
        <v>2.1869081503211278</v>
      </c>
      <c r="AK199">
        <v>23.38332494842934</v>
      </c>
    </row>
    <row r="200" spans="1:37" x14ac:dyDescent="0.2">
      <c r="A200">
        <v>199</v>
      </c>
      <c r="B200">
        <v>742</v>
      </c>
      <c r="C200">
        <v>180</v>
      </c>
      <c r="D200">
        <v>0.39424764813081797</v>
      </c>
      <c r="E200">
        <v>147.25469505189048</v>
      </c>
      <c r="F200">
        <v>53.713919883127716</v>
      </c>
      <c r="G200">
        <v>70.347644794893867</v>
      </c>
      <c r="H200">
        <v>65.7083737453911</v>
      </c>
      <c r="J200">
        <v>17.943176070814456</v>
      </c>
      <c r="L200">
        <v>1.6940871730510989</v>
      </c>
      <c r="M200">
        <v>8.6853525210304987</v>
      </c>
      <c r="N200">
        <v>2.2585341183971734</v>
      </c>
      <c r="O200">
        <v>6.5762836194109484</v>
      </c>
      <c r="P200">
        <v>8.422958223096666</v>
      </c>
      <c r="R200">
        <v>5.725432510709564</v>
      </c>
      <c r="S200">
        <v>34.880446180532999</v>
      </c>
      <c r="U200">
        <v>1.9958128314948282</v>
      </c>
      <c r="V200">
        <v>51.584347798009496</v>
      </c>
      <c r="W200">
        <v>17.236898992530364</v>
      </c>
      <c r="X200">
        <v>44.732796708974007</v>
      </c>
      <c r="Y200">
        <v>3.3062305878719873</v>
      </c>
      <c r="Z200">
        <v>17.801539272340889</v>
      </c>
      <c r="AB200">
        <v>32.620306239383368</v>
      </c>
      <c r="AE200">
        <v>6.6061571525419271</v>
      </c>
      <c r="AF200">
        <v>8.2870105545296013</v>
      </c>
      <c r="AG200">
        <v>17.925378329932059</v>
      </c>
      <c r="AI200">
        <v>2.1902954410088835</v>
      </c>
      <c r="AK200">
        <v>22.67850332008603</v>
      </c>
    </row>
    <row r="201" spans="1:37" x14ac:dyDescent="0.2">
      <c r="A201">
        <v>200</v>
      </c>
      <c r="B201">
        <v>740</v>
      </c>
      <c r="C201">
        <v>180</v>
      </c>
      <c r="D201">
        <v>0.39291368504170499</v>
      </c>
      <c r="E201">
        <v>147.39940040146283</v>
      </c>
      <c r="F201">
        <v>54.200718707816129</v>
      </c>
      <c r="G201">
        <v>70.308778231860572</v>
      </c>
      <c r="H201">
        <v>65.665050229819002</v>
      </c>
      <c r="J201">
        <v>17.203845075198654</v>
      </c>
      <c r="L201">
        <v>1.7080917025520976</v>
      </c>
      <c r="M201">
        <v>8.1937686639128078</v>
      </c>
      <c r="N201">
        <v>2.2625077895591987</v>
      </c>
      <c r="O201">
        <v>6.4916261903881827</v>
      </c>
      <c r="P201">
        <v>8.3923478347753502</v>
      </c>
      <c r="R201">
        <v>5.3152618384615389</v>
      </c>
      <c r="S201">
        <v>35.264304853546847</v>
      </c>
      <c r="U201">
        <v>1.9494057139985386</v>
      </c>
      <c r="V201">
        <v>52.195421076237224</v>
      </c>
      <c r="W201">
        <v>16.586206642061768</v>
      </c>
      <c r="X201">
        <v>44.682239218250182</v>
      </c>
      <c r="Y201">
        <v>3.2672898423504186</v>
      </c>
      <c r="Z201">
        <v>17.852221263533028</v>
      </c>
      <c r="AB201">
        <v>33.077417174345655</v>
      </c>
      <c r="AE201">
        <v>6.6241531628483346</v>
      </c>
      <c r="AF201">
        <v>7.7932013519228045</v>
      </c>
      <c r="AG201">
        <v>18.352862105381977</v>
      </c>
      <c r="AI201">
        <v>2.1936773017701947</v>
      </c>
      <c r="AK201">
        <v>22.085610638510659</v>
      </c>
    </row>
    <row r="202" spans="1:37" x14ac:dyDescent="0.2">
      <c r="A202">
        <v>201</v>
      </c>
      <c r="B202">
        <v>768</v>
      </c>
      <c r="C202">
        <v>170</v>
      </c>
      <c r="D202">
        <v>0.42168803726648402</v>
      </c>
      <c r="E202">
        <v>140.55443877375967</v>
      </c>
      <c r="F202">
        <v>57.318202122787412</v>
      </c>
      <c r="G202">
        <v>71.30000376229107</v>
      </c>
      <c r="H202">
        <v>66.723058514796463</v>
      </c>
      <c r="J202">
        <v>43.797469825021949</v>
      </c>
      <c r="L202">
        <v>4.0344685315294662</v>
      </c>
      <c r="M202">
        <v>14.005153259158686</v>
      </c>
      <c r="N202">
        <v>2.2269621557044252</v>
      </c>
      <c r="O202">
        <v>19.772600130551883</v>
      </c>
      <c r="P202">
        <v>9.6816001680614701</v>
      </c>
      <c r="Q202">
        <v>5.9913630900058933E-2</v>
      </c>
      <c r="R202">
        <v>13.030142726888085</v>
      </c>
      <c r="S202">
        <v>37.832415827368422</v>
      </c>
      <c r="U202">
        <v>2.6422377152887186</v>
      </c>
      <c r="V202">
        <v>45.355006873220596</v>
      </c>
      <c r="W202">
        <v>26.17036613430653</v>
      </c>
      <c r="X202">
        <v>44.867277381887945</v>
      </c>
      <c r="Y202">
        <v>5.8428088756602614</v>
      </c>
      <c r="Z202">
        <v>29.367762772875004</v>
      </c>
      <c r="AA202">
        <v>3.0857854204600517</v>
      </c>
      <c r="AB202">
        <v>34.578281678100652</v>
      </c>
      <c r="AC202">
        <v>5.644142811283602E-2</v>
      </c>
      <c r="AD202">
        <v>6.5222023939411562</v>
      </c>
      <c r="AE202">
        <v>13.091654517966443</v>
      </c>
      <c r="AF202">
        <v>13.686815722159988</v>
      </c>
      <c r="AG202">
        <v>20.332564402406863</v>
      </c>
      <c r="AH202">
        <v>3.4630472961987606</v>
      </c>
      <c r="AI202">
        <v>2.1649058887435042</v>
      </c>
      <c r="AK202">
        <v>40.729775502188261</v>
      </c>
    </row>
    <row r="203" spans="1:37" x14ac:dyDescent="0.2">
      <c r="A203">
        <v>202</v>
      </c>
      <c r="B203">
        <v>766</v>
      </c>
      <c r="C203">
        <v>170</v>
      </c>
      <c r="D203">
        <v>0.42044026367704701</v>
      </c>
      <c r="E203">
        <v>140.35045533148295</v>
      </c>
      <c r="F203">
        <v>56.620134378239214</v>
      </c>
      <c r="G203">
        <v>71.178011458520245</v>
      </c>
      <c r="H203">
        <v>66.595920796032459</v>
      </c>
      <c r="J203">
        <v>43.740393941060525</v>
      </c>
      <c r="L203">
        <v>3.8606093248140385</v>
      </c>
      <c r="M203">
        <v>13.964096358366859</v>
      </c>
      <c r="N203">
        <v>2.205496342152268</v>
      </c>
      <c r="O203">
        <v>18.930179927130826</v>
      </c>
      <c r="P203">
        <v>9.4588863909154277</v>
      </c>
      <c r="R203">
        <v>12.70931001207915</v>
      </c>
      <c r="S203">
        <v>37.377681042295954</v>
      </c>
      <c r="U203">
        <v>2.5587610178477544</v>
      </c>
      <c r="V203">
        <v>45.308858128499175</v>
      </c>
      <c r="W203">
        <v>25.885791324465824</v>
      </c>
      <c r="X203">
        <v>44.723380041704004</v>
      </c>
      <c r="Y203">
        <v>5.6606431736112359</v>
      </c>
      <c r="Z203">
        <v>28.988199953629273</v>
      </c>
      <c r="AA203">
        <v>2.9035932829027589</v>
      </c>
      <c r="AB203">
        <v>34.437501356873035</v>
      </c>
      <c r="AC203">
        <v>3.1006884819971797E-2</v>
      </c>
      <c r="AD203">
        <v>6.3119519700988116</v>
      </c>
      <c r="AE203">
        <v>12.922848541773163</v>
      </c>
      <c r="AF203">
        <v>13.618073909781586</v>
      </c>
      <c r="AG203">
        <v>20.136611987562915</v>
      </c>
      <c r="AH203">
        <v>3.2077119220772223</v>
      </c>
      <c r="AI203">
        <v>2.1428925655178301</v>
      </c>
      <c r="AK203">
        <v>40.731133972315256</v>
      </c>
    </row>
    <row r="204" spans="1:37" x14ac:dyDescent="0.2">
      <c r="A204">
        <v>203</v>
      </c>
      <c r="B204">
        <v>764</v>
      </c>
      <c r="C204">
        <v>170</v>
      </c>
      <c r="D204">
        <v>0.419187677770818</v>
      </c>
      <c r="E204">
        <v>140.11923193429601</v>
      </c>
      <c r="F204">
        <v>55.677537717372346</v>
      </c>
      <c r="G204">
        <v>71.010736615169975</v>
      </c>
      <c r="H204">
        <v>66.42355187687528</v>
      </c>
      <c r="J204">
        <v>43.666854813169429</v>
      </c>
      <c r="L204">
        <v>3.6060815935248756</v>
      </c>
      <c r="M204">
        <v>13.986236781932961</v>
      </c>
      <c r="N204">
        <v>2.178152815454772</v>
      </c>
      <c r="O204">
        <v>17.764727091697509</v>
      </c>
      <c r="P204">
        <v>9.1397598667532112</v>
      </c>
      <c r="R204">
        <v>12.361764227104352</v>
      </c>
      <c r="S204">
        <v>37.122221350485567</v>
      </c>
      <c r="U204">
        <v>2.5239936267544114</v>
      </c>
      <c r="V204">
        <v>45.39516738661473</v>
      </c>
      <c r="W204">
        <v>25.630789529038182</v>
      </c>
      <c r="X204">
        <v>44.737467850346633</v>
      </c>
      <c r="Y204">
        <v>5.3869685727255074</v>
      </c>
      <c r="Z204">
        <v>28.477500046499227</v>
      </c>
      <c r="AA204">
        <v>2.6360960960447337</v>
      </c>
      <c r="AB204">
        <v>34.389312137827119</v>
      </c>
      <c r="AD204">
        <v>6.0201358470135347</v>
      </c>
      <c r="AE204">
        <v>12.711570297968462</v>
      </c>
      <c r="AF204">
        <v>13.606652775235416</v>
      </c>
      <c r="AG204">
        <v>20.027382813969691</v>
      </c>
      <c r="AH204">
        <v>2.8254639435211106</v>
      </c>
      <c r="AI204">
        <v>2.1149982790214867</v>
      </c>
      <c r="AK204">
        <v>40.676347775609372</v>
      </c>
    </row>
    <row r="205" spans="1:37" x14ac:dyDescent="0.2">
      <c r="A205">
        <v>204</v>
      </c>
      <c r="B205">
        <v>762</v>
      </c>
      <c r="C205">
        <v>170</v>
      </c>
      <c r="D205">
        <v>0.41793025165435399</v>
      </c>
      <c r="E205">
        <v>139.73714513261865</v>
      </c>
      <c r="F205">
        <v>53.946770888244657</v>
      </c>
      <c r="G205">
        <v>70.707690464136277</v>
      </c>
      <c r="H205">
        <v>66.115463152892971</v>
      </c>
      <c r="J205">
        <v>43.354506499345824</v>
      </c>
      <c r="L205">
        <v>3.1439248755252156</v>
      </c>
      <c r="M205">
        <v>13.98421917066149</v>
      </c>
      <c r="N205">
        <v>2.182106714087777</v>
      </c>
      <c r="O205">
        <v>15.854736772790691</v>
      </c>
      <c r="P205">
        <v>8.5804183749478575</v>
      </c>
      <c r="R205">
        <v>11.724020620767911</v>
      </c>
      <c r="S205">
        <v>36.496414702846891</v>
      </c>
      <c r="U205">
        <v>2.4603446194494283</v>
      </c>
      <c r="V205">
        <v>45.475686477113257</v>
      </c>
      <c r="W205">
        <v>25.175944406705906</v>
      </c>
      <c r="X205">
        <v>44.636292073017266</v>
      </c>
      <c r="Y205">
        <v>4.8661371709801191</v>
      </c>
      <c r="Z205">
        <v>27.549439102431947</v>
      </c>
      <c r="AA205">
        <v>2.1545147189538767</v>
      </c>
      <c r="AB205">
        <v>34.260650995112329</v>
      </c>
      <c r="AD205">
        <v>5.4600853955881297</v>
      </c>
      <c r="AE205">
        <v>12.358541218472418</v>
      </c>
      <c r="AF205">
        <v>13.602372141735801</v>
      </c>
      <c r="AG205">
        <v>19.868989040302178</v>
      </c>
      <c r="AH205">
        <v>2.046326978052341</v>
      </c>
      <c r="AI205">
        <v>2.118398153043707</v>
      </c>
      <c r="AK205">
        <v>40.441785250654583</v>
      </c>
    </row>
    <row r="206" spans="1:37" x14ac:dyDescent="0.2">
      <c r="A206">
        <v>205</v>
      </c>
      <c r="B206">
        <v>760</v>
      </c>
      <c r="C206">
        <v>170</v>
      </c>
      <c r="D206">
        <v>0.41666795721821598</v>
      </c>
      <c r="E206">
        <v>139.35444632338292</v>
      </c>
      <c r="F206">
        <v>52.176346534772939</v>
      </c>
      <c r="G206">
        <v>70.394295718999913</v>
      </c>
      <c r="H206">
        <v>65.797077501970207</v>
      </c>
      <c r="J206">
        <v>43.006509705823525</v>
      </c>
      <c r="L206">
        <v>2.6604240590629122</v>
      </c>
      <c r="M206">
        <v>13.985375503622539</v>
      </c>
      <c r="N206">
        <v>2.1860583678372163</v>
      </c>
      <c r="O206">
        <v>13.881669406614911</v>
      </c>
      <c r="P206">
        <v>8.0004078505275942</v>
      </c>
      <c r="R206">
        <v>11.047350334404239</v>
      </c>
      <c r="S206">
        <v>35.787267158608358</v>
      </c>
      <c r="U206">
        <v>2.4076627186397341</v>
      </c>
      <c r="V206">
        <v>45.532205003941179</v>
      </c>
      <c r="W206">
        <v>24.727866630638015</v>
      </c>
      <c r="X206">
        <v>44.567784860518572</v>
      </c>
      <c r="Y206">
        <v>4.325321531356364</v>
      </c>
      <c r="Z206">
        <v>26.595151904896088</v>
      </c>
      <c r="AA206">
        <v>1.6540688970141346</v>
      </c>
      <c r="AB206">
        <v>34.094054604824471</v>
      </c>
      <c r="AD206">
        <v>4.8812211261586711</v>
      </c>
      <c r="AE206">
        <v>11.998102108700673</v>
      </c>
      <c r="AF206">
        <v>13.601264362273209</v>
      </c>
      <c r="AG206">
        <v>19.672667718783554</v>
      </c>
      <c r="AH206">
        <v>1.2362692675518556</v>
      </c>
      <c r="AI206">
        <v>2.1217925026789266</v>
      </c>
      <c r="AK206">
        <v>40.193484581020805</v>
      </c>
    </row>
    <row r="207" spans="1:37" x14ac:dyDescent="0.2">
      <c r="A207">
        <v>206</v>
      </c>
      <c r="B207">
        <v>758</v>
      </c>
      <c r="C207">
        <v>170</v>
      </c>
      <c r="D207">
        <v>0.41540076613490101</v>
      </c>
      <c r="E207">
        <v>138.9423468024263</v>
      </c>
      <c r="F207">
        <v>50.122517546284641</v>
      </c>
      <c r="G207">
        <v>70.033641384279477</v>
      </c>
      <c r="H207">
        <v>65.431484093567008</v>
      </c>
      <c r="J207">
        <v>42.496507838721442</v>
      </c>
      <c r="L207">
        <v>2.0840521423880274</v>
      </c>
      <c r="M207">
        <v>13.981656090139953</v>
      </c>
      <c r="N207">
        <v>2.1900058368416362</v>
      </c>
      <c r="O207">
        <v>11.589193740121928</v>
      </c>
      <c r="P207">
        <v>7.3259045417382938</v>
      </c>
      <c r="R207">
        <v>10.218634670829926</v>
      </c>
      <c r="S207">
        <v>34.801233305405155</v>
      </c>
      <c r="U207">
        <v>2.3700647733795193</v>
      </c>
      <c r="V207">
        <v>45.537973315870893</v>
      </c>
      <c r="W207">
        <v>24.285376892993575</v>
      </c>
      <c r="X207">
        <v>44.543702626662437</v>
      </c>
      <c r="Y207">
        <v>3.6905587891721674</v>
      </c>
      <c r="Z207">
        <v>25.440242823925551</v>
      </c>
      <c r="AA207">
        <v>1.0625653677927767</v>
      </c>
      <c r="AB207">
        <v>33.792645273761195</v>
      </c>
      <c r="AD207">
        <v>4.1817454986969915</v>
      </c>
      <c r="AE207">
        <v>11.554819886491641</v>
      </c>
      <c r="AF207">
        <v>13.595277850646694</v>
      </c>
      <c r="AG207">
        <v>19.341539262988906</v>
      </c>
      <c r="AH207">
        <v>0.28103204317301422</v>
      </c>
      <c r="AI207">
        <v>2.1251793733675592</v>
      </c>
      <c r="AK207">
        <v>39.854357361752683</v>
      </c>
    </row>
    <row r="208" spans="1:37" x14ac:dyDescent="0.2">
      <c r="A208">
        <v>207</v>
      </c>
      <c r="B208">
        <v>756</v>
      </c>
      <c r="C208">
        <v>170</v>
      </c>
      <c r="D208">
        <v>0.41412864985667802</v>
      </c>
      <c r="E208">
        <v>139.99931210837073</v>
      </c>
      <c r="F208">
        <v>50.903155441845229</v>
      </c>
      <c r="G208">
        <v>70.479241794444036</v>
      </c>
      <c r="H208">
        <v>65.87219742773182</v>
      </c>
      <c r="J208">
        <v>30.494685243693851</v>
      </c>
      <c r="L208">
        <v>1.5420293827395435</v>
      </c>
      <c r="M208">
        <v>12.895744059972301</v>
      </c>
      <c r="N208">
        <v>2.1940352305278408</v>
      </c>
      <c r="O208">
        <v>7.6494033275946682</v>
      </c>
      <c r="P208">
        <v>8.2640234070044976</v>
      </c>
      <c r="R208">
        <v>9.0975793005123133</v>
      </c>
      <c r="S208">
        <v>32.552041524305984</v>
      </c>
      <c r="U208">
        <v>2.4545888145741097</v>
      </c>
      <c r="V208">
        <v>46.456521442872237</v>
      </c>
      <c r="W208">
        <v>22.961915971934445</v>
      </c>
      <c r="X208">
        <v>44.864016502519689</v>
      </c>
      <c r="Y208">
        <v>3.524049270678105</v>
      </c>
      <c r="Z208">
        <v>20.948403398875481</v>
      </c>
      <c r="AB208">
        <v>31.152846981629803</v>
      </c>
      <c r="AD208">
        <v>2.032242380543527</v>
      </c>
      <c r="AE208">
        <v>8.5889195237419429</v>
      </c>
      <c r="AF208">
        <v>12.507181890574207</v>
      </c>
      <c r="AG208">
        <v>16.672113808980747</v>
      </c>
      <c r="AI208">
        <v>2.1286448598337353</v>
      </c>
      <c r="AK208">
        <v>31.7924319219414</v>
      </c>
    </row>
    <row r="209" spans="1:37" x14ac:dyDescent="0.2">
      <c r="A209">
        <v>208</v>
      </c>
      <c r="B209">
        <v>754</v>
      </c>
      <c r="C209">
        <v>170</v>
      </c>
      <c r="D209">
        <v>0.412851579613494</v>
      </c>
      <c r="E209">
        <v>140.5085500152031</v>
      </c>
      <c r="F209">
        <v>51.24924588366963</v>
      </c>
      <c r="G209">
        <v>70.562467396779212</v>
      </c>
      <c r="H209">
        <v>65.950588117975514</v>
      </c>
      <c r="J209">
        <v>25.775814185373836</v>
      </c>
      <c r="L209">
        <v>1.5816396950133094</v>
      </c>
      <c r="M209">
        <v>11.977800102485871</v>
      </c>
      <c r="N209">
        <v>2.198037521304296</v>
      </c>
      <c r="O209">
        <v>7.4052708037202057</v>
      </c>
      <c r="P209">
        <v>8.4773964943662001</v>
      </c>
      <c r="R209">
        <v>8.4804322714799412</v>
      </c>
      <c r="S209">
        <v>33.013916162530933</v>
      </c>
      <c r="U209">
        <v>2.4386981290427352</v>
      </c>
      <c r="V209">
        <v>47.59609291306672</v>
      </c>
      <c r="W209">
        <v>21.866040497614073</v>
      </c>
      <c r="X209">
        <v>44.896769297413023</v>
      </c>
      <c r="Y209">
        <v>3.5104469600790162</v>
      </c>
      <c r="Z209">
        <v>18.932916867386009</v>
      </c>
      <c r="AB209">
        <v>30.648682223153838</v>
      </c>
      <c r="AD209">
        <v>1.0302387794157</v>
      </c>
      <c r="AE209">
        <v>7.3710775986436161</v>
      </c>
      <c r="AF209">
        <v>11.587028188568455</v>
      </c>
      <c r="AG209">
        <v>16.138304871124053</v>
      </c>
      <c r="AI209">
        <v>2.1320799197781257</v>
      </c>
      <c r="AK209">
        <v>28.456477943208249</v>
      </c>
    </row>
    <row r="210" spans="1:37" x14ac:dyDescent="0.2">
      <c r="A210">
        <v>209</v>
      </c>
      <c r="B210">
        <v>752</v>
      </c>
      <c r="C210">
        <v>170</v>
      </c>
      <c r="D210">
        <v>0.41156952641076899</v>
      </c>
      <c r="E210">
        <v>140.87566783624868</v>
      </c>
      <c r="F210">
        <v>51.707905397200882</v>
      </c>
      <c r="G210">
        <v>70.596534437649439</v>
      </c>
      <c r="H210">
        <v>65.979872577534067</v>
      </c>
      <c r="J210">
        <v>23.081190240556172</v>
      </c>
      <c r="L210">
        <v>1.6107693912100476</v>
      </c>
      <c r="M210">
        <v>11.210910137067838</v>
      </c>
      <c r="N210">
        <v>2.2020308734838179</v>
      </c>
      <c r="O210">
        <v>7.2146347120412644</v>
      </c>
      <c r="P210">
        <v>8.5924746429326344</v>
      </c>
      <c r="R210">
        <v>7.935927744292429</v>
      </c>
      <c r="S210">
        <v>33.508421551832953</v>
      </c>
      <c r="U210">
        <v>2.4052573135727635</v>
      </c>
      <c r="V210">
        <v>48.575954006279403</v>
      </c>
      <c r="W210">
        <v>20.931196971127996</v>
      </c>
      <c r="X210">
        <v>44.880060499717843</v>
      </c>
      <c r="Y210">
        <v>3.4812130452997549</v>
      </c>
      <c r="Z210">
        <v>17.816985774755125</v>
      </c>
      <c r="AB210">
        <v>30.627176075347307</v>
      </c>
      <c r="AD210">
        <v>0.45887281979795047</v>
      </c>
      <c r="AE210">
        <v>6.6975106912020248</v>
      </c>
      <c r="AF210">
        <v>10.817920873265853</v>
      </c>
      <c r="AG210">
        <v>16.087155738277662</v>
      </c>
      <c r="AI210">
        <v>2.1355027028017934</v>
      </c>
      <c r="AK210">
        <v>26.490417388221438</v>
      </c>
    </row>
    <row r="211" spans="1:37" x14ac:dyDescent="0.2">
      <c r="A211">
        <v>210</v>
      </c>
      <c r="B211">
        <v>750</v>
      </c>
      <c r="C211">
        <v>170</v>
      </c>
      <c r="D211">
        <v>0.41028246102722199</v>
      </c>
      <c r="E211">
        <v>141.16737092121588</v>
      </c>
      <c r="F211">
        <v>52.160924759197904</v>
      </c>
      <c r="G211">
        <v>70.609599088085957</v>
      </c>
      <c r="H211">
        <v>65.988207144960441</v>
      </c>
      <c r="J211">
        <v>21.255380135801971</v>
      </c>
      <c r="L211">
        <v>1.6344038271417776</v>
      </c>
      <c r="M211">
        <v>10.540891716359001</v>
      </c>
      <c r="N211">
        <v>2.2060186861736626</v>
      </c>
      <c r="O211">
        <v>7.0458242851153807</v>
      </c>
      <c r="P211">
        <v>8.665573776952229</v>
      </c>
      <c r="R211">
        <v>7.4430723469267743</v>
      </c>
      <c r="S211">
        <v>33.970336557326199</v>
      </c>
      <c r="U211">
        <v>2.3655799769572146</v>
      </c>
      <c r="V211">
        <v>49.433919735048811</v>
      </c>
      <c r="W211">
        <v>20.096685750766657</v>
      </c>
      <c r="X211">
        <v>44.84638134149516</v>
      </c>
      <c r="Y211">
        <v>3.4497879424034594</v>
      </c>
      <c r="Z211">
        <v>17.047729884369957</v>
      </c>
      <c r="AB211">
        <v>30.747366489218855</v>
      </c>
      <c r="AD211">
        <v>5.6666481973669233E-2</v>
      </c>
      <c r="AE211">
        <v>6.2321233146498107</v>
      </c>
      <c r="AF211">
        <v>10.145680941557179</v>
      </c>
      <c r="AG211">
        <v>16.177707808391723</v>
      </c>
      <c r="AI211">
        <v>2.1389165932970977</v>
      </c>
      <c r="AK211">
        <v>25.125582924789015</v>
      </c>
    </row>
    <row r="212" spans="1:37" x14ac:dyDescent="0.2">
      <c r="A212">
        <v>211</v>
      </c>
      <c r="B212">
        <v>748</v>
      </c>
      <c r="C212">
        <v>170</v>
      </c>
      <c r="D212">
        <v>0.40899035401263301</v>
      </c>
      <c r="E212">
        <v>141.35542796822605</v>
      </c>
      <c r="F212">
        <v>52.962553063313401</v>
      </c>
      <c r="G212">
        <v>70.540702905156451</v>
      </c>
      <c r="H212">
        <v>65.914633545500024</v>
      </c>
      <c r="J212">
        <v>19.819478016884155</v>
      </c>
      <c r="L212">
        <v>1.6498384939393183</v>
      </c>
      <c r="M212">
        <v>9.9102584701134351</v>
      </c>
      <c r="N212">
        <v>2.2099999497248151</v>
      </c>
      <c r="O212">
        <v>7.0128631827187604</v>
      </c>
      <c r="P212">
        <v>8.5747761850103537</v>
      </c>
      <c r="R212">
        <v>6.9010722006236929</v>
      </c>
      <c r="S212">
        <v>34.480647977396238</v>
      </c>
      <c r="U212">
        <v>2.3236007367957585</v>
      </c>
      <c r="V212">
        <v>50.230769097522305</v>
      </c>
      <c r="W212">
        <v>19.302851426901704</v>
      </c>
      <c r="X212">
        <v>44.807039791641245</v>
      </c>
      <c r="Y212">
        <v>3.3753498514342866</v>
      </c>
      <c r="Z212">
        <v>17.643982818893925</v>
      </c>
      <c r="AB212">
        <v>31.640503808594616</v>
      </c>
      <c r="AE212">
        <v>6.5685042599521237</v>
      </c>
      <c r="AF212">
        <v>9.512821058892305</v>
      </c>
      <c r="AG212">
        <v>17.041210463784701</v>
      </c>
      <c r="AI212">
        <v>2.1423205668967507</v>
      </c>
      <c r="AK212">
        <v>24.03015092845002</v>
      </c>
    </row>
    <row r="213" spans="1:37" x14ac:dyDescent="0.2">
      <c r="A213">
        <v>212</v>
      </c>
      <c r="B213">
        <v>746</v>
      </c>
      <c r="C213">
        <v>170</v>
      </c>
      <c r="D213">
        <v>0.40769317568562202</v>
      </c>
      <c r="E213">
        <v>141.53804511917608</v>
      </c>
      <c r="F213">
        <v>53.533131704272861</v>
      </c>
      <c r="G213">
        <v>70.502197501377367</v>
      </c>
      <c r="H213">
        <v>65.87150356050644</v>
      </c>
      <c r="J213">
        <v>18.734601120191975</v>
      </c>
      <c r="L213">
        <v>1.665728941179037</v>
      </c>
      <c r="M213">
        <v>9.3470420567696397</v>
      </c>
      <c r="N213">
        <v>2.2139798459388973</v>
      </c>
      <c r="O213">
        <v>6.9242083550915083</v>
      </c>
      <c r="P213">
        <v>8.5447904590708692</v>
      </c>
      <c r="R213">
        <v>6.4375751448316727</v>
      </c>
      <c r="S213">
        <v>34.91457410619811</v>
      </c>
      <c r="U213">
        <v>2.2791944442121612</v>
      </c>
      <c r="V213">
        <v>50.940991498843843</v>
      </c>
      <c r="W213">
        <v>18.577693983227071</v>
      </c>
      <c r="X213">
        <v>44.761646945445989</v>
      </c>
      <c r="Y213">
        <v>3.3270385876567574</v>
      </c>
      <c r="Z213">
        <v>17.70789355379916</v>
      </c>
      <c r="AB213">
        <v>32.165732270536786</v>
      </c>
      <c r="AE213">
        <v>6.5935171806016131</v>
      </c>
      <c r="AF213">
        <v>8.947378111059896</v>
      </c>
      <c r="AG213">
        <v>17.536813171769559</v>
      </c>
      <c r="AI213">
        <v>2.1457197906816567</v>
      </c>
      <c r="AK213">
        <v>23.187438091924623</v>
      </c>
    </row>
    <row r="214" spans="1:37" x14ac:dyDescent="0.2">
      <c r="A214">
        <v>213</v>
      </c>
      <c r="B214">
        <v>744</v>
      </c>
      <c r="C214">
        <v>170</v>
      </c>
      <c r="D214">
        <v>0.40639089613134799</v>
      </c>
      <c r="E214">
        <v>141.69854147638279</v>
      </c>
      <c r="F214">
        <v>54.054681318381498</v>
      </c>
      <c r="G214">
        <v>70.463391436571897</v>
      </c>
      <c r="H214">
        <v>65.828125919300305</v>
      </c>
      <c r="J214">
        <v>17.856681701104943</v>
      </c>
      <c r="L214">
        <v>1.6803679184797657</v>
      </c>
      <c r="M214">
        <v>8.8254490619534991</v>
      </c>
      <c r="N214">
        <v>2.2179575130970073</v>
      </c>
      <c r="O214">
        <v>6.8343824652244525</v>
      </c>
      <c r="P214">
        <v>8.5142330432218252</v>
      </c>
      <c r="R214">
        <v>6.00440121361469</v>
      </c>
      <c r="S214">
        <v>35.316022704229958</v>
      </c>
      <c r="U214">
        <v>2.2334620968267429</v>
      </c>
      <c r="V214">
        <v>51.593905072417442</v>
      </c>
      <c r="W214">
        <v>17.894832780987024</v>
      </c>
      <c r="X214">
        <v>44.71336669293963</v>
      </c>
      <c r="Y214">
        <v>3.2837137492958672</v>
      </c>
      <c r="Z214">
        <v>17.764298274748796</v>
      </c>
      <c r="AB214">
        <v>32.6508892489556</v>
      </c>
      <c r="AE214">
        <v>6.6146202941736103</v>
      </c>
      <c r="AF214">
        <v>8.4235578677226979</v>
      </c>
      <c r="AG214">
        <v>17.99235249329784</v>
      </c>
      <c r="AI214">
        <v>2.1491133882105675</v>
      </c>
      <c r="AK214">
        <v>22.494606940859207</v>
      </c>
    </row>
    <row r="215" spans="1:37" x14ac:dyDescent="0.2">
      <c r="A215">
        <v>214</v>
      </c>
      <c r="B215">
        <v>742</v>
      </c>
      <c r="C215">
        <v>170</v>
      </c>
      <c r="D215">
        <v>0.40508348519923099</v>
      </c>
      <c r="E215">
        <v>141.84155798747952</v>
      </c>
      <c r="F215">
        <v>54.537566513094276</v>
      </c>
      <c r="G215">
        <v>70.424368975683308</v>
      </c>
      <c r="H215">
        <v>65.784585056991503</v>
      </c>
      <c r="J215">
        <v>17.126623778406209</v>
      </c>
      <c r="L215">
        <v>1.6939887390998665</v>
      </c>
      <c r="M215">
        <v>8.3371101605485052</v>
      </c>
      <c r="N215">
        <v>2.2219332220725705</v>
      </c>
      <c r="O215">
        <v>6.7440917927212807</v>
      </c>
      <c r="P215">
        <v>8.4832729254275048</v>
      </c>
      <c r="R215">
        <v>5.5955925632373598</v>
      </c>
      <c r="S215">
        <v>35.690514153353107</v>
      </c>
      <c r="U215">
        <v>2.1867726323389847</v>
      </c>
      <c r="V215">
        <v>52.200322423065536</v>
      </c>
      <c r="W215">
        <v>17.245695274793253</v>
      </c>
      <c r="X215">
        <v>44.663253802219124</v>
      </c>
      <c r="Y215">
        <v>3.2443545793607518</v>
      </c>
      <c r="Z215">
        <v>17.814809743937882</v>
      </c>
      <c r="AB215">
        <v>33.103358405208517</v>
      </c>
      <c r="AE215">
        <v>6.6326427164382906</v>
      </c>
      <c r="AF215">
        <v>7.9329913206017713</v>
      </c>
      <c r="AG215">
        <v>18.415212409674254</v>
      </c>
      <c r="AI215">
        <v>2.1525016156338612</v>
      </c>
      <c r="AK215">
        <v>21.910075666913045</v>
      </c>
    </row>
    <row r="216" spans="1:37" x14ac:dyDescent="0.2">
      <c r="A216">
        <v>215</v>
      </c>
      <c r="B216">
        <v>772</v>
      </c>
      <c r="C216">
        <v>160</v>
      </c>
      <c r="D216">
        <v>0.43469406305315</v>
      </c>
      <c r="E216">
        <v>135.08238415164689</v>
      </c>
      <c r="F216">
        <v>58.22346357996733</v>
      </c>
      <c r="G216">
        <v>71.501897760130575</v>
      </c>
      <c r="H216">
        <v>66.935007540881287</v>
      </c>
      <c r="J216">
        <v>43.757763420890932</v>
      </c>
      <c r="L216">
        <v>4.2446965737198736</v>
      </c>
      <c r="M216">
        <v>14.159940481445846</v>
      </c>
      <c r="N216">
        <v>2.2082420224219796</v>
      </c>
      <c r="O216">
        <v>21.227594594991199</v>
      </c>
      <c r="P216">
        <v>9.9248665269754959</v>
      </c>
      <c r="Q216">
        <v>4.9751414519642649E-2</v>
      </c>
      <c r="R216">
        <v>13.653821628689071</v>
      </c>
      <c r="S216">
        <v>38.943606711607963</v>
      </c>
      <c r="U216">
        <v>2.8874712658948165</v>
      </c>
      <c r="V216">
        <v>45.382239966628703</v>
      </c>
      <c r="W216">
        <v>27.13240613620524</v>
      </c>
      <c r="X216">
        <v>44.699814803942694</v>
      </c>
      <c r="Y216">
        <v>6.0287110527635956</v>
      </c>
      <c r="Z216">
        <v>30.011014693013294</v>
      </c>
      <c r="AA216">
        <v>3.3183195227011892</v>
      </c>
      <c r="AB216">
        <v>35.028399584197977</v>
      </c>
      <c r="AC216">
        <v>8.2303154672333123E-2</v>
      </c>
      <c r="AD216">
        <v>6.8624708592090276</v>
      </c>
      <c r="AE216">
        <v>13.480340674238633</v>
      </c>
      <c r="AF216">
        <v>13.866191987353567</v>
      </c>
      <c r="AG216">
        <v>20.874389006427077</v>
      </c>
      <c r="AH216">
        <v>3.6585728295803626</v>
      </c>
      <c r="AI216">
        <v>2.1460742311913754</v>
      </c>
      <c r="AK216">
        <v>40.498773418680891</v>
      </c>
    </row>
    <row r="217" spans="1:37" x14ac:dyDescent="0.2">
      <c r="A217">
        <v>216</v>
      </c>
      <c r="B217">
        <v>770</v>
      </c>
      <c r="C217">
        <v>160</v>
      </c>
      <c r="D217">
        <v>0.43347601016152998</v>
      </c>
      <c r="E217">
        <v>134.87837014527611</v>
      </c>
      <c r="F217">
        <v>57.506491167139671</v>
      </c>
      <c r="G217">
        <v>71.375989805130658</v>
      </c>
      <c r="H217">
        <v>66.803843821126861</v>
      </c>
      <c r="J217">
        <v>43.701892750946804</v>
      </c>
      <c r="L217">
        <v>4.0635537894515332</v>
      </c>
      <c r="M217">
        <v>14.129484861814971</v>
      </c>
      <c r="N217">
        <v>2.1853258835779856</v>
      </c>
      <c r="O217">
        <v>20.351015318495925</v>
      </c>
      <c r="P217">
        <v>9.6928039169297495</v>
      </c>
      <c r="R217">
        <v>13.336483889081526</v>
      </c>
      <c r="S217">
        <v>38.528471112426288</v>
      </c>
      <c r="U217">
        <v>2.8131091999810103</v>
      </c>
      <c r="V217">
        <v>45.357867875952458</v>
      </c>
      <c r="W217">
        <v>26.856074169861675</v>
      </c>
      <c r="X217">
        <v>44.585727543295555</v>
      </c>
      <c r="Y217">
        <v>5.8383590731502162</v>
      </c>
      <c r="Z217">
        <v>29.619806287833345</v>
      </c>
      <c r="AA217">
        <v>3.1281573622574652</v>
      </c>
      <c r="AB217">
        <v>34.903150636668855</v>
      </c>
      <c r="AC217">
        <v>5.5415357488149776E-2</v>
      </c>
      <c r="AD217">
        <v>6.6463770361783778</v>
      </c>
      <c r="AE217">
        <v>13.307460275028603</v>
      </c>
      <c r="AF217">
        <v>13.806596252914005</v>
      </c>
      <c r="AG217">
        <v>20.692524378965434</v>
      </c>
      <c r="AH217">
        <v>3.3928981387912542</v>
      </c>
      <c r="AI217">
        <v>2.1226179410956689</v>
      </c>
      <c r="AK217">
        <v>40.495220290545497</v>
      </c>
    </row>
    <row r="218" spans="1:37" x14ac:dyDescent="0.2">
      <c r="A218">
        <v>217</v>
      </c>
      <c r="B218">
        <v>768</v>
      </c>
      <c r="C218">
        <v>160</v>
      </c>
      <c r="D218">
        <v>0.43225327762570398</v>
      </c>
      <c r="E218">
        <v>134.67176744664022</v>
      </c>
      <c r="F218">
        <v>56.687555972582828</v>
      </c>
      <c r="G218">
        <v>71.229507533293017</v>
      </c>
      <c r="H218">
        <v>66.65215680204777</v>
      </c>
      <c r="J218">
        <v>43.661207628571105</v>
      </c>
      <c r="L218">
        <v>3.8410156019570021</v>
      </c>
      <c r="M218">
        <v>14.154613948828395</v>
      </c>
      <c r="N218">
        <v>2.1535673605145891</v>
      </c>
      <c r="O218">
        <v>19.299610617781497</v>
      </c>
      <c r="P218">
        <v>9.4107799778222319</v>
      </c>
      <c r="R218">
        <v>13.031147055013623</v>
      </c>
      <c r="S218">
        <v>38.318325403421618</v>
      </c>
      <c r="U218">
        <v>2.783843180651381</v>
      </c>
      <c r="V218">
        <v>45.441137851729202</v>
      </c>
      <c r="W218">
        <v>26.630371729801755</v>
      </c>
      <c r="X218">
        <v>44.620595771854298</v>
      </c>
      <c r="Y218">
        <v>5.6029703597153393</v>
      </c>
      <c r="Z218">
        <v>29.17213690163495</v>
      </c>
      <c r="AA218">
        <v>2.8939090912657193</v>
      </c>
      <c r="AB218">
        <v>34.860891583143804</v>
      </c>
      <c r="AC218">
        <v>1.9685771547304953E-2</v>
      </c>
      <c r="AD218">
        <v>6.3960164187692303</v>
      </c>
      <c r="AE218">
        <v>13.117176358153698</v>
      </c>
      <c r="AF218">
        <v>13.79374382989546</v>
      </c>
      <c r="AG218">
        <v>20.584817022267554</v>
      </c>
      <c r="AH218">
        <v>3.0714910584964565</v>
      </c>
      <c r="AI218">
        <v>2.0903160460060932</v>
      </c>
      <c r="AK218">
        <v>40.468176752268469</v>
      </c>
    </row>
    <row r="219" spans="1:37" x14ac:dyDescent="0.2">
      <c r="A219">
        <v>218</v>
      </c>
      <c r="B219">
        <v>766</v>
      </c>
      <c r="C219">
        <v>160</v>
      </c>
      <c r="D219">
        <v>0.43102583842564002</v>
      </c>
      <c r="E219">
        <v>134.38974807771811</v>
      </c>
      <c r="F219">
        <v>55.475300581224666</v>
      </c>
      <c r="G219">
        <v>71.015308052441725</v>
      </c>
      <c r="H219">
        <v>66.432803753886063</v>
      </c>
      <c r="J219">
        <v>43.50198142818315</v>
      </c>
      <c r="L219">
        <v>3.5148031286164585</v>
      </c>
      <c r="M219">
        <v>14.167587891523812</v>
      </c>
      <c r="N219">
        <v>2.1375441457924094</v>
      </c>
      <c r="O219">
        <v>17.877094611320132</v>
      </c>
      <c r="P219">
        <v>9.0090867930369534</v>
      </c>
      <c r="R219">
        <v>12.580855359144406</v>
      </c>
      <c r="S219">
        <v>37.923376727625936</v>
      </c>
      <c r="U219">
        <v>2.7397338697693128</v>
      </c>
      <c r="V219">
        <v>45.521269861615806</v>
      </c>
      <c r="W219">
        <v>26.303741928927188</v>
      </c>
      <c r="X219">
        <v>44.597111752183146</v>
      </c>
      <c r="Y219">
        <v>5.2441474385097724</v>
      </c>
      <c r="Z219">
        <v>28.516106144160105</v>
      </c>
      <c r="AA219">
        <v>2.5528071314443732</v>
      </c>
      <c r="AB219">
        <v>34.778530292407218</v>
      </c>
      <c r="AD219">
        <v>6.0116116244557842</v>
      </c>
      <c r="AE219">
        <v>12.856060516602016</v>
      </c>
      <c r="AF219">
        <v>13.784472603434178</v>
      </c>
      <c r="AG219">
        <v>20.452752543150741</v>
      </c>
      <c r="AH219">
        <v>2.5520589750660627</v>
      </c>
      <c r="AI219">
        <v>2.0737462238109798</v>
      </c>
      <c r="AK219">
        <v>40.351715440317186</v>
      </c>
    </row>
    <row r="220" spans="1:37" x14ac:dyDescent="0.2">
      <c r="A220">
        <v>219</v>
      </c>
      <c r="B220">
        <v>764</v>
      </c>
      <c r="C220">
        <v>160</v>
      </c>
      <c r="D220">
        <v>0.42979366533288699</v>
      </c>
      <c r="E220">
        <v>134.01082080828598</v>
      </c>
      <c r="F220">
        <v>53.739627803253178</v>
      </c>
      <c r="G220">
        <v>70.709246509965354</v>
      </c>
      <c r="H220">
        <v>66.121639987074147</v>
      </c>
      <c r="J220">
        <v>43.173204683581922</v>
      </c>
      <c r="L220">
        <v>3.0453645215598661</v>
      </c>
      <c r="M220">
        <v>14.166726807677271</v>
      </c>
      <c r="N220">
        <v>2.1414998140234061</v>
      </c>
      <c r="O220">
        <v>15.947448998507657</v>
      </c>
      <c r="P220">
        <v>8.4436784081080418</v>
      </c>
      <c r="R220">
        <v>11.926010831429291</v>
      </c>
      <c r="S220">
        <v>37.251529586729177</v>
      </c>
      <c r="U220">
        <v>2.6823748061074792</v>
      </c>
      <c r="V220">
        <v>45.586224579048356</v>
      </c>
      <c r="W220">
        <v>25.852082865936037</v>
      </c>
      <c r="X220">
        <v>44.515608276966042</v>
      </c>
      <c r="Y220">
        <v>4.7175220197116756</v>
      </c>
      <c r="Z220">
        <v>27.580864931419207</v>
      </c>
      <c r="AA220">
        <v>2.0657046558202712</v>
      </c>
      <c r="AB220">
        <v>34.626821382750364</v>
      </c>
      <c r="AD220">
        <v>5.4468260632286665</v>
      </c>
      <c r="AE220">
        <v>12.500945188599411</v>
      </c>
      <c r="AF220">
        <v>13.78134630965855</v>
      </c>
      <c r="AG220">
        <v>20.271329180281672</v>
      </c>
      <c r="AH220">
        <v>1.763985990277682</v>
      </c>
      <c r="AI220">
        <v>2.0771520344437127</v>
      </c>
      <c r="AK220">
        <v>40.113857421686077</v>
      </c>
    </row>
    <row r="221" spans="1:37" x14ac:dyDescent="0.2">
      <c r="A221">
        <v>220</v>
      </c>
      <c r="B221">
        <v>762</v>
      </c>
      <c r="C221">
        <v>160</v>
      </c>
      <c r="D221">
        <v>0.428556730908567</v>
      </c>
      <c r="E221">
        <v>133.63046693105952</v>
      </c>
      <c r="F221">
        <v>51.954992545568778</v>
      </c>
      <c r="G221">
        <v>70.391331119232788</v>
      </c>
      <c r="H221">
        <v>65.798673878652011</v>
      </c>
      <c r="J221">
        <v>42.802019835778076</v>
      </c>
      <c r="L221">
        <v>2.5517619700144496</v>
      </c>
      <c r="M221">
        <v>14.168632222671377</v>
      </c>
      <c r="N221">
        <v>2.1454531044365299</v>
      </c>
      <c r="O221">
        <v>13.944183812298167</v>
      </c>
      <c r="P221">
        <v>7.854590166116493</v>
      </c>
      <c r="R221">
        <v>11.227514732506236</v>
      </c>
      <c r="S221">
        <v>36.481977414700353</v>
      </c>
      <c r="U221">
        <v>2.6364582166251065</v>
      </c>
      <c r="V221">
        <v>45.623816536463671</v>
      </c>
      <c r="W221">
        <v>25.407062979880891</v>
      </c>
      <c r="X221">
        <v>44.468194567965682</v>
      </c>
      <c r="Y221">
        <v>4.1678781481435285</v>
      </c>
      <c r="Z221">
        <v>26.612141395814515</v>
      </c>
      <c r="AA221">
        <v>1.5566580173097317</v>
      </c>
      <c r="AB221">
        <v>34.42981472004282</v>
      </c>
      <c r="AD221">
        <v>4.8589932866393406</v>
      </c>
      <c r="AE221">
        <v>12.135260334389523</v>
      </c>
      <c r="AF221">
        <v>13.780985257114226</v>
      </c>
      <c r="AG221">
        <v>20.0446155848073</v>
      </c>
      <c r="AH221">
        <v>0.94030244943053165</v>
      </c>
      <c r="AI221">
        <v>2.0805522024468677</v>
      </c>
      <c r="AK221">
        <v>39.859155481698131</v>
      </c>
    </row>
    <row r="222" spans="1:37" x14ac:dyDescent="0.2">
      <c r="A222">
        <v>221</v>
      </c>
      <c r="B222">
        <v>760</v>
      </c>
      <c r="C222">
        <v>160</v>
      </c>
      <c r="D222">
        <v>0.427315007501331</v>
      </c>
      <c r="E222">
        <v>133.79271692988081</v>
      </c>
      <c r="F222">
        <v>51.687212634177342</v>
      </c>
      <c r="G222">
        <v>70.419303188091121</v>
      </c>
      <c r="H222">
        <v>65.821646900773018</v>
      </c>
      <c r="J222">
        <v>38.30877166652607</v>
      </c>
      <c r="L222">
        <v>1.4313663050758514</v>
      </c>
      <c r="M222">
        <v>13.922975198373978</v>
      </c>
      <c r="N222">
        <v>2.1494333980870493</v>
      </c>
      <c r="O222">
        <v>8.0746096185261997</v>
      </c>
      <c r="P222">
        <v>7.9573342419042294</v>
      </c>
      <c r="R222">
        <v>9.9088288039463404</v>
      </c>
      <c r="S222">
        <v>33.155812176602915</v>
      </c>
      <c r="U222">
        <v>2.6629554195085299</v>
      </c>
      <c r="V222">
        <v>45.606717146654653</v>
      </c>
      <c r="W222">
        <v>24.758532591639664</v>
      </c>
      <c r="X222">
        <v>44.627885877605138</v>
      </c>
      <c r="Y222">
        <v>3.4193834017228708</v>
      </c>
      <c r="Z222">
        <v>25.075353702641056</v>
      </c>
      <c r="AA222">
        <v>0.26844729842714876</v>
      </c>
      <c r="AB222">
        <v>33.41973331621832</v>
      </c>
      <c r="AD222">
        <v>4.02028442089295</v>
      </c>
      <c r="AE222">
        <v>11.163479882320862</v>
      </c>
      <c r="AF222">
        <v>13.533089932860046</v>
      </c>
      <c r="AG222">
        <v>19.004864196058893</v>
      </c>
      <c r="AI222">
        <v>2.0839760941835181</v>
      </c>
      <c r="AK222">
        <v>36.925247115416603</v>
      </c>
    </row>
    <row r="223" spans="1:37" x14ac:dyDescent="0.2">
      <c r="A223">
        <v>222</v>
      </c>
      <c r="B223">
        <v>758</v>
      </c>
      <c r="C223">
        <v>160</v>
      </c>
      <c r="D223">
        <v>0.426068467245311</v>
      </c>
      <c r="E223">
        <v>134.54434709424541</v>
      </c>
      <c r="F223">
        <v>51.375343464521393</v>
      </c>
      <c r="G223">
        <v>70.607519537318481</v>
      </c>
      <c r="H223">
        <v>66.004916039154381</v>
      </c>
      <c r="J223">
        <v>29.135382475419085</v>
      </c>
      <c r="L223">
        <v>1.5374208828595948</v>
      </c>
      <c r="M223">
        <v>12.864806529514331</v>
      </c>
      <c r="N223">
        <v>2.1534476099709239</v>
      </c>
      <c r="O223">
        <v>7.9660735385029691</v>
      </c>
      <c r="P223">
        <v>8.3806313711040783</v>
      </c>
      <c r="R223">
        <v>9.2697241819242251</v>
      </c>
      <c r="S223">
        <v>33.191701692049442</v>
      </c>
      <c r="U223">
        <v>2.713407672779129</v>
      </c>
      <c r="V223">
        <v>46.698512175069034</v>
      </c>
      <c r="W223">
        <v>23.480714098916735</v>
      </c>
      <c r="X223">
        <v>44.851570261165818</v>
      </c>
      <c r="Y223">
        <v>3.4988705856745144</v>
      </c>
      <c r="Z223">
        <v>20.732363060133043</v>
      </c>
      <c r="AB223">
        <v>31.235898103448868</v>
      </c>
      <c r="AD223">
        <v>1.9335496658772415</v>
      </c>
      <c r="AE223">
        <v>8.4880221105367042</v>
      </c>
      <c r="AF223">
        <v>12.472718090954864</v>
      </c>
      <c r="AG223">
        <v>16.791402907843302</v>
      </c>
      <c r="AI223">
        <v>2.087430609952305</v>
      </c>
      <c r="AK223">
        <v>30.694444458387029</v>
      </c>
    </row>
    <row r="224" spans="1:37" x14ac:dyDescent="0.2">
      <c r="A224">
        <v>223</v>
      </c>
      <c r="B224">
        <v>756</v>
      </c>
      <c r="C224">
        <v>160</v>
      </c>
      <c r="D224">
        <v>0.424817082058009</v>
      </c>
      <c r="E224">
        <v>135.01076084294149</v>
      </c>
      <c r="F224">
        <v>51.756051644546147</v>
      </c>
      <c r="G224">
        <v>70.675066535505223</v>
      </c>
      <c r="H224">
        <v>66.067567827967679</v>
      </c>
      <c r="J224">
        <v>25.093763080904989</v>
      </c>
      <c r="L224">
        <v>1.5729716476148679</v>
      </c>
      <c r="M224">
        <v>11.99584593357781</v>
      </c>
      <c r="N224">
        <v>2.1574493708149389</v>
      </c>
      <c r="O224">
        <v>7.7366010620781172</v>
      </c>
      <c r="P224">
        <v>8.5626081016943143</v>
      </c>
      <c r="R224">
        <v>8.6717328202532737</v>
      </c>
      <c r="S224">
        <v>33.63230488295396</v>
      </c>
      <c r="U224">
        <v>2.6945223056610605</v>
      </c>
      <c r="V224">
        <v>47.776096696027025</v>
      </c>
      <c r="W224">
        <v>22.433382665092822</v>
      </c>
      <c r="X224">
        <v>44.876947089236452</v>
      </c>
      <c r="Y224">
        <v>3.4778019365395982</v>
      </c>
      <c r="Z224">
        <v>18.99674747986235</v>
      </c>
      <c r="AB224">
        <v>30.863382075150337</v>
      </c>
      <c r="AD224">
        <v>1.0656552848421865</v>
      </c>
      <c r="AE224">
        <v>7.4375801745135215</v>
      </c>
      <c r="AF224">
        <v>11.601543124146215</v>
      </c>
      <c r="AG224">
        <v>16.389258391231831</v>
      </c>
      <c r="AI224">
        <v>2.0908693657768751</v>
      </c>
      <c r="AK224">
        <v>27.822577355501419</v>
      </c>
    </row>
    <row r="225" spans="1:37" x14ac:dyDescent="0.2">
      <c r="A225">
        <v>224</v>
      </c>
      <c r="B225">
        <v>754</v>
      </c>
      <c r="C225">
        <v>160</v>
      </c>
      <c r="D225">
        <v>0.42356082363822201</v>
      </c>
      <c r="E225">
        <v>135.35795849177222</v>
      </c>
      <c r="F225">
        <v>52.207029644844525</v>
      </c>
      <c r="G225">
        <v>70.703637983174758</v>
      </c>
      <c r="H225">
        <v>66.091296233960662</v>
      </c>
      <c r="J225">
        <v>22.647866282117292</v>
      </c>
      <c r="L225">
        <v>1.60004185907984</v>
      </c>
      <c r="M225">
        <v>11.257532132078255</v>
      </c>
      <c r="N225">
        <v>2.1614435614158625</v>
      </c>
      <c r="O225">
        <v>7.5478449323112669</v>
      </c>
      <c r="P225">
        <v>8.6666570965882368</v>
      </c>
      <c r="R225">
        <v>8.1403082095068946</v>
      </c>
      <c r="S225">
        <v>34.097234208395037</v>
      </c>
      <c r="U225">
        <v>2.6605756695700356</v>
      </c>
      <c r="V225">
        <v>48.715035879418053</v>
      </c>
      <c r="W225">
        <v>21.525354547255322</v>
      </c>
      <c r="X225">
        <v>44.860024941240262</v>
      </c>
      <c r="Y225">
        <v>3.4465210044817653</v>
      </c>
      <c r="Z225">
        <v>17.963761039154072</v>
      </c>
      <c r="AB225">
        <v>30.862075550378371</v>
      </c>
      <c r="AD225">
        <v>0.53499434859208261</v>
      </c>
      <c r="AE225">
        <v>6.812754500705644</v>
      </c>
      <c r="AF225">
        <v>10.861008679480669</v>
      </c>
      <c r="AG225">
        <v>16.358325893309264</v>
      </c>
      <c r="AI225">
        <v>2.0942972277464338</v>
      </c>
      <c r="AK225">
        <v>26.032516533945874</v>
      </c>
    </row>
    <row r="226" spans="1:37" x14ac:dyDescent="0.2">
      <c r="A226">
        <v>225</v>
      </c>
      <c r="B226">
        <v>752</v>
      </c>
      <c r="C226">
        <v>160</v>
      </c>
      <c r="D226">
        <v>0.42229966346388498</v>
      </c>
      <c r="E226">
        <v>135.63791685672223</v>
      </c>
      <c r="F226">
        <v>52.648156475824472</v>
      </c>
      <c r="G226">
        <v>70.714136406458337</v>
      </c>
      <c r="H226">
        <v>66.097003950134734</v>
      </c>
      <c r="J226">
        <v>20.944378741240943</v>
      </c>
      <c r="L226">
        <v>1.6223724848132806</v>
      </c>
      <c r="M226">
        <v>10.606192488533965</v>
      </c>
      <c r="N226">
        <v>2.1654327640522628</v>
      </c>
      <c r="O226">
        <v>7.3773644862628984</v>
      </c>
      <c r="P226">
        <v>8.7345861724053666</v>
      </c>
      <c r="R226">
        <v>7.6566779816771398</v>
      </c>
      <c r="S226">
        <v>34.535222087854393</v>
      </c>
      <c r="U226">
        <v>2.6206819954293485</v>
      </c>
      <c r="V226">
        <v>49.545620519715101</v>
      </c>
      <c r="W226">
        <v>20.707633960085865</v>
      </c>
      <c r="X226">
        <v>44.826984393381643</v>
      </c>
      <c r="Y226">
        <v>3.4141608169136735</v>
      </c>
      <c r="Z226">
        <v>17.227929222723812</v>
      </c>
      <c r="AB226">
        <v>30.981408490313989</v>
      </c>
      <c r="AD226">
        <v>0.14961009850403903</v>
      </c>
      <c r="AE226">
        <v>6.3667574735295611</v>
      </c>
      <c r="AF226">
        <v>10.207444747693275</v>
      </c>
      <c r="AG226">
        <v>16.448038005068028</v>
      </c>
      <c r="AI226">
        <v>2.0977167634274467</v>
      </c>
      <c r="AK226">
        <v>24.756646831167124</v>
      </c>
    </row>
    <row r="227" spans="1:37" x14ac:dyDescent="0.2">
      <c r="A227">
        <v>226</v>
      </c>
      <c r="B227">
        <v>750</v>
      </c>
      <c r="C227">
        <v>160</v>
      </c>
      <c r="D227">
        <v>0.42103357278991599</v>
      </c>
      <c r="E227">
        <v>135.82902979336507</v>
      </c>
      <c r="F227">
        <v>53.3696760244625</v>
      </c>
      <c r="G227">
        <v>70.657275580032163</v>
      </c>
      <c r="H227">
        <v>66.035404918690105</v>
      </c>
      <c r="J227">
        <v>19.593790124081163</v>
      </c>
      <c r="L227">
        <v>1.6379318923567516</v>
      </c>
      <c r="M227">
        <v>9.9935868200143361</v>
      </c>
      <c r="N227">
        <v>2.1694162261395973</v>
      </c>
      <c r="O227">
        <v>7.3163958516783136</v>
      </c>
      <c r="P227">
        <v>8.6678223090039008</v>
      </c>
      <c r="R227">
        <v>7.1381118164089576</v>
      </c>
      <c r="S227">
        <v>35.010833130036779</v>
      </c>
      <c r="U227">
        <v>2.5783546828798065</v>
      </c>
      <c r="V227">
        <v>50.318350523160241</v>
      </c>
      <c r="W227">
        <v>19.930011682938201</v>
      </c>
      <c r="X227">
        <v>44.787923434721932</v>
      </c>
      <c r="Y227">
        <v>3.3484111820860019</v>
      </c>
      <c r="Z227">
        <v>17.615018826997286</v>
      </c>
      <c r="AB227">
        <v>31.733254513647246</v>
      </c>
      <c r="AE227">
        <v>6.5809051971529957</v>
      </c>
      <c r="AF227">
        <v>9.5926104384103237</v>
      </c>
      <c r="AG227">
        <v>17.170267640447772</v>
      </c>
      <c r="AI227">
        <v>2.1011272055208243</v>
      </c>
      <c r="AK227">
        <v>23.725109549253443</v>
      </c>
    </row>
    <row r="228" spans="1:37" x14ac:dyDescent="0.2">
      <c r="A228">
        <v>227</v>
      </c>
      <c r="B228">
        <v>748</v>
      </c>
      <c r="C228">
        <v>160</v>
      </c>
      <c r="D228">
        <v>0.41976252264603803</v>
      </c>
      <c r="E228">
        <v>136.00677061733128</v>
      </c>
      <c r="F228">
        <v>53.929309414290756</v>
      </c>
      <c r="G228">
        <v>70.618559210377427</v>
      </c>
      <c r="H228">
        <v>65.992003014284791</v>
      </c>
      <c r="J228">
        <v>18.551728270175051</v>
      </c>
      <c r="L228">
        <v>1.6531989905959454</v>
      </c>
      <c r="M228">
        <v>9.439978634177054</v>
      </c>
      <c r="N228">
        <v>2.1733979367088216</v>
      </c>
      <c r="O228">
        <v>7.2217187182926184</v>
      </c>
      <c r="P228">
        <v>8.6373770924862594</v>
      </c>
      <c r="R228">
        <v>6.6803391116366768</v>
      </c>
      <c r="S228">
        <v>35.428443120823154</v>
      </c>
      <c r="U228">
        <v>2.5336959349086179</v>
      </c>
      <c r="V228">
        <v>51.014577845349699</v>
      </c>
      <c r="W228">
        <v>19.212612613080999</v>
      </c>
      <c r="X228">
        <v>44.743112494813722</v>
      </c>
      <c r="Y228">
        <v>3.300334651316879</v>
      </c>
      <c r="Z228">
        <v>17.677797486671889</v>
      </c>
      <c r="AB228">
        <v>32.246840504202602</v>
      </c>
      <c r="AE228">
        <v>6.6054528118033327</v>
      </c>
      <c r="AF228">
        <v>9.036773293665501</v>
      </c>
      <c r="AG228">
        <v>17.654245720443843</v>
      </c>
      <c r="AI228">
        <v>2.1045325283392491</v>
      </c>
      <c r="AK228">
        <v>22.915331779627333</v>
      </c>
    </row>
    <row r="229" spans="1:37" x14ac:dyDescent="0.2">
      <c r="A229">
        <v>228</v>
      </c>
      <c r="B229">
        <v>746</v>
      </c>
      <c r="C229">
        <v>160</v>
      </c>
      <c r="D229">
        <v>0.41848648383456999</v>
      </c>
      <c r="E229">
        <v>136.16342217872062</v>
      </c>
      <c r="F229">
        <v>54.44219148670922</v>
      </c>
      <c r="G229">
        <v>70.579561870356827</v>
      </c>
      <c r="H229">
        <v>65.948372978618181</v>
      </c>
      <c r="J229">
        <v>17.702373757247695</v>
      </c>
      <c r="L229">
        <v>1.6673109863366189</v>
      </c>
      <c r="M229">
        <v>8.92585725150564</v>
      </c>
      <c r="N229">
        <v>2.1773775032000207</v>
      </c>
      <c r="O229">
        <v>7.1260562334207469</v>
      </c>
      <c r="P229">
        <v>8.6063994611592829</v>
      </c>
      <c r="R229">
        <v>6.2515345950046113</v>
      </c>
      <c r="S229">
        <v>35.816254362035039</v>
      </c>
      <c r="U229">
        <v>2.4876473699818686</v>
      </c>
      <c r="V229">
        <v>51.656740992654463</v>
      </c>
      <c r="W229">
        <v>18.53541021800693</v>
      </c>
      <c r="X229">
        <v>44.69525546235959</v>
      </c>
      <c r="Y229">
        <v>3.2570476520794562</v>
      </c>
      <c r="Z229">
        <v>17.733377464099345</v>
      </c>
      <c r="AB229">
        <v>32.722887481167987</v>
      </c>
      <c r="AE229">
        <v>6.6262462689245716</v>
      </c>
      <c r="AF229">
        <v>8.5204222869317761</v>
      </c>
      <c r="AG229">
        <v>18.100692920135163</v>
      </c>
      <c r="AI229">
        <v>2.1079323246017387</v>
      </c>
      <c r="AK229">
        <v>22.245142788344271</v>
      </c>
    </row>
    <row r="230" spans="1:37" x14ac:dyDescent="0.2">
      <c r="A230">
        <v>229</v>
      </c>
      <c r="B230">
        <v>744</v>
      </c>
      <c r="C230">
        <v>160</v>
      </c>
      <c r="D230">
        <v>0.41720542692818402</v>
      </c>
      <c r="E230">
        <v>136.30328552810596</v>
      </c>
      <c r="F230">
        <v>54.917932251642384</v>
      </c>
      <c r="G230">
        <v>70.540361884909487</v>
      </c>
      <c r="H230">
        <v>65.904593306128206</v>
      </c>
      <c r="J230">
        <v>16.992265443656361</v>
      </c>
      <c r="L230">
        <v>1.6804700286724801</v>
      </c>
      <c r="M230">
        <v>8.4435368250704261</v>
      </c>
      <c r="N230">
        <v>2.1813551717858486</v>
      </c>
      <c r="O230">
        <v>7.0300425104099071</v>
      </c>
      <c r="P230">
        <v>8.5750464972432781</v>
      </c>
      <c r="R230">
        <v>5.846178236553393</v>
      </c>
      <c r="S230">
        <v>36.17900509204366</v>
      </c>
      <c r="U230">
        <v>2.4405853465270413</v>
      </c>
      <c r="V230">
        <v>52.254642835263191</v>
      </c>
      <c r="W230">
        <v>17.890508264124218</v>
      </c>
      <c r="X230">
        <v>44.645428531864411</v>
      </c>
      <c r="Y230">
        <v>3.2176001364772064</v>
      </c>
      <c r="Z230">
        <v>17.783260543518097</v>
      </c>
      <c r="AB230">
        <v>33.168005942405742</v>
      </c>
      <c r="AE230">
        <v>6.6440577520693314</v>
      </c>
      <c r="AF230">
        <v>8.0358718632074257</v>
      </c>
      <c r="AG230">
        <v>18.516220032315996</v>
      </c>
      <c r="AI230">
        <v>2.1113268257590665</v>
      </c>
      <c r="AK230">
        <v>21.676956063172991</v>
      </c>
    </row>
    <row r="231" spans="1:37" x14ac:dyDescent="0.2">
      <c r="A231">
        <v>230</v>
      </c>
      <c r="B231">
        <v>776</v>
      </c>
      <c r="C231">
        <v>150</v>
      </c>
      <c r="D231">
        <v>0.447600915026452</v>
      </c>
      <c r="E231">
        <v>129.59840117915829</v>
      </c>
      <c r="F231">
        <v>59.097145227569804</v>
      </c>
      <c r="G231">
        <v>71.701770574501808</v>
      </c>
      <c r="H231">
        <v>67.145173156669458</v>
      </c>
      <c r="J231">
        <v>43.717969268966989</v>
      </c>
      <c r="L231">
        <v>4.4465773924849312</v>
      </c>
      <c r="M231">
        <v>14.309731708715535</v>
      </c>
      <c r="N231">
        <v>2.1866920307186515</v>
      </c>
      <c r="O231">
        <v>22.685521303861666</v>
      </c>
      <c r="P231">
        <v>10.16140895131128</v>
      </c>
      <c r="Q231">
        <v>2.469285983098746E-2</v>
      </c>
      <c r="R231">
        <v>14.259156425005566</v>
      </c>
      <c r="S231">
        <v>40.047946903669413</v>
      </c>
      <c r="U231">
        <v>3.1394603233097489</v>
      </c>
      <c r="V231">
        <v>45.39405288943103</v>
      </c>
      <c r="W231">
        <v>28.112525288200057</v>
      </c>
      <c r="X231">
        <v>44.496767800437766</v>
      </c>
      <c r="Y231">
        <v>6.2085055598176391</v>
      </c>
      <c r="Z231">
        <v>30.654097658295886</v>
      </c>
      <c r="AA231">
        <v>3.5427995397109115</v>
      </c>
      <c r="AB231">
        <v>35.47962839269762</v>
      </c>
      <c r="AC231">
        <v>0.10534464337721808</v>
      </c>
      <c r="AD231">
        <v>7.1983542981806554</v>
      </c>
      <c r="AE231">
        <v>13.872561163845706</v>
      </c>
      <c r="AF231">
        <v>14.03775954644914</v>
      </c>
      <c r="AG231">
        <v>21.414425005507237</v>
      </c>
      <c r="AH231">
        <v>3.8481465863871871</v>
      </c>
      <c r="AI231">
        <v>2.1244059018522816</v>
      </c>
      <c r="AK231">
        <v>40.257577472275237</v>
      </c>
    </row>
    <row r="232" spans="1:37" x14ac:dyDescent="0.2">
      <c r="A232">
        <v>231</v>
      </c>
      <c r="B232">
        <v>774</v>
      </c>
      <c r="C232">
        <v>150</v>
      </c>
      <c r="D232">
        <v>0.44641216635630598</v>
      </c>
      <c r="E232">
        <v>129.39351558271881</v>
      </c>
      <c r="F232">
        <v>58.330068633248274</v>
      </c>
      <c r="G232">
        <v>71.565772060558771</v>
      </c>
      <c r="H232">
        <v>67.003809160244757</v>
      </c>
      <c r="J232">
        <v>43.668508218457454</v>
      </c>
      <c r="L232">
        <v>4.2459075432409668</v>
      </c>
      <c r="M232">
        <v>14.306725181666765</v>
      </c>
      <c r="N232">
        <v>2.1596413641031562</v>
      </c>
      <c r="O232">
        <v>21.721686791157886</v>
      </c>
      <c r="P232">
        <v>9.9049642249345133</v>
      </c>
      <c r="R232">
        <v>13.949673102921643</v>
      </c>
      <c r="S232">
        <v>39.736307367619055</v>
      </c>
      <c r="U232">
        <v>3.0878416166212781</v>
      </c>
      <c r="V232">
        <v>45.424926418321434</v>
      </c>
      <c r="W232">
        <v>27.859373934043973</v>
      </c>
      <c r="X232">
        <v>44.457369331579358</v>
      </c>
      <c r="Y232">
        <v>5.9964943246634643</v>
      </c>
      <c r="Z232">
        <v>30.233642691226862</v>
      </c>
      <c r="AA232">
        <v>3.331436245697085</v>
      </c>
      <c r="AB232">
        <v>35.395657191941588</v>
      </c>
      <c r="AC232">
        <v>7.4319375757683409E-2</v>
      </c>
      <c r="AD232">
        <v>6.9660840784238891</v>
      </c>
      <c r="AE232">
        <v>13.689981112074577</v>
      </c>
      <c r="AF232">
        <v>14.001473633652049</v>
      </c>
      <c r="AG232">
        <v>21.269710516781831</v>
      </c>
      <c r="AH232">
        <v>3.5555769118636373</v>
      </c>
      <c r="AI232">
        <v>2.0968223837505526</v>
      </c>
      <c r="AK232">
        <v>40.242170033233357</v>
      </c>
    </row>
    <row r="233" spans="1:37" x14ac:dyDescent="0.2">
      <c r="A233">
        <v>232</v>
      </c>
      <c r="B233">
        <v>772</v>
      </c>
      <c r="C233">
        <v>150</v>
      </c>
      <c r="D233">
        <v>0.44521886810505501</v>
      </c>
      <c r="E233">
        <v>129.18847314298947</v>
      </c>
      <c r="F233">
        <v>57.516442743444756</v>
      </c>
      <c r="G233">
        <v>71.419929515106134</v>
      </c>
      <c r="H233">
        <v>66.852651830637825</v>
      </c>
      <c r="J233">
        <v>43.625896346427645</v>
      </c>
      <c r="L233">
        <v>4.0248872596447072</v>
      </c>
      <c r="M233">
        <v>14.330892633219809</v>
      </c>
      <c r="N233">
        <v>2.1282755209648365</v>
      </c>
      <c r="O233">
        <v>20.674087796319892</v>
      </c>
      <c r="P233">
        <v>9.6245455951697281</v>
      </c>
      <c r="R233">
        <v>13.644517126946578</v>
      </c>
      <c r="S233">
        <v>39.519263411791329</v>
      </c>
      <c r="U233">
        <v>3.0589772082745399</v>
      </c>
      <c r="V233">
        <v>45.505572276958148</v>
      </c>
      <c r="W233">
        <v>27.631781214431676</v>
      </c>
      <c r="X233">
        <v>44.493262971648875</v>
      </c>
      <c r="Y233">
        <v>5.7627752037541438</v>
      </c>
      <c r="Z233">
        <v>29.786503726031032</v>
      </c>
      <c r="AA233">
        <v>3.0988365971398015</v>
      </c>
      <c r="AB233">
        <v>35.348994563315138</v>
      </c>
      <c r="AC233">
        <v>3.8979534106290785E-2</v>
      </c>
      <c r="AD233">
        <v>6.717275458018106</v>
      </c>
      <c r="AE233">
        <v>13.499302519821565</v>
      </c>
      <c r="AF233">
        <v>13.988047435088973</v>
      </c>
      <c r="AG233">
        <v>21.157999094546589</v>
      </c>
      <c r="AH233">
        <v>3.2361533004200362</v>
      </c>
      <c r="AI233">
        <v>2.0649204976717792</v>
      </c>
      <c r="AK233">
        <v>40.216042578180442</v>
      </c>
    </row>
    <row r="234" spans="1:37" x14ac:dyDescent="0.2">
      <c r="A234">
        <v>233</v>
      </c>
      <c r="B234">
        <v>770</v>
      </c>
      <c r="C234">
        <v>150</v>
      </c>
      <c r="D234">
        <v>0.44402099410439499</v>
      </c>
      <c r="E234">
        <v>128.98519883431393</v>
      </c>
      <c r="F234">
        <v>56.707158110732621</v>
      </c>
      <c r="G234">
        <v>71.274136144770324</v>
      </c>
      <c r="H234">
        <v>66.701594535652561</v>
      </c>
      <c r="J234">
        <v>43.581607135640574</v>
      </c>
      <c r="L234">
        <v>3.8030313457841696</v>
      </c>
      <c r="M234">
        <v>14.355653907801816</v>
      </c>
      <c r="N234">
        <v>2.0968379029985016</v>
      </c>
      <c r="O234">
        <v>19.627246603297998</v>
      </c>
      <c r="P234">
        <v>9.3441830502422434</v>
      </c>
      <c r="R234">
        <v>13.336444800596244</v>
      </c>
      <c r="S234">
        <v>39.293397871616065</v>
      </c>
      <c r="U234">
        <v>3.0317953602053893</v>
      </c>
      <c r="V234">
        <v>45.581983777243927</v>
      </c>
      <c r="W234">
        <v>27.40635024452558</v>
      </c>
      <c r="X234">
        <v>44.534919908866321</v>
      </c>
      <c r="Y234">
        <v>5.5288766485192218</v>
      </c>
      <c r="Z234">
        <v>29.340654338640331</v>
      </c>
      <c r="AA234">
        <v>2.8659540814707363</v>
      </c>
      <c r="AB234">
        <v>35.297336049977297</v>
      </c>
      <c r="AC234">
        <v>3.5685166058329935E-3</v>
      </c>
      <c r="AD234">
        <v>6.4685134539830855</v>
      </c>
      <c r="AE234">
        <v>13.309399331540339</v>
      </c>
      <c r="AF234">
        <v>13.975144240030742</v>
      </c>
      <c r="AG234">
        <v>21.04122972856025</v>
      </c>
      <c r="AH234">
        <v>2.9164365513783799</v>
      </c>
      <c r="AI234">
        <v>2.0329436306544313</v>
      </c>
      <c r="AK234">
        <v>40.190570547375948</v>
      </c>
    </row>
    <row r="235" spans="1:37" x14ac:dyDescent="0.2">
      <c r="A235">
        <v>234</v>
      </c>
      <c r="B235">
        <v>768</v>
      </c>
      <c r="C235">
        <v>150</v>
      </c>
      <c r="D235">
        <v>0.442818517984921</v>
      </c>
      <c r="E235">
        <v>128.62840010582704</v>
      </c>
      <c r="F235">
        <v>55.092452368786965</v>
      </c>
      <c r="G235">
        <v>70.989478896221172</v>
      </c>
      <c r="H235">
        <v>66.411724383756081</v>
      </c>
      <c r="J235">
        <v>43.291529746850166</v>
      </c>
      <c r="L235">
        <v>3.3678446225335827</v>
      </c>
      <c r="M235">
        <v>14.356444934719798</v>
      </c>
      <c r="N235">
        <v>2.0969283299769139</v>
      </c>
      <c r="O235">
        <v>17.816205866983623</v>
      </c>
      <c r="P235">
        <v>8.8176504774943716</v>
      </c>
      <c r="R235">
        <v>12.729465059950297</v>
      </c>
      <c r="S235">
        <v>38.682686903384401</v>
      </c>
      <c r="U235">
        <v>2.9760394195225732</v>
      </c>
      <c r="V235">
        <v>45.649956934525704</v>
      </c>
      <c r="W235">
        <v>26.977530265489939</v>
      </c>
      <c r="X235">
        <v>44.462634633576549</v>
      </c>
      <c r="Y235">
        <v>5.0417538346700841</v>
      </c>
      <c r="Z235">
        <v>28.468293697990326</v>
      </c>
      <c r="AA235">
        <v>2.4136644615573823</v>
      </c>
      <c r="AB235">
        <v>35.160205237309988</v>
      </c>
      <c r="AD235">
        <v>5.9457555548012131</v>
      </c>
      <c r="AE235">
        <v>12.974633565293628</v>
      </c>
      <c r="AF235">
        <v>13.969799840903329</v>
      </c>
      <c r="AG235">
        <v>20.870525869167697</v>
      </c>
      <c r="AH235">
        <v>2.1912818524556537</v>
      </c>
      <c r="AI235">
        <v>2.0324915878072476</v>
      </c>
      <c r="AK235">
        <v>39.981298101323787</v>
      </c>
    </row>
    <row r="236" spans="1:37" x14ac:dyDescent="0.2">
      <c r="A236">
        <v>235</v>
      </c>
      <c r="B236">
        <v>766</v>
      </c>
      <c r="C236">
        <v>150</v>
      </c>
      <c r="D236">
        <v>0.44161141317423203</v>
      </c>
      <c r="E236">
        <v>128.25242950864686</v>
      </c>
      <c r="F236">
        <v>53.343819415969008</v>
      </c>
      <c r="G236">
        <v>70.678647383055477</v>
      </c>
      <c r="H236">
        <v>66.095731150962706</v>
      </c>
      <c r="J236">
        <v>42.938617083445251</v>
      </c>
      <c r="L236">
        <v>2.8876628439076741</v>
      </c>
      <c r="M236">
        <v>14.356794797194977</v>
      </c>
      <c r="N236">
        <v>2.1008854961595955</v>
      </c>
      <c r="O236">
        <v>15.855403867986707</v>
      </c>
      <c r="P236">
        <v>8.2426659735651366</v>
      </c>
      <c r="R236">
        <v>12.051079642573173</v>
      </c>
      <c r="S236">
        <v>37.946780034028784</v>
      </c>
      <c r="U236">
        <v>2.9265025660241304</v>
      </c>
      <c r="V236">
        <v>45.694460220422393</v>
      </c>
      <c r="W236">
        <v>26.52985381456854</v>
      </c>
      <c r="X236">
        <v>44.405366872258007</v>
      </c>
      <c r="Y236">
        <v>4.5058896156411894</v>
      </c>
      <c r="Z236">
        <v>27.519565552141451</v>
      </c>
      <c r="AA236">
        <v>1.9176065232176771</v>
      </c>
      <c r="AB236">
        <v>34.976586711032155</v>
      </c>
      <c r="AD236">
        <v>5.3722813933695273</v>
      </c>
      <c r="AE236">
        <v>12.615047548513283</v>
      </c>
      <c r="AF236">
        <v>13.967882058726575</v>
      </c>
      <c r="AG236">
        <v>20.657210841821101</v>
      </c>
      <c r="AH236">
        <v>1.388924071124418</v>
      </c>
      <c r="AI236">
        <v>2.0359030487176959</v>
      </c>
      <c r="AK236">
        <v>39.737209855931013</v>
      </c>
    </row>
    <row r="237" spans="1:37" x14ac:dyDescent="0.2">
      <c r="A237">
        <v>236</v>
      </c>
      <c r="B237">
        <v>764</v>
      </c>
      <c r="C237">
        <v>150</v>
      </c>
      <c r="D237">
        <v>0.44039965289495597</v>
      </c>
      <c r="E237">
        <v>127.8733928347654</v>
      </c>
      <c r="F237">
        <v>51.528182402521772</v>
      </c>
      <c r="G237">
        <v>70.352987211027255</v>
      </c>
      <c r="H237">
        <v>65.764960606069849</v>
      </c>
      <c r="J237">
        <v>42.530839391544461</v>
      </c>
      <c r="L237">
        <v>2.3775790409142101</v>
      </c>
      <c r="M237">
        <v>14.359216020565334</v>
      </c>
      <c r="N237">
        <v>2.1048400436581938</v>
      </c>
      <c r="O237">
        <v>13.800475353124222</v>
      </c>
      <c r="P237">
        <v>7.6380515682295487</v>
      </c>
      <c r="R237">
        <v>11.319530055733443</v>
      </c>
      <c r="S237">
        <v>37.087980983765448</v>
      </c>
      <c r="U237">
        <v>2.8893793659139706</v>
      </c>
      <c r="V237">
        <v>45.705845537020082</v>
      </c>
      <c r="W237">
        <v>26.088574626306126</v>
      </c>
      <c r="X237">
        <v>44.385048584736488</v>
      </c>
      <c r="Y237">
        <v>3.9410525981808338</v>
      </c>
      <c r="Z237">
        <v>26.523758758618818</v>
      </c>
      <c r="AA237">
        <v>1.393684704633517</v>
      </c>
      <c r="AB237">
        <v>34.734971177589685</v>
      </c>
      <c r="AD237">
        <v>4.7677701484406558</v>
      </c>
      <c r="AE237">
        <v>12.239054504946461</v>
      </c>
      <c r="AF237">
        <v>13.968034104689904</v>
      </c>
      <c r="AG237">
        <v>20.385906040839675</v>
      </c>
      <c r="AH237">
        <v>0.54177843835492467</v>
      </c>
      <c r="AI237">
        <v>2.0393086408186134</v>
      </c>
      <c r="AK237">
        <v>39.470260194703144</v>
      </c>
    </row>
    <row r="238" spans="1:37" x14ac:dyDescent="0.2">
      <c r="A238">
        <v>237</v>
      </c>
      <c r="B238">
        <v>762</v>
      </c>
      <c r="C238">
        <v>150</v>
      </c>
      <c r="D238">
        <v>0.439183210162781</v>
      </c>
      <c r="E238">
        <v>128.53454242935047</v>
      </c>
      <c r="F238">
        <v>51.805917273524386</v>
      </c>
      <c r="G238">
        <v>70.61977931959666</v>
      </c>
      <c r="H238">
        <v>66.026693852210144</v>
      </c>
      <c r="J238">
        <v>33.864549749130241</v>
      </c>
      <c r="L238">
        <v>1.4912801526809307</v>
      </c>
      <c r="M238">
        <v>13.72057738752229</v>
      </c>
      <c r="N238">
        <v>2.1088472263365081</v>
      </c>
      <c r="O238">
        <v>8.6025332651665494</v>
      </c>
      <c r="P238">
        <v>8.218424571396886</v>
      </c>
      <c r="R238">
        <v>10.034505569625505</v>
      </c>
      <c r="S238">
        <v>33.731105154087217</v>
      </c>
      <c r="U238">
        <v>2.979006840775746</v>
      </c>
      <c r="V238">
        <v>45.953178285221881</v>
      </c>
      <c r="W238">
        <v>25.112460279027289</v>
      </c>
      <c r="X238">
        <v>44.724672966399886</v>
      </c>
      <c r="Y238">
        <v>3.4647653306208275</v>
      </c>
      <c r="Z238">
        <v>23.314142764658996</v>
      </c>
      <c r="AB238">
        <v>32.502247003967945</v>
      </c>
      <c r="AD238">
        <v>3.1961264273923837</v>
      </c>
      <c r="AE238">
        <v>10.09857212057338</v>
      </c>
      <c r="AF238">
        <v>13.327180059283448</v>
      </c>
      <c r="AG238">
        <v>18.123555133122313</v>
      </c>
      <c r="AI238">
        <v>2.0427636032874257</v>
      </c>
      <c r="AK238">
        <v>33.77300964272969</v>
      </c>
    </row>
    <row r="239" spans="1:37" x14ac:dyDescent="0.2">
      <c r="A239">
        <v>238</v>
      </c>
      <c r="B239">
        <v>760</v>
      </c>
      <c r="C239">
        <v>150</v>
      </c>
      <c r="D239">
        <v>0.43796205778444602</v>
      </c>
      <c r="E239">
        <v>129.14244930053761</v>
      </c>
      <c r="F239">
        <v>51.910500661800086</v>
      </c>
      <c r="G239">
        <v>70.743684933551663</v>
      </c>
      <c r="H239">
        <v>66.145592278475476</v>
      </c>
      <c r="J239">
        <v>27.501551123520883</v>
      </c>
      <c r="L239">
        <v>1.5350469422639907</v>
      </c>
      <c r="M239">
        <v>12.75242957517745</v>
      </c>
      <c r="N239">
        <v>2.1128578916781278</v>
      </c>
      <c r="O239">
        <v>8.3130540195731335</v>
      </c>
      <c r="P239">
        <v>8.5130584582296418</v>
      </c>
      <c r="R239">
        <v>9.3824931133893195</v>
      </c>
      <c r="S239">
        <v>33.904788958522296</v>
      </c>
      <c r="U239">
        <v>2.9950983552927437</v>
      </c>
      <c r="V239">
        <v>47.041681122544716</v>
      </c>
      <c r="W239">
        <v>23.942702829210724</v>
      </c>
      <c r="X239">
        <v>44.850900060882957</v>
      </c>
      <c r="Y239">
        <v>3.4683499037273036</v>
      </c>
      <c r="Z239">
        <v>20.406113518057726</v>
      </c>
      <c r="AB239">
        <v>31.313223774140074</v>
      </c>
      <c r="AD239">
        <v>1.7770823057458645</v>
      </c>
      <c r="AE239">
        <v>8.3200493982911663</v>
      </c>
      <c r="AF239">
        <v>12.356821491237197</v>
      </c>
      <c r="AG239">
        <v>16.904918596467994</v>
      </c>
      <c r="AI239">
        <v>2.046218768915876</v>
      </c>
      <c r="AK239">
        <v>29.38389014972763</v>
      </c>
    </row>
    <row r="240" spans="1:37" x14ac:dyDescent="0.2">
      <c r="A240">
        <v>239</v>
      </c>
      <c r="B240">
        <v>758</v>
      </c>
      <c r="C240">
        <v>150</v>
      </c>
      <c r="D240">
        <v>0.43673616835572199</v>
      </c>
      <c r="E240">
        <v>129.55842658011491</v>
      </c>
      <c r="F240">
        <v>52.319866617193377</v>
      </c>
      <c r="G240">
        <v>70.794188226760795</v>
      </c>
      <c r="H240">
        <v>66.191140223676314</v>
      </c>
      <c r="J240">
        <v>24.184315436620906</v>
      </c>
      <c r="L240">
        <v>1.5662652821071279</v>
      </c>
      <c r="M240">
        <v>11.941541308355355</v>
      </c>
      <c r="N240">
        <v>2.1168588938623492</v>
      </c>
      <c r="O240">
        <v>8.0981985228272091</v>
      </c>
      <c r="P240">
        <v>8.6609086097366088</v>
      </c>
      <c r="R240">
        <v>8.8107677068809664</v>
      </c>
      <c r="S240">
        <v>34.330913458862163</v>
      </c>
      <c r="U240">
        <v>2.9715163620989982</v>
      </c>
      <c r="V240">
        <v>48.050323481528224</v>
      </c>
      <c r="W240">
        <v>22.95389301073644</v>
      </c>
      <c r="X240">
        <v>44.864083492831035</v>
      </c>
      <c r="Y240">
        <v>3.4406245782880327</v>
      </c>
      <c r="Z240">
        <v>18.971540718199108</v>
      </c>
      <c r="AB240">
        <v>31.085278954070368</v>
      </c>
      <c r="AD240">
        <v>1.0538120019748125</v>
      </c>
      <c r="AE240">
        <v>7.4503676484220298</v>
      </c>
      <c r="AF240">
        <v>11.543714023889432</v>
      </c>
      <c r="AG240">
        <v>16.647360797658155</v>
      </c>
      <c r="AI240">
        <v>2.0496609771854768</v>
      </c>
      <c r="AK240">
        <v>27.007722437553284</v>
      </c>
    </row>
    <row r="241" spans="1:37" x14ac:dyDescent="0.2">
      <c r="A241">
        <v>240</v>
      </c>
      <c r="B241">
        <v>756</v>
      </c>
      <c r="C241">
        <v>150</v>
      </c>
      <c r="D241">
        <v>0.43550551425934297</v>
      </c>
      <c r="E241">
        <v>129.87946240240396</v>
      </c>
      <c r="F241">
        <v>52.761289391196499</v>
      </c>
      <c r="G241">
        <v>70.815811498113433</v>
      </c>
      <c r="H241">
        <v>66.207860152280873</v>
      </c>
      <c r="J241">
        <v>22.04213297616667</v>
      </c>
      <c r="L241">
        <v>1.5909436965023416</v>
      </c>
      <c r="M241">
        <v>11.239626930786127</v>
      </c>
      <c r="N241">
        <v>2.1208536436468091</v>
      </c>
      <c r="O241">
        <v>7.9123548937873593</v>
      </c>
      <c r="P241">
        <v>8.7510232145347722</v>
      </c>
      <c r="R241">
        <v>8.297522019789195</v>
      </c>
      <c r="S241">
        <v>34.766917028491221</v>
      </c>
      <c r="U241">
        <v>2.9361713845382726</v>
      </c>
      <c r="V241">
        <v>48.939955562704476</v>
      </c>
      <c r="W241">
        <v>22.080872687461898</v>
      </c>
      <c r="X241">
        <v>44.84446198611618</v>
      </c>
      <c r="Y241">
        <v>3.4075372982161185</v>
      </c>
      <c r="Z241">
        <v>18.046028901033594</v>
      </c>
      <c r="AB241">
        <v>31.115731956377001</v>
      </c>
      <c r="AD241">
        <v>0.57592105955817241</v>
      </c>
      <c r="AE241">
        <v>6.889250887964514</v>
      </c>
      <c r="AF241">
        <v>10.839575456262947</v>
      </c>
      <c r="AG241">
        <v>16.648204606998306</v>
      </c>
      <c r="AI241">
        <v>2.0530936241511912</v>
      </c>
      <c r="AK241">
        <v>25.431500869441958</v>
      </c>
    </row>
    <row r="242" spans="1:37" x14ac:dyDescent="0.2">
      <c r="A242">
        <v>241</v>
      </c>
      <c r="B242">
        <v>754</v>
      </c>
      <c r="C242">
        <v>150</v>
      </c>
      <c r="D242">
        <v>0.43427006766295001</v>
      </c>
      <c r="E242">
        <v>130.14311619175416</v>
      </c>
      <c r="F242">
        <v>53.188004773581568</v>
      </c>
      <c r="G242">
        <v>70.822753232625999</v>
      </c>
      <c r="H242">
        <v>66.209950715531349</v>
      </c>
      <c r="J242">
        <v>20.498946435178222</v>
      </c>
      <c r="L242">
        <v>1.6117129543610209</v>
      </c>
      <c r="M242">
        <v>10.613190080209227</v>
      </c>
      <c r="N242">
        <v>2.1248440079426949</v>
      </c>
      <c r="O242">
        <v>7.7409814199584828</v>
      </c>
      <c r="P242">
        <v>8.8118012906512515</v>
      </c>
      <c r="R242">
        <v>7.8270773232592061</v>
      </c>
      <c r="S242">
        <v>35.179231763839418</v>
      </c>
      <c r="U242">
        <v>2.8955816024205441</v>
      </c>
      <c r="V242">
        <v>49.735569428360144</v>
      </c>
      <c r="W242">
        <v>21.286289115964724</v>
      </c>
      <c r="X242">
        <v>44.810763528511778</v>
      </c>
      <c r="Y242">
        <v>3.3744859049567775</v>
      </c>
      <c r="Z242">
        <v>17.359453223746257</v>
      </c>
      <c r="AB242">
        <v>31.239849336052387</v>
      </c>
      <c r="AD242">
        <v>0.21525159572371022</v>
      </c>
      <c r="AE242">
        <v>6.4722166197474698</v>
      </c>
      <c r="AF242">
        <v>10.210911337744353</v>
      </c>
      <c r="AG242">
        <v>16.742718493623951</v>
      </c>
      <c r="AI242">
        <v>2.0565185620161794</v>
      </c>
      <c r="AK242">
        <v>24.271270704246316</v>
      </c>
    </row>
    <row r="243" spans="1:37" x14ac:dyDescent="0.2">
      <c r="A243">
        <v>242</v>
      </c>
      <c r="B243">
        <v>752</v>
      </c>
      <c r="C243">
        <v>150</v>
      </c>
      <c r="D243">
        <v>0.43302980051699702</v>
      </c>
      <c r="E243">
        <v>130.3314193890152</v>
      </c>
      <c r="F243">
        <v>53.840694686817869</v>
      </c>
      <c r="G243">
        <v>70.774384721615931</v>
      </c>
      <c r="H243">
        <v>66.156783371615333</v>
      </c>
      <c r="J243">
        <v>19.257419852304128</v>
      </c>
      <c r="L243">
        <v>1.6269501473676247</v>
      </c>
      <c r="M243">
        <v>10.022760792175827</v>
      </c>
      <c r="N243">
        <v>2.1288293790084767</v>
      </c>
      <c r="O243">
        <v>7.6582090447772142</v>
      </c>
      <c r="P243">
        <v>8.7619849950654451</v>
      </c>
      <c r="R243">
        <v>7.3317252324358453</v>
      </c>
      <c r="S243">
        <v>35.62102184715939</v>
      </c>
      <c r="U243">
        <v>2.8526315933614863</v>
      </c>
      <c r="V243">
        <v>50.478504713077619</v>
      </c>
      <c r="W243">
        <v>20.529033998105035</v>
      </c>
      <c r="X243">
        <v>44.771280229057169</v>
      </c>
      <c r="Y243">
        <v>3.3156159931241813</v>
      </c>
      <c r="Z243">
        <v>17.594877548752976</v>
      </c>
      <c r="AB243">
        <v>31.881148059454354</v>
      </c>
      <c r="AE243">
        <v>6.5977709750068723</v>
      </c>
      <c r="AF243">
        <v>9.6182511410816982</v>
      </c>
      <c r="AG243">
        <v>17.354418863684462</v>
      </c>
      <c r="AI243">
        <v>2.0599351683273905</v>
      </c>
      <c r="AK243">
        <v>23.320471657809993</v>
      </c>
    </row>
    <row r="244" spans="1:37" x14ac:dyDescent="0.2">
      <c r="A244">
        <v>243</v>
      </c>
      <c r="B244">
        <v>750</v>
      </c>
      <c r="C244">
        <v>150</v>
      </c>
      <c r="D244">
        <v>0.43178468455260599</v>
      </c>
      <c r="E244">
        <v>130.50190619716611</v>
      </c>
      <c r="F244">
        <v>54.384108639244623</v>
      </c>
      <c r="G244">
        <v>70.73541904223363</v>
      </c>
      <c r="H244">
        <v>66.113071365205812</v>
      </c>
      <c r="J244">
        <v>18.277948798333295</v>
      </c>
      <c r="L244">
        <v>1.6414735695243472</v>
      </c>
      <c r="M244">
        <v>9.4830920492215576</v>
      </c>
      <c r="N244">
        <v>2.1328127896306928</v>
      </c>
      <c r="O244">
        <v>7.5573397831526812</v>
      </c>
      <c r="P244">
        <v>8.7310036979652708</v>
      </c>
      <c r="R244">
        <v>6.8829749157781031</v>
      </c>
      <c r="S244">
        <v>36.019369821637213</v>
      </c>
      <c r="U244">
        <v>2.8075178729116717</v>
      </c>
      <c r="V244">
        <v>51.155007036921369</v>
      </c>
      <c r="W244">
        <v>19.823683961735746</v>
      </c>
      <c r="X244">
        <v>44.726558478780014</v>
      </c>
      <c r="Y244">
        <v>3.2683191127185434</v>
      </c>
      <c r="Z244">
        <v>17.65574334782557</v>
      </c>
      <c r="AB244">
        <v>32.379234335390223</v>
      </c>
      <c r="AE244">
        <v>6.6214495062955079</v>
      </c>
      <c r="AF244">
        <v>9.0763509267381295</v>
      </c>
      <c r="AG244">
        <v>17.822915006607829</v>
      </c>
      <c r="AI244">
        <v>2.0633464611562324</v>
      </c>
      <c r="AK244">
        <v>22.558009976708526</v>
      </c>
    </row>
    <row r="245" spans="1:37" x14ac:dyDescent="0.2">
      <c r="A245">
        <v>244</v>
      </c>
      <c r="B245">
        <v>748</v>
      </c>
      <c r="C245">
        <v>150</v>
      </c>
      <c r="D245">
        <v>0.43053469127944</v>
      </c>
      <c r="E245">
        <v>130.65279726951852</v>
      </c>
      <c r="F245">
        <v>54.884085039054909</v>
      </c>
      <c r="G245">
        <v>70.696201809515372</v>
      </c>
      <c r="H245">
        <v>66.069160479517322</v>
      </c>
      <c r="J245">
        <v>17.471652329781065</v>
      </c>
      <c r="L245">
        <v>1.6548934608567543</v>
      </c>
      <c r="M245">
        <v>8.9799902165150698</v>
      </c>
      <c r="N245">
        <v>2.1367941589463295</v>
      </c>
      <c r="O245">
        <v>7.4557236760906367</v>
      </c>
      <c r="P245">
        <v>8.6995487326832919</v>
      </c>
      <c r="R245">
        <v>6.461242564123002</v>
      </c>
      <c r="S245">
        <v>36.390872008509575</v>
      </c>
      <c r="U245">
        <v>2.7610091038504732</v>
      </c>
      <c r="V245">
        <v>51.781612887014532</v>
      </c>
      <c r="W245">
        <v>19.155613812583148</v>
      </c>
      <c r="X245">
        <v>44.678803996640774</v>
      </c>
      <c r="Y245">
        <v>3.2255107627948791</v>
      </c>
      <c r="Z245">
        <v>17.70988024578082</v>
      </c>
      <c r="AB245">
        <v>32.842880261572617</v>
      </c>
      <c r="AE245">
        <v>6.6416123772601248</v>
      </c>
      <c r="AF245">
        <v>8.5710170243644441</v>
      </c>
      <c r="AG245">
        <v>18.256978987383714</v>
      </c>
      <c r="AI245">
        <v>2.0667523449215364</v>
      </c>
      <c r="AK245">
        <v>21.921161506273986</v>
      </c>
    </row>
    <row r="246" spans="1:37" x14ac:dyDescent="0.2">
      <c r="A246">
        <v>245</v>
      </c>
      <c r="B246">
        <v>782</v>
      </c>
      <c r="C246">
        <v>140</v>
      </c>
      <c r="D246">
        <v>0.46156518030611998</v>
      </c>
      <c r="E246">
        <v>124.2994774815827</v>
      </c>
      <c r="F246">
        <v>60.536494169451018</v>
      </c>
      <c r="G246">
        <v>72.003223558418966</v>
      </c>
      <c r="H246">
        <v>67.462680270725912</v>
      </c>
      <c r="J246">
        <v>43.757333154924126</v>
      </c>
      <c r="L246">
        <v>4.7755830700243713</v>
      </c>
      <c r="M246">
        <v>14.543581064971967</v>
      </c>
      <c r="N246">
        <v>2.1748030190232943</v>
      </c>
      <c r="O246">
        <v>24.837132902392337</v>
      </c>
      <c r="P246">
        <v>10.568411042421411</v>
      </c>
      <c r="Q246">
        <v>8.168524041768814E-2</v>
      </c>
      <c r="R246">
        <v>15.175118009864702</v>
      </c>
      <c r="S246">
        <v>41.790969199215724</v>
      </c>
      <c r="U246">
        <v>3.5194462623804732</v>
      </c>
      <c r="V246">
        <v>45.531026151477725</v>
      </c>
      <c r="W246">
        <v>29.445565705399137</v>
      </c>
      <c r="X246">
        <v>44.519300689587624</v>
      </c>
      <c r="Y246">
        <v>6.5229084592653992</v>
      </c>
      <c r="Z246">
        <v>31.627144144343301</v>
      </c>
      <c r="AA246">
        <v>3.9002127929848647</v>
      </c>
      <c r="AB246">
        <v>36.152342774011728</v>
      </c>
      <c r="AC246">
        <v>0.14203495829147644</v>
      </c>
      <c r="AD246">
        <v>7.7060702852369918</v>
      </c>
      <c r="AE246">
        <v>14.423030854010374</v>
      </c>
      <c r="AF246">
        <v>14.309297288092294</v>
      </c>
      <c r="AG246">
        <v>22.219232641516292</v>
      </c>
      <c r="AH246">
        <v>4.2369731801543402</v>
      </c>
      <c r="AI246">
        <v>2.1129143289127654</v>
      </c>
      <c r="AK246">
        <v>39.983915681914539</v>
      </c>
    </row>
    <row r="247" spans="1:37" x14ac:dyDescent="0.2">
      <c r="A247">
        <v>246</v>
      </c>
      <c r="B247">
        <v>780</v>
      </c>
      <c r="C247">
        <v>140</v>
      </c>
      <c r="D247">
        <v>0.46040972321132001</v>
      </c>
      <c r="E247">
        <v>124.09920529920041</v>
      </c>
      <c r="F247">
        <v>59.89372540846113</v>
      </c>
      <c r="G247">
        <v>71.891422241141257</v>
      </c>
      <c r="H247">
        <v>67.345354158090601</v>
      </c>
      <c r="J247">
        <v>43.684277427052528</v>
      </c>
      <c r="L247">
        <v>4.6233719067453896</v>
      </c>
      <c r="M247">
        <v>14.474835537986003</v>
      </c>
      <c r="N247">
        <v>2.1585099217783585</v>
      </c>
      <c r="O247">
        <v>24.079729057347418</v>
      </c>
      <c r="P247">
        <v>10.371023718460776</v>
      </c>
      <c r="R247">
        <v>14.848971015930971</v>
      </c>
      <c r="S247">
        <v>41.226157971072951</v>
      </c>
      <c r="U247">
        <v>3.4162108537197877</v>
      </c>
      <c r="V247">
        <v>45.430828536629264</v>
      </c>
      <c r="W247">
        <v>29.132452561509439</v>
      </c>
      <c r="X247">
        <v>44.308372802875688</v>
      </c>
      <c r="Y247">
        <v>6.3641571968329966</v>
      </c>
      <c r="Z247">
        <v>31.274560375392259</v>
      </c>
      <c r="AA247">
        <v>3.7411880820330188</v>
      </c>
      <c r="AB247">
        <v>35.965119565508857</v>
      </c>
      <c r="AC247">
        <v>0.12176369035001097</v>
      </c>
      <c r="AD247">
        <v>7.5157322136853502</v>
      </c>
      <c r="AE247">
        <v>14.261569505330293</v>
      </c>
      <c r="AF247">
        <v>14.218024541232008</v>
      </c>
      <c r="AG247">
        <v>21.982021274823506</v>
      </c>
      <c r="AH247">
        <v>4.0097662360353858</v>
      </c>
      <c r="AI247">
        <v>2.096098768898651</v>
      </c>
      <c r="AK247">
        <v>39.995300172706244</v>
      </c>
    </row>
    <row r="248" spans="1:37" x14ac:dyDescent="0.2">
      <c r="A248">
        <v>247</v>
      </c>
      <c r="B248">
        <v>778</v>
      </c>
      <c r="C248">
        <v>140</v>
      </c>
      <c r="D248">
        <v>0.45924986919088701</v>
      </c>
      <c r="E248">
        <v>123.89429434619369</v>
      </c>
      <c r="F248">
        <v>59.081821211951038</v>
      </c>
      <c r="G248">
        <v>71.746162531569439</v>
      </c>
      <c r="H248">
        <v>67.194619875414602</v>
      </c>
      <c r="J248">
        <v>43.64062380516814</v>
      </c>
      <c r="L248">
        <v>4.4046070448898575</v>
      </c>
      <c r="M248">
        <v>14.497541947561418</v>
      </c>
      <c r="N248">
        <v>2.1276014482888899</v>
      </c>
      <c r="O248">
        <v>23.03509916524672</v>
      </c>
      <c r="P248">
        <v>10.092133050399241</v>
      </c>
      <c r="R248">
        <v>14.546338694242969</v>
      </c>
      <c r="S248">
        <v>41.008701124547706</v>
      </c>
      <c r="U248">
        <v>3.3864752501353421</v>
      </c>
      <c r="V248">
        <v>45.512097270627329</v>
      </c>
      <c r="W248">
        <v>28.901122183019755</v>
      </c>
      <c r="X248">
        <v>44.34065925043614</v>
      </c>
      <c r="Y248">
        <v>6.1322421227945778</v>
      </c>
      <c r="Z248">
        <v>30.826860062480641</v>
      </c>
      <c r="AA248">
        <v>3.5103073973320131</v>
      </c>
      <c r="AB248">
        <v>35.917833103888732</v>
      </c>
      <c r="AC248">
        <v>8.6877659163325544E-2</v>
      </c>
      <c r="AD248">
        <v>7.2686012723446778</v>
      </c>
      <c r="AE248">
        <v>14.069831497953624</v>
      </c>
      <c r="AF248">
        <v>14.203589148214755</v>
      </c>
      <c r="AG248">
        <v>21.870140816604298</v>
      </c>
      <c r="AH248">
        <v>3.6925924436851294</v>
      </c>
      <c r="AI248">
        <v>2.0646646850995061</v>
      </c>
      <c r="AK248">
        <v>39.96939732933614</v>
      </c>
    </row>
    <row r="249" spans="1:37" x14ac:dyDescent="0.2">
      <c r="A249">
        <v>248</v>
      </c>
      <c r="B249">
        <v>776</v>
      </c>
      <c r="C249">
        <v>140</v>
      </c>
      <c r="D249">
        <v>0.45808559309917701</v>
      </c>
      <c r="E249">
        <v>123.69110102194294</v>
      </c>
      <c r="F249">
        <v>58.274154110607405</v>
      </c>
      <c r="G249">
        <v>71.600945222411738</v>
      </c>
      <c r="H249">
        <v>67.043978374751262</v>
      </c>
      <c r="J249">
        <v>43.595468685544475</v>
      </c>
      <c r="L249">
        <v>4.1850154035988085</v>
      </c>
      <c r="M249">
        <v>14.520833647063567</v>
      </c>
      <c r="N249">
        <v>2.0966282467755883</v>
      </c>
      <c r="O249">
        <v>21.991232052319571</v>
      </c>
      <c r="P249">
        <v>9.8132914423436368</v>
      </c>
      <c r="R249">
        <v>14.240845716917233</v>
      </c>
      <c r="S249">
        <v>40.782965255173259</v>
      </c>
      <c r="U249">
        <v>3.3583623687632524</v>
      </c>
      <c r="V249">
        <v>45.589359298479586</v>
      </c>
      <c r="W249">
        <v>28.671862340871414</v>
      </c>
      <c r="X249">
        <v>44.378557829039231</v>
      </c>
      <c r="Y249">
        <v>5.9001496522677197</v>
      </c>
      <c r="Z249">
        <v>30.380435342469298</v>
      </c>
      <c r="AA249">
        <v>3.2793164717525798</v>
      </c>
      <c r="AB249">
        <v>35.865843611557338</v>
      </c>
      <c r="AC249">
        <v>5.1927509453955106E-2</v>
      </c>
      <c r="AD249">
        <v>7.0214870189545096</v>
      </c>
      <c r="AE249">
        <v>13.878872657794624</v>
      </c>
      <c r="AF249">
        <v>14.189675153194894</v>
      </c>
      <c r="AG249">
        <v>21.753502181557515</v>
      </c>
      <c r="AH249">
        <v>3.3750908650884894</v>
      </c>
      <c r="AI249">
        <v>2.0331627111077468</v>
      </c>
      <c r="AK249">
        <v>39.944169909953253</v>
      </c>
    </row>
    <row r="250" spans="1:37" x14ac:dyDescent="0.2">
      <c r="A250">
        <v>249</v>
      </c>
      <c r="B250">
        <v>774</v>
      </c>
      <c r="C250">
        <v>140</v>
      </c>
      <c r="D250">
        <v>0.45691686959843703</v>
      </c>
      <c r="E250">
        <v>123.48964243230576</v>
      </c>
      <c r="F250">
        <v>57.470876337403148</v>
      </c>
      <c r="G250">
        <v>71.455814857733188</v>
      </c>
      <c r="H250">
        <v>66.893474360119299</v>
      </c>
      <c r="J250">
        <v>43.548749735144114</v>
      </c>
      <c r="L250">
        <v>3.9645843420336098</v>
      </c>
      <c r="M250">
        <v>14.544655771281901</v>
      </c>
      <c r="N250">
        <v>2.0655951875786807</v>
      </c>
      <c r="O250">
        <v>20.948374551380617</v>
      </c>
      <c r="P250">
        <v>9.5345930241671635</v>
      </c>
      <c r="R250">
        <v>13.932640537717877</v>
      </c>
      <c r="S250">
        <v>40.548586983706031</v>
      </c>
      <c r="U250">
        <v>3.3318190262663001</v>
      </c>
      <c r="V250">
        <v>45.662486584055344</v>
      </c>
      <c r="W250">
        <v>28.444669815905616</v>
      </c>
      <c r="X250">
        <v>44.421911674118689</v>
      </c>
      <c r="Y250">
        <v>5.6679587763583896</v>
      </c>
      <c r="Z250">
        <v>29.935308860040799</v>
      </c>
      <c r="AA250">
        <v>3.0481188446121452</v>
      </c>
      <c r="AB250">
        <v>35.808932312541017</v>
      </c>
      <c r="AC250">
        <v>1.6918108059074285E-2</v>
      </c>
      <c r="AD250">
        <v>6.7744303698385213</v>
      </c>
      <c r="AE250">
        <v>13.688667400228676</v>
      </c>
      <c r="AF250">
        <v>14.176232604063779</v>
      </c>
      <c r="AG250">
        <v>21.631891508396762</v>
      </c>
      <c r="AH250">
        <v>3.0573886561652182</v>
      </c>
      <c r="AI250">
        <v>2.0015977026253049</v>
      </c>
      <c r="AK250">
        <v>39.91964121678204</v>
      </c>
    </row>
    <row r="251" spans="1:37" x14ac:dyDescent="0.2">
      <c r="A251">
        <v>250</v>
      </c>
      <c r="B251">
        <v>772</v>
      </c>
      <c r="C251">
        <v>140</v>
      </c>
      <c r="D251">
        <v>0.45574367315696301</v>
      </c>
      <c r="E251">
        <v>123.20184763356045</v>
      </c>
      <c r="F251">
        <v>56.21239581717964</v>
      </c>
      <c r="G251">
        <v>71.231948733879364</v>
      </c>
      <c r="H251">
        <v>66.664285288428076</v>
      </c>
      <c r="J251">
        <v>43.361848963259895</v>
      </c>
      <c r="L251">
        <v>3.6227072607671471</v>
      </c>
      <c r="M251">
        <v>14.555212862149443</v>
      </c>
      <c r="N251">
        <v>2.0523437385008139</v>
      </c>
      <c r="O251">
        <v>19.471835315886999</v>
      </c>
      <c r="P251">
        <v>9.1162340287051258</v>
      </c>
      <c r="R251">
        <v>13.453450878500519</v>
      </c>
      <c r="S251">
        <v>40.091480951157948</v>
      </c>
      <c r="U251">
        <v>3.2897283750920425</v>
      </c>
      <c r="V251">
        <v>45.728765796152835</v>
      </c>
      <c r="W251">
        <v>28.102788101101112</v>
      </c>
      <c r="X251">
        <v>44.4032562623347</v>
      </c>
      <c r="Y251">
        <v>5.2919688547944492</v>
      </c>
      <c r="Z251">
        <v>29.248747749053901</v>
      </c>
      <c r="AA251">
        <v>2.6923286442207681</v>
      </c>
      <c r="AB251">
        <v>35.701091650668602</v>
      </c>
      <c r="AD251">
        <v>6.3720032866682343</v>
      </c>
      <c r="AE251">
        <v>13.4165504783073</v>
      </c>
      <c r="AF251">
        <v>14.167307553510842</v>
      </c>
      <c r="AG251">
        <v>21.477142753382726</v>
      </c>
      <c r="AH251">
        <v>2.5097792462295794</v>
      </c>
      <c r="AI251">
        <v>1.9878111128075679</v>
      </c>
      <c r="AK251">
        <v>39.791183190330983</v>
      </c>
    </row>
    <row r="252" spans="1:37" x14ac:dyDescent="0.2">
      <c r="A252">
        <v>251</v>
      </c>
      <c r="B252">
        <v>770</v>
      </c>
      <c r="C252">
        <v>140</v>
      </c>
      <c r="D252">
        <v>0.45456597804726301</v>
      </c>
      <c r="E252">
        <v>122.82958078921682</v>
      </c>
      <c r="F252">
        <v>54.486707966405611</v>
      </c>
      <c r="G252">
        <v>70.925337113134105</v>
      </c>
      <c r="H252">
        <v>66.352401583138402</v>
      </c>
      <c r="J252">
        <v>43.016636952559082</v>
      </c>
      <c r="L252">
        <v>3.1502616693283563</v>
      </c>
      <c r="M252">
        <v>14.554492710925967</v>
      </c>
      <c r="N252">
        <v>2.0563043805659582</v>
      </c>
      <c r="O252">
        <v>17.53524415574655</v>
      </c>
      <c r="P252">
        <v>8.5496256348367314</v>
      </c>
      <c r="R252">
        <v>12.785190121458184</v>
      </c>
      <c r="S252">
        <v>39.366644775380969</v>
      </c>
      <c r="U252">
        <v>3.2389663930976593</v>
      </c>
      <c r="V252">
        <v>45.774201363473331</v>
      </c>
      <c r="W252">
        <v>27.653546528841535</v>
      </c>
      <c r="X252">
        <v>44.343151560865032</v>
      </c>
      <c r="Y252">
        <v>4.7643225016293744</v>
      </c>
      <c r="Z252">
        <v>28.311058542220589</v>
      </c>
      <c r="AA252">
        <v>2.2038733764415666</v>
      </c>
      <c r="AB252">
        <v>35.52032766484546</v>
      </c>
      <c r="AD252">
        <v>5.8071377245687303</v>
      </c>
      <c r="AE252">
        <v>13.059956996417259</v>
      </c>
      <c r="AF252">
        <v>14.16431831696835</v>
      </c>
      <c r="AG252">
        <v>21.266692481347878</v>
      </c>
      <c r="AH252">
        <v>1.7202315333341485</v>
      </c>
      <c r="AI252">
        <v>1.9912334080221663</v>
      </c>
      <c r="AK252">
        <v>39.553186649526594</v>
      </c>
    </row>
    <row r="253" spans="1:37" x14ac:dyDescent="0.2">
      <c r="A253">
        <v>252</v>
      </c>
      <c r="B253">
        <v>768</v>
      </c>
      <c r="C253">
        <v>140</v>
      </c>
      <c r="D253">
        <v>0.45338375834414102</v>
      </c>
      <c r="E253">
        <v>122.45556872880451</v>
      </c>
      <c r="F253">
        <v>52.707546284026407</v>
      </c>
      <c r="G253">
        <v>70.606327148558378</v>
      </c>
      <c r="H253">
        <v>66.028170559109469</v>
      </c>
      <c r="J253">
        <v>42.62513812355089</v>
      </c>
      <c r="L253">
        <v>2.6525234166569209</v>
      </c>
      <c r="M253">
        <v>14.555813411714835</v>
      </c>
      <c r="N253">
        <v>2.0602626200104797</v>
      </c>
      <c r="O253">
        <v>15.520572982687142</v>
      </c>
      <c r="P253">
        <v>7.9582478291623193</v>
      </c>
      <c r="R253">
        <v>12.071362606067176</v>
      </c>
      <c r="S253">
        <v>38.535027010939736</v>
      </c>
      <c r="U253">
        <v>3.1994911245647488</v>
      </c>
      <c r="V253">
        <v>45.790210273554251</v>
      </c>
      <c r="W253">
        <v>27.210661590743804</v>
      </c>
      <c r="X253">
        <v>44.316734342256048</v>
      </c>
      <c r="Y253">
        <v>4.2124855683972982</v>
      </c>
      <c r="Z253">
        <v>27.335484795540264</v>
      </c>
      <c r="AA253">
        <v>1.6922922132280946</v>
      </c>
      <c r="AB253">
        <v>35.289173533937038</v>
      </c>
      <c r="AD253">
        <v>5.2168348224206591</v>
      </c>
      <c r="AE253">
        <v>12.690554085002285</v>
      </c>
      <c r="AF253">
        <v>14.163368538123047</v>
      </c>
      <c r="AG253">
        <v>21.005859422586678</v>
      </c>
      <c r="AH253">
        <v>0.8931779765066431</v>
      </c>
      <c r="AI253">
        <v>1.9946500798417917</v>
      </c>
      <c r="AK253">
        <v>39.296710591191555</v>
      </c>
    </row>
    <row r="254" spans="1:37" x14ac:dyDescent="0.2">
      <c r="A254">
        <v>253</v>
      </c>
      <c r="B254">
        <v>766</v>
      </c>
      <c r="C254">
        <v>140</v>
      </c>
      <c r="D254">
        <v>0.45219698792282498</v>
      </c>
      <c r="E254">
        <v>122.58012152571165</v>
      </c>
      <c r="F254">
        <v>52.527285800429937</v>
      </c>
      <c r="G254">
        <v>70.626814808325307</v>
      </c>
      <c r="H254">
        <v>66.043488346931454</v>
      </c>
      <c r="J254">
        <v>39.075308513425696</v>
      </c>
      <c r="L254">
        <v>1.783141827483083</v>
      </c>
      <c r="M254">
        <v>14.379451670411132</v>
      </c>
      <c r="N254">
        <v>2.0642434925829858</v>
      </c>
      <c r="O254">
        <v>10.870075381130912</v>
      </c>
      <c r="P254">
        <v>8.0459177589749995</v>
      </c>
      <c r="R254">
        <v>11.030707552510233</v>
      </c>
      <c r="S254">
        <v>35.786267264224584</v>
      </c>
      <c r="U254">
        <v>3.2294504982633527</v>
      </c>
      <c r="V254">
        <v>45.710528258838082</v>
      </c>
      <c r="W254">
        <v>26.608542208674244</v>
      </c>
      <c r="X254">
        <v>44.489575542066369</v>
      </c>
      <c r="Y254">
        <v>3.6357137653492289</v>
      </c>
      <c r="Z254">
        <v>26.125343296418535</v>
      </c>
      <c r="AA254">
        <v>0.6862500335867735</v>
      </c>
      <c r="AB254">
        <v>34.386407910237857</v>
      </c>
      <c r="AD254">
        <v>4.5718695777786156</v>
      </c>
      <c r="AE254">
        <v>11.904358412269508</v>
      </c>
      <c r="AF254">
        <v>13.984760002157138</v>
      </c>
      <c r="AG254">
        <v>20.073447310613989</v>
      </c>
      <c r="AI254">
        <v>1.9980861493425306</v>
      </c>
      <c r="AK254">
        <v>37.019463814083622</v>
      </c>
    </row>
    <row r="255" spans="1:37" x14ac:dyDescent="0.2">
      <c r="A255">
        <v>254</v>
      </c>
      <c r="B255">
        <v>764</v>
      </c>
      <c r="C255">
        <v>140</v>
      </c>
      <c r="D255">
        <v>0.45100564045702202</v>
      </c>
      <c r="E255">
        <v>123.29601165040586</v>
      </c>
      <c r="F255">
        <v>52.22128440965939</v>
      </c>
      <c r="G255">
        <v>70.806390319460476</v>
      </c>
      <c r="H255">
        <v>66.217945336673353</v>
      </c>
      <c r="J255">
        <v>30.156213808083383</v>
      </c>
      <c r="L255">
        <v>1.4988198132342041</v>
      </c>
      <c r="M255">
        <v>13.43336205124584</v>
      </c>
      <c r="N255">
        <v>2.0682581540192935</v>
      </c>
      <c r="O255">
        <v>8.9445226534662563</v>
      </c>
      <c r="P255">
        <v>8.4518272102242964</v>
      </c>
      <c r="R255">
        <v>10.041469052964304</v>
      </c>
      <c r="S255">
        <v>34.400395138257757</v>
      </c>
      <c r="U255">
        <v>3.3077880160582911</v>
      </c>
      <c r="V255">
        <v>46.4528162194188</v>
      </c>
      <c r="W255">
        <v>25.418633175495952</v>
      </c>
      <c r="X255">
        <v>44.795256235095486</v>
      </c>
      <c r="Y255">
        <v>3.4494786571279947</v>
      </c>
      <c r="Z255">
        <v>22.016184733426261</v>
      </c>
      <c r="AB255">
        <v>32.024842223538627</v>
      </c>
      <c r="AD255">
        <v>2.5747457254243193</v>
      </c>
      <c r="AE255">
        <v>9.3323896977582557</v>
      </c>
      <c r="AF255">
        <v>13.036458472777568</v>
      </c>
      <c r="AG255">
        <v>17.682278776719521</v>
      </c>
      <c r="AI255">
        <v>2.0015527575818584</v>
      </c>
      <c r="AK255">
        <v>31.053556263210403</v>
      </c>
    </row>
    <row r="256" spans="1:37" x14ac:dyDescent="0.2">
      <c r="A256">
        <v>255</v>
      </c>
      <c r="B256">
        <v>762</v>
      </c>
      <c r="C256">
        <v>140</v>
      </c>
      <c r="D256">
        <v>0.44980968941699401</v>
      </c>
      <c r="E256">
        <v>123.7883530694597</v>
      </c>
      <c r="F256">
        <v>52.526723108582836</v>
      </c>
      <c r="G256">
        <v>70.884407943535066</v>
      </c>
      <c r="H256">
        <v>66.290895953578811</v>
      </c>
      <c r="J256">
        <v>25.737883529318264</v>
      </c>
      <c r="L256">
        <v>1.5342200126646566</v>
      </c>
      <c r="M256">
        <v>12.559840750141378</v>
      </c>
      <c r="N256">
        <v>2.072265750106693</v>
      </c>
      <c r="O256">
        <v>8.6992994780780606</v>
      </c>
      <c r="P256">
        <v>8.654644028978268</v>
      </c>
      <c r="R256">
        <v>9.433502083722205</v>
      </c>
      <c r="S256">
        <v>34.709448303556954</v>
      </c>
      <c r="U256">
        <v>3.301410586015145</v>
      </c>
      <c r="V256">
        <v>47.488912313985345</v>
      </c>
      <c r="W256">
        <v>24.354427773832342</v>
      </c>
      <c r="X256">
        <v>44.858241832018564</v>
      </c>
      <c r="Y256">
        <v>3.4300737546311284</v>
      </c>
      <c r="Z256">
        <v>20.033660425108355</v>
      </c>
      <c r="AB256">
        <v>31.429334782209086</v>
      </c>
      <c r="AD256">
        <v>1.5926716874087727</v>
      </c>
      <c r="AE256">
        <v>8.123619686242785</v>
      </c>
      <c r="AF256">
        <v>12.160719335628142</v>
      </c>
      <c r="AG256">
        <v>17.057171321108992</v>
      </c>
      <c r="AI256">
        <v>2.0050090356603389</v>
      </c>
      <c r="AK256">
        <v>27.953726155433035</v>
      </c>
    </row>
    <row r="257" spans="1:37" x14ac:dyDescent="0.2">
      <c r="A257">
        <v>256</v>
      </c>
      <c r="B257">
        <v>760</v>
      </c>
      <c r="C257">
        <v>140</v>
      </c>
      <c r="D257">
        <v>0.44860910806756099</v>
      </c>
      <c r="E257">
        <v>124.15164876498191</v>
      </c>
      <c r="F257">
        <v>52.949734006165471</v>
      </c>
      <c r="G257">
        <v>70.918718754750046</v>
      </c>
      <c r="H257">
        <v>66.32019143615274</v>
      </c>
      <c r="J257">
        <v>23.100998207843922</v>
      </c>
      <c r="L257">
        <v>1.5611911250777593</v>
      </c>
      <c r="M257">
        <v>11.812150837628939</v>
      </c>
      <c r="N257">
        <v>2.076265973037251</v>
      </c>
      <c r="O257">
        <v>8.4968320663056236</v>
      </c>
      <c r="P257">
        <v>8.7700702339448977</v>
      </c>
      <c r="R257">
        <v>8.8933339100459463</v>
      </c>
      <c r="S257">
        <v>35.119745617708702</v>
      </c>
      <c r="U257">
        <v>3.2725927382468125</v>
      </c>
      <c r="V257">
        <v>48.422981857129741</v>
      </c>
      <c r="W257">
        <v>23.429484065926804</v>
      </c>
      <c r="X257">
        <v>44.857735403701483</v>
      </c>
      <c r="Y257">
        <v>3.3975869939188681</v>
      </c>
      <c r="Z257">
        <v>18.877957852901126</v>
      </c>
      <c r="AB257">
        <v>31.330232130769243</v>
      </c>
      <c r="AD257">
        <v>1.004069114518249</v>
      </c>
      <c r="AE257">
        <v>7.421621671161275</v>
      </c>
      <c r="AF257">
        <v>11.410805397567731</v>
      </c>
      <c r="AG257">
        <v>16.928471226838241</v>
      </c>
      <c r="AI257">
        <v>2.008454661078428</v>
      </c>
      <c r="AK257">
        <v>26.044836631423035</v>
      </c>
    </row>
    <row r="258" spans="1:37" x14ac:dyDescent="0.2">
      <c r="A258">
        <v>257</v>
      </c>
      <c r="B258">
        <v>758</v>
      </c>
      <c r="C258">
        <v>140</v>
      </c>
      <c r="D258">
        <v>0.44740386946613198</v>
      </c>
      <c r="E258">
        <v>124.44238972303577</v>
      </c>
      <c r="F258">
        <v>53.377577731881232</v>
      </c>
      <c r="G258">
        <v>70.932759260350451</v>
      </c>
      <c r="H258">
        <v>66.329268456581588</v>
      </c>
      <c r="J258">
        <v>21.283443793327752</v>
      </c>
      <c r="L258">
        <v>1.5833181609332569</v>
      </c>
      <c r="M258">
        <v>11.152377708107764</v>
      </c>
      <c r="N258">
        <v>2.0802611083846001</v>
      </c>
      <c r="O258">
        <v>8.3140482423035174</v>
      </c>
      <c r="P258">
        <v>8.8449813042889538</v>
      </c>
      <c r="R258">
        <v>8.4025385321598787</v>
      </c>
      <c r="S258">
        <v>35.526802797836112</v>
      </c>
      <c r="U258">
        <v>3.2352107336368174</v>
      </c>
      <c r="V258">
        <v>49.25703607560024</v>
      </c>
      <c r="W258">
        <v>22.597440073871518</v>
      </c>
      <c r="X258">
        <v>44.833640637073728</v>
      </c>
      <c r="Y258">
        <v>3.3632859765509924</v>
      </c>
      <c r="Z258">
        <v>18.069726169062147</v>
      </c>
      <c r="AB258">
        <v>31.395945334405241</v>
      </c>
      <c r="AD258">
        <v>0.58397873795809019</v>
      </c>
      <c r="AE258">
        <v>6.9303599709970989</v>
      </c>
      <c r="AF258">
        <v>10.748804382903653</v>
      </c>
      <c r="AG258">
        <v>16.964591891303016</v>
      </c>
      <c r="AI258">
        <v>2.0118919047117392</v>
      </c>
      <c r="AK258">
        <v>24.697329077282166</v>
      </c>
    </row>
    <row r="259" spans="1:37" x14ac:dyDescent="0.2">
      <c r="A259">
        <v>258</v>
      </c>
      <c r="B259">
        <v>756</v>
      </c>
      <c r="C259">
        <v>140</v>
      </c>
      <c r="D259">
        <v>0.44619394646067401</v>
      </c>
      <c r="E259">
        <v>124.68605478062588</v>
      </c>
      <c r="F259">
        <v>53.786908810627587</v>
      </c>
      <c r="G259">
        <v>70.935476321863334</v>
      </c>
      <c r="H259">
        <v>66.327074041972722</v>
      </c>
      <c r="J259">
        <v>19.924618870898296</v>
      </c>
      <c r="L259">
        <v>1.6023519664629566</v>
      </c>
      <c r="M259">
        <v>10.556058211399304</v>
      </c>
      <c r="N259">
        <v>2.084252454332431</v>
      </c>
      <c r="O259">
        <v>8.1422014216453267</v>
      </c>
      <c r="P259">
        <v>8.897272441342837</v>
      </c>
      <c r="R259">
        <v>7.9488679882480682</v>
      </c>
      <c r="S259">
        <v>35.912067197350353</v>
      </c>
      <c r="U259">
        <v>3.1934989894735293</v>
      </c>
      <c r="V259">
        <v>50.011369353785739</v>
      </c>
      <c r="W259">
        <v>21.831296425998151</v>
      </c>
      <c r="X259">
        <v>44.79812729968836</v>
      </c>
      <c r="Y259">
        <v>3.3299204242655716</v>
      </c>
      <c r="Z259">
        <v>17.442871406793092</v>
      </c>
      <c r="AB259">
        <v>31.528052399629797</v>
      </c>
      <c r="AD259">
        <v>0.25333086973150171</v>
      </c>
      <c r="AE259">
        <v>6.5486880080241354</v>
      </c>
      <c r="AF259">
        <v>10.150254484176083</v>
      </c>
      <c r="AG259">
        <v>17.067112666130818</v>
      </c>
      <c r="AI259">
        <v>2.0153220500412923</v>
      </c>
      <c r="AK259">
        <v>23.669894348398035</v>
      </c>
    </row>
    <row r="260" spans="1:37" x14ac:dyDescent="0.2">
      <c r="A260">
        <v>259</v>
      </c>
      <c r="B260">
        <v>754</v>
      </c>
      <c r="C260">
        <v>140</v>
      </c>
      <c r="D260">
        <v>0.44497931168767801</v>
      </c>
      <c r="E260">
        <v>124.86602899910687</v>
      </c>
      <c r="F260">
        <v>54.383178671911303</v>
      </c>
      <c r="G260">
        <v>70.892066906086853</v>
      </c>
      <c r="H260">
        <v>66.278805325348145</v>
      </c>
      <c r="J260">
        <v>18.809035487663206</v>
      </c>
      <c r="L260">
        <v>1.6168801463871714</v>
      </c>
      <c r="M260">
        <v>9.9912949462892122</v>
      </c>
      <c r="N260">
        <v>2.0882394633545731</v>
      </c>
      <c r="O260">
        <v>8.0436400588072043</v>
      </c>
      <c r="P260">
        <v>8.8573372122674847</v>
      </c>
      <c r="R260">
        <v>7.4761514353315937</v>
      </c>
      <c r="S260">
        <v>36.321545628659401</v>
      </c>
      <c r="U260">
        <v>3.1496638773881611</v>
      </c>
      <c r="V260">
        <v>50.719729506873705</v>
      </c>
      <c r="W260">
        <v>21.097890110474136</v>
      </c>
      <c r="X260">
        <v>44.757539758548049</v>
      </c>
      <c r="Y260">
        <v>3.2762296423726673</v>
      </c>
      <c r="Z260">
        <v>17.584684159173122</v>
      </c>
      <c r="AB260">
        <v>32.090562122242829</v>
      </c>
      <c r="AE260">
        <v>6.6196970343234822</v>
      </c>
      <c r="AF260">
        <v>9.58325779737965</v>
      </c>
      <c r="AG260">
        <v>17.600041846826258</v>
      </c>
      <c r="AI260">
        <v>2.0187445348332362</v>
      </c>
      <c r="AK260">
        <v>22.811901899293254</v>
      </c>
    </row>
    <row r="261" spans="1:37" x14ac:dyDescent="0.2">
      <c r="A261">
        <v>260</v>
      </c>
      <c r="B261">
        <v>752</v>
      </c>
      <c r="C261">
        <v>140</v>
      </c>
      <c r="D261">
        <v>0.443759937570114</v>
      </c>
      <c r="E261">
        <v>125.02696851512991</v>
      </c>
      <c r="F261">
        <v>54.905289785194853</v>
      </c>
      <c r="G261">
        <v>70.852818093576687</v>
      </c>
      <c r="H261">
        <v>66.234749554135121</v>
      </c>
      <c r="J261">
        <v>17.908974811390713</v>
      </c>
      <c r="L261">
        <v>1.6305576476564421</v>
      </c>
      <c r="M261">
        <v>9.4697053407496359</v>
      </c>
      <c r="N261">
        <v>2.0922244655706312</v>
      </c>
      <c r="O261">
        <v>7.9364591359184393</v>
      </c>
      <c r="P261">
        <v>8.825752290392467</v>
      </c>
      <c r="R261">
        <v>7.0396416044269143</v>
      </c>
      <c r="S261">
        <v>36.698015208868348</v>
      </c>
      <c r="U261">
        <v>3.1038818305260922</v>
      </c>
      <c r="V261">
        <v>51.371076435649151</v>
      </c>
      <c r="W261">
        <v>20.408685059836188</v>
      </c>
      <c r="X261">
        <v>44.712370327928852</v>
      </c>
      <c r="Y261">
        <v>3.230250951170444</v>
      </c>
      <c r="Z261">
        <v>17.642877017976666</v>
      </c>
      <c r="AB261">
        <v>32.569555641908032</v>
      </c>
      <c r="AE261">
        <v>6.6421110930831757</v>
      </c>
      <c r="AF261">
        <v>9.0594341255448683</v>
      </c>
      <c r="AG261">
        <v>18.049462950706534</v>
      </c>
      <c r="AI261">
        <v>2.0221616744951905</v>
      </c>
      <c r="AK261">
        <v>22.109086450707359</v>
      </c>
    </row>
    <row r="262" spans="1:37" x14ac:dyDescent="0.2">
      <c r="A262">
        <v>261</v>
      </c>
      <c r="B262">
        <v>750</v>
      </c>
      <c r="C262">
        <v>140</v>
      </c>
      <c r="D262">
        <v>0.44253579631530099</v>
      </c>
      <c r="E262">
        <v>125.17018426765249</v>
      </c>
      <c r="F262">
        <v>55.388126918914672</v>
      </c>
      <c r="G262">
        <v>70.813354958561135</v>
      </c>
      <c r="H262">
        <v>66.190531970084535</v>
      </c>
      <c r="J262">
        <v>17.158861282554309</v>
      </c>
      <c r="L262">
        <v>1.6432679124818459</v>
      </c>
      <c r="M262">
        <v>8.9811395150209314</v>
      </c>
      <c r="N262">
        <v>2.096207542459922</v>
      </c>
      <c r="O262">
        <v>7.8288042055765796</v>
      </c>
      <c r="P262">
        <v>8.7937680887647058</v>
      </c>
      <c r="R262">
        <v>6.6277110556788328</v>
      </c>
      <c r="S262">
        <v>37.050716734810756</v>
      </c>
      <c r="U262">
        <v>3.0567560092084745</v>
      </c>
      <c r="V262">
        <v>51.977395365075303</v>
      </c>
      <c r="W262">
        <v>19.753185409248161</v>
      </c>
      <c r="X262">
        <v>44.664348690433997</v>
      </c>
      <c r="Y262">
        <v>3.1883719599039839</v>
      </c>
      <c r="Z262">
        <v>17.69494650393796</v>
      </c>
      <c r="AB262">
        <v>33.017611728399132</v>
      </c>
      <c r="AE262">
        <v>6.6613174363806733</v>
      </c>
      <c r="AF262">
        <v>8.5686337155333128</v>
      </c>
      <c r="AG262">
        <v>18.467954876857629</v>
      </c>
      <c r="AI262">
        <v>2.025573535791807</v>
      </c>
      <c r="AK262">
        <v>21.515334176383178</v>
      </c>
    </row>
    <row r="263" spans="1:37" x14ac:dyDescent="0.2">
      <c r="A263">
        <v>262</v>
      </c>
      <c r="B263">
        <v>786</v>
      </c>
      <c r="C263">
        <v>130</v>
      </c>
      <c r="D263">
        <v>0.474248689987256</v>
      </c>
      <c r="E263">
        <v>118.78503982685952</v>
      </c>
      <c r="F263">
        <v>61.329182152523849</v>
      </c>
      <c r="G263">
        <v>72.197953874180342</v>
      </c>
      <c r="H263">
        <v>67.668283379901453</v>
      </c>
      <c r="J263">
        <v>43.718107100188355</v>
      </c>
      <c r="L263">
        <v>4.956231933646901</v>
      </c>
      <c r="M263">
        <v>14.68047896158264</v>
      </c>
      <c r="N263">
        <v>2.1460265816645112</v>
      </c>
      <c r="O263">
        <v>26.304103977288008</v>
      </c>
      <c r="P263">
        <v>10.787798694049467</v>
      </c>
      <c r="Q263">
        <v>1.8846458598355355E-2</v>
      </c>
      <c r="R263">
        <v>15.733616556020792</v>
      </c>
      <c r="S263">
        <v>42.879538794462029</v>
      </c>
      <c r="U263">
        <v>3.787873789014931</v>
      </c>
      <c r="V263">
        <v>45.503710732750193</v>
      </c>
      <c r="W263">
        <v>30.473072722931324</v>
      </c>
      <c r="X263">
        <v>44.225659200275174</v>
      </c>
      <c r="Y263">
        <v>6.6872042416459934</v>
      </c>
      <c r="Z263">
        <v>32.269954598737755</v>
      </c>
      <c r="AA263">
        <v>4.1041903100507993</v>
      </c>
      <c r="AB263">
        <v>36.606191055482086</v>
      </c>
      <c r="AC263">
        <v>0.15787238488643168</v>
      </c>
      <c r="AD263">
        <v>8.0288687627511237</v>
      </c>
      <c r="AE263">
        <v>14.82400229131896</v>
      </c>
      <c r="AF263">
        <v>14.46078318281214</v>
      </c>
      <c r="AG263">
        <v>22.754514028912443</v>
      </c>
      <c r="AH263">
        <v>4.4114385033049555</v>
      </c>
      <c r="AI263">
        <v>2.0839991545695224</v>
      </c>
      <c r="AK263">
        <v>39.716734951420783</v>
      </c>
    </row>
    <row r="264" spans="1:37" x14ac:dyDescent="0.2">
      <c r="A264">
        <v>263</v>
      </c>
      <c r="B264">
        <v>784</v>
      </c>
      <c r="C264">
        <v>130</v>
      </c>
      <c r="D264">
        <v>0.47312160052972602</v>
      </c>
      <c r="E264">
        <v>118.58181635039186</v>
      </c>
      <c r="F264">
        <v>60.557064669026481</v>
      </c>
      <c r="G264">
        <v>72.060481198088183</v>
      </c>
      <c r="H264">
        <v>67.525177753152704</v>
      </c>
      <c r="J264">
        <v>43.665656825468204</v>
      </c>
      <c r="L264">
        <v>4.753706464200361</v>
      </c>
      <c r="M264">
        <v>14.682019916431155</v>
      </c>
      <c r="N264">
        <v>2.1187452458015641</v>
      </c>
      <c r="O264">
        <v>25.324728826632761</v>
      </c>
      <c r="P264">
        <v>10.528015733597822</v>
      </c>
      <c r="R264">
        <v>15.426981776381911</v>
      </c>
      <c r="S264">
        <v>42.582010168252772</v>
      </c>
      <c r="U264">
        <v>3.7419748405277917</v>
      </c>
      <c r="V264">
        <v>45.54430819240936</v>
      </c>
      <c r="W264">
        <v>30.220905134202319</v>
      </c>
      <c r="X264">
        <v>44.203436514088942</v>
      </c>
      <c r="Y264">
        <v>6.4727843270288608</v>
      </c>
      <c r="Z264">
        <v>31.84297560692788</v>
      </c>
      <c r="AA264">
        <v>3.890542936157166</v>
      </c>
      <c r="AB264">
        <v>36.525920604397605</v>
      </c>
      <c r="AC264">
        <v>0.12660990065806529</v>
      </c>
      <c r="AD264">
        <v>7.7960402697208666</v>
      </c>
      <c r="AE264">
        <v>14.638203779182048</v>
      </c>
      <c r="AF264">
        <v>14.428804275756216</v>
      </c>
      <c r="AG264">
        <v>22.613274542879118</v>
      </c>
      <c r="AH264">
        <v>4.1157494645648818</v>
      </c>
      <c r="AI264">
        <v>2.0562025093730072</v>
      </c>
      <c r="AK264">
        <v>39.699060518350556</v>
      </c>
    </row>
    <row r="265" spans="1:37" x14ac:dyDescent="0.2">
      <c r="A265">
        <v>264</v>
      </c>
      <c r="B265">
        <v>782</v>
      </c>
      <c r="C265">
        <v>130</v>
      </c>
      <c r="D265">
        <v>0.47199023835473802</v>
      </c>
      <c r="E265">
        <v>118.37909825606728</v>
      </c>
      <c r="F265">
        <v>59.751780494955554</v>
      </c>
      <c r="G265">
        <v>71.91579642567369</v>
      </c>
      <c r="H265">
        <v>67.374909939242102</v>
      </c>
      <c r="J265">
        <v>43.618692473264879</v>
      </c>
      <c r="L265">
        <v>4.5360462549055338</v>
      </c>
      <c r="M265">
        <v>14.704002144170101</v>
      </c>
      <c r="N265">
        <v>2.0882174988856188</v>
      </c>
      <c r="O265">
        <v>24.283517414890646</v>
      </c>
      <c r="P265">
        <v>10.250590642738437</v>
      </c>
      <c r="R265">
        <v>15.123258797896709</v>
      </c>
      <c r="S265">
        <v>42.353772416084595</v>
      </c>
      <c r="U265">
        <v>3.7134897408498349</v>
      </c>
      <c r="V265">
        <v>45.621293429678722</v>
      </c>
      <c r="W265">
        <v>29.988230369398128</v>
      </c>
      <c r="X265">
        <v>44.239071247339282</v>
      </c>
      <c r="Y265">
        <v>6.2423747580413647</v>
      </c>
      <c r="Z265">
        <v>31.396178532646054</v>
      </c>
      <c r="AA265">
        <v>3.661155629760724</v>
      </c>
      <c r="AB265">
        <v>36.472250162723306</v>
      </c>
      <c r="AC265">
        <v>9.2101625358254946E-2</v>
      </c>
      <c r="AD265">
        <v>7.5507848963581434</v>
      </c>
      <c r="AE265">
        <v>14.446332674023578</v>
      </c>
      <c r="AF265">
        <v>14.41402094915996</v>
      </c>
      <c r="AG265">
        <v>22.495398105712646</v>
      </c>
      <c r="AH265">
        <v>3.8003402831752129</v>
      </c>
      <c r="AI265">
        <v>2.0251563348096444</v>
      </c>
      <c r="AK265">
        <v>39.674001035881332</v>
      </c>
    </row>
    <row r="266" spans="1:37" x14ac:dyDescent="0.2">
      <c r="A266">
        <v>265</v>
      </c>
      <c r="B266">
        <v>780</v>
      </c>
      <c r="C266">
        <v>130</v>
      </c>
      <c r="D266">
        <v>0.47085457911978401</v>
      </c>
      <c r="E266">
        <v>118.17807023061326</v>
      </c>
      <c r="F266">
        <v>58.950820208630006</v>
      </c>
      <c r="G266">
        <v>71.771201700829963</v>
      </c>
      <c r="H266">
        <v>67.224782240202714</v>
      </c>
      <c r="J266">
        <v>43.570317626736681</v>
      </c>
      <c r="L266">
        <v>4.3176933153265526</v>
      </c>
      <c r="M266">
        <v>14.726494171233254</v>
      </c>
      <c r="N266">
        <v>2.0576380614303282</v>
      </c>
      <c r="O266">
        <v>23.243376201964193</v>
      </c>
      <c r="P266">
        <v>9.9733225984040956</v>
      </c>
      <c r="R266">
        <v>14.816908068010962</v>
      </c>
      <c r="S266">
        <v>42.117329040213249</v>
      </c>
      <c r="U266">
        <v>3.6865031586876862</v>
      </c>
      <c r="V266">
        <v>45.694333737141704</v>
      </c>
      <c r="W266">
        <v>29.757533409471147</v>
      </c>
      <c r="X266">
        <v>44.279981391937113</v>
      </c>
      <c r="Y266">
        <v>6.0118864144986244</v>
      </c>
      <c r="Z266">
        <v>30.950672808539956</v>
      </c>
      <c r="AA266">
        <v>3.4317493857795198</v>
      </c>
      <c r="AB266">
        <v>36.413889414636714</v>
      </c>
      <c r="AC266">
        <v>5.7542276012501524E-2</v>
      </c>
      <c r="AD266">
        <v>7.3055626267212315</v>
      </c>
      <c r="AE266">
        <v>14.255214079651052</v>
      </c>
      <c r="AF266">
        <v>14.399696492153197</v>
      </c>
      <c r="AG266">
        <v>22.372789165632142</v>
      </c>
      <c r="AH266">
        <v>3.4847221510468205</v>
      </c>
      <c r="AI266">
        <v>1.9940553367858751</v>
      </c>
      <c r="AK266">
        <v>39.649664386217594</v>
      </c>
    </row>
    <row r="267" spans="1:37" x14ac:dyDescent="0.2">
      <c r="A267">
        <v>266</v>
      </c>
      <c r="B267">
        <v>778</v>
      </c>
      <c r="C267">
        <v>130</v>
      </c>
      <c r="D267">
        <v>0.46971459829710499</v>
      </c>
      <c r="E267">
        <v>117.97874444802423</v>
      </c>
      <c r="F267">
        <v>58.154318532419339</v>
      </c>
      <c r="G267">
        <v>71.626738814211635</v>
      </c>
      <c r="H267">
        <v>67.07483660543123</v>
      </c>
      <c r="J267">
        <v>43.520483187298872</v>
      </c>
      <c r="L267">
        <v>4.0986302389709381</v>
      </c>
      <c r="M267">
        <v>14.749442555623466</v>
      </c>
      <c r="N267">
        <v>2.0270118394179852</v>
      </c>
      <c r="O267">
        <v>22.20453741427265</v>
      </c>
      <c r="P267">
        <v>9.6963002574388995</v>
      </c>
      <c r="R267">
        <v>14.508075169554102</v>
      </c>
      <c r="S267">
        <v>41.872377989283628</v>
      </c>
      <c r="U267">
        <v>3.6609603731938591</v>
      </c>
      <c r="V267">
        <v>45.763324906104287</v>
      </c>
      <c r="W267">
        <v>29.528806774660996</v>
      </c>
      <c r="X267">
        <v>44.326005371576713</v>
      </c>
      <c r="Y267">
        <v>5.7813936400447972</v>
      </c>
      <c r="Z267">
        <v>30.506478813549165</v>
      </c>
      <c r="AA267">
        <v>3.2022263844420449</v>
      </c>
      <c r="AB267">
        <v>36.350654736430215</v>
      </c>
      <c r="AC267">
        <v>2.2936755108891382E-2</v>
      </c>
      <c r="AD267">
        <v>7.0604127167166153</v>
      </c>
      <c r="AE267">
        <v>14.064822956620135</v>
      </c>
      <c r="AF267">
        <v>14.385782411098686</v>
      </c>
      <c r="AG267">
        <v>22.245269048709464</v>
      </c>
      <c r="AH267">
        <v>3.1690155241263227</v>
      </c>
      <c r="AI267">
        <v>1.9629044066643226</v>
      </c>
      <c r="AK267">
        <v>39.626071160796208</v>
      </c>
    </row>
    <row r="268" spans="1:37" x14ac:dyDescent="0.2">
      <c r="A268">
        <v>267</v>
      </c>
      <c r="B268">
        <v>776</v>
      </c>
      <c r="C268">
        <v>130</v>
      </c>
      <c r="D268">
        <v>0.46857027117190198</v>
      </c>
      <c r="E268">
        <v>117.72453559841556</v>
      </c>
      <c r="F268">
        <v>57.065838293149319</v>
      </c>
      <c r="G268">
        <v>71.431493046766349</v>
      </c>
      <c r="H268">
        <v>66.874158475220412</v>
      </c>
      <c r="J268">
        <v>43.379145255577285</v>
      </c>
      <c r="L268">
        <v>3.8007517734363536</v>
      </c>
      <c r="M268">
        <v>14.764150563422227</v>
      </c>
      <c r="N268">
        <v>2.0077455933459571</v>
      </c>
      <c r="O268">
        <v>20.885640647322727</v>
      </c>
      <c r="P268">
        <v>9.3291011127183641</v>
      </c>
      <c r="R268">
        <v>14.087463053079091</v>
      </c>
      <c r="S268">
        <v>41.478774730539278</v>
      </c>
      <c r="U268">
        <v>3.6261650694727954</v>
      </c>
      <c r="V268">
        <v>45.825730192323</v>
      </c>
      <c r="W268">
        <v>29.227109733833341</v>
      </c>
      <c r="X268">
        <v>44.334899612284588</v>
      </c>
      <c r="Y268">
        <v>5.4579763262969481</v>
      </c>
      <c r="Z268">
        <v>29.906940581640708</v>
      </c>
      <c r="AA268">
        <v>2.8921587167943144</v>
      </c>
      <c r="AB268">
        <v>36.251796449274359</v>
      </c>
      <c r="AD268">
        <v>6.7150175312070077</v>
      </c>
      <c r="AE268">
        <v>13.821823156238885</v>
      </c>
      <c r="AF268">
        <v>14.374988775141508</v>
      </c>
      <c r="AG268">
        <v>22.093494880685391</v>
      </c>
      <c r="AH268">
        <v>2.7049644275514702</v>
      </c>
      <c r="AI268">
        <v>1.943110290314537</v>
      </c>
      <c r="AK268">
        <v>39.535665483925605</v>
      </c>
    </row>
    <row r="269" spans="1:37" x14ac:dyDescent="0.2">
      <c r="A269">
        <v>268</v>
      </c>
      <c r="B269">
        <v>774</v>
      </c>
      <c r="C269">
        <v>130</v>
      </c>
      <c r="D269">
        <v>0.46742157284057101</v>
      </c>
      <c r="E269">
        <v>117.35580354022575</v>
      </c>
      <c r="F269">
        <v>55.354092190958973</v>
      </c>
      <c r="G269">
        <v>71.126882634197116</v>
      </c>
      <c r="H269">
        <v>66.564166245225564</v>
      </c>
      <c r="J269">
        <v>43.033179530164432</v>
      </c>
      <c r="L269">
        <v>3.331554174407338</v>
      </c>
      <c r="M269">
        <v>14.762869355995075</v>
      </c>
      <c r="N269">
        <v>2.011709347469373</v>
      </c>
      <c r="O269">
        <v>18.959355185144414</v>
      </c>
      <c r="P269">
        <v>8.7664318313162646</v>
      </c>
      <c r="R269">
        <v>13.421102864839458</v>
      </c>
      <c r="S269">
        <v>40.745777769666567</v>
      </c>
      <c r="U269">
        <v>3.5764587657392983</v>
      </c>
      <c r="V269">
        <v>45.866725252527942</v>
      </c>
      <c r="W269">
        <v>28.777548468969172</v>
      </c>
      <c r="X269">
        <v>44.278610057532468</v>
      </c>
      <c r="Y269">
        <v>4.9342636017217965</v>
      </c>
      <c r="Z269">
        <v>28.974000481960488</v>
      </c>
      <c r="AA269">
        <v>2.4072996724646218</v>
      </c>
      <c r="AB269">
        <v>36.064924763920551</v>
      </c>
      <c r="AD269">
        <v>6.1546042215473351</v>
      </c>
      <c r="AE269">
        <v>13.466212673146746</v>
      </c>
      <c r="AF269">
        <v>14.371436812665982</v>
      </c>
      <c r="AG269">
        <v>21.876946940913374</v>
      </c>
      <c r="AH269">
        <v>1.9216410037306533</v>
      </c>
      <c r="AI269">
        <v>1.946542997353002</v>
      </c>
      <c r="AK269">
        <v>39.300496353848956</v>
      </c>
    </row>
    <row r="270" spans="1:37" x14ac:dyDescent="0.2">
      <c r="A270">
        <v>269</v>
      </c>
      <c r="B270">
        <v>772</v>
      </c>
      <c r="C270">
        <v>130</v>
      </c>
      <c r="D270">
        <v>0.46626847820886702</v>
      </c>
      <c r="E270">
        <v>116.98581585222136</v>
      </c>
      <c r="F270">
        <v>53.593729063391862</v>
      </c>
      <c r="G270">
        <v>70.810824254107558</v>
      </c>
      <c r="H270">
        <v>66.242776753615018</v>
      </c>
      <c r="J270">
        <v>42.643826628795708</v>
      </c>
      <c r="L270">
        <v>2.8388833140222158</v>
      </c>
      <c r="M270">
        <v>14.763417787672584</v>
      </c>
      <c r="N270">
        <v>2.0156707892619106</v>
      </c>
      <c r="O270">
        <v>16.961044715723553</v>
      </c>
      <c r="P270">
        <v>8.1808936282659186</v>
      </c>
      <c r="R270">
        <v>12.712101455519571</v>
      </c>
      <c r="S270">
        <v>39.911159053444628</v>
      </c>
      <c r="U270">
        <v>3.5374649796270132</v>
      </c>
      <c r="V270">
        <v>45.879527411472409</v>
      </c>
      <c r="W270">
        <v>28.334237404559907</v>
      </c>
      <c r="X270">
        <v>44.254362107055321</v>
      </c>
      <c r="Y270">
        <v>4.3882061125059826</v>
      </c>
      <c r="Z270">
        <v>28.006153961111288</v>
      </c>
      <c r="AA270">
        <v>1.9010467268230278</v>
      </c>
      <c r="AB270">
        <v>35.829905108857965</v>
      </c>
      <c r="AD270">
        <v>5.5706466455175443</v>
      </c>
      <c r="AE270">
        <v>13.09881954500359</v>
      </c>
      <c r="AF270">
        <v>14.369713108428021</v>
      </c>
      <c r="AG270">
        <v>21.612258389985467</v>
      </c>
      <c r="AH270">
        <v>1.1035872847615127</v>
      </c>
      <c r="AI270">
        <v>1.9499702006062525</v>
      </c>
      <c r="AK270">
        <v>39.04837551200216</v>
      </c>
    </row>
    <row r="271" spans="1:37" x14ac:dyDescent="0.2">
      <c r="A271">
        <v>270</v>
      </c>
      <c r="B271">
        <v>770</v>
      </c>
      <c r="C271">
        <v>130</v>
      </c>
      <c r="D271">
        <v>0.46511096199012703</v>
      </c>
      <c r="E271">
        <v>116.61021307440967</v>
      </c>
      <c r="F271">
        <v>51.738055578879724</v>
      </c>
      <c r="G271">
        <v>70.475403172797783</v>
      </c>
      <c r="H271">
        <v>65.902075427866805</v>
      </c>
      <c r="J271">
        <v>42.180093794339861</v>
      </c>
      <c r="L271">
        <v>2.3075274891360857</v>
      </c>
      <c r="M271">
        <v>14.764418547585469</v>
      </c>
      <c r="N271">
        <v>2.0196293032500825</v>
      </c>
      <c r="O271">
        <v>14.83706826262606</v>
      </c>
      <c r="P271">
        <v>7.5566565939935533</v>
      </c>
      <c r="R271">
        <v>11.934837834661556</v>
      </c>
      <c r="S271">
        <v>38.914740985321806</v>
      </c>
      <c r="U271">
        <v>3.5120285215869105</v>
      </c>
      <c r="V271">
        <v>45.850503905078206</v>
      </c>
      <c r="W271">
        <v>27.89671417773712</v>
      </c>
      <c r="X271">
        <v>44.270418199538831</v>
      </c>
      <c r="Y271">
        <v>3.8040710168243113</v>
      </c>
      <c r="Z271">
        <v>26.969542060988616</v>
      </c>
      <c r="AA271">
        <v>1.3580173398221231</v>
      </c>
      <c r="AB271">
        <v>35.517075329954345</v>
      </c>
      <c r="AD271">
        <v>4.9430922541713729</v>
      </c>
      <c r="AE271">
        <v>12.705414556109117</v>
      </c>
      <c r="AF271">
        <v>14.368439779235013</v>
      </c>
      <c r="AG271">
        <v>21.269766503199751</v>
      </c>
      <c r="AH271">
        <v>0.2266698680607408</v>
      </c>
      <c r="AI271">
        <v>1.9533912699445781</v>
      </c>
      <c r="AK271">
        <v>38.763786085881414</v>
      </c>
    </row>
    <row r="272" spans="1:37" x14ac:dyDescent="0.2">
      <c r="A272">
        <v>271</v>
      </c>
      <c r="B272">
        <v>768</v>
      </c>
      <c r="C272">
        <v>130</v>
      </c>
      <c r="D272">
        <v>0.46394899870335798</v>
      </c>
      <c r="E272">
        <v>117.52410478101964</v>
      </c>
      <c r="F272">
        <v>52.686666029198733</v>
      </c>
      <c r="G272">
        <v>70.878410964119738</v>
      </c>
      <c r="H272">
        <v>66.299854003629207</v>
      </c>
      <c r="J272">
        <v>32.472973492726595</v>
      </c>
      <c r="L272">
        <v>1.4676839181499599</v>
      </c>
      <c r="M272">
        <v>13.972132318606924</v>
      </c>
      <c r="N272">
        <v>2.0236530468229503</v>
      </c>
      <c r="O272">
        <v>9.6215034211523935</v>
      </c>
      <c r="P272">
        <v>8.4093722078430115</v>
      </c>
      <c r="R272">
        <v>10.612223505650137</v>
      </c>
      <c r="S272">
        <v>35.15109512284193</v>
      </c>
      <c r="U272">
        <v>3.640517311920318</v>
      </c>
      <c r="V272">
        <v>46.094677631337404</v>
      </c>
      <c r="W272">
        <v>26.798934112362325</v>
      </c>
      <c r="X272">
        <v>44.721895874130126</v>
      </c>
      <c r="Y272">
        <v>3.4224700017806686</v>
      </c>
      <c r="Z272">
        <v>23.567820239469363</v>
      </c>
      <c r="AB272">
        <v>32.893128482631717</v>
      </c>
      <c r="AD272">
        <v>3.3312368960148473</v>
      </c>
      <c r="AE272">
        <v>10.321861575666704</v>
      </c>
      <c r="AF272">
        <v>13.573945708695753</v>
      </c>
      <c r="AG272">
        <v>18.616232538558361</v>
      </c>
      <c r="AI272">
        <v>1.9568743480930171</v>
      </c>
      <c r="AK272">
        <v>32.423757714601372</v>
      </c>
    </row>
    <row r="273" spans="1:37" x14ac:dyDescent="0.2">
      <c r="A273">
        <v>272</v>
      </c>
      <c r="B273">
        <v>766</v>
      </c>
      <c r="C273">
        <v>130</v>
      </c>
      <c r="D273">
        <v>0.46278256267141699</v>
      </c>
      <c r="E273">
        <v>118.07937449351317</v>
      </c>
      <c r="F273">
        <v>52.844707868276807</v>
      </c>
      <c r="G273">
        <v>70.981499407046968</v>
      </c>
      <c r="H273">
        <v>66.397764422294244</v>
      </c>
      <c r="J273">
        <v>27.028834865934417</v>
      </c>
      <c r="L273">
        <v>1.505726568895825</v>
      </c>
      <c r="M273">
        <v>13.067786551525669</v>
      </c>
      <c r="N273">
        <v>2.027665768981628</v>
      </c>
      <c r="O273">
        <v>9.3510151109966237</v>
      </c>
      <c r="P273">
        <v>8.6622679519725736</v>
      </c>
      <c r="R273">
        <v>9.9809769192970688</v>
      </c>
      <c r="S273">
        <v>35.262104423155407</v>
      </c>
      <c r="U273">
        <v>3.6561340595177123</v>
      </c>
      <c r="V273">
        <v>47.08912686764522</v>
      </c>
      <c r="W273">
        <v>25.6874451708481</v>
      </c>
      <c r="X273">
        <v>44.848503506695977</v>
      </c>
      <c r="Y273">
        <v>3.4136876685285564</v>
      </c>
      <c r="Z273">
        <v>21.036375823708305</v>
      </c>
      <c r="AB273">
        <v>31.860733641946293</v>
      </c>
      <c r="AD273">
        <v>2.0945569960465371</v>
      </c>
      <c r="AE273">
        <v>8.7647379403609165</v>
      </c>
      <c r="AF273">
        <v>12.667382140138132</v>
      </c>
      <c r="AG273">
        <v>17.554249365591261</v>
      </c>
      <c r="AI273">
        <v>1.9603431693806277</v>
      </c>
      <c r="AK273">
        <v>28.670531768674188</v>
      </c>
    </row>
    <row r="274" spans="1:37" x14ac:dyDescent="0.2">
      <c r="A274">
        <v>273</v>
      </c>
      <c r="B274">
        <v>764</v>
      </c>
      <c r="C274">
        <v>130</v>
      </c>
      <c r="D274">
        <v>0.461611628019092</v>
      </c>
      <c r="E274">
        <v>118.47720067400687</v>
      </c>
      <c r="F274">
        <v>53.233515623164315</v>
      </c>
      <c r="G274">
        <v>71.027176229438794</v>
      </c>
      <c r="H274">
        <v>66.438314574764149</v>
      </c>
      <c r="J274">
        <v>23.953628124072939</v>
      </c>
      <c r="L274">
        <v>1.5342920334677692</v>
      </c>
      <c r="M274">
        <v>12.289426172178317</v>
      </c>
      <c r="N274">
        <v>2.0316708944992259</v>
      </c>
      <c r="O274">
        <v>9.1337293507392641</v>
      </c>
      <c r="P274">
        <v>8.8003628830491039</v>
      </c>
      <c r="R274">
        <v>9.4216087556945745</v>
      </c>
      <c r="S274">
        <v>35.621615495861377</v>
      </c>
      <c r="U274">
        <v>3.6349642991210178</v>
      </c>
      <c r="V274">
        <v>48.040632814231714</v>
      </c>
      <c r="W274">
        <v>24.724684479697192</v>
      </c>
      <c r="X274">
        <v>44.870318896590426</v>
      </c>
      <c r="Y274">
        <v>3.3826119655711926</v>
      </c>
      <c r="Z274">
        <v>19.659489582685271</v>
      </c>
      <c r="AB274">
        <v>31.614695025393342</v>
      </c>
      <c r="AD274">
        <v>1.4011273317214006</v>
      </c>
      <c r="AE274">
        <v>7.9254909788711316</v>
      </c>
      <c r="AF274">
        <v>11.886797467912718</v>
      </c>
      <c r="AG274">
        <v>17.278624672330963</v>
      </c>
      <c r="AI274">
        <v>1.9638011439017116</v>
      </c>
      <c r="AK274">
        <v>26.473622050700872</v>
      </c>
    </row>
    <row r="275" spans="1:37" x14ac:dyDescent="0.2">
      <c r="A275">
        <v>274</v>
      </c>
      <c r="B275">
        <v>762</v>
      </c>
      <c r="C275">
        <v>130</v>
      </c>
      <c r="D275">
        <v>0.46043616867121101</v>
      </c>
      <c r="E275">
        <v>118.78949259804006</v>
      </c>
      <c r="F275">
        <v>53.653384107864177</v>
      </c>
      <c r="G275">
        <v>71.047396369810613</v>
      </c>
      <c r="H275">
        <v>66.453459563226829</v>
      </c>
      <c r="J275">
        <v>21.903234150311793</v>
      </c>
      <c r="L275">
        <v>1.5573396600426312</v>
      </c>
      <c r="M275">
        <v>11.606316036010467</v>
      </c>
      <c r="N275">
        <v>2.0356704553438347</v>
      </c>
      <c r="O275">
        <v>8.94052818476837</v>
      </c>
      <c r="P275">
        <v>8.8875690872178534</v>
      </c>
      <c r="R275">
        <v>8.9161097179955107</v>
      </c>
      <c r="S275">
        <v>36.010521221799188</v>
      </c>
      <c r="U275">
        <v>3.601171275456942</v>
      </c>
      <c r="V275">
        <v>48.896908528085831</v>
      </c>
      <c r="W275">
        <v>23.864725566993698</v>
      </c>
      <c r="X275">
        <v>44.856894152283139</v>
      </c>
      <c r="Y275">
        <v>3.3475470749743805</v>
      </c>
      <c r="Z275">
        <v>18.738540362176334</v>
      </c>
      <c r="AB275">
        <v>31.614929521613359</v>
      </c>
      <c r="AD275">
        <v>0.92675109231895436</v>
      </c>
      <c r="AE275">
        <v>7.3647278319748679</v>
      </c>
      <c r="AF275">
        <v>11.201458623366827</v>
      </c>
      <c r="AG275">
        <v>17.249277425433323</v>
      </c>
      <c r="AI275">
        <v>1.9672502889381018</v>
      </c>
      <c r="AK275">
        <v>24.970512318510732</v>
      </c>
    </row>
    <row r="276" spans="1:37" x14ac:dyDescent="0.2">
      <c r="A276">
        <v>275</v>
      </c>
      <c r="B276">
        <v>760</v>
      </c>
      <c r="C276">
        <v>130</v>
      </c>
      <c r="D276">
        <v>0.45925615835067601</v>
      </c>
      <c r="E276">
        <v>119.04799230475051</v>
      </c>
      <c r="F276">
        <v>54.06247867717169</v>
      </c>
      <c r="G276">
        <v>71.053948079557799</v>
      </c>
      <c r="H276">
        <v>66.45498780338157</v>
      </c>
      <c r="J276">
        <v>20.401400106640793</v>
      </c>
      <c r="L276">
        <v>1.576916464748283</v>
      </c>
      <c r="M276">
        <v>10.99211896607147</v>
      </c>
      <c r="N276">
        <v>2.0396658984437015</v>
      </c>
      <c r="O276">
        <v>8.7602830003361998</v>
      </c>
      <c r="P276">
        <v>8.9474646923242442</v>
      </c>
      <c r="R276">
        <v>8.4508930228234611</v>
      </c>
      <c r="S276">
        <v>36.387758045043789</v>
      </c>
      <c r="U276">
        <v>3.5614249272202052</v>
      </c>
      <c r="V276">
        <v>49.671343685211163</v>
      </c>
      <c r="W276">
        <v>23.077136756510587</v>
      </c>
      <c r="X276">
        <v>44.827417787538117</v>
      </c>
      <c r="Y276">
        <v>3.3128277529548731</v>
      </c>
      <c r="Z276">
        <v>18.044610806196282</v>
      </c>
      <c r="AB276">
        <v>31.712424086328898</v>
      </c>
      <c r="AD276">
        <v>0.56334915557353427</v>
      </c>
      <c r="AE276">
        <v>6.9417618838290318</v>
      </c>
      <c r="AF276">
        <v>10.585029920613783</v>
      </c>
      <c r="AG276">
        <v>17.317196073892806</v>
      </c>
      <c r="AI276">
        <v>1.9706920367260823</v>
      </c>
      <c r="AK276">
        <v>23.846476098252634</v>
      </c>
    </row>
    <row r="277" spans="1:37" x14ac:dyDescent="0.2">
      <c r="A277">
        <v>276</v>
      </c>
      <c r="B277">
        <v>758</v>
      </c>
      <c r="C277">
        <v>130</v>
      </c>
      <c r="D277">
        <v>0.45807157057654202</v>
      </c>
      <c r="E277">
        <v>119.26913837635078</v>
      </c>
      <c r="F277">
        <v>54.451210959333871</v>
      </c>
      <c r="G277">
        <v>71.052140949448528</v>
      </c>
      <c r="H277">
        <v>66.448209050937976</v>
      </c>
      <c r="J277">
        <v>19.235567273367256</v>
      </c>
      <c r="L277">
        <v>1.5940672267903393</v>
      </c>
      <c r="M277">
        <v>10.429774537509836</v>
      </c>
      <c r="N277">
        <v>2.0436581008978214</v>
      </c>
      <c r="O277">
        <v>8.5880309344045536</v>
      </c>
      <c r="P277">
        <v>8.990669936116646</v>
      </c>
      <c r="R277">
        <v>8.0169509755401229</v>
      </c>
      <c r="S277">
        <v>36.744774740440128</v>
      </c>
      <c r="U277">
        <v>3.5182810802364286</v>
      </c>
      <c r="V277">
        <v>50.379658708599372</v>
      </c>
      <c r="W277">
        <v>22.343308380257508</v>
      </c>
      <c r="X277">
        <v>44.789237681168956</v>
      </c>
      <c r="Y277">
        <v>3.2796175303931423</v>
      </c>
      <c r="Z277">
        <v>17.48181713790748</v>
      </c>
      <c r="AB277">
        <v>31.852863550704509</v>
      </c>
      <c r="AD277">
        <v>0.26506313208443644</v>
      </c>
      <c r="AE277">
        <v>6.5981968257693913</v>
      </c>
      <c r="AF277">
        <v>10.020451856235891</v>
      </c>
      <c r="AG277">
        <v>17.428066372610211</v>
      </c>
      <c r="AI277">
        <v>1.9741272496667484</v>
      </c>
      <c r="AK277">
        <v>22.958447323893378</v>
      </c>
    </row>
    <row r="278" spans="1:37" x14ac:dyDescent="0.2">
      <c r="A278">
        <v>277</v>
      </c>
      <c r="B278">
        <v>756</v>
      </c>
      <c r="C278">
        <v>130</v>
      </c>
      <c r="D278">
        <v>0.45688237866200498</v>
      </c>
      <c r="E278">
        <v>119.46256371001181</v>
      </c>
      <c r="F278">
        <v>54.818336509418614</v>
      </c>
      <c r="G278">
        <v>71.044751422231386</v>
      </c>
      <c r="H278">
        <v>66.435899914224478</v>
      </c>
      <c r="J278">
        <v>18.294684394475567</v>
      </c>
      <c r="L278">
        <v>1.6095846435462917</v>
      </c>
      <c r="M278">
        <v>9.9080072645617765</v>
      </c>
      <c r="N278">
        <v>2.0476476258328344</v>
      </c>
      <c r="O278">
        <v>8.4212333803174779</v>
      </c>
      <c r="P278">
        <v>9.0227384473214602</v>
      </c>
      <c r="R278">
        <v>7.6081571730936766</v>
      </c>
      <c r="S278">
        <v>37.080894063034954</v>
      </c>
      <c r="U278">
        <v>3.4729393083375677</v>
      </c>
      <c r="V278">
        <v>51.034152840881326</v>
      </c>
      <c r="W278">
        <v>21.651244689808806</v>
      </c>
      <c r="X278">
        <v>44.745799165986945</v>
      </c>
      <c r="Y278">
        <v>3.2481828967284248</v>
      </c>
      <c r="Z278">
        <v>17.002583536162025</v>
      </c>
      <c r="AB278">
        <v>32.012685172185371</v>
      </c>
      <c r="AD278">
        <v>8.8826934853804603E-3</v>
      </c>
      <c r="AE278">
        <v>6.3051917163590074</v>
      </c>
      <c r="AF278">
        <v>9.4964495521296328</v>
      </c>
      <c r="AG278">
        <v>17.558326189087751</v>
      </c>
      <c r="AI278">
        <v>1.9775564761841828</v>
      </c>
      <c r="AK278">
        <v>22.230632652236334</v>
      </c>
    </row>
    <row r="279" spans="1:37" x14ac:dyDescent="0.2">
      <c r="A279">
        <v>278</v>
      </c>
      <c r="B279">
        <v>754</v>
      </c>
      <c r="C279">
        <v>130</v>
      </c>
      <c r="D279">
        <v>0.45568855571240902</v>
      </c>
      <c r="E279">
        <v>119.58530502910554</v>
      </c>
      <c r="F279">
        <v>55.500241909110862</v>
      </c>
      <c r="G279">
        <v>70.970790859356498</v>
      </c>
      <c r="H279">
        <v>66.357071920915473</v>
      </c>
      <c r="J279">
        <v>17.445651296148252</v>
      </c>
      <c r="L279">
        <v>1.6204081904605845</v>
      </c>
      <c r="M279">
        <v>9.3934094905655918</v>
      </c>
      <c r="N279">
        <v>2.0516330086323493</v>
      </c>
      <c r="O279">
        <v>8.3657644006757419</v>
      </c>
      <c r="P279">
        <v>8.9216916653247509</v>
      </c>
      <c r="R279">
        <v>7.1445605884508838</v>
      </c>
      <c r="S279">
        <v>37.476294257615798</v>
      </c>
      <c r="U279">
        <v>3.4267016007967599</v>
      </c>
      <c r="V279">
        <v>51.671208349123944</v>
      </c>
      <c r="W279">
        <v>20.966828316874274</v>
      </c>
      <c r="X279">
        <v>44.700851426900208</v>
      </c>
      <c r="Y279">
        <v>3.1854342412071226</v>
      </c>
      <c r="Z279">
        <v>17.640312491424318</v>
      </c>
      <c r="AB279">
        <v>32.824323395239496</v>
      </c>
      <c r="AE279">
        <v>6.6680282860491538</v>
      </c>
      <c r="AF279">
        <v>8.979613931754507</v>
      </c>
      <c r="AG279">
        <v>18.340408550407318</v>
      </c>
      <c r="AI279">
        <v>1.9809782369539666</v>
      </c>
      <c r="AK279">
        <v>21.565248627742012</v>
      </c>
    </row>
    <row r="280" spans="1:37" x14ac:dyDescent="0.2">
      <c r="A280">
        <v>279</v>
      </c>
      <c r="B280">
        <v>752</v>
      </c>
      <c r="C280">
        <v>130</v>
      </c>
      <c r="D280">
        <v>0.45449007462322599</v>
      </c>
      <c r="E280">
        <v>119.71906262046916</v>
      </c>
      <c r="F280">
        <v>55.962005319354766</v>
      </c>
      <c r="G280">
        <v>70.931061775540925</v>
      </c>
      <c r="H280">
        <v>66.312527752600602</v>
      </c>
      <c r="J280">
        <v>16.76213809200938</v>
      </c>
      <c r="L280">
        <v>1.632341905843492</v>
      </c>
      <c r="M280">
        <v>8.9226377652884032</v>
      </c>
      <c r="N280">
        <v>2.0556177032826195</v>
      </c>
      <c r="O280">
        <v>8.2520348456074508</v>
      </c>
      <c r="P280">
        <v>8.8891382556584855</v>
      </c>
      <c r="R280">
        <v>6.7450206383855136</v>
      </c>
      <c r="S280">
        <v>37.807989596657265</v>
      </c>
      <c r="U280">
        <v>3.3788072240791154</v>
      </c>
      <c r="V280">
        <v>52.252862065185354</v>
      </c>
      <c r="W280">
        <v>20.327066308986044</v>
      </c>
      <c r="X280">
        <v>44.652184648886106</v>
      </c>
      <c r="Y280">
        <v>3.1449165261053262</v>
      </c>
      <c r="Z280">
        <v>17.689728712282491</v>
      </c>
      <c r="AB280">
        <v>33.253879808613171</v>
      </c>
      <c r="AE280">
        <v>6.6859694189138352</v>
      </c>
      <c r="AF280">
        <v>8.5066050438004464</v>
      </c>
      <c r="AG280">
        <v>18.740418546835706</v>
      </c>
      <c r="AI280">
        <v>1.9843959712508326</v>
      </c>
      <c r="AK280">
        <v>21.022461678204319</v>
      </c>
    </row>
    <row r="281" spans="1:37" x14ac:dyDescent="0.2">
      <c r="A281">
        <v>280</v>
      </c>
      <c r="B281">
        <v>792</v>
      </c>
      <c r="C281">
        <v>120</v>
      </c>
      <c r="D281">
        <v>0.48793174670234402</v>
      </c>
      <c r="E281">
        <v>113.45009407470471</v>
      </c>
      <c r="F281">
        <v>62.673443829979945</v>
      </c>
      <c r="G281">
        <v>72.493687128846275</v>
      </c>
      <c r="H281">
        <v>67.980912828956932</v>
      </c>
      <c r="J281">
        <v>43.76435385465205</v>
      </c>
      <c r="L281">
        <v>5.2602064461553306</v>
      </c>
      <c r="M281">
        <v>14.899241215137186</v>
      </c>
      <c r="N281">
        <v>2.1252944448654141</v>
      </c>
      <c r="O281">
        <v>28.471071221791917</v>
      </c>
      <c r="P281">
        <v>11.175027753226367</v>
      </c>
      <c r="Q281">
        <v>3.0604512541716419E-2</v>
      </c>
      <c r="R281">
        <v>16.59436916184729</v>
      </c>
      <c r="S281">
        <v>44.60941204574506</v>
      </c>
      <c r="U281">
        <v>4.1858871802081676</v>
      </c>
      <c r="V281">
        <v>45.594471196791901</v>
      </c>
      <c r="W281">
        <v>31.865760283047496</v>
      </c>
      <c r="X281">
        <v>44.140582615331738</v>
      </c>
      <c r="Y281">
        <v>6.9835054270404324</v>
      </c>
      <c r="Z281">
        <v>33.243359641500682</v>
      </c>
      <c r="AA281">
        <v>4.4373680824875041</v>
      </c>
      <c r="AB281">
        <v>37.282792490022558</v>
      </c>
      <c r="AC281">
        <v>0.18574868152556676</v>
      </c>
      <c r="AD281">
        <v>8.5166774767661177</v>
      </c>
      <c r="AE281">
        <v>15.384973635499597</v>
      </c>
      <c r="AF281">
        <v>14.708437575990329</v>
      </c>
      <c r="AG281">
        <v>23.55421156325939</v>
      </c>
      <c r="AH281">
        <v>4.7830619139886741</v>
      </c>
      <c r="AI281">
        <v>2.0636270460492065</v>
      </c>
      <c r="AK281">
        <v>39.414473186862743</v>
      </c>
    </row>
    <row r="282" spans="1:37" x14ac:dyDescent="0.2">
      <c r="A282">
        <v>281</v>
      </c>
      <c r="B282">
        <v>790</v>
      </c>
      <c r="C282">
        <v>120</v>
      </c>
      <c r="D282">
        <v>0.486836758688802</v>
      </c>
      <c r="E282">
        <v>113.24838265020695</v>
      </c>
      <c r="F282">
        <v>61.928996426676363</v>
      </c>
      <c r="G282">
        <v>72.36143284514813</v>
      </c>
      <c r="H282">
        <v>67.842868612228756</v>
      </c>
      <c r="J282">
        <v>43.703998476750471</v>
      </c>
      <c r="L282">
        <v>5.0686478447933183</v>
      </c>
      <c r="M282">
        <v>14.886398760812011</v>
      </c>
      <c r="N282">
        <v>2.1005740511277406</v>
      </c>
      <c r="O282">
        <v>27.535376177970235</v>
      </c>
      <c r="P282">
        <v>10.928150581040587</v>
      </c>
      <c r="R282">
        <v>16.284546874719837</v>
      </c>
      <c r="S282">
        <v>44.254817614673328</v>
      </c>
      <c r="U282">
        <v>4.1296533418911245</v>
      </c>
      <c r="V282">
        <v>45.606740782740452</v>
      </c>
      <c r="W282">
        <v>31.599020672427713</v>
      </c>
      <c r="X282">
        <v>44.082546599933615</v>
      </c>
      <c r="Y282">
        <v>6.7809719956164738</v>
      </c>
      <c r="Z282">
        <v>32.830461359865375</v>
      </c>
      <c r="AA282">
        <v>4.2355464441771762</v>
      </c>
      <c r="AB282">
        <v>37.178892158607788</v>
      </c>
      <c r="AC282">
        <v>0.15704351740059896</v>
      </c>
      <c r="AD282">
        <v>8.2944678554482678</v>
      </c>
      <c r="AE282">
        <v>15.203185189763431</v>
      </c>
      <c r="AF282">
        <v>14.66463132497295</v>
      </c>
      <c r="AG282">
        <v>23.391901352369718</v>
      </c>
      <c r="AH282">
        <v>4.5018680662956543</v>
      </c>
      <c r="AI282">
        <v>2.0384015125820598</v>
      </c>
      <c r="AK282">
        <v>39.40191855270983</v>
      </c>
    </row>
    <row r="283" spans="1:37" x14ac:dyDescent="0.2">
      <c r="A283">
        <v>282</v>
      </c>
      <c r="B283">
        <v>788</v>
      </c>
      <c r="C283">
        <v>120</v>
      </c>
      <c r="D283">
        <v>0.48573764312303003</v>
      </c>
      <c r="E283">
        <v>113.04655171596507</v>
      </c>
      <c r="F283">
        <v>61.126879398361275</v>
      </c>
      <c r="G283">
        <v>72.217226264502614</v>
      </c>
      <c r="H283">
        <v>67.692921540650303</v>
      </c>
      <c r="J283">
        <v>43.654261008471067</v>
      </c>
      <c r="L283">
        <v>4.8526657072252526</v>
      </c>
      <c r="M283">
        <v>14.907251480290549</v>
      </c>
      <c r="N283">
        <v>2.0704709571394675</v>
      </c>
      <c r="O283">
        <v>26.496442025226628</v>
      </c>
      <c r="P283">
        <v>10.652014082234084</v>
      </c>
      <c r="R283">
        <v>15.981708589133953</v>
      </c>
      <c r="S283">
        <v>44.02142432457083</v>
      </c>
      <c r="U283">
        <v>4.1014173317057967</v>
      </c>
      <c r="V283">
        <v>45.682315916400114</v>
      </c>
      <c r="W283">
        <v>31.363351166059079</v>
      </c>
      <c r="X283">
        <v>44.117518567829357</v>
      </c>
      <c r="Y283">
        <v>6.5521018159466786</v>
      </c>
      <c r="Z283">
        <v>32.383501605578644</v>
      </c>
      <c r="AA283">
        <v>4.0077056465358041</v>
      </c>
      <c r="AB283">
        <v>37.122188088264146</v>
      </c>
      <c r="AC283">
        <v>0.12295628344298559</v>
      </c>
      <c r="AD283">
        <v>8.0514042313686272</v>
      </c>
      <c r="AE283">
        <v>15.01056484288117</v>
      </c>
      <c r="AF283">
        <v>14.649138150369504</v>
      </c>
      <c r="AG283">
        <v>23.27141402384083</v>
      </c>
      <c r="AH283">
        <v>4.1883887662707551</v>
      </c>
      <c r="AI283">
        <v>2.0077902043079559</v>
      </c>
      <c r="AK283">
        <v>39.376948085429241</v>
      </c>
    </row>
    <row r="284" spans="1:37" x14ac:dyDescent="0.2">
      <c r="A284">
        <v>283</v>
      </c>
      <c r="B284">
        <v>786</v>
      </c>
      <c r="C284">
        <v>120</v>
      </c>
      <c r="D284">
        <v>0.48463437662276798</v>
      </c>
      <c r="E284">
        <v>112.8463729316603</v>
      </c>
      <c r="F284">
        <v>60.329067579595097</v>
      </c>
      <c r="G284">
        <v>72.073125339686655</v>
      </c>
      <c r="H284">
        <v>67.543129723357282</v>
      </c>
      <c r="J284">
        <v>43.603243076582139</v>
      </c>
      <c r="L284">
        <v>4.6359886859546098</v>
      </c>
      <c r="M284">
        <v>14.928577325243152</v>
      </c>
      <c r="N284">
        <v>2.040325727819996</v>
      </c>
      <c r="O284">
        <v>25.458708722594675</v>
      </c>
      <c r="P284">
        <v>10.37607489319983</v>
      </c>
      <c r="R284">
        <v>15.67636385850196</v>
      </c>
      <c r="S284">
        <v>43.780147815449062</v>
      </c>
      <c r="U284">
        <v>4.0745939734070271</v>
      </c>
      <c r="V284">
        <v>45.754095693533593</v>
      </c>
      <c r="W284">
        <v>31.129570910496742</v>
      </c>
      <c r="X284">
        <v>44.157546567701154</v>
      </c>
      <c r="Y284">
        <v>6.3231949243728796</v>
      </c>
      <c r="Z284">
        <v>31.937833323777905</v>
      </c>
      <c r="AA284">
        <v>3.7798031055941537</v>
      </c>
      <c r="AB284">
        <v>37.060957217672673</v>
      </c>
      <c r="AC284">
        <v>8.882754109864574E-2</v>
      </c>
      <c r="AD284">
        <v>7.8083456616493798</v>
      </c>
      <c r="AE284">
        <v>14.818688898073974</v>
      </c>
      <c r="AF284">
        <v>14.634076610385195</v>
      </c>
      <c r="AG284">
        <v>23.146367123996868</v>
      </c>
      <c r="AH284">
        <v>3.8747250367541404</v>
      </c>
      <c r="AI284">
        <v>1.9771336715719148</v>
      </c>
      <c r="AK284">
        <v>39.352729609706536</v>
      </c>
    </row>
    <row r="285" spans="1:37" x14ac:dyDescent="0.2">
      <c r="A285">
        <v>284</v>
      </c>
      <c r="B285">
        <v>784</v>
      </c>
      <c r="C285">
        <v>120</v>
      </c>
      <c r="D285">
        <v>0.48352693562881199</v>
      </c>
      <c r="E285">
        <v>112.64785574440137</v>
      </c>
      <c r="F285">
        <v>59.535684119159775</v>
      </c>
      <c r="G285">
        <v>71.929169132548409</v>
      </c>
      <c r="H285">
        <v>67.393532379147629</v>
      </c>
      <c r="J285">
        <v>43.550899848414701</v>
      </c>
      <c r="L285">
        <v>4.418772540467824</v>
      </c>
      <c r="M285">
        <v>14.950326107365658</v>
      </c>
      <c r="N285">
        <v>2.0101431906460157</v>
      </c>
      <c r="O285">
        <v>24.422394187602123</v>
      </c>
      <c r="P285">
        <v>10.100416131932308</v>
      </c>
      <c r="R285">
        <v>15.368652875187774</v>
      </c>
      <c r="S285">
        <v>43.530710856210327</v>
      </c>
      <c r="U285">
        <v>4.0491301043732246</v>
      </c>
      <c r="V285">
        <v>45.821985036840935</v>
      </c>
      <c r="W285">
        <v>30.89767123349429</v>
      </c>
      <c r="X285">
        <v>44.202473710875992</v>
      </c>
      <c r="Y285">
        <v>6.0943207284377712</v>
      </c>
      <c r="Z285">
        <v>31.493477541618113</v>
      </c>
      <c r="AA285">
        <v>3.5519842009684797</v>
      </c>
      <c r="AB285">
        <v>36.995032079111851</v>
      </c>
      <c r="AC285">
        <v>5.466211436519617E-2</v>
      </c>
      <c r="AD285">
        <v>7.5653330567257164</v>
      </c>
      <c r="AE285">
        <v>14.627534544093418</v>
      </c>
      <c r="AF285">
        <v>14.619401385998106</v>
      </c>
      <c r="AG285">
        <v>23.016598055582527</v>
      </c>
      <c r="AH285">
        <v>3.5609909184727817</v>
      </c>
      <c r="AI285">
        <v>1.9464367272648331</v>
      </c>
      <c r="AK285">
        <v>39.329281930262326</v>
      </c>
    </row>
    <row r="286" spans="1:37" x14ac:dyDescent="0.2">
      <c r="A286">
        <v>285</v>
      </c>
      <c r="B286">
        <v>782</v>
      </c>
      <c r="C286">
        <v>120</v>
      </c>
      <c r="D286">
        <v>0.48241529640335601</v>
      </c>
      <c r="E286">
        <v>112.45100719162895</v>
      </c>
      <c r="F286">
        <v>58.746844734299415</v>
      </c>
      <c r="G286">
        <v>71.785396491953563</v>
      </c>
      <c r="H286">
        <v>67.244168514429987</v>
      </c>
      <c r="J286">
        <v>43.49719693570939</v>
      </c>
      <c r="L286">
        <v>4.2009915176089487</v>
      </c>
      <c r="M286">
        <v>14.972445760752651</v>
      </c>
      <c r="N286">
        <v>1.9799282250245287</v>
      </c>
      <c r="O286">
        <v>23.387714504597067</v>
      </c>
      <c r="P286">
        <v>9.8251205433006863</v>
      </c>
      <c r="R286">
        <v>15.058717630021047</v>
      </c>
      <c r="S286">
        <v>43.272879119185724</v>
      </c>
      <c r="U286">
        <v>4.0249693888099802</v>
      </c>
      <c r="V286">
        <v>45.885905791473768</v>
      </c>
      <c r="W286">
        <v>30.66764019125408</v>
      </c>
      <c r="X286">
        <v>44.252133595889504</v>
      </c>
      <c r="Y286">
        <v>5.8655485918257941</v>
      </c>
      <c r="Z286">
        <v>31.050451376602943</v>
      </c>
      <c r="AA286">
        <v>3.3241523907710433</v>
      </c>
      <c r="AB286">
        <v>36.924267457884334</v>
      </c>
      <c r="AC286">
        <v>2.0464879165910971E-2</v>
      </c>
      <c r="AD286">
        <v>7.3224046050351275</v>
      </c>
      <c r="AE286">
        <v>14.437076891062548</v>
      </c>
      <c r="AF286">
        <v>14.605065332704671</v>
      </c>
      <c r="AG286">
        <v>22.881966526563311</v>
      </c>
      <c r="AH286">
        <v>3.2472996479595815</v>
      </c>
      <c r="AI286">
        <v>1.9157042361966288</v>
      </c>
      <c r="AK286">
        <v>39.306622699443352</v>
      </c>
    </row>
    <row r="287" spans="1:37" x14ac:dyDescent="0.2">
      <c r="A287">
        <v>286</v>
      </c>
      <c r="B287">
        <v>780</v>
      </c>
      <c r="C287">
        <v>120</v>
      </c>
      <c r="D287">
        <v>0.48129943502824801</v>
      </c>
      <c r="E287">
        <v>112.18872109270971</v>
      </c>
      <c r="F287">
        <v>57.608282582410332</v>
      </c>
      <c r="G287">
        <v>71.580743260900434</v>
      </c>
      <c r="H287">
        <v>67.033974130344049</v>
      </c>
      <c r="J287">
        <v>43.332979908408944</v>
      </c>
      <c r="L287">
        <v>3.8885102510901888</v>
      </c>
      <c r="M287">
        <v>14.984950797195422</v>
      </c>
      <c r="N287">
        <v>1.9631331135647212</v>
      </c>
      <c r="O287">
        <v>22.016311301687669</v>
      </c>
      <c r="P287">
        <v>9.4415122645572609</v>
      </c>
      <c r="R287">
        <v>14.614172073055999</v>
      </c>
      <c r="S287">
        <v>42.834557675856438</v>
      </c>
      <c r="U287">
        <v>3.990191466440201</v>
      </c>
      <c r="V287">
        <v>45.941127898668817</v>
      </c>
      <c r="W287">
        <v>30.350953886773425</v>
      </c>
      <c r="X287">
        <v>44.2589726574342</v>
      </c>
      <c r="Y287">
        <v>5.5252890476433878</v>
      </c>
      <c r="Z287">
        <v>30.421235987803275</v>
      </c>
      <c r="AA287">
        <v>2.9995532609700093</v>
      </c>
      <c r="AB287">
        <v>36.809489822752603</v>
      </c>
      <c r="AD287">
        <v>6.9593782296750035</v>
      </c>
      <c r="AE287">
        <v>14.183549135073672</v>
      </c>
      <c r="AF287">
        <v>14.594535287088927</v>
      </c>
      <c r="AG287">
        <v>22.716751331838811</v>
      </c>
      <c r="AH287">
        <v>2.7559815830188192</v>
      </c>
      <c r="AI287">
        <v>1.8983884663689257</v>
      </c>
      <c r="AK287">
        <v>39.203787132070509</v>
      </c>
    </row>
    <row r="288" spans="1:37" x14ac:dyDescent="0.2">
      <c r="A288">
        <v>287</v>
      </c>
      <c r="B288">
        <v>778</v>
      </c>
      <c r="C288">
        <v>120</v>
      </c>
      <c r="D288">
        <v>0.48017932740332298</v>
      </c>
      <c r="E288">
        <v>111.82352559959007</v>
      </c>
      <c r="F288">
        <v>55.901848533077349</v>
      </c>
      <c r="G288">
        <v>71.275925948770322</v>
      </c>
      <c r="H288">
        <v>66.72366589501182</v>
      </c>
      <c r="J288">
        <v>42.97743472063096</v>
      </c>
      <c r="L288">
        <v>3.4179759937174348</v>
      </c>
      <c r="M288">
        <v>14.983568875836548</v>
      </c>
      <c r="N288">
        <v>1.9670995900992043</v>
      </c>
      <c r="O288">
        <v>20.086488396328981</v>
      </c>
      <c r="P288">
        <v>8.8783662178610658</v>
      </c>
      <c r="R288">
        <v>13.941252621626838</v>
      </c>
      <c r="S288">
        <v>42.072592651234771</v>
      </c>
      <c r="U288">
        <v>3.94396746556346</v>
      </c>
      <c r="V288">
        <v>45.971808749183964</v>
      </c>
      <c r="W288">
        <v>29.902467725175189</v>
      </c>
      <c r="X288">
        <v>44.213535778507577</v>
      </c>
      <c r="Y288">
        <v>5.001243644649171</v>
      </c>
      <c r="Z288">
        <v>29.486761127485245</v>
      </c>
      <c r="AA288">
        <v>2.5142766533232206</v>
      </c>
      <c r="AB288">
        <v>36.606701449640624</v>
      </c>
      <c r="AD288">
        <v>6.399288237970592</v>
      </c>
      <c r="AE288">
        <v>13.826912616116463</v>
      </c>
      <c r="AF288">
        <v>14.590880684501933</v>
      </c>
      <c r="AG288">
        <v>22.484296524963611</v>
      </c>
      <c r="AH288">
        <v>1.9722880575433157</v>
      </c>
      <c r="AI288">
        <v>1.9018311369948993</v>
      </c>
      <c r="AK288">
        <v>38.968220847888027</v>
      </c>
    </row>
    <row r="289" spans="1:37" x14ac:dyDescent="0.2">
      <c r="A289">
        <v>288</v>
      </c>
      <c r="B289">
        <v>776</v>
      </c>
      <c r="C289">
        <v>120</v>
      </c>
      <c r="D289">
        <v>0.47905494924462999</v>
      </c>
      <c r="E289">
        <v>111.4568747579288</v>
      </c>
      <c r="F289">
        <v>54.144318513094397</v>
      </c>
      <c r="G289">
        <v>70.959365599474268</v>
      </c>
      <c r="H289">
        <v>66.401665011689403</v>
      </c>
      <c r="J289">
        <v>42.576528552762902</v>
      </c>
      <c r="L289">
        <v>2.9235253025701424</v>
      </c>
      <c r="M289">
        <v>14.983612245840359</v>
      </c>
      <c r="N289">
        <v>1.9710637391338928</v>
      </c>
      <c r="O289">
        <v>18.082255788594079</v>
      </c>
      <c r="P289">
        <v>8.2917607460307554</v>
      </c>
      <c r="R289">
        <v>13.224668332623894</v>
      </c>
      <c r="S289">
        <v>41.204712912140288</v>
      </c>
      <c r="U289">
        <v>3.9083359779444411</v>
      </c>
      <c r="V289">
        <v>45.973421918178289</v>
      </c>
      <c r="W289">
        <v>29.460056827586428</v>
      </c>
      <c r="X289">
        <v>44.199824337036141</v>
      </c>
      <c r="Y289">
        <v>4.454223429317655</v>
      </c>
      <c r="Z289">
        <v>28.515074873098516</v>
      </c>
      <c r="AA289">
        <v>2.0067757567626541</v>
      </c>
      <c r="AB289">
        <v>36.353350806138543</v>
      </c>
      <c r="AD289">
        <v>5.8144313895278579</v>
      </c>
      <c r="AE289">
        <v>13.457299637475636</v>
      </c>
      <c r="AF289">
        <v>14.588649901182132</v>
      </c>
      <c r="AG289">
        <v>22.201286702106277</v>
      </c>
      <c r="AH289">
        <v>1.1528500212042392</v>
      </c>
      <c r="AI289">
        <v>1.9052683179522969</v>
      </c>
      <c r="AK289">
        <v>38.714793993659434</v>
      </c>
    </row>
    <row r="290" spans="1:37" x14ac:dyDescent="0.2">
      <c r="A290">
        <v>289</v>
      </c>
      <c r="B290">
        <v>774</v>
      </c>
      <c r="C290">
        <v>120</v>
      </c>
      <c r="D290">
        <v>0.47792627608270499</v>
      </c>
      <c r="E290">
        <v>111.0841406128181</v>
      </c>
      <c r="F290">
        <v>52.285938278487599</v>
      </c>
      <c r="G290">
        <v>70.622658165163941</v>
      </c>
      <c r="H290">
        <v>66.059567592482196</v>
      </c>
      <c r="J290">
        <v>42.097221806495767</v>
      </c>
      <c r="L290">
        <v>2.3887662462254413</v>
      </c>
      <c r="M290">
        <v>14.983444824901513</v>
      </c>
      <c r="N290">
        <v>1.9750249263965527</v>
      </c>
      <c r="O290">
        <v>15.946601578502122</v>
      </c>
      <c r="P290">
        <v>7.6648872905226462</v>
      </c>
      <c r="R290">
        <v>12.436977266566588</v>
      </c>
      <c r="S290">
        <v>40.166938731020757</v>
      </c>
      <c r="U290">
        <v>3.8862321041763339</v>
      </c>
      <c r="V290">
        <v>45.931516591526176</v>
      </c>
      <c r="W290">
        <v>29.023168572035203</v>
      </c>
      <c r="X290">
        <v>44.226345493256652</v>
      </c>
      <c r="Y290">
        <v>3.8675161420182569</v>
      </c>
      <c r="Z290">
        <v>27.470038397362135</v>
      </c>
      <c r="AA290">
        <v>1.4609351247900486</v>
      </c>
      <c r="AB290">
        <v>36.017866206537064</v>
      </c>
      <c r="AD290">
        <v>5.1835048245872182</v>
      </c>
      <c r="AE290">
        <v>13.059425044076404</v>
      </c>
      <c r="AF290">
        <v>14.586206263313972</v>
      </c>
      <c r="AG290">
        <v>21.836149587631731</v>
      </c>
      <c r="AH290">
        <v>0.27203523903750515</v>
      </c>
      <c r="AI290">
        <v>1.9086993603304729</v>
      </c>
      <c r="AK290">
        <v>38.426909679094443</v>
      </c>
    </row>
    <row r="291" spans="1:37" x14ac:dyDescent="0.2">
      <c r="A291">
        <v>290</v>
      </c>
      <c r="B291">
        <v>772</v>
      </c>
      <c r="C291">
        <v>120</v>
      </c>
      <c r="D291">
        <v>0.47679328326077502</v>
      </c>
      <c r="E291">
        <v>111.89707897613037</v>
      </c>
      <c r="F291">
        <v>53.201058938771205</v>
      </c>
      <c r="G291">
        <v>70.9842846309339</v>
      </c>
      <c r="H291">
        <v>66.415854783047578</v>
      </c>
      <c r="J291">
        <v>33.455278411652309</v>
      </c>
      <c r="L291">
        <v>1.4450830534369417</v>
      </c>
      <c r="M291">
        <v>14.312914259985421</v>
      </c>
      <c r="N291">
        <v>1.9790450583122341</v>
      </c>
      <c r="O291">
        <v>10.330880002872059</v>
      </c>
      <c r="P291">
        <v>8.4347699003144658</v>
      </c>
      <c r="R291">
        <v>11.057511655376604</v>
      </c>
      <c r="S291">
        <v>36.042385074290124</v>
      </c>
      <c r="U291">
        <v>4.0155040551801777</v>
      </c>
      <c r="V291">
        <v>45.980328613141381</v>
      </c>
      <c r="W291">
        <v>28.024840469720882</v>
      </c>
      <c r="X291">
        <v>44.681483940552887</v>
      </c>
      <c r="Y291">
        <v>3.3960079726608163</v>
      </c>
      <c r="Z291">
        <v>24.548696404743545</v>
      </c>
      <c r="AB291">
        <v>33.560467910111015</v>
      </c>
      <c r="AD291">
        <v>3.8045527931030549</v>
      </c>
      <c r="AE291">
        <v>10.968561318965401</v>
      </c>
      <c r="AF291">
        <v>13.91345936724144</v>
      </c>
      <c r="AG291">
        <v>19.349167391869283</v>
      </c>
      <c r="AI291">
        <v>1.9121861559076836</v>
      </c>
      <c r="AK291">
        <v>32.840074411871043</v>
      </c>
    </row>
    <row r="292" spans="1:37" x14ac:dyDescent="0.2">
      <c r="A292">
        <v>291</v>
      </c>
      <c r="B292">
        <v>770</v>
      </c>
      <c r="C292">
        <v>120</v>
      </c>
      <c r="D292">
        <v>0.47565594593299199</v>
      </c>
      <c r="E292">
        <v>112.47167960427541</v>
      </c>
      <c r="F292">
        <v>53.269152469793049</v>
      </c>
      <c r="G292">
        <v>71.096089520590269</v>
      </c>
      <c r="H292">
        <v>66.522371268371003</v>
      </c>
      <c r="J292">
        <v>27.647401768400506</v>
      </c>
      <c r="L292">
        <v>1.4828426981709417</v>
      </c>
      <c r="M292">
        <v>13.417635270933944</v>
      </c>
      <c r="N292">
        <v>1.9830608250961905</v>
      </c>
      <c r="O292">
        <v>10.052395905363857</v>
      </c>
      <c r="P292">
        <v>8.7050344865452196</v>
      </c>
      <c r="R292">
        <v>10.422470656572722</v>
      </c>
      <c r="S292">
        <v>35.988884939269781</v>
      </c>
      <c r="U292">
        <v>4.0459020517621793</v>
      </c>
      <c r="V292">
        <v>46.900331256303332</v>
      </c>
      <c r="W292">
        <v>26.909678601108777</v>
      </c>
      <c r="X292">
        <v>44.850971142463081</v>
      </c>
      <c r="Y292">
        <v>3.3916793718968572</v>
      </c>
      <c r="Z292">
        <v>21.788319641130258</v>
      </c>
      <c r="AB292">
        <v>32.281736757099928</v>
      </c>
      <c r="AD292">
        <v>2.4664390938050693</v>
      </c>
      <c r="AE292">
        <v>9.2567937371537621</v>
      </c>
      <c r="AF292">
        <v>13.015960666169367</v>
      </c>
      <c r="AG292">
        <v>18.040857690177436</v>
      </c>
      <c r="AI292">
        <v>1.9156653802422607</v>
      </c>
      <c r="AK292">
        <v>28.875946817286458</v>
      </c>
    </row>
    <row r="293" spans="1:37" x14ac:dyDescent="0.2">
      <c r="A293">
        <v>292</v>
      </c>
      <c r="B293">
        <v>768</v>
      </c>
      <c r="C293">
        <v>120</v>
      </c>
      <c r="D293">
        <v>0.474514239062578</v>
      </c>
      <c r="E293">
        <v>112.88367110676799</v>
      </c>
      <c r="F293">
        <v>53.626815685693124</v>
      </c>
      <c r="G293">
        <v>71.147057292849425</v>
      </c>
      <c r="H293">
        <v>66.568101668965198</v>
      </c>
      <c r="J293">
        <v>24.3784883307518</v>
      </c>
      <c r="L293">
        <v>1.5115642311160664</v>
      </c>
      <c r="M293">
        <v>12.633449515246872</v>
      </c>
      <c r="N293">
        <v>1.9870697621911231</v>
      </c>
      <c r="O293">
        <v>9.8265084396853197</v>
      </c>
      <c r="P293">
        <v>8.8536476763502989</v>
      </c>
      <c r="R293">
        <v>9.8569768036538452</v>
      </c>
      <c r="S293">
        <v>36.29242279013156</v>
      </c>
      <c r="U293">
        <v>4.0305541448668931</v>
      </c>
      <c r="V293">
        <v>47.839070398763369</v>
      </c>
      <c r="W293">
        <v>25.934720087221116</v>
      </c>
      <c r="X293">
        <v>44.88978897297816</v>
      </c>
      <c r="Y293">
        <v>3.3611103308615848</v>
      </c>
      <c r="Z293">
        <v>20.294167511328705</v>
      </c>
      <c r="AB293">
        <v>31.935349401586524</v>
      </c>
      <c r="AD293">
        <v>1.7189286147540217</v>
      </c>
      <c r="AE293">
        <v>8.3423132089354404</v>
      </c>
      <c r="AF293">
        <v>12.229549396388645</v>
      </c>
      <c r="AG293">
        <v>17.66489471727358</v>
      </c>
      <c r="AI293">
        <v>1.9191345541134641</v>
      </c>
      <c r="AK293">
        <v>26.559297210300493</v>
      </c>
    </row>
    <row r="294" spans="1:37" x14ac:dyDescent="0.2">
      <c r="A294">
        <v>293</v>
      </c>
      <c r="B294">
        <v>766</v>
      </c>
      <c r="C294">
        <v>120</v>
      </c>
      <c r="D294">
        <v>0.47336813742000999</v>
      </c>
      <c r="E294">
        <v>113.20548013416948</v>
      </c>
      <c r="F294">
        <v>54.033774451811283</v>
      </c>
      <c r="G294">
        <v>71.170449790605474</v>
      </c>
      <c r="H294">
        <v>66.58630799014135</v>
      </c>
      <c r="J294">
        <v>22.217831752225987</v>
      </c>
      <c r="L294">
        <v>1.5346942349374149</v>
      </c>
      <c r="M294">
        <v>11.943551792565115</v>
      </c>
      <c r="N294">
        <v>1.9910730863698589</v>
      </c>
      <c r="O294">
        <v>9.6258078329004348</v>
      </c>
      <c r="P294">
        <v>8.947134547512281</v>
      </c>
      <c r="R294">
        <v>9.3460690980868364</v>
      </c>
      <c r="S294">
        <v>36.654819726575056</v>
      </c>
      <c r="U294">
        <v>3.9996342542876104</v>
      </c>
      <c r="V294">
        <v>48.695729215444679</v>
      </c>
      <c r="W294">
        <v>25.063592227526875</v>
      </c>
      <c r="X294">
        <v>44.884889626318177</v>
      </c>
      <c r="Y294">
        <v>3.3253842144530013</v>
      </c>
      <c r="Z294">
        <v>19.307893104082794</v>
      </c>
      <c r="AB294">
        <v>31.885560324824951</v>
      </c>
      <c r="AD294">
        <v>1.2138376423052444</v>
      </c>
      <c r="AE294">
        <v>7.7402040969093875</v>
      </c>
      <c r="AF294">
        <v>11.537421617850368</v>
      </c>
      <c r="AG294">
        <v>17.585534216656626</v>
      </c>
      <c r="AI294">
        <v>1.922594879621716</v>
      </c>
      <c r="AK294">
        <v>24.986598015017968</v>
      </c>
    </row>
    <row r="295" spans="1:37" x14ac:dyDescent="0.2">
      <c r="A295">
        <v>294</v>
      </c>
      <c r="B295">
        <v>764</v>
      </c>
      <c r="C295">
        <v>120</v>
      </c>
      <c r="D295">
        <v>0.47221761558116099</v>
      </c>
      <c r="E295">
        <v>113.47072340441848</v>
      </c>
      <c r="F295">
        <v>54.43658588353702</v>
      </c>
      <c r="G295">
        <v>71.179084775757417</v>
      </c>
      <c r="H295">
        <v>66.58980815684275</v>
      </c>
      <c r="J295">
        <v>20.645355387861137</v>
      </c>
      <c r="L295">
        <v>1.5542681439634034</v>
      </c>
      <c r="M295">
        <v>11.323405926201101</v>
      </c>
      <c r="N295">
        <v>1.9950721769266027</v>
      </c>
      <c r="O295">
        <v>9.4387806957349856</v>
      </c>
      <c r="P295">
        <v>9.0111321793100991</v>
      </c>
      <c r="R295">
        <v>8.8763346337442961</v>
      </c>
      <c r="S295">
        <v>37.016309995857355</v>
      </c>
      <c r="U295">
        <v>3.9615119139313726</v>
      </c>
      <c r="V295">
        <v>49.473948670740015</v>
      </c>
      <c r="W295">
        <v>24.266493233599167</v>
      </c>
      <c r="X295">
        <v>44.86037854294586</v>
      </c>
      <c r="Y295">
        <v>3.2896545653153835</v>
      </c>
      <c r="Z295">
        <v>18.572845303710647</v>
      </c>
      <c r="AB295">
        <v>31.953865074042767</v>
      </c>
      <c r="AD295">
        <v>0.83081998794457323</v>
      </c>
      <c r="AE295">
        <v>7.2913337952792734</v>
      </c>
      <c r="AF295">
        <v>10.915042576902479</v>
      </c>
      <c r="AG295">
        <v>17.624273160612255</v>
      </c>
      <c r="AI295">
        <v>1.9260477213826459</v>
      </c>
      <c r="AK295">
        <v>23.817588719303888</v>
      </c>
    </row>
    <row r="296" spans="1:37" x14ac:dyDescent="0.2">
      <c r="A296">
        <v>295</v>
      </c>
      <c r="B296">
        <v>762</v>
      </c>
      <c r="C296">
        <v>120</v>
      </c>
      <c r="D296">
        <v>0.47106264792542502</v>
      </c>
      <c r="E296">
        <v>113.69688895054654</v>
      </c>
      <c r="F296">
        <v>54.821883958521482</v>
      </c>
      <c r="G296">
        <v>71.178747675675822</v>
      </c>
      <c r="H296">
        <v>66.584387760111994</v>
      </c>
      <c r="J296">
        <v>19.430047691488753</v>
      </c>
      <c r="L296">
        <v>1.571353343729661</v>
      </c>
      <c r="M296">
        <v>10.756046942857164</v>
      </c>
      <c r="N296">
        <v>1.9990679242904859</v>
      </c>
      <c r="O296">
        <v>9.2601859778014202</v>
      </c>
      <c r="P296">
        <v>9.0572124940711483</v>
      </c>
      <c r="R296">
        <v>8.4385914332164873</v>
      </c>
      <c r="S296">
        <v>37.36242720694991</v>
      </c>
      <c r="U296">
        <v>3.9193475760814578</v>
      </c>
      <c r="V296">
        <v>50.186919242218266</v>
      </c>
      <c r="W296">
        <v>23.524499398140463</v>
      </c>
      <c r="X296">
        <v>44.825352778450181</v>
      </c>
      <c r="Y296">
        <v>3.2553337379248175</v>
      </c>
      <c r="Z296">
        <v>17.981821447594722</v>
      </c>
      <c r="AB296">
        <v>32.075400272113342</v>
      </c>
      <c r="AD296">
        <v>0.51889935624874706</v>
      </c>
      <c r="AE296">
        <v>6.9300019100076851</v>
      </c>
      <c r="AF296">
        <v>10.345448234609254</v>
      </c>
      <c r="AG296">
        <v>17.71624910849058</v>
      </c>
      <c r="AI296">
        <v>1.9294939551387777</v>
      </c>
      <c r="AK296">
        <v>22.89798274657706</v>
      </c>
    </row>
    <row r="297" spans="1:37" x14ac:dyDescent="0.2">
      <c r="A297">
        <v>296</v>
      </c>
      <c r="B297">
        <v>760</v>
      </c>
      <c r="C297">
        <v>120</v>
      </c>
      <c r="D297">
        <v>0.46990320863379098</v>
      </c>
      <c r="E297">
        <v>113.89419161462204</v>
      </c>
      <c r="F297">
        <v>55.186952838804054</v>
      </c>
      <c r="G297">
        <v>71.172450595272863</v>
      </c>
      <c r="H297">
        <v>66.573059069164728</v>
      </c>
      <c r="J297">
        <v>18.452174825042277</v>
      </c>
      <c r="L297">
        <v>1.5867611229066643</v>
      </c>
      <c r="M297">
        <v>10.230048160664104</v>
      </c>
      <c r="N297">
        <v>2.0030609103737396</v>
      </c>
      <c r="O297">
        <v>9.0873242545835691</v>
      </c>
      <c r="P297">
        <v>9.0914004616668098</v>
      </c>
      <c r="R297">
        <v>8.0265423681419552</v>
      </c>
      <c r="S297">
        <v>37.690155757732256</v>
      </c>
      <c r="U297">
        <v>3.8746040753506485</v>
      </c>
      <c r="V297">
        <v>50.846163365638624</v>
      </c>
      <c r="W297">
        <v>22.825286829747309</v>
      </c>
      <c r="X297">
        <v>44.784019313014163</v>
      </c>
      <c r="Y297">
        <v>3.222772473470553</v>
      </c>
      <c r="Z297">
        <v>17.481996909385206</v>
      </c>
      <c r="AB297">
        <v>32.222076617843776</v>
      </c>
      <c r="AD297">
        <v>0.25266242511317638</v>
      </c>
      <c r="AE297">
        <v>6.6240251961139833</v>
      </c>
      <c r="AF297">
        <v>9.8172125351500359</v>
      </c>
      <c r="AG297">
        <v>17.833373387354236</v>
      </c>
      <c r="AI297">
        <v>1.9329341481106119</v>
      </c>
      <c r="AK297">
        <v>22.146593114298014</v>
      </c>
    </row>
    <row r="298" spans="1:37" x14ac:dyDescent="0.2">
      <c r="A298">
        <v>297</v>
      </c>
      <c r="B298">
        <v>758</v>
      </c>
      <c r="C298">
        <v>120</v>
      </c>
      <c r="D298">
        <v>0.46873927168695301</v>
      </c>
      <c r="E298">
        <v>114.0691372076172</v>
      </c>
      <c r="F298">
        <v>55.532266508427163</v>
      </c>
      <c r="G298">
        <v>71.161934833700016</v>
      </c>
      <c r="H298">
        <v>66.557563548094762</v>
      </c>
      <c r="J298">
        <v>17.642557333762991</v>
      </c>
      <c r="L298">
        <v>1.6008708126090605</v>
      </c>
      <c r="M298">
        <v>9.7374596765542556</v>
      </c>
      <c r="N298">
        <v>2.0070515354434386</v>
      </c>
      <c r="O298">
        <v>8.9186641333978827</v>
      </c>
      <c r="P298">
        <v>9.1171792597943764</v>
      </c>
      <c r="R298">
        <v>7.6357168771293535</v>
      </c>
      <c r="S298">
        <v>37.999828186465962</v>
      </c>
      <c r="U298">
        <v>3.8280577994570151</v>
      </c>
      <c r="V298">
        <v>51.460636309988779</v>
      </c>
      <c r="W298">
        <v>22.160433789321743</v>
      </c>
      <c r="X298">
        <v>44.738608100587108</v>
      </c>
      <c r="Y298">
        <v>3.1919813513426107</v>
      </c>
      <c r="Z298">
        <v>17.044116126124305</v>
      </c>
      <c r="AB298">
        <v>32.380242986177166</v>
      </c>
      <c r="AD298">
        <v>1.7887458369098809E-2</v>
      </c>
      <c r="AE298">
        <v>6.3556410717212239</v>
      </c>
      <c r="AF298">
        <v>9.3223860200589108</v>
      </c>
      <c r="AG298">
        <v>17.961995319050779</v>
      </c>
      <c r="AI298">
        <v>1.9363686858676734</v>
      </c>
      <c r="AK298">
        <v>21.515929979914048</v>
      </c>
    </row>
    <row r="299" spans="1:37" x14ac:dyDescent="0.2">
      <c r="A299">
        <v>298</v>
      </c>
      <c r="B299">
        <v>756</v>
      </c>
      <c r="C299">
        <v>120</v>
      </c>
      <c r="D299">
        <v>0.46757081086333502</v>
      </c>
      <c r="E299">
        <v>114.18003187257845</v>
      </c>
      <c r="F299">
        <v>56.175854836444323</v>
      </c>
      <c r="G299">
        <v>71.089365995592516</v>
      </c>
      <c r="H299">
        <v>66.480066967116741</v>
      </c>
      <c r="J299">
        <v>16.893993406505178</v>
      </c>
      <c r="L299">
        <v>1.6108512750167101</v>
      </c>
      <c r="M299">
        <v>9.2481648976354034</v>
      </c>
      <c r="N299">
        <v>2.0110384428297663</v>
      </c>
      <c r="O299">
        <v>8.8536939350335189</v>
      </c>
      <c r="P299">
        <v>9.0188789211661629</v>
      </c>
      <c r="R299">
        <v>7.1921000360796539</v>
      </c>
      <c r="S299">
        <v>38.367793699797936</v>
      </c>
      <c r="U299">
        <v>3.7807741530860715</v>
      </c>
      <c r="V299">
        <v>52.063303624578701</v>
      </c>
      <c r="W299">
        <v>21.499244216215093</v>
      </c>
      <c r="X299">
        <v>44.692188831426513</v>
      </c>
      <c r="Y299">
        <v>3.1332405903369986</v>
      </c>
      <c r="Z299">
        <v>17.649122135976572</v>
      </c>
      <c r="AB299">
        <v>33.149882751566658</v>
      </c>
      <c r="AE299">
        <v>6.699772771560947</v>
      </c>
      <c r="AF299">
        <v>8.8308507843079518</v>
      </c>
      <c r="AG299">
        <v>18.702096968294164</v>
      </c>
      <c r="AI299">
        <v>1.9397961970368893</v>
      </c>
      <c r="AK299">
        <v>20.926172949376703</v>
      </c>
    </row>
    <row r="300" spans="1:37" x14ac:dyDescent="0.2">
      <c r="A300">
        <v>299</v>
      </c>
      <c r="B300">
        <v>798</v>
      </c>
      <c r="C300">
        <v>110</v>
      </c>
      <c r="D300">
        <v>0.501461513326802</v>
      </c>
      <c r="E300">
        <v>108.09281467628412</v>
      </c>
      <c r="F300">
        <v>63.95829389750768</v>
      </c>
      <c r="G300">
        <v>72.785906800511455</v>
      </c>
      <c r="H300">
        <v>68.2905231828463</v>
      </c>
      <c r="J300">
        <v>43.816785736888583</v>
      </c>
      <c r="L300">
        <v>5.5486335609829478</v>
      </c>
      <c r="M300">
        <v>15.108560103412612</v>
      </c>
      <c r="N300">
        <v>2.0990302109204015</v>
      </c>
      <c r="O300">
        <v>30.651065132972455</v>
      </c>
      <c r="P300">
        <v>11.549992419681566</v>
      </c>
      <c r="Q300">
        <v>1.4280918611108803E-2</v>
      </c>
      <c r="R300">
        <v>17.420819886472515</v>
      </c>
      <c r="S300">
        <v>46.334972196195118</v>
      </c>
      <c r="U300">
        <v>4.595597493220664</v>
      </c>
      <c r="V300">
        <v>45.656682571468103</v>
      </c>
      <c r="W300">
        <v>33.298982636497222</v>
      </c>
      <c r="X300">
        <v>43.988891264453898</v>
      </c>
      <c r="Y300">
        <v>7.2686494430663746</v>
      </c>
      <c r="Z300">
        <v>34.216740499689735</v>
      </c>
      <c r="AA300">
        <v>4.7556075942018872</v>
      </c>
      <c r="AB300">
        <v>37.961477202577584</v>
      </c>
      <c r="AC300">
        <v>0.20810940045644713</v>
      </c>
      <c r="AD300">
        <v>8.9764953546693249</v>
      </c>
      <c r="AE300">
        <v>15.95209154826181</v>
      </c>
      <c r="AF300">
        <v>14.941141394244047</v>
      </c>
      <c r="AG300">
        <v>24.350382787470952</v>
      </c>
      <c r="AH300">
        <v>5.1440403041456371</v>
      </c>
      <c r="AI300">
        <v>2.0376995461418077</v>
      </c>
      <c r="AK300">
        <v>39.094477771570986</v>
      </c>
    </row>
    <row r="301" spans="1:37" x14ac:dyDescent="0.2">
      <c r="A301">
        <v>300</v>
      </c>
      <c r="B301">
        <v>796</v>
      </c>
      <c r="C301">
        <v>110</v>
      </c>
      <c r="D301">
        <v>0.50039797970350297</v>
      </c>
      <c r="E301">
        <v>107.8913604832059</v>
      </c>
      <c r="F301">
        <v>63.183166553550834</v>
      </c>
      <c r="G301">
        <v>72.64732414500142</v>
      </c>
      <c r="H301">
        <v>68.145994991167044</v>
      </c>
      <c r="J301">
        <v>43.759003669772554</v>
      </c>
      <c r="L301">
        <v>5.3451267449767581</v>
      </c>
      <c r="M301">
        <v>15.113260324207261</v>
      </c>
      <c r="N301">
        <v>2.0717429597791188</v>
      </c>
      <c r="O301">
        <v>29.658965764736966</v>
      </c>
      <c r="P301">
        <v>11.287801242245678</v>
      </c>
      <c r="R301">
        <v>17.116139220024692</v>
      </c>
      <c r="S301">
        <v>46.044032314311714</v>
      </c>
      <c r="U301">
        <v>4.5550839030111696</v>
      </c>
      <c r="V301">
        <v>45.703653338001729</v>
      </c>
      <c r="W301">
        <v>33.045964266676094</v>
      </c>
      <c r="X301">
        <v>43.980690420989426</v>
      </c>
      <c r="Y301">
        <v>7.0527790005986359</v>
      </c>
      <c r="Z301">
        <v>33.784301196831429</v>
      </c>
      <c r="AA301">
        <v>4.5407105884302874</v>
      </c>
      <c r="AB301">
        <v>37.881956599973442</v>
      </c>
      <c r="AC301">
        <v>0.1768337256900403</v>
      </c>
      <c r="AD301">
        <v>8.7536924127923008</v>
      </c>
      <c r="AE301">
        <v>15.763366761989774</v>
      </c>
      <c r="AF301">
        <v>14.912306398953781</v>
      </c>
      <c r="AG301">
        <v>24.209884043494256</v>
      </c>
      <c r="AH301">
        <v>4.8465952013056919</v>
      </c>
      <c r="AI301">
        <v>2.0099171938203644</v>
      </c>
      <c r="AK301">
        <v>39.074439570235171</v>
      </c>
    </row>
    <row r="302" spans="1:37" x14ac:dyDescent="0.2">
      <c r="A302">
        <v>301</v>
      </c>
      <c r="B302">
        <v>794</v>
      </c>
      <c r="C302">
        <v>110</v>
      </c>
      <c r="D302">
        <v>0.49933045963547601</v>
      </c>
      <c r="E302">
        <v>107.69085512800471</v>
      </c>
      <c r="F302">
        <v>62.385065181037383</v>
      </c>
      <c r="G302">
        <v>72.503540868900558</v>
      </c>
      <c r="H302">
        <v>67.996315159215428</v>
      </c>
      <c r="J302">
        <v>43.705485992445951</v>
      </c>
      <c r="L302">
        <v>5.13049148180112</v>
      </c>
      <c r="M302">
        <v>15.133170758712927</v>
      </c>
      <c r="N302">
        <v>2.0420427075041245</v>
      </c>
      <c r="O302">
        <v>28.621927949353157</v>
      </c>
      <c r="P302">
        <v>11.012823292234092</v>
      </c>
      <c r="R302">
        <v>16.813246914075091</v>
      </c>
      <c r="S302">
        <v>45.8027014848794</v>
      </c>
      <c r="U302">
        <v>4.5277819670647421</v>
      </c>
      <c r="V302">
        <v>45.776643975569783</v>
      </c>
      <c r="W302">
        <v>32.807727720210607</v>
      </c>
      <c r="X302">
        <v>44.016684358375663</v>
      </c>
      <c r="Y302">
        <v>6.8253029197256501</v>
      </c>
      <c r="Z302">
        <v>33.337399880161591</v>
      </c>
      <c r="AA302">
        <v>4.3142689262875722</v>
      </c>
      <c r="AB302">
        <v>37.82080020247593</v>
      </c>
      <c r="AC302">
        <v>0.14314569059747922</v>
      </c>
      <c r="AD302">
        <v>8.5140485696368504</v>
      </c>
      <c r="AE302">
        <v>15.570175197342875</v>
      </c>
      <c r="AF302">
        <v>14.896269105034184</v>
      </c>
      <c r="AG302">
        <v>24.085345698431386</v>
      </c>
      <c r="AH302">
        <v>4.5348673601413942</v>
      </c>
      <c r="AI302">
        <v>1.9797188094565663</v>
      </c>
      <c r="AK302">
        <v>39.049482060913078</v>
      </c>
    </row>
    <row r="303" spans="1:37" x14ac:dyDescent="0.2">
      <c r="A303">
        <v>302</v>
      </c>
      <c r="B303">
        <v>792</v>
      </c>
      <c r="C303">
        <v>110</v>
      </c>
      <c r="D303">
        <v>0.49825893066704502</v>
      </c>
      <c r="E303">
        <v>107.49196923017074</v>
      </c>
      <c r="F303">
        <v>61.591293870413871</v>
      </c>
      <c r="G303">
        <v>72.359890847352418</v>
      </c>
      <c r="H303">
        <v>67.846817716742493</v>
      </c>
      <c r="J303">
        <v>43.650794766872067</v>
      </c>
      <c r="L303">
        <v>4.9152456383202772</v>
      </c>
      <c r="M303">
        <v>15.153502054823685</v>
      </c>
      <c r="N303">
        <v>2.0123113951700411</v>
      </c>
      <c r="O303">
        <v>27.58628982652862</v>
      </c>
      <c r="P303">
        <v>10.738108424269502</v>
      </c>
      <c r="R303">
        <v>16.508007439931735</v>
      </c>
      <c r="S303">
        <v>45.553700671389748</v>
      </c>
      <c r="U303">
        <v>4.5017912564483336</v>
      </c>
      <c r="V303">
        <v>45.845950834771237</v>
      </c>
      <c r="W303">
        <v>32.571291973000264</v>
      </c>
      <c r="X303">
        <v>44.057473206396381</v>
      </c>
      <c r="Y303">
        <v>6.5978536386788447</v>
      </c>
      <c r="Z303">
        <v>32.891799156093292</v>
      </c>
      <c r="AA303">
        <v>4.0878242500876727</v>
      </c>
      <c r="AB303">
        <v>37.755216967272169</v>
      </c>
      <c r="AC303">
        <v>0.10942723279538513</v>
      </c>
      <c r="AD303">
        <v>8.2741441664602284</v>
      </c>
      <c r="AE303">
        <v>15.377713978832935</v>
      </c>
      <c r="AF303">
        <v>14.880622142507461</v>
      </c>
      <c r="AG303">
        <v>23.956358692483299</v>
      </c>
      <c r="AH303">
        <v>4.2230115485248376</v>
      </c>
      <c r="AI303">
        <v>1.9494863195881382</v>
      </c>
      <c r="AK303">
        <v>39.025309749230829</v>
      </c>
    </row>
    <row r="304" spans="1:37" x14ac:dyDescent="0.2">
      <c r="A304">
        <v>303</v>
      </c>
      <c r="B304">
        <v>790</v>
      </c>
      <c r="C304">
        <v>110</v>
      </c>
      <c r="D304">
        <v>0.49718337017354403</v>
      </c>
      <c r="E304">
        <v>107.29470895346047</v>
      </c>
      <c r="F304">
        <v>60.801962768415883</v>
      </c>
      <c r="G304">
        <v>72.21641057444549</v>
      </c>
      <c r="H304">
        <v>67.697539313024834</v>
      </c>
      <c r="J304">
        <v>43.594892562934426</v>
      </c>
      <c r="L304">
        <v>4.699480091395988</v>
      </c>
      <c r="M304">
        <v>15.174206447085252</v>
      </c>
      <c r="N304">
        <v>1.9825537962193853</v>
      </c>
      <c r="O304">
        <v>26.552255578256045</v>
      </c>
      <c r="P304">
        <v>10.463734564121514</v>
      </c>
      <c r="R304">
        <v>16.200556720801597</v>
      </c>
      <c r="S304">
        <v>45.296789384697924</v>
      </c>
      <c r="U304">
        <v>4.4770590053246302</v>
      </c>
      <c r="V304">
        <v>45.911492720291072</v>
      </c>
      <c r="W304">
        <v>32.336646180540889</v>
      </c>
      <c r="X304">
        <v>44.10290135401938</v>
      </c>
      <c r="Y304">
        <v>6.3704960085591669</v>
      </c>
      <c r="Z304">
        <v>32.4475193933743</v>
      </c>
      <c r="AA304">
        <v>3.8615205703511455</v>
      </c>
      <c r="AB304">
        <v>37.685061470454158</v>
      </c>
      <c r="AC304">
        <v>7.568312226338493E-2</v>
      </c>
      <c r="AD304">
        <v>8.0341265439660727</v>
      </c>
      <c r="AE304">
        <v>15.185961675686876</v>
      </c>
      <c r="AF304">
        <v>14.865322560604659</v>
      </c>
      <c r="AG304">
        <v>23.822782417383301</v>
      </c>
      <c r="AH304">
        <v>3.9111358097058999</v>
      </c>
      <c r="AI304">
        <v>1.9192244831085923</v>
      </c>
      <c r="AK304">
        <v>39.001939505004408</v>
      </c>
    </row>
    <row r="305" spans="1:37" x14ac:dyDescent="0.2">
      <c r="A305">
        <v>304</v>
      </c>
      <c r="B305">
        <v>788</v>
      </c>
      <c r="C305">
        <v>110</v>
      </c>
      <c r="D305">
        <v>0.49610375535975398</v>
      </c>
      <c r="E305">
        <v>107.09907821744788</v>
      </c>
      <c r="F305">
        <v>60.017174714867458</v>
      </c>
      <c r="G305">
        <v>72.073136188741188</v>
      </c>
      <c r="H305">
        <v>67.548516242395038</v>
      </c>
      <c r="J305">
        <v>43.53775164126715</v>
      </c>
      <c r="L305">
        <v>4.4832843179430606</v>
      </c>
      <c r="M305">
        <v>15.195234665119672</v>
      </c>
      <c r="N305">
        <v>1.9527747092358436</v>
      </c>
      <c r="O305">
        <v>25.520026754452736</v>
      </c>
      <c r="P305">
        <v>10.189778952528453</v>
      </c>
      <c r="R305">
        <v>15.891031738292925</v>
      </c>
      <c r="S305">
        <v>45.031767244768119</v>
      </c>
      <c r="U305">
        <v>4.4535297595435903</v>
      </c>
      <c r="V305">
        <v>45.973204092269484</v>
      </c>
      <c r="W305">
        <v>32.10377653707382</v>
      </c>
      <c r="X305">
        <v>44.152805157689535</v>
      </c>
      <c r="Y305">
        <v>6.143294546767776</v>
      </c>
      <c r="Z305">
        <v>32.004577336267481</v>
      </c>
      <c r="AA305">
        <v>3.6352526881831726</v>
      </c>
      <c r="AB305">
        <v>37.610209229091943</v>
      </c>
      <c r="AC305">
        <v>4.1918154116570419E-2</v>
      </c>
      <c r="AD305">
        <v>7.7940790702553286</v>
      </c>
      <c r="AE305">
        <v>14.994895053405083</v>
      </c>
      <c r="AF305">
        <v>14.850325928957426</v>
      </c>
      <c r="AG305">
        <v>23.684497231246464</v>
      </c>
      <c r="AH305">
        <v>3.5993470055380112</v>
      </c>
      <c r="AI305">
        <v>1.8889380840399204</v>
      </c>
      <c r="AK305">
        <v>38.979387072187009</v>
      </c>
    </row>
    <row r="306" spans="1:37" x14ac:dyDescent="0.2">
      <c r="A306">
        <v>305</v>
      </c>
      <c r="B306">
        <v>786</v>
      </c>
      <c r="C306">
        <v>110</v>
      </c>
      <c r="D306">
        <v>0.49502006325827702</v>
      </c>
      <c r="E306">
        <v>106.90507883572604</v>
      </c>
      <c r="F306">
        <v>59.237024539347239</v>
      </c>
      <c r="G306">
        <v>71.930103208270864</v>
      </c>
      <c r="H306">
        <v>67.399784179244207</v>
      </c>
      <c r="J306">
        <v>43.479353282895779</v>
      </c>
      <c r="L306">
        <v>4.2667458279728816</v>
      </c>
      <c r="M306">
        <v>15.216536296791746</v>
      </c>
      <c r="N306">
        <v>1.9229788687863172</v>
      </c>
      <c r="O306">
        <v>24.48980046027761</v>
      </c>
      <c r="P306">
        <v>9.9163175260531631</v>
      </c>
      <c r="R306">
        <v>15.579569161467989</v>
      </c>
      <c r="S306">
        <v>44.758472742203843</v>
      </c>
      <c r="U306">
        <v>4.4311459594073606</v>
      </c>
      <c r="V306">
        <v>46.031034362793882</v>
      </c>
      <c r="W306">
        <v>31.87266675583086</v>
      </c>
      <c r="X306">
        <v>44.207014727275428</v>
      </c>
      <c r="Y306">
        <v>5.91631291123824</v>
      </c>
      <c r="Z306">
        <v>31.562985716264958</v>
      </c>
      <c r="AA306">
        <v>3.409169442696744</v>
      </c>
      <c r="AB306">
        <v>37.530556100559018</v>
      </c>
      <c r="AC306">
        <v>8.1370594481257139E-3</v>
      </c>
      <c r="AD306">
        <v>7.5540626128277486</v>
      </c>
      <c r="AE306">
        <v>14.804489067340153</v>
      </c>
      <c r="AF306">
        <v>14.835586611613623</v>
      </c>
      <c r="AG306">
        <v>23.541403768737126</v>
      </c>
      <c r="AH306">
        <v>3.2877501013259685</v>
      </c>
      <c r="AI306">
        <v>1.8586318423742911</v>
      </c>
      <c r="AK306">
        <v>38.957666819949729</v>
      </c>
    </row>
    <row r="307" spans="1:37" x14ac:dyDescent="0.2">
      <c r="A307">
        <v>306</v>
      </c>
      <c r="B307">
        <v>784</v>
      </c>
      <c r="C307">
        <v>110</v>
      </c>
      <c r="D307">
        <v>0.49393227072789903</v>
      </c>
      <c r="E307">
        <v>106.58550607254324</v>
      </c>
      <c r="F307">
        <v>57.781508967251703</v>
      </c>
      <c r="G307">
        <v>71.669435812962277</v>
      </c>
      <c r="H307">
        <v>67.133467460449353</v>
      </c>
      <c r="J307">
        <v>43.205102743386576</v>
      </c>
      <c r="L307">
        <v>3.8667713212999479</v>
      </c>
      <c r="M307">
        <v>15.219992630359831</v>
      </c>
      <c r="N307">
        <v>1.9185050284742058</v>
      </c>
      <c r="O307">
        <v>22.806056426889342</v>
      </c>
      <c r="P307">
        <v>9.432937564987947</v>
      </c>
      <c r="R307">
        <v>15.006824059725888</v>
      </c>
      <c r="S307">
        <v>44.131832695524963</v>
      </c>
      <c r="U307">
        <v>4.3896373413554244</v>
      </c>
      <c r="V307">
        <v>46.070645126785919</v>
      </c>
      <c r="W307">
        <v>31.47677281109231</v>
      </c>
      <c r="X307">
        <v>44.182896598671931</v>
      </c>
      <c r="Y307">
        <v>5.4737799639547937</v>
      </c>
      <c r="Z307">
        <v>30.761557623941854</v>
      </c>
      <c r="AA307">
        <v>2.9955457028110248</v>
      </c>
      <c r="AB307">
        <v>37.363033142746261</v>
      </c>
      <c r="AD307">
        <v>7.0821810144094437</v>
      </c>
      <c r="AE307">
        <v>14.492099642085959</v>
      </c>
      <c r="AF307">
        <v>14.828324692239276</v>
      </c>
      <c r="AG307">
        <v>23.335771884338492</v>
      </c>
      <c r="AH307">
        <v>2.633600946254949</v>
      </c>
      <c r="AI307">
        <v>1.8536444971296617</v>
      </c>
      <c r="AK307">
        <v>38.780528532143784</v>
      </c>
    </row>
    <row r="308" spans="1:37" x14ac:dyDescent="0.2">
      <c r="A308">
        <v>307</v>
      </c>
      <c r="B308">
        <v>782</v>
      </c>
      <c r="C308">
        <v>110</v>
      </c>
      <c r="D308">
        <v>0.49284035445197399</v>
      </c>
      <c r="E308">
        <v>106.22364163004353</v>
      </c>
      <c r="F308">
        <v>56.067874077860225</v>
      </c>
      <c r="G308">
        <v>71.361488593390732</v>
      </c>
      <c r="H308">
        <v>66.819920834128808</v>
      </c>
      <c r="J308">
        <v>42.827828443485657</v>
      </c>
      <c r="L308">
        <v>3.3890913644862013</v>
      </c>
      <c r="M308">
        <v>15.218788441067908</v>
      </c>
      <c r="N308">
        <v>1.9224737414637858</v>
      </c>
      <c r="O308">
        <v>20.853979810350818</v>
      </c>
      <c r="P308">
        <v>8.8634689713889419</v>
      </c>
      <c r="R308">
        <v>14.316335971564667</v>
      </c>
      <c r="S308">
        <v>43.312630827810217</v>
      </c>
      <c r="U308">
        <v>4.3497500310757466</v>
      </c>
      <c r="V308">
        <v>46.083328383006005</v>
      </c>
      <c r="W308">
        <v>31.030885983826582</v>
      </c>
      <c r="X308">
        <v>44.156547800276613</v>
      </c>
      <c r="Y308">
        <v>4.9437085067350326</v>
      </c>
      <c r="Z308">
        <v>29.816154631675602</v>
      </c>
      <c r="AA308">
        <v>2.504259694336215</v>
      </c>
      <c r="AB308">
        <v>37.130748185704995</v>
      </c>
      <c r="AD308">
        <v>6.51661040033874</v>
      </c>
      <c r="AE308">
        <v>14.131104347751592</v>
      </c>
      <c r="AF308">
        <v>14.824845541238538</v>
      </c>
      <c r="AG308">
        <v>23.073830004522375</v>
      </c>
      <c r="AH308">
        <v>1.8407180887547729</v>
      </c>
      <c r="AI308">
        <v>1.8570965868731073</v>
      </c>
      <c r="AK308">
        <v>38.539945871533931</v>
      </c>
    </row>
    <row r="309" spans="1:37" x14ac:dyDescent="0.2">
      <c r="A309">
        <v>308</v>
      </c>
      <c r="B309">
        <v>780</v>
      </c>
      <c r="C309">
        <v>110</v>
      </c>
      <c r="D309">
        <v>0.49174429093671501</v>
      </c>
      <c r="E309">
        <v>105.85912509571496</v>
      </c>
      <c r="F309">
        <v>54.289905227378668</v>
      </c>
      <c r="G309">
        <v>71.039692280695377</v>
      </c>
      <c r="H309">
        <v>66.492575189563055</v>
      </c>
      <c r="J309">
        <v>42.39607406449408</v>
      </c>
      <c r="L309">
        <v>2.8833398352818951</v>
      </c>
      <c r="M309">
        <v>15.218220897995979</v>
      </c>
      <c r="N309">
        <v>1.9264399709925462</v>
      </c>
      <c r="O309">
        <v>18.812807624176763</v>
      </c>
      <c r="P309">
        <v>8.2663283394289717</v>
      </c>
      <c r="R309">
        <v>13.575255818198412</v>
      </c>
      <c r="S309">
        <v>42.369478091347084</v>
      </c>
      <c r="U309">
        <v>4.3209498420311103</v>
      </c>
      <c r="V309">
        <v>46.063027614052608</v>
      </c>
      <c r="W309">
        <v>30.590762127297161</v>
      </c>
      <c r="X309">
        <v>44.1633956789546</v>
      </c>
      <c r="Y309">
        <v>4.3864286256297715</v>
      </c>
      <c r="Z309">
        <v>28.823441095860378</v>
      </c>
      <c r="AA309">
        <v>1.9866440697415528</v>
      </c>
      <c r="AB309">
        <v>36.838694660934685</v>
      </c>
      <c r="AD309">
        <v>5.9205324099792476</v>
      </c>
      <c r="AE309">
        <v>13.752607017320001</v>
      </c>
      <c r="AF309">
        <v>14.822001333111881</v>
      </c>
      <c r="AG309">
        <v>22.752126567554225</v>
      </c>
      <c r="AH309">
        <v>1.0055609460455976</v>
      </c>
      <c r="AI309">
        <v>1.8605430602345556</v>
      </c>
      <c r="AK309">
        <v>38.276984025288485</v>
      </c>
    </row>
    <row r="310" spans="1:37" x14ac:dyDescent="0.2">
      <c r="A310">
        <v>309</v>
      </c>
      <c r="B310">
        <v>778</v>
      </c>
      <c r="C310">
        <v>110</v>
      </c>
      <c r="D310">
        <v>0.49064405650953802</v>
      </c>
      <c r="E310">
        <v>105.46868223838628</v>
      </c>
      <c r="F310">
        <v>52.235956252430753</v>
      </c>
      <c r="G310">
        <v>70.67111694299264</v>
      </c>
      <c r="H310">
        <v>66.118500753608743</v>
      </c>
      <c r="J310">
        <v>41.789947531490881</v>
      </c>
      <c r="L310">
        <v>2.2851330693540368</v>
      </c>
      <c r="M310">
        <v>15.209564264515524</v>
      </c>
      <c r="N310">
        <v>1.9304019921756423</v>
      </c>
      <c r="O310">
        <v>16.455314780265695</v>
      </c>
      <c r="P310">
        <v>7.5756542500303121</v>
      </c>
      <c r="R310">
        <v>12.677567897823847</v>
      </c>
      <c r="S310">
        <v>41.101997720202213</v>
      </c>
      <c r="U310">
        <v>4.3085442643966125</v>
      </c>
      <c r="V310">
        <v>45.975084921544536</v>
      </c>
      <c r="W310">
        <v>30.15440180651883</v>
      </c>
      <c r="X310">
        <v>44.218453350169767</v>
      </c>
      <c r="Y310">
        <v>3.7360547148859928</v>
      </c>
      <c r="Z310">
        <v>27.632099435296364</v>
      </c>
      <c r="AA310">
        <v>1.3783211515666043</v>
      </c>
      <c r="AB310">
        <v>36.387158553961264</v>
      </c>
      <c r="AD310">
        <v>5.2068118748604135</v>
      </c>
      <c r="AE310">
        <v>13.290302965281999</v>
      </c>
      <c r="AF310">
        <v>14.811064648722745</v>
      </c>
      <c r="AG310">
        <v>22.270945877872208</v>
      </c>
      <c r="AH310">
        <v>2.6895751204655122E-2</v>
      </c>
      <c r="AI310">
        <v>1.863982177709842</v>
      </c>
      <c r="AK310">
        <v>37.922852427291794</v>
      </c>
    </row>
    <row r="311" spans="1:37" x14ac:dyDescent="0.2">
      <c r="A311">
        <v>310</v>
      </c>
      <c r="B311">
        <v>776</v>
      </c>
      <c r="C311">
        <v>110</v>
      </c>
      <c r="D311">
        <v>0.48953962731735601</v>
      </c>
      <c r="E311">
        <v>106.45986089103427</v>
      </c>
      <c r="F311">
        <v>53.677050385080932</v>
      </c>
      <c r="G311">
        <v>71.138292872752729</v>
      </c>
      <c r="H311">
        <v>66.580227978082576</v>
      </c>
      <c r="J311">
        <v>32.499748107603807</v>
      </c>
      <c r="L311">
        <v>1.4320789403803391</v>
      </c>
      <c r="M311">
        <v>14.432234040742378</v>
      </c>
      <c r="N311">
        <v>1.9344348170750514</v>
      </c>
      <c r="O311">
        <v>11.076398517762977</v>
      </c>
      <c r="P311">
        <v>8.5565824706981797</v>
      </c>
      <c r="R311">
        <v>11.350096880082239</v>
      </c>
      <c r="S311">
        <v>36.916966194947427</v>
      </c>
      <c r="U311">
        <v>4.4568656120692856</v>
      </c>
      <c r="V311">
        <v>46.06576651547342</v>
      </c>
      <c r="W311">
        <v>29.070311986849632</v>
      </c>
      <c r="X311">
        <v>44.727363825064785</v>
      </c>
      <c r="Y311">
        <v>3.375365538708154</v>
      </c>
      <c r="Z311">
        <v>24.626739776615793</v>
      </c>
      <c r="AB311">
        <v>33.726713483251231</v>
      </c>
      <c r="AD311">
        <v>3.8428091005656224</v>
      </c>
      <c r="AE311">
        <v>11.05237862476765</v>
      </c>
      <c r="AF311">
        <v>14.031526042815969</v>
      </c>
      <c r="AG311">
        <v>19.580936610077313</v>
      </c>
      <c r="AI311">
        <v>1.8674889367326599</v>
      </c>
      <c r="AK311">
        <v>31.923596981285268</v>
      </c>
    </row>
    <row r="312" spans="1:37" x14ac:dyDescent="0.2">
      <c r="A312">
        <v>311</v>
      </c>
      <c r="B312">
        <v>774</v>
      </c>
      <c r="C312">
        <v>110</v>
      </c>
      <c r="D312">
        <v>0.48843097932483898</v>
      </c>
      <c r="E312">
        <v>106.9988776416475</v>
      </c>
      <c r="F312">
        <v>53.789970246151981</v>
      </c>
      <c r="G312">
        <v>71.236651587921983</v>
      </c>
      <c r="H312">
        <v>66.673188540882748</v>
      </c>
      <c r="J312">
        <v>27.274521956740408</v>
      </c>
      <c r="L312">
        <v>1.4668307512934224</v>
      </c>
      <c r="M312">
        <v>13.572925072171824</v>
      </c>
      <c r="N312">
        <v>1.9384523369211339</v>
      </c>
      <c r="O312">
        <v>10.80806483888203</v>
      </c>
      <c r="P312">
        <v>8.7998900999910248</v>
      </c>
      <c r="R312">
        <v>10.730974983927004</v>
      </c>
      <c r="S312">
        <v>36.870674699469646</v>
      </c>
      <c r="U312">
        <v>4.4831311029196064</v>
      </c>
      <c r="V312">
        <v>46.950033062680447</v>
      </c>
      <c r="W312">
        <v>27.990262041373924</v>
      </c>
      <c r="X312">
        <v>44.885123087549232</v>
      </c>
      <c r="Y312">
        <v>3.3638285307235827</v>
      </c>
      <c r="Z312">
        <v>22.12587627385971</v>
      </c>
      <c r="AB312">
        <v>32.591216297764632</v>
      </c>
      <c r="AD312">
        <v>2.6298588161319825</v>
      </c>
      <c r="AE312">
        <v>9.4970608713175224</v>
      </c>
      <c r="AF312">
        <v>13.169994294879922</v>
      </c>
      <c r="AG312">
        <v>18.415869548707537</v>
      </c>
      <c r="AI312">
        <v>1.8709772138949585</v>
      </c>
      <c r="AK312">
        <v>28.353400963894231</v>
      </c>
    </row>
    <row r="313" spans="1:37" x14ac:dyDescent="0.2">
      <c r="A313">
        <v>312</v>
      </c>
      <c r="B313">
        <v>772</v>
      </c>
      <c r="C313">
        <v>110</v>
      </c>
      <c r="D313">
        <v>0.48731808831268297</v>
      </c>
      <c r="E313">
        <v>107.39623283122482</v>
      </c>
      <c r="F313">
        <v>54.140062434964072</v>
      </c>
      <c r="G313">
        <v>71.283531265164356</v>
      </c>
      <c r="H313">
        <v>66.714720779237908</v>
      </c>
      <c r="J313">
        <v>24.1895597641264</v>
      </c>
      <c r="L313">
        <v>1.4939486495677521</v>
      </c>
      <c r="M313">
        <v>12.810914897897371</v>
      </c>
      <c r="N313">
        <v>1.9424638006550961</v>
      </c>
      <c r="O313">
        <v>10.582019949823366</v>
      </c>
      <c r="P313">
        <v>8.9402629125548287</v>
      </c>
      <c r="R313">
        <v>10.175469299622128</v>
      </c>
      <c r="S313">
        <v>37.144307611771026</v>
      </c>
      <c r="U313">
        <v>4.4683314890185386</v>
      </c>
      <c r="V313">
        <v>47.855011302468654</v>
      </c>
      <c r="W313">
        <v>27.034151915204298</v>
      </c>
      <c r="X313">
        <v>44.925595568528813</v>
      </c>
      <c r="Y313">
        <v>3.3313963572897403</v>
      </c>
      <c r="Z313">
        <v>20.692348966793041</v>
      </c>
      <c r="AB313">
        <v>32.253673097222176</v>
      </c>
      <c r="AD313">
        <v>1.9130728636128922</v>
      </c>
      <c r="AE313">
        <v>8.6166623597862273</v>
      </c>
      <c r="AF313">
        <v>12.405756235902151</v>
      </c>
      <c r="AG313">
        <v>18.048760087052628</v>
      </c>
      <c r="AI313">
        <v>1.8744562434909169</v>
      </c>
      <c r="AK313">
        <v>26.168891051138896</v>
      </c>
    </row>
    <row r="314" spans="1:37" x14ac:dyDescent="0.2">
      <c r="A314">
        <v>313</v>
      </c>
      <c r="B314">
        <v>770</v>
      </c>
      <c r="C314">
        <v>110</v>
      </c>
      <c r="D314">
        <v>0.486200929875856</v>
      </c>
      <c r="E314">
        <v>107.71054713587966</v>
      </c>
      <c r="F314">
        <v>54.534990991414482</v>
      </c>
      <c r="G314">
        <v>71.305441726626711</v>
      </c>
      <c r="H314">
        <v>66.731334676472358</v>
      </c>
      <c r="J314">
        <v>22.104123715410733</v>
      </c>
      <c r="L314">
        <v>1.5160818702795149</v>
      </c>
      <c r="M314">
        <v>12.134665804523827</v>
      </c>
      <c r="N314">
        <v>1.9464700139416282</v>
      </c>
      <c r="O314">
        <v>10.37801224975596</v>
      </c>
      <c r="P314">
        <v>9.0307215316651313</v>
      </c>
      <c r="R314">
        <v>9.6710473530147585</v>
      </c>
      <c r="S314">
        <v>37.481072572213847</v>
      </c>
      <c r="U314">
        <v>4.4382415297415383</v>
      </c>
      <c r="V314">
        <v>48.689576882750075</v>
      </c>
      <c r="W314">
        <v>26.173344371073814</v>
      </c>
      <c r="X314">
        <v>44.923162812914896</v>
      </c>
      <c r="Y314">
        <v>3.2947616220722602</v>
      </c>
      <c r="Z314">
        <v>19.721270877034375</v>
      </c>
      <c r="AB314">
        <v>32.193069657282969</v>
      </c>
      <c r="AD314">
        <v>1.416421849371543</v>
      </c>
      <c r="AE314">
        <v>8.0220744639142723</v>
      </c>
      <c r="AF314">
        <v>11.727275001300912</v>
      </c>
      <c r="AG314">
        <v>17.958594851341832</v>
      </c>
      <c r="AI314">
        <v>1.8779268165287695</v>
      </c>
      <c r="AK314">
        <v>24.653544075892459</v>
      </c>
    </row>
    <row r="315" spans="1:37" x14ac:dyDescent="0.2">
      <c r="A315">
        <v>314</v>
      </c>
      <c r="B315">
        <v>768</v>
      </c>
      <c r="C315">
        <v>110</v>
      </c>
      <c r="D315">
        <v>0.48507947942179502</v>
      </c>
      <c r="E315">
        <v>107.97127389022386</v>
      </c>
      <c r="F315">
        <v>54.927068835059835</v>
      </c>
      <c r="G315">
        <v>71.313488424037232</v>
      </c>
      <c r="H315">
        <v>66.73413584611157</v>
      </c>
      <c r="J315">
        <v>20.567627092816544</v>
      </c>
      <c r="L315">
        <v>1.5348788091460155</v>
      </c>
      <c r="M315">
        <v>11.523653227278812</v>
      </c>
      <c r="N315">
        <v>1.9504721383076193</v>
      </c>
      <c r="O315">
        <v>10.186568557962525</v>
      </c>
      <c r="P315">
        <v>9.0934781965815557</v>
      </c>
      <c r="R315">
        <v>9.2058274466467704</v>
      </c>
      <c r="S315">
        <v>37.822234621205133</v>
      </c>
      <c r="U315">
        <v>4.4007745087671495</v>
      </c>
      <c r="V315">
        <v>49.452968057123535</v>
      </c>
      <c r="W315">
        <v>25.38222403293917</v>
      </c>
      <c r="X315">
        <v>44.90064903045937</v>
      </c>
      <c r="Y315">
        <v>3.2583273209059858</v>
      </c>
      <c r="Z315">
        <v>18.988347393155458</v>
      </c>
      <c r="AB315">
        <v>32.248431865189986</v>
      </c>
      <c r="AD315">
        <v>1.0351882756623152</v>
      </c>
      <c r="AE315">
        <v>7.5733845180060095</v>
      </c>
      <c r="AF315">
        <v>11.114027231178188</v>
      </c>
      <c r="AG315">
        <v>17.984400935534889</v>
      </c>
      <c r="AI315">
        <v>1.8813900798714984</v>
      </c>
      <c r="AK315">
        <v>23.513989428059357</v>
      </c>
    </row>
    <row r="316" spans="1:37" x14ac:dyDescent="0.2">
      <c r="A316">
        <v>315</v>
      </c>
      <c r="B316">
        <v>766</v>
      </c>
      <c r="C316">
        <v>110</v>
      </c>
      <c r="D316">
        <v>0.483953712168602</v>
      </c>
      <c r="E316">
        <v>108.19439280342861</v>
      </c>
      <c r="F316">
        <v>55.303369740939885</v>
      </c>
      <c r="G316">
        <v>71.312924623734332</v>
      </c>
      <c r="H316">
        <v>66.728377716911965</v>
      </c>
      <c r="J316">
        <v>19.370914969075525</v>
      </c>
      <c r="L316">
        <v>1.5514623167294921</v>
      </c>
      <c r="M316">
        <v>10.962843214183657</v>
      </c>
      <c r="N316">
        <v>1.954470977524964</v>
      </c>
      <c r="O316">
        <v>10.003104409552307</v>
      </c>
      <c r="P316">
        <v>9.1390404189822565</v>
      </c>
      <c r="R316">
        <v>8.7714057800934313</v>
      </c>
      <c r="S316">
        <v>38.151831314963417</v>
      </c>
      <c r="U316">
        <v>4.3590727059708483</v>
      </c>
      <c r="V316">
        <v>50.155516141704396</v>
      </c>
      <c r="W316">
        <v>24.643767320282748</v>
      </c>
      <c r="X316">
        <v>44.867112057702911</v>
      </c>
      <c r="Y316">
        <v>3.2233428006276585</v>
      </c>
      <c r="Z316">
        <v>18.395141291765558</v>
      </c>
      <c r="AB316">
        <v>32.358105159795443</v>
      </c>
      <c r="AD316">
        <v>0.72273718138368026</v>
      </c>
      <c r="AE316">
        <v>7.2099452328136051</v>
      </c>
      <c r="AF316">
        <v>10.550979820865141</v>
      </c>
      <c r="AG316">
        <v>18.064524627730286</v>
      </c>
      <c r="AI316">
        <v>1.8848468226189425</v>
      </c>
      <c r="AK316">
        <v>22.611126413153649</v>
      </c>
    </row>
    <row r="317" spans="1:37" x14ac:dyDescent="0.2">
      <c r="A317">
        <v>316</v>
      </c>
      <c r="B317">
        <v>764</v>
      </c>
      <c r="C317">
        <v>110</v>
      </c>
      <c r="D317">
        <v>0.48282360314323097</v>
      </c>
      <c r="E317">
        <v>108.38946492191174</v>
      </c>
      <c r="F317">
        <v>55.660889584147327</v>
      </c>
      <c r="G317">
        <v>71.306562676963637</v>
      </c>
      <c r="H317">
        <v>66.716872803162104</v>
      </c>
      <c r="J317">
        <v>18.4027899511916</v>
      </c>
      <c r="L317">
        <v>1.566396701405214</v>
      </c>
      <c r="M317">
        <v>10.441792082832967</v>
      </c>
      <c r="N317">
        <v>1.9584670759751059</v>
      </c>
      <c r="O317">
        <v>9.8251671332032533</v>
      </c>
      <c r="P317">
        <v>9.1730336219389006</v>
      </c>
      <c r="R317">
        <v>8.3619024593471103</v>
      </c>
      <c r="S317">
        <v>38.46567865129304</v>
      </c>
      <c r="U317">
        <v>4.3146320397363267</v>
      </c>
      <c r="V317">
        <v>50.807147577484223</v>
      </c>
      <c r="W317">
        <v>23.946593717605449</v>
      </c>
      <c r="X317">
        <v>44.826860327024882</v>
      </c>
      <c r="Y317">
        <v>3.1901179449525339</v>
      </c>
      <c r="Z317">
        <v>17.891718363402575</v>
      </c>
      <c r="AB317">
        <v>32.494475126371086</v>
      </c>
      <c r="AD317">
        <v>0.4551284674127597</v>
      </c>
      <c r="AE317">
        <v>6.9011920070725115</v>
      </c>
      <c r="AF317">
        <v>10.027689676078429</v>
      </c>
      <c r="AG317">
        <v>18.171352103342571</v>
      </c>
      <c r="AI317">
        <v>1.8882975744738539</v>
      </c>
      <c r="AK317">
        <v>21.869840287814089</v>
      </c>
    </row>
    <row r="318" spans="1:37" x14ac:dyDescent="0.2">
      <c r="A318">
        <v>317</v>
      </c>
      <c r="B318">
        <v>762</v>
      </c>
      <c r="C318">
        <v>110</v>
      </c>
      <c r="D318">
        <v>0.48168912717963802</v>
      </c>
      <c r="E318">
        <v>108.56267251865033</v>
      </c>
      <c r="F318">
        <v>55.999779344824567</v>
      </c>
      <c r="G318">
        <v>71.296058106516867</v>
      </c>
      <c r="H318">
        <v>66.701276791325682</v>
      </c>
      <c r="J318">
        <v>17.597955863949345</v>
      </c>
      <c r="L318">
        <v>1.5800893853930211</v>
      </c>
      <c r="M318">
        <v>9.95309366558336</v>
      </c>
      <c r="N318">
        <v>1.9624608162615411</v>
      </c>
      <c r="O318">
        <v>9.651328311683443</v>
      </c>
      <c r="P318">
        <v>9.198769410805566</v>
      </c>
      <c r="R318">
        <v>7.9730877828030637</v>
      </c>
      <c r="S318">
        <v>38.763337262228418</v>
      </c>
      <c r="U318">
        <v>4.2682603969155926</v>
      </c>
      <c r="V318">
        <v>51.415895941682308</v>
      </c>
      <c r="W318">
        <v>23.282795850502669</v>
      </c>
      <c r="X318">
        <v>44.782217756668658</v>
      </c>
      <c r="Y318">
        <v>3.1586531931637047</v>
      </c>
      <c r="Z318">
        <v>17.449899613045634</v>
      </c>
      <c r="AB318">
        <v>32.643778120553186</v>
      </c>
      <c r="AD318">
        <v>0.21870957833513641</v>
      </c>
      <c r="AE318">
        <v>6.6299436987314939</v>
      </c>
      <c r="AF318">
        <v>9.536751055711802</v>
      </c>
      <c r="AG318">
        <v>18.291120146660869</v>
      </c>
      <c r="AI318">
        <v>1.8917427033532375</v>
      </c>
      <c r="AK318">
        <v>21.245461398504847</v>
      </c>
    </row>
    <row r="319" spans="1:37" x14ac:dyDescent="0.2">
      <c r="A319">
        <v>318</v>
      </c>
      <c r="B319">
        <v>760</v>
      </c>
      <c r="C319">
        <v>110</v>
      </c>
      <c r="D319">
        <v>0.480550258916906</v>
      </c>
      <c r="E319">
        <v>108.71825792219877</v>
      </c>
      <c r="F319">
        <v>56.321196275886336</v>
      </c>
      <c r="G319">
        <v>71.282458187965602</v>
      </c>
      <c r="H319">
        <v>66.682637121278717</v>
      </c>
      <c r="J319">
        <v>16.915134821147102</v>
      </c>
      <c r="L319">
        <v>1.5927473753292469</v>
      </c>
      <c r="M319">
        <v>9.4913312804829975</v>
      </c>
      <c r="N319">
        <v>1.9664524784886142</v>
      </c>
      <c r="O319">
        <v>9.480699277542044</v>
      </c>
      <c r="P319">
        <v>9.218342794976472</v>
      </c>
      <c r="R319">
        <v>7.6018214292968986</v>
      </c>
      <c r="S319">
        <v>39.045612065527187</v>
      </c>
      <c r="U319">
        <v>4.2204359796779656</v>
      </c>
      <c r="V319">
        <v>51.988072776022868</v>
      </c>
      <c r="W319">
        <v>22.64666316294419</v>
      </c>
      <c r="X319">
        <v>44.734557464396985</v>
      </c>
      <c r="Y319">
        <v>3.1288462271151456</v>
      </c>
      <c r="Z319">
        <v>17.052470001453553</v>
      </c>
      <c r="AB319">
        <v>32.79862929639576</v>
      </c>
      <c r="AD319">
        <v>5.0595802804788139E-3</v>
      </c>
      <c r="AE319">
        <v>6.3857302723482814</v>
      </c>
      <c r="AF319">
        <v>9.0727476020536013</v>
      </c>
      <c r="AG319">
        <v>18.416444238186383</v>
      </c>
      <c r="AI319">
        <v>1.8951824746695909</v>
      </c>
      <c r="AK319">
        <v>20.709443082489251</v>
      </c>
    </row>
    <row r="320" spans="1:37" x14ac:dyDescent="0.2">
      <c r="A320">
        <v>319</v>
      </c>
      <c r="B320">
        <v>806</v>
      </c>
      <c r="C320">
        <v>100</v>
      </c>
      <c r="D320">
        <v>0.51586943427697896</v>
      </c>
      <c r="E320">
        <v>102.90760234810904</v>
      </c>
      <c r="F320">
        <v>65.77716382248046</v>
      </c>
      <c r="G320">
        <v>73.178951294641465</v>
      </c>
      <c r="H320">
        <v>68.707596923719152</v>
      </c>
      <c r="J320">
        <v>43.974205737881618</v>
      </c>
      <c r="L320">
        <v>5.9553487878969431</v>
      </c>
      <c r="M320">
        <v>15.397205144390602</v>
      </c>
      <c r="N320">
        <v>2.0781407442410322</v>
      </c>
      <c r="O320">
        <v>33.548741110432005</v>
      </c>
      <c r="P320">
        <v>12.090126000460646</v>
      </c>
      <c r="Q320">
        <v>6.1723895543894063E-2</v>
      </c>
      <c r="R320">
        <v>18.538657997211601</v>
      </c>
      <c r="S320">
        <v>48.716079898076423</v>
      </c>
      <c r="U320">
        <v>5.1356478624832977</v>
      </c>
      <c r="V320">
        <v>45.827394749117822</v>
      </c>
      <c r="W320">
        <v>35.121717380664762</v>
      </c>
      <c r="X320">
        <v>44.02210425047835</v>
      </c>
      <c r="Y320">
        <v>7.6826583498935079</v>
      </c>
      <c r="Z320">
        <v>35.522316571080182</v>
      </c>
      <c r="AA320">
        <v>5.1983230489286214</v>
      </c>
      <c r="AB320">
        <v>38.865874922353598</v>
      </c>
      <c r="AC320">
        <v>0.23985428882619214</v>
      </c>
      <c r="AD320">
        <v>9.5564717528342502</v>
      </c>
      <c r="AE320">
        <v>16.681831460098614</v>
      </c>
      <c r="AF320">
        <v>15.264822757411537</v>
      </c>
      <c r="AG320">
        <v>25.411264142272998</v>
      </c>
      <c r="AH320">
        <v>5.7002589296457788</v>
      </c>
      <c r="AI320">
        <v>2.017606141941001</v>
      </c>
      <c r="AK320">
        <v>38.739315888077087</v>
      </c>
    </row>
    <row r="321" spans="1:37" x14ac:dyDescent="0.2">
      <c r="A321">
        <v>320</v>
      </c>
      <c r="B321">
        <v>804</v>
      </c>
      <c r="C321">
        <v>100</v>
      </c>
      <c r="D321">
        <v>0.514840551455232</v>
      </c>
      <c r="E321">
        <v>102.70852816055509</v>
      </c>
      <c r="F321">
        <v>65.101180190351769</v>
      </c>
      <c r="G321">
        <v>73.059709599360588</v>
      </c>
      <c r="H321">
        <v>68.582207081266915</v>
      </c>
      <c r="J321">
        <v>43.891835985985871</v>
      </c>
      <c r="L321">
        <v>5.7908925789938657</v>
      </c>
      <c r="M321">
        <v>15.347086049596916</v>
      </c>
      <c r="N321">
        <v>2.0599416515633431</v>
      </c>
      <c r="O321">
        <v>32.724115095170141</v>
      </c>
      <c r="P321">
        <v>11.875589188751968</v>
      </c>
      <c r="R321">
        <v>18.21913848278129</v>
      </c>
      <c r="S321">
        <v>48.213048163198053</v>
      </c>
      <c r="U321">
        <v>5.0525222125349076</v>
      </c>
      <c r="V321">
        <v>45.766124412550774</v>
      </c>
      <c r="W321">
        <v>34.817896410454111</v>
      </c>
      <c r="X321">
        <v>43.868880978671726</v>
      </c>
      <c r="Y321">
        <v>7.5097090667909212</v>
      </c>
      <c r="Z321">
        <v>35.14664397742721</v>
      </c>
      <c r="AA321">
        <v>5.0256764420403419</v>
      </c>
      <c r="AB321">
        <v>38.702481342475451</v>
      </c>
      <c r="AC321">
        <v>0.21766243363236662</v>
      </c>
      <c r="AD321">
        <v>9.3644274258794837</v>
      </c>
      <c r="AE321">
        <v>16.511450619154139</v>
      </c>
      <c r="AF321">
        <v>15.190252016825619</v>
      </c>
      <c r="AG321">
        <v>25.195970520406735</v>
      </c>
      <c r="AH321">
        <v>5.4548425066575907</v>
      </c>
      <c r="AI321">
        <v>1.9989248288284953</v>
      </c>
      <c r="AK321">
        <v>38.738418280229972</v>
      </c>
    </row>
    <row r="322" spans="1:37" x14ac:dyDescent="0.2">
      <c r="A322">
        <v>321</v>
      </c>
      <c r="B322">
        <v>802</v>
      </c>
      <c r="C322">
        <v>100</v>
      </c>
      <c r="D322">
        <v>0.51380784076640695</v>
      </c>
      <c r="E322">
        <v>102.50823822541899</v>
      </c>
      <c r="F322">
        <v>64.303775473312456</v>
      </c>
      <c r="G322">
        <v>72.916169403844179</v>
      </c>
      <c r="H322">
        <v>68.432567109998914</v>
      </c>
      <c r="J322">
        <v>43.834508999932233</v>
      </c>
      <c r="L322">
        <v>5.5778658062321522</v>
      </c>
      <c r="M322">
        <v>15.365834757364256</v>
      </c>
      <c r="N322">
        <v>2.0306460311734664</v>
      </c>
      <c r="O322">
        <v>31.68719548210672</v>
      </c>
      <c r="P322">
        <v>11.601385668840026</v>
      </c>
      <c r="R322">
        <v>17.917511126920122</v>
      </c>
      <c r="S322">
        <v>47.968053060278855</v>
      </c>
      <c r="U322">
        <v>5.0256611550156345</v>
      </c>
      <c r="V322">
        <v>45.838796332693576</v>
      </c>
      <c r="W322">
        <v>34.575806189503332</v>
      </c>
      <c r="X322">
        <v>43.90299564665581</v>
      </c>
      <c r="Y322">
        <v>7.2834540068682738</v>
      </c>
      <c r="Z322">
        <v>34.698746696152476</v>
      </c>
      <c r="AA322">
        <v>4.8005743281723188</v>
      </c>
      <c r="AB322">
        <v>38.639551583409599</v>
      </c>
      <c r="AC322">
        <v>0.18437470530921943</v>
      </c>
      <c r="AD322">
        <v>9.1280180143281147</v>
      </c>
      <c r="AE322">
        <v>16.31714665588154</v>
      </c>
      <c r="AF322">
        <v>15.173452887165375</v>
      </c>
      <c r="AG322">
        <v>25.070053221377552</v>
      </c>
      <c r="AH322">
        <v>5.1448466022837103</v>
      </c>
      <c r="AI322">
        <v>1.9691440151030513</v>
      </c>
      <c r="AK322">
        <v>38.712601584321895</v>
      </c>
    </row>
    <row r="323" spans="1:37" x14ac:dyDescent="0.2">
      <c r="A323">
        <v>322</v>
      </c>
      <c r="B323">
        <v>800</v>
      </c>
      <c r="C323">
        <v>100</v>
      </c>
      <c r="D323">
        <v>0.51277128080883805</v>
      </c>
      <c r="E323">
        <v>102.30953337340782</v>
      </c>
      <c r="F323">
        <v>63.510661636075916</v>
      </c>
      <c r="G323">
        <v>72.772767372890868</v>
      </c>
      <c r="H323">
        <v>68.28311382703113</v>
      </c>
      <c r="J323">
        <v>43.776132307662273</v>
      </c>
      <c r="L323">
        <v>5.3642537917125228</v>
      </c>
      <c r="M323">
        <v>15.384980685774369</v>
      </c>
      <c r="N323">
        <v>2.0013274397007619</v>
      </c>
      <c r="O323">
        <v>30.651748563032246</v>
      </c>
      <c r="P323">
        <v>11.327462486749543</v>
      </c>
      <c r="R323">
        <v>17.613605491470238</v>
      </c>
      <c r="S323">
        <v>47.715741132396786</v>
      </c>
      <c r="U323">
        <v>5.000042951412798</v>
      </c>
      <c r="V323">
        <v>45.907943495216486</v>
      </c>
      <c r="W323">
        <v>34.335437366482552</v>
      </c>
      <c r="X323">
        <v>43.941745215618496</v>
      </c>
      <c r="Y323">
        <v>7.0572492878146607</v>
      </c>
      <c r="Z323">
        <v>34.252147329333759</v>
      </c>
      <c r="AA323">
        <v>4.5753983662703908</v>
      </c>
      <c r="AB323">
        <v>38.572380368299143</v>
      </c>
      <c r="AC323">
        <v>0.15106465705115923</v>
      </c>
      <c r="AD323">
        <v>8.891888266753238</v>
      </c>
      <c r="AE323">
        <v>16.123572552301685</v>
      </c>
      <c r="AF323">
        <v>15.157028383461538</v>
      </c>
      <c r="AG323">
        <v>24.939880565878475</v>
      </c>
      <c r="AH323">
        <v>4.8347074058852142</v>
      </c>
      <c r="AI323">
        <v>1.9393372429134754</v>
      </c>
      <c r="AK323">
        <v>38.687590341880991</v>
      </c>
    </row>
    <row r="324" spans="1:37" x14ac:dyDescent="0.2">
      <c r="A324">
        <v>323</v>
      </c>
      <c r="B324">
        <v>798</v>
      </c>
      <c r="C324">
        <v>100</v>
      </c>
      <c r="D324">
        <v>0.51173085002101004</v>
      </c>
      <c r="E324">
        <v>102.11241810637704</v>
      </c>
      <c r="F324">
        <v>62.721940819946091</v>
      </c>
      <c r="G324">
        <v>72.629537760556829</v>
      </c>
      <c r="H324">
        <v>68.13388163930334</v>
      </c>
      <c r="J324">
        <v>43.716669508323911</v>
      </c>
      <c r="L324">
        <v>5.1501438335909482</v>
      </c>
      <c r="M324">
        <v>15.404479308593217</v>
      </c>
      <c r="N324">
        <v>1.9719905465996439</v>
      </c>
      <c r="O324">
        <v>29.617966716137122</v>
      </c>
      <c r="P324">
        <v>11.053892980700882</v>
      </c>
      <c r="R324">
        <v>17.307552543138343</v>
      </c>
      <c r="S324">
        <v>47.455882176660879</v>
      </c>
      <c r="U324">
        <v>4.975616957213866</v>
      </c>
      <c r="V324">
        <v>45.973488205215901</v>
      </c>
      <c r="W324">
        <v>34.096779005100295</v>
      </c>
      <c r="X324">
        <v>43.984980571332883</v>
      </c>
      <c r="Y324">
        <v>6.8311555658319385</v>
      </c>
      <c r="Z324">
        <v>33.806867501623763</v>
      </c>
      <c r="AA324">
        <v>4.3502983996939655</v>
      </c>
      <c r="AB324">
        <v>38.500830224188334</v>
      </c>
      <c r="AC324">
        <v>0.11773695487089793</v>
      </c>
      <c r="AD324">
        <v>8.6560819735623493</v>
      </c>
      <c r="AE324">
        <v>15.930709129885068</v>
      </c>
      <c r="AF324">
        <v>15.140938689432584</v>
      </c>
      <c r="AG324">
        <v>24.805319791582889</v>
      </c>
      <c r="AH324">
        <v>4.524528071306694</v>
      </c>
      <c r="AI324">
        <v>1.9095091672186122</v>
      </c>
      <c r="AK324">
        <v>38.663400237415992</v>
      </c>
    </row>
    <row r="325" spans="1:37" x14ac:dyDescent="0.2">
      <c r="A325">
        <v>324</v>
      </c>
      <c r="B325">
        <v>796</v>
      </c>
      <c r="C325">
        <v>100</v>
      </c>
      <c r="D325">
        <v>0.51068652668007097</v>
      </c>
      <c r="E325">
        <v>101.91689476929724</v>
      </c>
      <c r="F325">
        <v>61.937708434586618</v>
      </c>
      <c r="G325">
        <v>72.486514500530262</v>
      </c>
      <c r="H325">
        <v>67.98490463396098</v>
      </c>
      <c r="J325">
        <v>43.656093525016907</v>
      </c>
      <c r="L325">
        <v>4.9356218951064257</v>
      </c>
      <c r="M325">
        <v>15.424284713625106</v>
      </c>
      <c r="N325">
        <v>1.9426400726670594</v>
      </c>
      <c r="O325">
        <v>28.586040065754336</v>
      </c>
      <c r="P325">
        <v>10.780749900394669</v>
      </c>
      <c r="R325">
        <v>16.999484442673658</v>
      </c>
      <c r="S325">
        <v>47.188283997790016</v>
      </c>
      <c r="U325">
        <v>4.9523299403152903</v>
      </c>
      <c r="V325">
        <v>46.035367574530021</v>
      </c>
      <c r="W325">
        <v>33.859817235649082</v>
      </c>
      <c r="X325">
        <v>44.032544881370946</v>
      </c>
      <c r="Y325">
        <v>6.6052332218347845</v>
      </c>
      <c r="Z325">
        <v>33.362925692421811</v>
      </c>
      <c r="AA325">
        <v>4.1254151336700522</v>
      </c>
      <c r="AB325">
        <v>38.424783613066722</v>
      </c>
      <c r="AC325">
        <v>8.4396316119256506E-2</v>
      </c>
      <c r="AD325">
        <v>8.420641755813369</v>
      </c>
      <c r="AE325">
        <v>15.738535649213473</v>
      </c>
      <c r="AF325">
        <v>15.125142654364703</v>
      </c>
      <c r="AG325">
        <v>24.666258122702839</v>
      </c>
      <c r="AH325">
        <v>4.2144106633099145</v>
      </c>
      <c r="AI325">
        <v>1.8796644943064507</v>
      </c>
      <c r="AK325">
        <v>38.640046001421368</v>
      </c>
    </row>
    <row r="326" spans="1:37" x14ac:dyDescent="0.2">
      <c r="A326">
        <v>325</v>
      </c>
      <c r="B326">
        <v>794</v>
      </c>
      <c r="C326">
        <v>100</v>
      </c>
      <c r="D326">
        <v>0.50963828890034402</v>
      </c>
      <c r="E326">
        <v>101.72296367412099</v>
      </c>
      <c r="F326">
        <v>61.158052512958619</v>
      </c>
      <c r="G326">
        <v>72.343730960798865</v>
      </c>
      <c r="H326">
        <v>67.836216333021369</v>
      </c>
      <c r="J326">
        <v>43.594386043838014</v>
      </c>
      <c r="L326">
        <v>4.7207720934462598</v>
      </c>
      <c r="M326">
        <v>15.444349942297103</v>
      </c>
      <c r="N326">
        <v>1.9132807101690057</v>
      </c>
      <c r="O326">
        <v>27.556154817049929</v>
      </c>
      <c r="P326">
        <v>10.508104836466369</v>
      </c>
      <c r="R326">
        <v>16.689533291046608</v>
      </c>
      <c r="S326">
        <v>46.91279140744038</v>
      </c>
      <c r="U326">
        <v>4.9301266174882379</v>
      </c>
      <c r="V326">
        <v>46.0935329302798</v>
      </c>
      <c r="W326">
        <v>33.624535673843802</v>
      </c>
      <c r="X326">
        <v>44.084275239473556</v>
      </c>
      <c r="Y326">
        <v>6.3795418787915867</v>
      </c>
      <c r="Z326">
        <v>32.920336886541044</v>
      </c>
      <c r="AA326">
        <v>3.900638128051316</v>
      </c>
      <c r="AB326">
        <v>38.344142453334825</v>
      </c>
      <c r="AC326">
        <v>5.1047429609586081E-2</v>
      </c>
      <c r="AD326">
        <v>8.185608727088507</v>
      </c>
      <c r="AE326">
        <v>15.547029812921302</v>
      </c>
      <c r="AF326">
        <v>15.109598052819033</v>
      </c>
      <c r="AG326">
        <v>24.522602211588776</v>
      </c>
      <c r="AH326">
        <v>3.9044554958473845</v>
      </c>
      <c r="AI326">
        <v>1.8498079019201765</v>
      </c>
      <c r="AK326">
        <v>38.617541196901428</v>
      </c>
    </row>
    <row r="327" spans="1:37" x14ac:dyDescent="0.2">
      <c r="A327">
        <v>326</v>
      </c>
      <c r="B327">
        <v>792</v>
      </c>
      <c r="C327">
        <v>100</v>
      </c>
      <c r="D327">
        <v>0.50858611463174297</v>
      </c>
      <c r="E327">
        <v>101.53062325043804</v>
      </c>
      <c r="F327">
        <v>60.383053207728054</v>
      </c>
      <c r="G327">
        <v>72.201219725103201</v>
      </c>
      <c r="H327">
        <v>67.687849474831566</v>
      </c>
      <c r="J327">
        <v>43.53153682044119</v>
      </c>
      <c r="L327">
        <v>4.5056762383067213</v>
      </c>
      <c r="M327">
        <v>15.464627307520606</v>
      </c>
      <c r="N327">
        <v>1.8839170453683436</v>
      </c>
      <c r="O327">
        <v>26.528491753558534</v>
      </c>
      <c r="P327">
        <v>10.236027705929848</v>
      </c>
      <c r="R327">
        <v>16.377829940902267</v>
      </c>
      <c r="S327">
        <v>46.629284643065176</v>
      </c>
      <c r="U327">
        <v>4.908950181435765</v>
      </c>
      <c r="V327">
        <v>46.147949021238716</v>
      </c>
      <c r="W327">
        <v>33.390915867340681</v>
      </c>
      <c r="X327">
        <v>44.140004276095596</v>
      </c>
      <c r="Y327">
        <v>6.1541399651159363</v>
      </c>
      <c r="Z327">
        <v>32.479112268234964</v>
      </c>
      <c r="AA327">
        <v>3.6761123476358115</v>
      </c>
      <c r="AB327">
        <v>38.258827325452415</v>
      </c>
      <c r="AC327">
        <v>1.7694878146863598E-2</v>
      </c>
      <c r="AD327">
        <v>7.9510221887418115</v>
      </c>
      <c r="AE327">
        <v>15.356167771372361</v>
      </c>
      <c r="AF327">
        <v>15.094261825024617</v>
      </c>
      <c r="AG327">
        <v>24.374277266901466</v>
      </c>
      <c r="AH327">
        <v>3.5947605553948909</v>
      </c>
      <c r="AI327">
        <v>1.8199439617857534</v>
      </c>
      <c r="AK327">
        <v>38.595898023698567</v>
      </c>
    </row>
    <row r="328" spans="1:37" x14ac:dyDescent="0.2">
      <c r="A328">
        <v>327</v>
      </c>
      <c r="B328">
        <v>790</v>
      </c>
      <c r="C328">
        <v>100</v>
      </c>
      <c r="D328">
        <v>0.507529981658283</v>
      </c>
      <c r="E328">
        <v>101.26255519836515</v>
      </c>
      <c r="F328">
        <v>59.198280058138501</v>
      </c>
      <c r="G328">
        <v>71.987108681171193</v>
      </c>
      <c r="H328">
        <v>67.467932102307657</v>
      </c>
      <c r="J328">
        <v>43.336300256309706</v>
      </c>
      <c r="L328">
        <v>4.1785075868848107</v>
      </c>
      <c r="M328">
        <v>15.474279942647911</v>
      </c>
      <c r="N328">
        <v>1.8698867130314321</v>
      </c>
      <c r="O328">
        <v>25.102658685315664</v>
      </c>
      <c r="P328">
        <v>9.8361120831686399</v>
      </c>
      <c r="R328">
        <v>15.905735956992752</v>
      </c>
      <c r="S328">
        <v>46.125655349175872</v>
      </c>
      <c r="U328">
        <v>4.8766320297312351</v>
      </c>
      <c r="V328">
        <v>46.189199745842181</v>
      </c>
      <c r="W328">
        <v>33.057619627670313</v>
      </c>
      <c r="X328">
        <v>44.150486071918131</v>
      </c>
      <c r="Y328">
        <v>5.7973330035987196</v>
      </c>
      <c r="Z328">
        <v>31.818964580452224</v>
      </c>
      <c r="AA328">
        <v>3.3372628292612352</v>
      </c>
      <c r="AB328">
        <v>38.11717379345658</v>
      </c>
      <c r="AD328">
        <v>7.5746868080167458</v>
      </c>
      <c r="AE328">
        <v>15.091096510018803</v>
      </c>
      <c r="AF328">
        <v>15.083634780342225</v>
      </c>
      <c r="AG328">
        <v>24.184956529643639</v>
      </c>
      <c r="AH328">
        <v>3.07660956427693</v>
      </c>
      <c r="AI328">
        <v>1.8054102941206511</v>
      </c>
      <c r="AK328">
        <v>38.479892966454003</v>
      </c>
    </row>
    <row r="329" spans="1:37" x14ac:dyDescent="0.2">
      <c r="A329">
        <v>328</v>
      </c>
      <c r="B329">
        <v>788</v>
      </c>
      <c r="C329">
        <v>100</v>
      </c>
      <c r="D329">
        <v>0.50646986759647905</v>
      </c>
      <c r="E329">
        <v>100.90433285831209</v>
      </c>
      <c r="F329">
        <v>57.504324117944307</v>
      </c>
      <c r="G329">
        <v>71.682559033969198</v>
      </c>
      <c r="H329">
        <v>67.157625576188565</v>
      </c>
      <c r="J329">
        <v>42.962341327224301</v>
      </c>
      <c r="L329">
        <v>3.707173603957286</v>
      </c>
      <c r="M329">
        <v>15.472288156083675</v>
      </c>
      <c r="N329">
        <v>1.8738592651026309</v>
      </c>
      <c r="O329">
        <v>23.169148823581835</v>
      </c>
      <c r="P329">
        <v>9.2733500951051013</v>
      </c>
      <c r="R329">
        <v>15.2227584473628</v>
      </c>
      <c r="S329">
        <v>45.310469766462163</v>
      </c>
      <c r="U329">
        <v>4.8368264824160336</v>
      </c>
      <c r="V329">
        <v>46.201203829126463</v>
      </c>
      <c r="W329">
        <v>32.610149620153869</v>
      </c>
      <c r="X329">
        <v>44.123913824775862</v>
      </c>
      <c r="Y329">
        <v>5.2740287580977432</v>
      </c>
      <c r="Z329">
        <v>30.882532370209631</v>
      </c>
      <c r="AA329">
        <v>2.8523145777696772</v>
      </c>
      <c r="AB329">
        <v>37.884715431160593</v>
      </c>
      <c r="AD329">
        <v>7.0191438911805646</v>
      </c>
      <c r="AE329">
        <v>14.732437460679211</v>
      </c>
      <c r="AF329">
        <v>15.079366820546797</v>
      </c>
      <c r="AG329">
        <v>23.922843168033772</v>
      </c>
      <c r="AH329">
        <v>2.2946511787318902</v>
      </c>
      <c r="AI329">
        <v>1.8088764363071865</v>
      </c>
      <c r="AK329">
        <v>38.243666597558281</v>
      </c>
    </row>
    <row r="330" spans="1:37" x14ac:dyDescent="0.2">
      <c r="A330">
        <v>329</v>
      </c>
      <c r="B330">
        <v>786</v>
      </c>
      <c r="C330">
        <v>100</v>
      </c>
      <c r="D330">
        <v>0.50540574989378495</v>
      </c>
      <c r="E330">
        <v>100.54447589235394</v>
      </c>
      <c r="F330">
        <v>55.756908142650467</v>
      </c>
      <c r="G330">
        <v>71.3661311291673</v>
      </c>
      <c r="H330">
        <v>66.835490398502245</v>
      </c>
      <c r="J330">
        <v>42.540958856313161</v>
      </c>
      <c r="L330">
        <v>3.2115082209556314</v>
      </c>
      <c r="M330">
        <v>15.470936413718974</v>
      </c>
      <c r="N330">
        <v>1.8778294891416676</v>
      </c>
      <c r="O330">
        <v>21.159561110430435</v>
      </c>
      <c r="P330">
        <v>8.6868573865820782</v>
      </c>
      <c r="R330">
        <v>14.495499156077686</v>
      </c>
      <c r="S330">
        <v>44.384889994197273</v>
      </c>
      <c r="U330">
        <v>4.8071470742490607</v>
      </c>
      <c r="V330">
        <v>46.183461170738759</v>
      </c>
      <c r="W330">
        <v>32.168396694671351</v>
      </c>
      <c r="X330">
        <v>44.127782314795077</v>
      </c>
      <c r="Y330">
        <v>4.7273979032623856</v>
      </c>
      <c r="Z330">
        <v>29.906249993742346</v>
      </c>
      <c r="AA330">
        <v>2.344683291137815</v>
      </c>
      <c r="AB330">
        <v>37.598916081454206</v>
      </c>
      <c r="AD330">
        <v>6.4381996567058852</v>
      </c>
      <c r="AE330">
        <v>14.359203218768583</v>
      </c>
      <c r="AF330">
        <v>15.075737240705168</v>
      </c>
      <c r="AG330">
        <v>23.60739585524497</v>
      </c>
      <c r="AH330">
        <v>1.4763081286878323</v>
      </c>
      <c r="AI330">
        <v>1.812337161330704</v>
      </c>
      <c r="AK330">
        <v>37.988598746972251</v>
      </c>
    </row>
    <row r="331" spans="1:37" x14ac:dyDescent="0.2">
      <c r="A331">
        <v>330</v>
      </c>
      <c r="B331">
        <v>784</v>
      </c>
      <c r="C331">
        <v>100</v>
      </c>
      <c r="D331">
        <v>0.50433760582698905</v>
      </c>
      <c r="E331">
        <v>100.17825518216905</v>
      </c>
      <c r="F331">
        <v>53.904792688193226</v>
      </c>
      <c r="G331">
        <v>71.02922534872701</v>
      </c>
      <c r="H331">
        <v>66.492927108160842</v>
      </c>
      <c r="J331">
        <v>42.03806107586351</v>
      </c>
      <c r="L331">
        <v>2.6748831847000147</v>
      </c>
      <c r="M331">
        <v>15.468218933980564</v>
      </c>
      <c r="N331">
        <v>1.8817967606357544</v>
      </c>
      <c r="O331">
        <v>19.015442850199893</v>
      </c>
      <c r="P331">
        <v>8.0594342638555023</v>
      </c>
      <c r="R331">
        <v>13.695489046414234</v>
      </c>
      <c r="S331">
        <v>43.283207183001927</v>
      </c>
      <c r="U331">
        <v>4.7904374097340154</v>
      </c>
      <c r="V331">
        <v>46.121261464867565</v>
      </c>
      <c r="W331">
        <v>31.73168279064533</v>
      </c>
      <c r="X331">
        <v>44.170305919933618</v>
      </c>
      <c r="Y331">
        <v>4.1403235439334569</v>
      </c>
      <c r="Z331">
        <v>28.852826829453036</v>
      </c>
      <c r="AA331">
        <v>1.7978264598559326</v>
      </c>
      <c r="AB331">
        <v>37.22727984427155</v>
      </c>
      <c r="AD331">
        <v>5.8110425366205698</v>
      </c>
      <c r="AE331">
        <v>13.955412454690901</v>
      </c>
      <c r="AF331">
        <v>15.070739676536286</v>
      </c>
      <c r="AG331">
        <v>23.206118109688418</v>
      </c>
      <c r="AH331">
        <v>0.5953567108276876</v>
      </c>
      <c r="AI331">
        <v>1.8157918300929725</v>
      </c>
      <c r="AK331">
        <v>37.697467124275967</v>
      </c>
    </row>
    <row r="332" spans="1:37" x14ac:dyDescent="0.2">
      <c r="A332">
        <v>331</v>
      </c>
      <c r="B332">
        <v>782</v>
      </c>
      <c r="C332">
        <v>100</v>
      </c>
      <c r="D332">
        <v>0.50326541250059598</v>
      </c>
      <c r="E332">
        <v>100.59995446043825</v>
      </c>
      <c r="F332">
        <v>54.390064769944836</v>
      </c>
      <c r="G332">
        <v>71.199479571584078</v>
      </c>
      <c r="H332">
        <v>66.657573741642679</v>
      </c>
      <c r="J332">
        <v>36.819323597685838</v>
      </c>
      <c r="L332">
        <v>1.5554518724223381</v>
      </c>
      <c r="M332">
        <v>15.133914256743969</v>
      </c>
      <c r="N332">
        <v>1.8858021364985644</v>
      </c>
      <c r="O332">
        <v>12.937263883483183</v>
      </c>
      <c r="P332">
        <v>8.4463977094605234</v>
      </c>
      <c r="R332">
        <v>12.263212792340033</v>
      </c>
      <c r="S332">
        <v>38.952064166872596</v>
      </c>
      <c r="U332">
        <v>4.8874730741308561</v>
      </c>
      <c r="V332">
        <v>45.829755692508009</v>
      </c>
      <c r="W332">
        <v>31.015943160776619</v>
      </c>
      <c r="X332">
        <v>44.536156362662673</v>
      </c>
      <c r="Y332">
        <v>3.4545505497132463</v>
      </c>
      <c r="Z332">
        <v>27.279765721754138</v>
      </c>
      <c r="AA332">
        <v>0.49488828231388471</v>
      </c>
      <c r="AB332">
        <v>35.587154272350084</v>
      </c>
      <c r="AD332">
        <v>5.0995948025665205</v>
      </c>
      <c r="AE332">
        <v>12.791588740997135</v>
      </c>
      <c r="AF332">
        <v>14.734193766824655</v>
      </c>
      <c r="AG332">
        <v>21.536398584272042</v>
      </c>
      <c r="AI332">
        <v>1.8192814849102315</v>
      </c>
      <c r="AK332">
        <v>34.431767609589841</v>
      </c>
    </row>
    <row r="333" spans="1:37" x14ac:dyDescent="0.2">
      <c r="A333">
        <v>332</v>
      </c>
      <c r="B333">
        <v>780</v>
      </c>
      <c r="C333">
        <v>100</v>
      </c>
      <c r="D333">
        <v>0.50218914684517901</v>
      </c>
      <c r="E333">
        <v>101.20801202535691</v>
      </c>
      <c r="F333">
        <v>54.193021247102607</v>
      </c>
      <c r="G333">
        <v>71.332612248084104</v>
      </c>
      <c r="H333">
        <v>66.785148907434248</v>
      </c>
      <c r="J333">
        <v>29.981849534748353</v>
      </c>
      <c r="L333">
        <v>1.4274443385712765</v>
      </c>
      <c r="M333">
        <v>14.318766754861098</v>
      </c>
      <c r="N333">
        <v>1.8898225220153615</v>
      </c>
      <c r="O333">
        <v>11.882642584934013</v>
      </c>
      <c r="P333">
        <v>8.7591616980420195</v>
      </c>
      <c r="R333">
        <v>11.47499119223855</v>
      </c>
      <c r="S333">
        <v>37.831838269866836</v>
      </c>
      <c r="U333">
        <v>4.9691350478293561</v>
      </c>
      <c r="V333">
        <v>46.377592551922682</v>
      </c>
      <c r="W333">
        <v>29.937517116837427</v>
      </c>
      <c r="X333">
        <v>44.852856511466157</v>
      </c>
      <c r="Y333">
        <v>3.3515460232064074</v>
      </c>
      <c r="Z333">
        <v>23.983734551992796</v>
      </c>
      <c r="AB333">
        <v>33.529427604753359</v>
      </c>
      <c r="AD333">
        <v>3.5313149455553421</v>
      </c>
      <c r="AE333">
        <v>10.684042950529609</v>
      </c>
      <c r="AF333">
        <v>13.916820831891128</v>
      </c>
      <c r="AG333">
        <v>19.449102466871061</v>
      </c>
      <c r="AI333">
        <v>1.8227830164602998</v>
      </c>
      <c r="AK333">
        <v>29.911384667268148</v>
      </c>
    </row>
    <row r="334" spans="1:37" x14ac:dyDescent="0.2">
      <c r="A334">
        <v>333</v>
      </c>
      <c r="B334">
        <v>778</v>
      </c>
      <c r="C334">
        <v>100</v>
      </c>
      <c r="D334">
        <v>0.501108785615755</v>
      </c>
      <c r="E334">
        <v>101.67164228252406</v>
      </c>
      <c r="F334">
        <v>54.426681073623442</v>
      </c>
      <c r="G334">
        <v>71.403176096881452</v>
      </c>
      <c r="H334">
        <v>66.850205482931514</v>
      </c>
      <c r="J334">
        <v>25.940456709724586</v>
      </c>
      <c r="L334">
        <v>1.4573931884740996</v>
      </c>
      <c r="M334">
        <v>13.516884494800456</v>
      </c>
      <c r="N334">
        <v>1.8938408931749116</v>
      </c>
      <c r="O334">
        <v>11.633805346630865</v>
      </c>
      <c r="P334">
        <v>8.9468148124845168</v>
      </c>
      <c r="R334">
        <v>10.889507493578517</v>
      </c>
      <c r="S334">
        <v>37.919145042759006</v>
      </c>
      <c r="U334">
        <v>4.9769975263868584</v>
      </c>
      <c r="V334">
        <v>47.254321143595249</v>
      </c>
      <c r="W334">
        <v>28.923556254766115</v>
      </c>
      <c r="X334">
        <v>44.957353950626164</v>
      </c>
      <c r="Y334">
        <v>3.3267079253308163</v>
      </c>
      <c r="Z334">
        <v>22.050375751186674</v>
      </c>
      <c r="AB334">
        <v>32.793557255558035</v>
      </c>
      <c r="AD334">
        <v>2.5847451800023382</v>
      </c>
      <c r="AE334">
        <v>9.4837408882106011</v>
      </c>
      <c r="AF334">
        <v>13.112711956568498</v>
      </c>
      <c r="AG334">
        <v>18.683670191349492</v>
      </c>
      <c r="AI334">
        <v>1.8262793861125071</v>
      </c>
      <c r="AK334">
        <v>27.116705791716598</v>
      </c>
    </row>
    <row r="335" spans="1:37" x14ac:dyDescent="0.2">
      <c r="A335">
        <v>334</v>
      </c>
      <c r="B335">
        <v>776</v>
      </c>
      <c r="C335">
        <v>100</v>
      </c>
      <c r="D335">
        <v>0.50002430539008103</v>
      </c>
      <c r="E335">
        <v>102.02859696295651</v>
      </c>
      <c r="F335">
        <v>54.788267169725117</v>
      </c>
      <c r="G335">
        <v>71.438096148775614</v>
      </c>
      <c r="H335">
        <v>66.879668658278604</v>
      </c>
      <c r="J335">
        <v>23.352999205150173</v>
      </c>
      <c r="L335">
        <v>1.4814880595985815</v>
      </c>
      <c r="M335">
        <v>12.801363412891844</v>
      </c>
      <c r="N335">
        <v>1.8978537608533239</v>
      </c>
      <c r="O335">
        <v>11.413808619546762</v>
      </c>
      <c r="P335">
        <v>9.0632037957770386</v>
      </c>
      <c r="R335">
        <v>10.359444652449007</v>
      </c>
      <c r="S335">
        <v>38.194198372964308</v>
      </c>
      <c r="U335">
        <v>4.9572453236364584</v>
      </c>
      <c r="V335">
        <v>48.111279509582943</v>
      </c>
      <c r="W335">
        <v>28.014014976456053</v>
      </c>
      <c r="X335">
        <v>44.983292415282911</v>
      </c>
      <c r="Y335">
        <v>3.2909521281480396</v>
      </c>
      <c r="Z335">
        <v>20.828565980357556</v>
      </c>
      <c r="AB335">
        <v>32.563998831563929</v>
      </c>
      <c r="AD335">
        <v>1.9701861540560421</v>
      </c>
      <c r="AE335">
        <v>8.731633666627463</v>
      </c>
      <c r="AF335">
        <v>12.394959630630407</v>
      </c>
      <c r="AG335">
        <v>18.42455391945623</v>
      </c>
      <c r="AI335">
        <v>1.8297670901150282</v>
      </c>
      <c r="AK335">
        <v>25.271800505418472</v>
      </c>
    </row>
    <row r="336" spans="1:37" x14ac:dyDescent="0.2">
      <c r="A336">
        <v>335</v>
      </c>
      <c r="B336">
        <v>774</v>
      </c>
      <c r="C336">
        <v>100</v>
      </c>
      <c r="D336">
        <v>0.49893568256697302</v>
      </c>
      <c r="E336">
        <v>102.3185058370666</v>
      </c>
      <c r="F336">
        <v>55.172671827893666</v>
      </c>
      <c r="G336">
        <v>71.454051381931848</v>
      </c>
      <c r="H336">
        <v>66.890217571594022</v>
      </c>
      <c r="J336">
        <v>21.517992563574282</v>
      </c>
      <c r="L336">
        <v>1.5016433271437091</v>
      </c>
      <c r="M336">
        <v>12.158351963586032</v>
      </c>
      <c r="N336">
        <v>1.9018619871926696</v>
      </c>
      <c r="O336">
        <v>11.210198132697275</v>
      </c>
      <c r="P336">
        <v>9.1416876378360961</v>
      </c>
      <c r="R336">
        <v>9.8736130434221465</v>
      </c>
      <c r="S336">
        <v>38.511154109156251</v>
      </c>
      <c r="U336">
        <v>4.9255077510892411</v>
      </c>
      <c r="V336">
        <v>48.904330664891944</v>
      </c>
      <c r="W336">
        <v>27.184531801766415</v>
      </c>
      <c r="X336">
        <v>44.975863622805477</v>
      </c>
      <c r="Y336">
        <v>3.2534025170148437</v>
      </c>
      <c r="Z336">
        <v>19.951985475227513</v>
      </c>
      <c r="AB336">
        <v>32.534890214902184</v>
      </c>
      <c r="AD336">
        <v>1.5202830840334707</v>
      </c>
      <c r="AE336">
        <v>8.1933151456569391</v>
      </c>
      <c r="AF336">
        <v>11.749713213432303</v>
      </c>
      <c r="AG336">
        <v>18.365892439809656</v>
      </c>
      <c r="AI336">
        <v>1.8332469759710568</v>
      </c>
      <c r="AK336">
        <v>23.93283133903347</v>
      </c>
    </row>
    <row r="337" spans="1:37" x14ac:dyDescent="0.2">
      <c r="A337">
        <v>336</v>
      </c>
      <c r="B337">
        <v>772</v>
      </c>
      <c r="C337">
        <v>100</v>
      </c>
      <c r="D337">
        <v>0.49784289336458698</v>
      </c>
      <c r="E337">
        <v>102.56287162853978</v>
      </c>
      <c r="F337">
        <v>55.550231200190225</v>
      </c>
      <c r="G337">
        <v>71.458739484858782</v>
      </c>
      <c r="H337">
        <v>66.889550071950623</v>
      </c>
      <c r="J337">
        <v>20.125461853275596</v>
      </c>
      <c r="L337">
        <v>1.5190297454035826</v>
      </c>
      <c r="M337">
        <v>11.571795758509397</v>
      </c>
      <c r="N337">
        <v>1.9058664825431872</v>
      </c>
      <c r="O337">
        <v>11.016665087331722</v>
      </c>
      <c r="P337">
        <v>9.1976627984178716</v>
      </c>
      <c r="R337">
        <v>9.4224526860912583</v>
      </c>
      <c r="S337">
        <v>38.830239922987033</v>
      </c>
      <c r="U337">
        <v>4.8874215089377762</v>
      </c>
      <c r="V337">
        <v>49.635155294211351</v>
      </c>
      <c r="W337">
        <v>26.415356865472557</v>
      </c>
      <c r="X337">
        <v>44.951357294792615</v>
      </c>
      <c r="Y337">
        <v>3.2166926041697312</v>
      </c>
      <c r="Z337">
        <v>19.267429865868188</v>
      </c>
      <c r="AB337">
        <v>32.597148851403801</v>
      </c>
      <c r="AD337">
        <v>1.1635623185503348</v>
      </c>
      <c r="AE337">
        <v>7.7730209091702784</v>
      </c>
      <c r="AF337">
        <v>11.160919269903978</v>
      </c>
      <c r="AG337">
        <v>18.398604153221502</v>
      </c>
      <c r="AI337">
        <v>1.836719939384154</v>
      </c>
      <c r="AK337">
        <v>22.897587872420591</v>
      </c>
    </row>
    <row r="338" spans="1:37" x14ac:dyDescent="0.2">
      <c r="A338">
        <v>337</v>
      </c>
      <c r="B338">
        <v>770</v>
      </c>
      <c r="C338">
        <v>100</v>
      </c>
      <c r="D338">
        <v>0.49674591381872402</v>
      </c>
      <c r="E338">
        <v>102.77416834605907</v>
      </c>
      <c r="F338">
        <v>55.912268634946749</v>
      </c>
      <c r="G338">
        <v>71.456103929258404</v>
      </c>
      <c r="H338">
        <v>66.881609792227849</v>
      </c>
      <c r="J338">
        <v>19.019270994218964</v>
      </c>
      <c r="L338">
        <v>1.5345466148888189</v>
      </c>
      <c r="M338">
        <v>11.029716803738928</v>
      </c>
      <c r="N338">
        <v>1.9098679013487416</v>
      </c>
      <c r="O338">
        <v>10.829886906855386</v>
      </c>
      <c r="P338">
        <v>9.2390170487013386</v>
      </c>
      <c r="R338">
        <v>8.9990654866635964</v>
      </c>
      <c r="S338">
        <v>39.139224288794438</v>
      </c>
      <c r="U338">
        <v>4.8454671943882461</v>
      </c>
      <c r="V338">
        <v>50.312095005197236</v>
      </c>
      <c r="W338">
        <v>25.692909741562605</v>
      </c>
      <c r="X338">
        <v>44.916937524319422</v>
      </c>
      <c r="Y338">
        <v>3.1815865560519492</v>
      </c>
      <c r="Z338">
        <v>18.701378151201855</v>
      </c>
      <c r="AB338">
        <v>32.704706935430941</v>
      </c>
      <c r="AD338">
        <v>0.86522863962264218</v>
      </c>
      <c r="AE338">
        <v>7.4252943279736288</v>
      </c>
      <c r="AF338">
        <v>10.616600503714697</v>
      </c>
      <c r="AG338">
        <v>18.476621953401978</v>
      </c>
      <c r="AI338">
        <v>1.8401866201417287</v>
      </c>
      <c r="AK338">
        <v>22.062183345823705</v>
      </c>
    </row>
    <row r="339" spans="1:37" x14ac:dyDescent="0.2">
      <c r="A339">
        <v>338</v>
      </c>
      <c r="B339">
        <v>768</v>
      </c>
      <c r="C339">
        <v>100</v>
      </c>
      <c r="D339">
        <v>0.49564471978101199</v>
      </c>
      <c r="E339">
        <v>102.9602187238805</v>
      </c>
      <c r="F339">
        <v>56.256770972982714</v>
      </c>
      <c r="G339">
        <v>71.448377393049299</v>
      </c>
      <c r="H339">
        <v>66.868629572141103</v>
      </c>
      <c r="J339">
        <v>18.111684210672244</v>
      </c>
      <c r="L339">
        <v>1.5486282941805003</v>
      </c>
      <c r="M339">
        <v>10.523519729352168</v>
      </c>
      <c r="N339">
        <v>1.913866705473386</v>
      </c>
      <c r="O339">
        <v>10.647971078090661</v>
      </c>
      <c r="P339">
        <v>9.2702163806701456</v>
      </c>
      <c r="R339">
        <v>8.5984943543666628</v>
      </c>
      <c r="S339">
        <v>39.434495131710051</v>
      </c>
      <c r="U339">
        <v>4.8009071794566118</v>
      </c>
      <c r="V339">
        <v>50.943216771977355</v>
      </c>
      <c r="W339">
        <v>25.007788378433084</v>
      </c>
      <c r="X339">
        <v>44.876246696451538</v>
      </c>
      <c r="Y339">
        <v>3.1482452428191428</v>
      </c>
      <c r="Z339">
        <v>18.214189585031132</v>
      </c>
      <c r="AB339">
        <v>32.835511388901224</v>
      </c>
      <c r="AD339">
        <v>0.60629900618771038</v>
      </c>
      <c r="AE339">
        <v>7.1257775791100073</v>
      </c>
      <c r="AF339">
        <v>10.108162050153764</v>
      </c>
      <c r="AG339">
        <v>18.577893269323539</v>
      </c>
      <c r="AI339">
        <v>1.8436474654436943</v>
      </c>
      <c r="AK339">
        <v>21.367359287514514</v>
      </c>
    </row>
    <row r="340" spans="1:37" x14ac:dyDescent="0.2">
      <c r="A340">
        <v>339</v>
      </c>
      <c r="B340">
        <v>766</v>
      </c>
      <c r="C340">
        <v>100</v>
      </c>
      <c r="D340">
        <v>0.49453928691719501</v>
      </c>
      <c r="E340">
        <v>103.12625315600427</v>
      </c>
      <c r="F340">
        <v>56.58400714969445</v>
      </c>
      <c r="G340">
        <v>71.436927989129444</v>
      </c>
      <c r="H340">
        <v>66.851977687007277</v>
      </c>
      <c r="J340">
        <v>17.349133891437578</v>
      </c>
      <c r="L340">
        <v>1.5615396755895454</v>
      </c>
      <c r="M340">
        <v>10.046939682113544</v>
      </c>
      <c r="N340">
        <v>1.9178632303254946</v>
      </c>
      <c r="O340">
        <v>10.469762897257153</v>
      </c>
      <c r="P340">
        <v>9.2939975307725486</v>
      </c>
      <c r="R340">
        <v>8.2170915855912003</v>
      </c>
      <c r="S340">
        <v>39.715465438441875</v>
      </c>
      <c r="U340">
        <v>4.7544552627556911</v>
      </c>
      <c r="V340">
        <v>51.535215772069272</v>
      </c>
      <c r="W340">
        <v>24.353276110868137</v>
      </c>
      <c r="X340">
        <v>44.83134157655698</v>
      </c>
      <c r="Y340">
        <v>3.1166226509871016</v>
      </c>
      <c r="Z340">
        <v>17.782505904356952</v>
      </c>
      <c r="AB340">
        <v>32.9780239678431</v>
      </c>
      <c r="AD340">
        <v>0.37547111353302015</v>
      </c>
      <c r="AE340">
        <v>6.8601735610729175</v>
      </c>
      <c r="AF340">
        <v>9.6293394349316817</v>
      </c>
      <c r="AG340">
        <v>18.69088023789579</v>
      </c>
      <c r="AI340">
        <v>1.8471027960264854</v>
      </c>
      <c r="AK340">
        <v>20.776484667331147</v>
      </c>
    </row>
    <row r="341" spans="1:37" x14ac:dyDescent="0.2">
      <c r="A341">
        <v>340</v>
      </c>
      <c r="B341">
        <v>764</v>
      </c>
      <c r="C341">
        <v>100</v>
      </c>
      <c r="D341">
        <v>0.49342959070530001</v>
      </c>
      <c r="E341">
        <v>103.27595041130533</v>
      </c>
      <c r="F341">
        <v>56.895015867531264</v>
      </c>
      <c r="G341">
        <v>71.422647395752847</v>
      </c>
      <c r="H341">
        <v>66.832545978122866</v>
      </c>
      <c r="J341">
        <v>16.696771925560864</v>
      </c>
      <c r="L341">
        <v>1.5736519873894177</v>
      </c>
      <c r="M341">
        <v>9.595294069915381</v>
      </c>
      <c r="N341">
        <v>1.9218577276551794</v>
      </c>
      <c r="O341">
        <v>10.294517804085523</v>
      </c>
      <c r="P341">
        <v>9.3121442834751065</v>
      </c>
      <c r="R341">
        <v>7.8520991206219017</v>
      </c>
      <c r="S341">
        <v>39.982655296030188</v>
      </c>
      <c r="U341">
        <v>4.7065482297140342</v>
      </c>
      <c r="V341">
        <v>52.093472977420589</v>
      </c>
      <c r="W341">
        <v>23.724416513801369</v>
      </c>
      <c r="X341">
        <v>44.783478340031749</v>
      </c>
      <c r="Y341">
        <v>3.0866044722270307</v>
      </c>
      <c r="Z341">
        <v>17.391593753741951</v>
      </c>
      <c r="AB341">
        <v>33.125814277325354</v>
      </c>
      <c r="AD341">
        <v>0.1655483440903652</v>
      </c>
      <c r="AE341">
        <v>6.6194876592776364</v>
      </c>
      <c r="AF341">
        <v>9.1754503614319649</v>
      </c>
      <c r="AG341">
        <v>18.809152761699895</v>
      </c>
      <c r="AI341">
        <v>1.8505528489615233</v>
      </c>
      <c r="AK341">
        <v>20.2654730238702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27E2C-EF89-42C3-9A18-ECC9614A53FC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2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B5">
        <v>0.92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D7" t="s">
        <v>26</v>
      </c>
      <c r="E7">
        <v>10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10.995930000000001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2025-06-09T22:45:20Z</dcterms:created>
  <dcterms:modified xsi:type="dcterms:W3CDTF">2025-06-09T22:48:07Z</dcterms:modified>
</cp:coreProperties>
</file>